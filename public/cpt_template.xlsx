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momentumcfs.sharepoint.com/sites/MomentumRelatiesProjecten/Gedeelde documenten/General/John Huiberts/Masterdoc en CPT/"/>
    </mc:Choice>
  </mc:AlternateContent>
  <xr:revisionPtr revIDLastSave="407" documentId="14_{F8626B34-2C7E-432F-8A41-90AF6DB4193F}" xr6:coauthVersionLast="47" xr6:coauthVersionMax="47" xr10:uidLastSave="{7B41B56E-B52D-4F4E-868B-53DBFC9C572A}"/>
  <bookViews>
    <workbookView xWindow="28695" yWindow="0" windowWidth="29010" windowHeight="23385" xr2:uid="{EAE6670A-65D0-4AB0-B31E-BA290D287786}"/>
  </bookViews>
  <sheets>
    <sheet name="Samenvatting" sheetId="3" r:id="rId1"/>
    <sheet name="Renteberekening" sheetId="5" r:id="rId2"/>
    <sheet name="Capital Call&amp;Distributions data" sheetId="6" r:id="rId3"/>
    <sheet name="Fondsen" sheetId="2" r:id="rId4"/>
    <sheet name="Blad1" sheetId="4" r:id="rId5"/>
  </sheets>
  <definedNames>
    <definedName name="__123Graph_A" localSheetId="0" hidden="1">#REF!</definedName>
    <definedName name="__123Graph_A" hidden="1">#REF!</definedName>
    <definedName name="__123Graph_D" localSheetId="0" hidden="1">#REF!</definedName>
    <definedName name="__123Graph_D" hidden="1">#REF!</definedName>
    <definedName name="__123Graph_E" localSheetId="0" hidden="1">#REF!</definedName>
    <definedName name="__123Graph_E" hidden="1">#REF!</definedName>
    <definedName name="__123GRAPH_G" localSheetId="0" hidden="1">#REF!</definedName>
    <definedName name="__123GRAPH_G" hidden="1">#REF!</definedName>
    <definedName name="__123Graph_X" localSheetId="0" hidden="1">#REF!</definedName>
    <definedName name="__123Graph_X" hidden="1">#REF!</definedName>
    <definedName name="__FDS_HYPERLINK_TOGGLE_STATE__" hidden="1">"ON"</definedName>
    <definedName name="__G90000">#REF!</definedName>
    <definedName name="__PRN2" hidden="1">{"adj95mult",#N/A,FALSE,"COMPCO";"adj95est",#N/A,FALSE,"COMPCO"}</definedName>
    <definedName name="_1_0DAI">#REF!</definedName>
    <definedName name="_10R">#REF!</definedName>
    <definedName name="_123Graph_D1" localSheetId="0" hidden="1">#REF!</definedName>
    <definedName name="_123Graph_D1" hidden="1">#REF!</definedName>
    <definedName name="_123Graph_E1" localSheetId="0" hidden="1">#REF!</definedName>
    <definedName name="_123Graph_E1" hidden="1">#REF!</definedName>
    <definedName name="_2DAI">#REF!</definedName>
    <definedName name="_3_0P">#REF!</definedName>
    <definedName name="_4P">#REF!</definedName>
    <definedName name="_5_?_0P">#REF!</definedName>
    <definedName name="_6_?__P">#REF!</definedName>
    <definedName name="_7_0P">#REF!</definedName>
    <definedName name="_8_0R">#REF!</definedName>
    <definedName name="_9P">#REF!</definedName>
    <definedName name="_BQ4.1" localSheetId="0" hidden="1">#REF!</definedName>
    <definedName name="_BQ4.1" hidden="1">#REF!</definedName>
    <definedName name="_Dist_Values" localSheetId="0" hidden="1">#REF!</definedName>
    <definedName name="_Dist_Values" hidden="1">#REF!</definedName>
    <definedName name="_Fill" localSheetId="0" hidden="1">#REF!</definedName>
    <definedName name="_Fill" hidden="1">#REF!</definedName>
    <definedName name="_xlnm._FilterDatabase" localSheetId="3" hidden="1">Fondsen!$B$2:$C$135</definedName>
    <definedName name="_G90000">#REF!</definedName>
    <definedName name="_G900000">#REF!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PRG1">#REF!</definedName>
    <definedName name="_PRG2">#REF!</definedName>
    <definedName name="_PRG3">#REF!</definedName>
    <definedName name="_PRG31">#REF!</definedName>
    <definedName name="_PRG4">#REF!</definedName>
    <definedName name="_PRG5">#REF!</definedName>
    <definedName name="_PRN2" hidden="1">{"adj95mult",#N/A,FALSE,"COMPCO";"adj95est",#N/A,FALSE,"COMPCO"}</definedName>
    <definedName name="_RPG4">#REF!</definedName>
    <definedName name="_Sort" localSheetId="0" hidden="1">#REF!</definedName>
    <definedName name="_Sort" hidden="1">#REF!</definedName>
    <definedName name="_Table1_In1" localSheetId="0" hidden="1">#REF!</definedName>
    <definedName name="_Table1_In1" hidden="1">#REF!</definedName>
    <definedName name="_Table1_Out" hidden="1">#REF!</definedName>
    <definedName name="_Table2_In1" localSheetId="0" hidden="1">#REF!</definedName>
    <definedName name="_Table2_In1" hidden="1">#REF!</definedName>
    <definedName name="_Table2_In2" localSheetId="0" hidden="1">#REF!</definedName>
    <definedName name="_Table2_In2" hidden="1">#REF!</definedName>
    <definedName name="_Table2_Out" hidden="1">#REF!</definedName>
    <definedName name="_UNDO_UPS_" localSheetId="0" hidden="1">#REF!</definedName>
    <definedName name="_UNDO_UPS_" hidden="1">#REF!</definedName>
    <definedName name="_UNDO_UPS_SEL_" localSheetId="0" hidden="1">#REF!</definedName>
    <definedName name="_UNDO_UPS_SEL_" hidden="1">#REF!</definedName>
    <definedName name="_UNDO31X31X_" localSheetId="0" hidden="1">#REF!</definedName>
    <definedName name="_UNDO31X31X_" hidden="1">#REF!</definedName>
    <definedName name="_VSA1">#REF!</definedName>
    <definedName name="_VSA2">#REF!</definedName>
    <definedName name="_vsa3">#REF!</definedName>
    <definedName name="aa" hidden="1">{"DCF1",#N/A,FALSE,"SIERRA DCF";"MATRIX1",#N/A,FALSE,"SIERRA DCF"}</definedName>
    <definedName name="a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fdsaf" hidden="1">{"AQUIRORDCF",#N/A,FALSE,"Merger consequences";"Acquirorassns",#N/A,FALSE,"Merger consequences"}</definedName>
    <definedName name="aeffacer" hidden="1">41017.585775463</definedName>
    <definedName name="_xlnm.Print_Area" localSheetId="0">Samenvatting!$B$1:$AD$188</definedName>
    <definedName name="agin5" hidden="1">{#N/A,#N/A,FALSE,"Aging Summary";#N/A,#N/A,FALSE,"Ratio Analysis";#N/A,#N/A,FALSE,"Test 120 Day Accts";#N/A,#N/A,FALSE,"Tickmarks"}</definedName>
    <definedName name="agin6" hidden="1">{#N/A,#N/A,FALSE,"Aging Summary";#N/A,#N/A,FALSE,"Ratio Analysis";#N/A,#N/A,FALSE,"Test 120 Day Accts";#N/A,#N/A,FALSE,"Tickmarks"}</definedName>
    <definedName name="Aging2" hidden="1">{#N/A,#N/A,FALSE,"Aging Summary";#N/A,#N/A,FALSE,"Ratio Analysis";#N/A,#N/A,FALSE,"Test 120 Day Accts";#N/A,#N/A,FALSE,"Tickmarks"}</definedName>
    <definedName name="aging2b" hidden="1">{#N/A,#N/A,FALSE,"Aging Summary";#N/A,#N/A,FALSE,"Ratio Analysis";#N/A,#N/A,FALSE,"Test 120 Day Accts";#N/A,#N/A,FALSE,"Tickmarks"}</definedName>
    <definedName name="Aging2E" hidden="1">{#N/A,#N/A,FALSE,"Aging Summary";#N/A,#N/A,FALSE,"Ratio Analysis";#N/A,#N/A,FALSE,"Test 120 Day Accts";#N/A,#N/A,FALSE,"Tickmarks"}</definedName>
    <definedName name="aging3" hidden="1">{#N/A,#N/A,FALSE,"Aging Summary";#N/A,#N/A,FALSE,"Ratio Analysis";#N/A,#N/A,FALSE,"Test 120 Day Accts";#N/A,#N/A,FALSE,"Tickmarks"}</definedName>
    <definedName name="aging5" hidden="1">{#N/A,#N/A,FALSE,"Aging Summary";#N/A,#N/A,FALSE,"Ratio Analysis";#N/A,#N/A,FALSE,"Test 120 Day Accts";#N/A,#N/A,FALSE,"Tickmarks"}</definedName>
    <definedName name="aging6" hidden="1">{#N/A,#N/A,FALSE,"Aging Summary";#N/A,#N/A,FALSE,"Ratio Analysis";#N/A,#N/A,FALSE,"Test 120 Day Accts";#N/A,#N/A,FALSE,"Tickmarks"}</definedName>
    <definedName name="amy" hidden="1">{#N/A,#N/A,TRUE,"Proj";#N/A,#N/A,TRUE,"Crew";#N/A,#N/A,TRUE,"Month"}</definedName>
    <definedName name="anscount" hidden="1">1</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0" hidden="1">#REF!</definedName>
    <definedName name="AS2TickmarkLS" hidden="1">#REF!</definedName>
    <definedName name="AS2VersionLS" hidden="1">300</definedName>
    <definedName name="asdf" hidden="1">{"cap_structure",#N/A,FALSE,"Graph-Mkt Cap";"price",#N/A,FALSE,"Graph-Price";"ebit",#N/A,FALSE,"Graph-EBITDA";"ebitda",#N/A,FALSE,"Graph-EBITDA"}</definedName>
    <definedName name="asf" hidden="1">{"DCF1",#N/A,FALSE,"SIERRA DCF";"MATRIX1",#N/A,FALSE,"SIERRA DCF"}</definedName>
    <definedName name="ASFIII">#REF!</definedName>
    <definedName name="ass.all" hidden="1">{#N/A,#N/A,FALSE,"cpt"}</definedName>
    <definedName name="AUM">#REF!</definedName>
    <definedName name="AUMCheck">#REF!</definedName>
    <definedName name="AUMCurrency">#REF!</definedName>
    <definedName name="B" localSheetId="0" hidden="1">#REF!</definedName>
    <definedName name="B" hidden="1">#REF!</definedName>
    <definedName name="Baselinedata">#REF!</definedName>
    <definedName name="bbb" hidden="1">{#N/A,#N/A,FALSE,"Model";#N/A,#N/A,FALSE,"Division"}</definedName>
    <definedName name="BG_Del" hidden="1">15</definedName>
    <definedName name="BG_Ins" hidden="1">4</definedName>
    <definedName name="BG_Mod" hidden="1">6</definedName>
    <definedName name="bis">#REF!</definedName>
    <definedName name="biz">#REF!</definedName>
    <definedName name="BLPB113" localSheetId="0" hidden="1">#REF!</definedName>
    <definedName name="BLPB113" hidden="1">#REF!</definedName>
    <definedName name="BLPB13" localSheetId="0" hidden="1">#REF!</definedName>
    <definedName name="BLPB13" hidden="1">#REF!</definedName>
    <definedName name="BLPB14" localSheetId="0" hidden="1">#REF!</definedName>
    <definedName name="BLPB14" hidden="1">#REF!</definedName>
    <definedName name="BLPB15" localSheetId="0" hidden="1">#REF!</definedName>
    <definedName name="BLPB15" hidden="1">#REF!</definedName>
    <definedName name="BLPB16" localSheetId="0" hidden="1">#REF!</definedName>
    <definedName name="BLPB16" hidden="1">#REF!</definedName>
    <definedName name="BLPB17" localSheetId="0" hidden="1">#REF!</definedName>
    <definedName name="BLPB17" hidden="1">#REF!</definedName>
    <definedName name="BLPB18" localSheetId="0" hidden="1">#REF!</definedName>
    <definedName name="BLPB18" hidden="1">#REF!</definedName>
    <definedName name="BLPB19" localSheetId="0" hidden="1">#REF!</definedName>
    <definedName name="BLPB19" hidden="1">#REF!</definedName>
    <definedName name="BLPB20" localSheetId="0" hidden="1">#REF!</definedName>
    <definedName name="BLPB20" hidden="1">#REF!</definedName>
    <definedName name="BLPB21" localSheetId="0" hidden="1">#REF!</definedName>
    <definedName name="BLPB21" hidden="1">#REF!</definedName>
    <definedName name="BLPB22" localSheetId="0" hidden="1">#REF!</definedName>
    <definedName name="BLPB22" hidden="1">#REF!</definedName>
    <definedName name="BLPB23" localSheetId="0" hidden="1">#REF!</definedName>
    <definedName name="BLPB23" hidden="1">#REF!</definedName>
    <definedName name="BLPB24" localSheetId="0" hidden="1">#REF!</definedName>
    <definedName name="BLPB24" hidden="1">#REF!</definedName>
    <definedName name="BLPB25" localSheetId="0" hidden="1">#REF!</definedName>
    <definedName name="BLPB25" hidden="1">#REF!</definedName>
    <definedName name="BLPB26" localSheetId="0" hidden="1">#REF!</definedName>
    <definedName name="BLPB26" hidden="1">#REF!</definedName>
    <definedName name="BLPB27" localSheetId="0" hidden="1">#REF!</definedName>
    <definedName name="BLPB27" hidden="1">#REF!</definedName>
    <definedName name="BLPB28" localSheetId="0" hidden="1">#REF!</definedName>
    <definedName name="BLPB28" hidden="1">#REF!</definedName>
    <definedName name="BLPB29" localSheetId="0" hidden="1">#REF!</definedName>
    <definedName name="BLPB29" hidden="1">#REF!</definedName>
    <definedName name="BLPB30" localSheetId="0" hidden="1">#REF!</definedName>
    <definedName name="BLPB30" hidden="1">#REF!</definedName>
    <definedName name="BLPB31" localSheetId="0" hidden="1">#REF!</definedName>
    <definedName name="BLPB31" hidden="1">#REF!</definedName>
    <definedName name="BLPB32" localSheetId="0" hidden="1">#REF!</definedName>
    <definedName name="BLPB32" hidden="1">#REF!</definedName>
    <definedName name="BLPB33" localSheetId="0" hidden="1">#REF!</definedName>
    <definedName name="BLPB33" hidden="1">#REF!</definedName>
    <definedName name="BLPB34" localSheetId="0" hidden="1">#REF!</definedName>
    <definedName name="BLPB34" hidden="1">#REF!</definedName>
    <definedName name="BLPB35" localSheetId="0" hidden="1">#REF!</definedName>
    <definedName name="BLPB35" hidden="1">#REF!</definedName>
    <definedName name="BLPB36" localSheetId="0" hidden="1">#REF!</definedName>
    <definedName name="BLPB36" hidden="1">#REF!</definedName>
    <definedName name="BLPB37" localSheetId="0" hidden="1">#REF!</definedName>
    <definedName name="BLPB37" hidden="1">#REF!</definedName>
    <definedName name="BLPB38" localSheetId="0" hidden="1">#REF!</definedName>
    <definedName name="BLPB38" hidden="1">#REF!</definedName>
    <definedName name="BLPB39" localSheetId="0" hidden="1">#REF!</definedName>
    <definedName name="BLPB39" hidden="1">#REF!</definedName>
    <definedName name="BLPB40" localSheetId="0" hidden="1">#REF!</definedName>
    <definedName name="BLPB40" hidden="1">#REF!</definedName>
    <definedName name="BLPB41" localSheetId="0" hidden="1">#REF!</definedName>
    <definedName name="BLPB41" hidden="1">#REF!</definedName>
    <definedName name="BLPB42" localSheetId="0" hidden="1">#REF!</definedName>
    <definedName name="BLPB42" hidden="1">#REF!</definedName>
    <definedName name="BLPB43" localSheetId="0" hidden="1">#REF!</definedName>
    <definedName name="BLPB43" hidden="1">#REF!</definedName>
    <definedName name="BLPB44" localSheetId="0" hidden="1">#REF!</definedName>
    <definedName name="BLPB44" hidden="1">#REF!</definedName>
    <definedName name="BLPB45" localSheetId="0" hidden="1">#REF!</definedName>
    <definedName name="BLPB45" hidden="1">#REF!</definedName>
    <definedName name="BLPB46" localSheetId="0" hidden="1">#REF!</definedName>
    <definedName name="BLPB46" hidden="1">#REF!</definedName>
    <definedName name="BLPB47" localSheetId="0" hidden="1">#REF!</definedName>
    <definedName name="BLPB47" hidden="1">#REF!</definedName>
    <definedName name="BLPB48" localSheetId="0" hidden="1">#REF!</definedName>
    <definedName name="BLPB48" hidden="1">#REF!</definedName>
    <definedName name="BLPB49" localSheetId="0" hidden="1">#REF!</definedName>
    <definedName name="BLPB49" hidden="1">#REF!</definedName>
    <definedName name="BLPB50" localSheetId="0" hidden="1">#REF!</definedName>
    <definedName name="BLPB50" hidden="1">#REF!</definedName>
    <definedName name="BLPB51" localSheetId="0" hidden="1">#REF!</definedName>
    <definedName name="BLPB51" hidden="1">#REF!</definedName>
    <definedName name="BLPB52" localSheetId="0" hidden="1">#REF!</definedName>
    <definedName name="BLPB52" hidden="1">#REF!</definedName>
    <definedName name="BLPB53" localSheetId="0" hidden="1">#REF!</definedName>
    <definedName name="BLPB53" hidden="1">#REF!</definedName>
    <definedName name="BLPB54" localSheetId="0" hidden="1">#REF!</definedName>
    <definedName name="BLPB54" hidden="1">#REF!</definedName>
    <definedName name="BLPB55" localSheetId="0" hidden="1">#REF!</definedName>
    <definedName name="BLPB55" hidden="1">#REF!</definedName>
    <definedName name="BLPB56" localSheetId="0" hidden="1">#REF!</definedName>
    <definedName name="BLPB56" hidden="1">#REF!</definedName>
    <definedName name="BLPB57" localSheetId="0" hidden="1">#REF!</definedName>
    <definedName name="BLPB57" hidden="1">#REF!</definedName>
    <definedName name="BLPB58" localSheetId="0" hidden="1">#REF!</definedName>
    <definedName name="BLPB58" hidden="1">#REF!</definedName>
    <definedName name="BLPB59" localSheetId="0" hidden="1">#REF!</definedName>
    <definedName name="BLPB59" hidden="1">#REF!</definedName>
    <definedName name="BLPB60" localSheetId="0" hidden="1">#REF!</definedName>
    <definedName name="BLPB60" hidden="1">#REF!</definedName>
    <definedName name="BLPB61" localSheetId="0" hidden="1">#REF!</definedName>
    <definedName name="BLPB61" hidden="1">#REF!</definedName>
    <definedName name="BLPB62" localSheetId="0" hidden="1">#REF!</definedName>
    <definedName name="BLPB62" hidden="1">#REF!</definedName>
    <definedName name="BLPH1" hidden="1">#REF!</definedName>
    <definedName name="BLPH2" localSheetId="0" hidden="1">#REF!</definedName>
    <definedName name="BLPH2" hidden="1">#REF!</definedName>
    <definedName name="BLPH3" localSheetId="0" hidden="1">#REF!</definedName>
    <definedName name="BLPH3" hidden="1">#REF!</definedName>
    <definedName name="BLPH4" hidden="1">#REF!</definedName>
    <definedName name="BLPH5" hidden="1">#REF!</definedName>
    <definedName name="BLPH6" hidden="1">#REF!</definedName>
    <definedName name="BLPH8" hidden="1">#REF!</definedName>
    <definedName name="BoardDate">#REF!</definedName>
    <definedName name="Carlyle1">#REF!</definedName>
    <definedName name="Carlyle2">#REF!</definedName>
    <definedName name="carlyle3">#REF!</definedName>
    <definedName name="casds" hidden="1">{"DCF1",#N/A,FALSE,"SIERRA DCF";"MATRIX1",#N/A,FALSE,"SIERRA DCF"}</definedName>
    <definedName name="Cashflows">#REF!</definedName>
    <definedName name="CBWorkbookPriority" hidden="1">-1458724058</definedName>
    <definedName name="CIQWBGuid" hidden="1">"3d2272e6-6bd0-4910-8d85-8eeb2cba8a2b"</definedName>
    <definedName name="CIQWBGuid_1" hidden="1">"3d2272e6-6bd0-4910-8d85-8eeb2cba8a2b"</definedName>
    <definedName name="Client_GainLoss">#REF!</definedName>
    <definedName name="ClientsCheck">#REF!</definedName>
    <definedName name="ClientType">#REF!</definedName>
    <definedName name="closingdate">#REF!</definedName>
    <definedName name="closingdateexample">#REF!</definedName>
    <definedName name="COL_C_C_ACTIVITY">#REF!</definedName>
    <definedName name="COL_C_C_COMMENT">#REF!</definedName>
    <definedName name="COL_C_C_CREATION_DATE">#REF!</definedName>
    <definedName name="COL_C_C_CURRENCY">#REF!</definedName>
    <definedName name="COL_C_C_EFRONTFORMULAPARAM1">#REF!</definedName>
    <definedName name="COL_C_C_EFRONTFORMULAPARAM2">#REF!</definedName>
    <definedName name="COL_C_C_FUNDING">#REF!</definedName>
    <definedName name="COL_C_C_ID">#REF!</definedName>
    <definedName name="COL_C_C_INV_MANAGER">#REF!</definedName>
    <definedName name="COL_C_C_NAME">#REF!</definedName>
    <definedName name="COL_C_C_NOMINAL_VALUE">#REF!</definedName>
    <definedName name="COL_C_C_NOMINAL_VALUE_CURRENCY">#REF!</definedName>
    <definedName name="COL_C_C_NR_SHARES_FD">#REF!</definedName>
    <definedName name="COL_C_C_NR_SHARES_FD_OBSOLETE">#REF!</definedName>
    <definedName name="COL_C_C_NR_SHARES_NFD">#REF!</definedName>
    <definedName name="COL_C_ID1">#REF!</definedName>
    <definedName name="COL_CF_CF_EXIT_CCY">#REF!</definedName>
    <definedName name="COL_CF_CF_ID">#REF!</definedName>
    <definedName name="COL_CF_CF_INCOMES_CCY">#REF!</definedName>
    <definedName name="COL_CF_CF_INVESTED_CCY">#REF!</definedName>
    <definedName name="COL_CF_CF_YEAR">#REF!</definedName>
    <definedName name="COL_INV_ID2">#REF!</definedName>
    <definedName name="COL_INV_INV_CONV_TO1">#REF!</definedName>
    <definedName name="COL_INV_INV_CONV_TO2">#REF!</definedName>
    <definedName name="COL_INV_INV_CONV_TO3">#REF!</definedName>
    <definedName name="COL_INV_INV_COST_SHARES">#REF!</definedName>
    <definedName name="COL_INV_INV_EFRONTFORMULAPARAM1">#REF!</definedName>
    <definedName name="COL_INV_INV_EFRONTFORMULAPARAM2">#REF!</definedName>
    <definedName name="COL_INV_INV_EFRONTFORMULAPARAM3">#REF!</definedName>
    <definedName name="COL_INV_INV_EFRONTFORMULAPARAM4">#REF!</definedName>
    <definedName name="COL_INV_INV_EVCA_VALUATION_NB">#REF!</definedName>
    <definedName name="COL_INV_INV_EVCA_VALUATION_OLD">#REF!</definedName>
    <definedName name="COL_INV_INV_EVCA_VALUATION_VAL">#REF!</definedName>
    <definedName name="COL_INV_INV_F_NAME">#REF!</definedName>
    <definedName name="COL_INV_INV_I_IQID">#REF!</definedName>
    <definedName name="COL_INV_INV_I_NAME">#REF!</definedName>
    <definedName name="COL_INV_INV_I_ND_CALC">#REF!</definedName>
    <definedName name="COL_INV_INV_ID">#REF!</definedName>
    <definedName name="COL_INV_INV_LASTDAT">#REF!</definedName>
    <definedName name="COL_INV_INV_LASTINT">#REF!</definedName>
    <definedName name="COL_INV_INV_LASTVAL">#REF!</definedName>
    <definedName name="COL_INV_INV_MGT_VALUATION">#REF!</definedName>
    <definedName name="COL_INV_INV_NR_SHARES">#REF!</definedName>
    <definedName name="COL_INV_INV_PER_STAKE_NFD">#REF!</definedName>
    <definedName name="COL_INV_INV_SHARES_FD">#REF!</definedName>
    <definedName name="COL_INV_INV_SHARES_FD_TOT">#REF!</definedName>
    <definedName name="COL_INV_INV_TO1">#REF!</definedName>
    <definedName name="COL_INV_INV_TO2">#REF!</definedName>
    <definedName name="COL_INV_INV_TO3">#REF!</definedName>
    <definedName name="COL_INV_INV_xPER_STAKE_FD_OBSOLETE">#REF!</definedName>
    <definedName name="COL_KEY_ID3">#REF!</definedName>
    <definedName name="COL_KEY_KEY_CASH">#REF!</definedName>
    <definedName name="COL_KEY_KEY_HEADCOUNT">#REF!</definedName>
    <definedName name="COL_KEY_KEY_ID">#REF!</definedName>
    <definedName name="COL_KEY_KEY_MBA">#REF!</definedName>
    <definedName name="COL_KEY_KEY_NET">#REF!</definedName>
    <definedName name="COL_KEY_KEY_RE">#REF!</definedName>
    <definedName name="COL_KEY_KEY_TURNOVER">#REF!</definedName>
    <definedName name="COL_KEY_KEY_YEAR">#REF!</definedName>
    <definedName name="COL_PARAMS_PARAMDESCR">#REF!</definedName>
    <definedName name="COL_PARAMS_PARAMVAL">#REF!</definedName>
    <definedName name="Countries2">IF(#REF!="",#REF!:OFFSET(#REF!,COUNT(#REF!)-1,0),#REF!:OFFSET(#REF!,COUNT(#REF!)-1,0))</definedName>
    <definedName name="Countries3">IF(#REF!="",#REF!:OFFSET(#REF!,COUNT(#REF!)-1,0),#REF!:OFFSET(#REF!,COUNT(#REF!)-1,0))</definedName>
    <definedName name="Countries4">IF(#REF!="",#REF!:OFFSET(#REF!,COUNT(#REF!)-1,0),#REF!:OFFSET(#REF!,COUNT(#REF!)-1,0))</definedName>
    <definedName name="Countries4US">IF(#REF!="",#REF!:OFFSET(#REF!,COUNT(#REF!)-1,0),#REF!:OFFSET(#REF!,COUNT(#REF!)-1,0))</definedName>
    <definedName name="Countries5">IF(#REF!="",#REF!:OFFSET(#REF!,COUNT(#REF!)-1,0),#REF!:OFFSET(#REF!,COUNT(#REF!)-1,0))</definedName>
    <definedName name="CountrySplit2">IF(#REF!="",#REF!:OFFSET(#REF!,COUNT(#REF!)-1,0),#REF!:OFFSET(#REF!,COUNT(#REF!)-1,0))</definedName>
    <definedName name="CountrySplit3">IF(#REF!="",#REF!:OFFSET(#REF!,COUNT(#REF!)-1,0),#REF!:OFFSET(#REF!,COUNT(#REF!)-1,0))</definedName>
    <definedName name="CountrySplit4">IF(#REF!="",#REF!:OFFSET(#REF!,COUNT(#REF!)-1,0),#REF!:OFFSET(#REF!,COUNT(#REF!)-1,0))</definedName>
    <definedName name="CountrySplit4US">IF(#REF!="",#REF!:OFFSET(#REF!,COUNT(#REF!)-1,0),#REF!:OFFSET(#REF!,COUNT(#REF!)-1,0))</definedName>
    <definedName name="CountrySplit5">IF(#REF!="",#REF!:OFFSET(#REF!,COUNT(#REF!)-1,0),#REF!:OFFSET(#REF!,COUNT(#REF!)-1,0))</definedName>
    <definedName name="dafdsf" hidden="1">{"qchm_dcf",#N/A,FALSE,"QCHMDCF2";"qchm_terminal",#N/A,FALSE,"QCHMDCF2"}</definedName>
    <definedName name="DAIPCT">#REF!</definedName>
    <definedName name="DB_Company_Presentation">#REF!</definedName>
    <definedName name="DB_Funds">#REF!</definedName>
    <definedName name="ddd" hidden="1">{"adj95mult",#N/A,FALSE,"COMPCO";"adj95est",#N/A,FALSE,"COMPCO"}</definedName>
    <definedName name="dddd" hidden="1">{#N/A,#N/A,FALSE,"Aging Summary";#N/A,#N/A,FALSE,"Ratio Analysis";#N/A,#N/A,FALSE,"Test 120 Day Accts";#N/A,#N/A,FALSE,"Tickmarks"}</definedName>
    <definedName name="dededez">#REF!</definedName>
    <definedName name="Detailed" hidden="1">{#N/A,#N/A,TRUE,"Proj";#N/A,#N/A,TRUE,"Crew";#N/A,#N/A,TRUE,"Month"}</definedName>
    <definedName name="df" hidden="1">{"Matrix",#N/A,FALSE,"ACQMTRX";"Fees",#N/A,FALSE,"ACQMTRX"}</definedName>
    <definedName name="dfa" hidden="1">{"Acq_matrix",#N/A,FALSE,"Acquisition Matrix"}</definedName>
    <definedName name="dfdf" hidden="1">{"page1",#N/A,FALSE,"BHCOMPC5";"page2",#N/A,FALSE,"BHCOMPC5";"page3",#N/A,FALSE,"BHCOMPC5";"page4",#N/A,FALSE,"BHCOMPC5"}</definedName>
    <definedName name="dfhgfgdjgd" hidden="1">{"Matrix",#N/A,FALSE,"ACQMTRX";"Fees",#N/A,FALSE,"ACQMTRX"}</definedName>
    <definedName name="Div_Industrial" hidden="1">{"adj95mult",#N/A,FALSE,"COMPCO";"adj95est",#N/A,FALSE,"COMPCO"}</definedName>
    <definedName name="DME_Dirty" hidden="1">"Hamis"</definedName>
    <definedName name="dol">#REF!</definedName>
    <definedName name="ED">#REF!</definedName>
    <definedName name="efrefre">#REF!</definedName>
    <definedName name="efront_blobsheet">#REF!</definedName>
    <definedName name="efront_datasheet">#REF!</definedName>
    <definedName name="enc">#REF!</definedName>
    <definedName name="et">#REF!</definedName>
    <definedName name="eur">#REF!</definedName>
    <definedName name="eurusd">#REF!</definedName>
    <definedName name="eurusdex">#REF!</definedName>
    <definedName name="EVScale">#REF!</definedName>
    <definedName name="ExternalData_1" localSheetId="2" hidden="1">'Capital Call&amp;Distributions data'!$A$1:$V$1665</definedName>
    <definedName name="ExternalData_1" localSheetId="3" hidden="1">Fondsen!$B$1:$I$231</definedName>
    <definedName name="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FeeCase">#REF!</definedName>
    <definedName name="ffr">#REF!</definedName>
    <definedName name="fgefgef" hidden="1">{"qchm_dcf",#N/A,FALSE,"QCHMDCF2";"qchm_terminal",#N/A,FALSE,"QCHMDCF2"}</definedName>
    <definedName name="fhrghgrd" hidden="1">{"DCF1",#N/A,FALSE,"SIERRA DCF";"MATRIX1",#N/A,FALSE,"SIERRA DCF"}</definedName>
    <definedName name="flute">#REF!</definedName>
    <definedName name="frefrefr">#REF!</definedName>
    <definedName name="fsdfdfa" hidden="1">{"page1",#N/A,FALSE,"BHCOMPC5";"page2",#N/A,FALSE,"BHCOMPC5";"page3",#N/A,FALSE,"BHCOMPC5";"page4",#N/A,FALSE,"BHCOMPC5"}</definedName>
    <definedName name="fx">#REF!</definedName>
    <definedName name="g" hidden="1">{"page1",#N/A,FALSE,"BHCOMPC5";"page2",#N/A,FALSE,"BHCOMPC5";"page3",#N/A,FALSE,"BHCOMPC5";"page4",#N/A,FALSE,"BHCOMPC5"}</definedName>
    <definedName name="gbpeur">#REF!</definedName>
    <definedName name="gbpeurex">#REF!</definedName>
    <definedName name="gbpusd">#REF!</definedName>
    <definedName name="gbpusdex">#REF!</definedName>
    <definedName name="ghjgjfk" hidden="1">{#N/A,#N/A,FALSE,"TOC";#N/A,#N/A,FALSE,"Macro Assumptions";#N/A,#N/A,FALSE,"Bank Assumptions";#N/A,#N/A,FALSE,"BS";#N/A,#N/A,FALSE,"P&amp;L";#N/A,#N/A,FALSE,"Capital";#N/A,#N/A,FALSE,"Ratios";#N/A,#N/A,FALSE,"Loan Quality";#N/A,#N/A,FALSE,"Avg_Assets";#N/A,#N/A,FALSE,"Fixed assets";#N/A,#N/A,FALSE,"Trading Income";#N/A,#N/A,FALSE,"Employees";#N/A,#N/A,FALSE,"Other costs";#N/A,#N/A,FALSE,"Other income";#N/A,#N/A,FALSE,"FCF"}</definedName>
    <definedName name="Greencfs">#REF!</definedName>
    <definedName name="happy" hidden="1">{#N/A,#N/A,FALSE,"3mos";#N/A,#N/A,FALSE,"dedicated"}</definedName>
    <definedName name="HeartlandCFs">#REF!</definedName>
    <definedName name="HeartSummary">#REF!</definedName>
    <definedName name="hey" hidden="1">{#N/A,#N/A,FALSE,"3mos";#N/A,#N/A,FALSE,"dedicated"}</definedName>
    <definedName name="hhgjghj" hidden="1">{"DCF1",#N/A,FALSE,"SIERRA DCF";"MATRIX1",#N/A,FALSE,"SIERRA DCF"}</definedName>
    <definedName name="hilde"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hilde2" hidden="1">{"UtrTotRev",#N/A,FALSE,"Utrecht";"UtrTotProc",#N/A,FALSE,"Utrecht";"UtrProcPRHR",#N/A,FALSE,"Utrecht";"UtrProcTAMS",#N/A,FALSE,"Utrecht";"UtrProcNewTot",#N/A,FALSE,"Utrecht";"UtrSalesStarts",#N/A,FALSE,"Utrecht";"UtrLoss",#N/A,FALSE,"Utrecht";"UtrSUYrEnd",#N/A,FALSE,"Utrecht";"Utrclients",#N/A,FALSE,"Utrecht";"Utrinput",#N/A,FALSE,"Utrecht"}</definedName>
    <definedName name="hitelek" hidden="1">{#N/A,#N/A,FALSE,"content";#N/A,#N/A,FALSE,"summary";#N/A,#N/A,FALSE,"historicBS";#N/A,#N/A,FALSE,"historicIS";#N/A,#N/A,FALSE,"historicCF";#N/A,#N/A,FALSE,"ratios";#N/A,#N/A,FALSE,"ForecastIS";#N/A,#N/A,FALSE,"DCF-WACC";#N/A,#N/A,FALSE,"DCF-CAPM";#N/A,#N/A,FALSE,"debt";#N/A,#N/A,FALSE,"depreciation";#N/A,#N/A,FALSE,"wacc";"view_a",#N/A,FALSE,"GLC";"view_b",#N/A,FALSE,"GLC";"view_c",#N/A,FALSE,"GLC";"view_d",#N/A,FALSE,"GLC";"view_e",#N/A,FALSE,"GLC";#N/A,#N/A,FALSE,"riskfree";#N/A,#N/A,FALSE,"glcapproach";#N/A,#N/A,FALSE,"control";#N/A,#N/A,FALSE,"marketibility";#N/A,#N/A,FALSE,"rev";#N/A,#N/A,FALSE,"customers";#N/A,#N/A,FALSE,"suppliers";#N/A,#N/A,FALSE,"own.str.";"view_a",#N/A,FALSE,"season";"view_b",#N/A,FALSE,"season"}</definedName>
    <definedName name="hjuhj">#REF!</definedName>
    <definedName name="htgrer" hidden="1">{"page1",#N/A,FALSE,"BHCOMPC5";"page2",#N/A,FALSE,"BHCOMPC5";"page3",#N/A,FALSE,"BHCOMPC5";"page4",#N/A,FALSE,"BHCOMPC5"}</definedName>
    <definedName name="i" hidden="1">{"DCF1",#N/A,FALSE,"SIERRA DCF";"MATRIX1",#N/A,FALSE,"SIERRA DCF"}</definedName>
    <definedName name="iep">#REF!</definedName>
    <definedName name="InfrastructureTypes2">IF(#REF!="",#REF!:OFFSET(#REF!,COUNT(#REF!)-1,0),#REF!:OFFSET(#REF!,COUNT(#REF!)-1,0))</definedName>
    <definedName name="InfrastructureTypes3">IF(#REF!="",#REF!:OFFSET(#REF!,COUNT(#REF!)-1,0),#REF!:OFFSET(#REF!,COUNT(#REF!)-1,0))</definedName>
    <definedName name="InfrastructureTypes4">IF(#REF!="",#REF!:OFFSET(#REF!,COUNT(#REF!)-1,0),#REF!:OFFSET(#REF!,COUNT(#REF!)-1,0))</definedName>
    <definedName name="InfrastructureTypes4US">IF(#REF!="",#REF!:OFFSET(#REF!,COUNT(#REF!)-1,0),#REF!:OFFSET(#REF!,COUNT(#REF!)-1,0))</definedName>
    <definedName name="InfrastructureTypes5">IF(#REF!="",#REF!:OFFSET(#REF!,COUNT(#REF!)-1,0),#REF!:OFFSET(#REF!,COUNT(#REF!)-1,0))</definedName>
    <definedName name="InfrastructureTypeSplit2">IF(#REF!="",#REF!:OFFSET(#REF!,COUNT(#REF!)-1,0),#REF!:OFFSET(#REF!,COUNT(#REF!)-1,0))</definedName>
    <definedName name="InfrastructureTypeSplit3">IF(#REF!="",#REF!:OFFSET(#REF!,COUNT(#REF!)-1,0),#REF!:OFFSET(#REF!,COUNT(#REF!)-1,0))</definedName>
    <definedName name="InfrastructureTypeSplit4">IF(#REF!="",#REF!:OFFSET(#REF!,COUNT(#REF!)-1,0),#REF!:OFFSET(#REF!,COUNT(#REF!)-1,0))</definedName>
    <definedName name="InfrastructureTypeSplit4US">IF(#REF!="",#REF!:OFFSET(#REF!,COUNT(#REF!)-1,0),#REF!:OFFSET(#REF!,COUNT(#REF!)-1,0))</definedName>
    <definedName name="InfrastructureTypeSplit5">IF(#REF!="",#REF!:OFFSET(#REF!,COUNT(#REF!)-1,0),#REF!:OFFSET(#REF!,COUNT(#REF!)-1,0))</definedName>
    <definedName name="InvPro_FirmW">#REF!</definedName>
    <definedName name="InvPro_Mandate">#REF!</definedName>
    <definedName name="InvProManCheck">#REF!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ACQUIRE_CF_1"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"c157"</definedName>
    <definedName name="IQ_EBIT_GROWTH_2" hidden="1">"c161"</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1" hidden="1">"c189"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REUT" hidden="1">"c3869"</definedName>
    <definedName name="IQ_EST_NUM_BUY_THOM" hidden="1">"c5165"</definedName>
    <definedName name="IQ_EST_NUM_HOLD" hidden="1">"c1761"</definedName>
    <definedName name="IQ_EST_NUM_HOLD_REUT" hidden="1">"c3871"</definedName>
    <definedName name="IQ_EST_NUM_HOLD_THOM" hidden="1">"c5167"</definedName>
    <definedName name="IQ_EST_NUM_NO_OPINION" hidden="1">"c1758"</definedName>
    <definedName name="IQ_EST_NUM_OUTPERFORM" hidden="1">"c1760"</definedName>
    <definedName name="IQ_EST_NUM_OUTPERFORM_REUT" hidden="1">"c3870"</definedName>
    <definedName name="IQ_EST_NUM_OUTPERFORM_THOM" hidden="1">"c5166"</definedName>
    <definedName name="IQ_EST_NUM_SELL" hidden="1">"c1763"</definedName>
    <definedName name="IQ_EST_NUM_SELL_REUT" hidden="1">"c3873"</definedName>
    <definedName name="IQ_EST_NUM_SELL_THOM" hidden="1">"c5169"</definedName>
    <definedName name="IQ_EST_NUM_UNDERPERFORM" hidden="1">"c1762"</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"a1614"</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"c3668"</definedName>
    <definedName name="IQ_FFO_HIGH_EST" hidden="1">"c419"</definedName>
    <definedName name="IQ_FFO_HIGH_EST_CIQ" hidden="1">"c3670"</definedName>
    <definedName name="IQ_FFO_LOW_EST" hidden="1">"c420"</definedName>
    <definedName name="IQ_FFO_LOW_EST_CIQ" hidden="1">"c3671"</definedName>
    <definedName name="IQ_FFO_MEDIAN_EST" hidden="1">"c1665"</definedName>
    <definedName name="IQ_FFO_MEDIAN_EST_CIQ" hidden="1">"c3669"</definedName>
    <definedName name="IQ_FFO_NUM_EST" hidden="1">"c421"</definedName>
    <definedName name="IQ_FFO_NUM_EST_CIQ" hidden="1">"c3672"</definedName>
    <definedName name="IQ_FFO_PAYOUT_RATIO" hidden="1">"c3492"</definedName>
    <definedName name="IQ_FFO_SHARE_ACT_OR_EST" hidden="1">"c4446"</definedName>
    <definedName name="IQ_FFO_STDDEV_EST" hidden="1">"c422"</definedName>
    <definedName name="IQ_FFO_STDDEV_EST_CIQ" hidden="1">"c3673"</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42912.8849768518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UTSTANDING_FILING_DATE_1"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WEEK" hidden="1">"c1823"</definedName>
    <definedName name="IQ_PERCENT_CHANGE_EST_FFO_WEEK_CIQ" hidden="1">"c3795"</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FRANCHISE_STORES_1" hidden="1">"c2903"</definedName>
    <definedName name="IQ_RETAIL_ACQUIRED_OWNED_STORES" hidden="1">"c2903"</definedName>
    <definedName name="IQ_RETAIL_ACQUIRED_OWNED_STORES_1"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"c190"</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38971.6690509259</definedName>
    <definedName name="IQ_REVISION_DATE__1" hidden="1">38959.891087963</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XDIV_DATE_1"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RC10" hidden="1">"$C$11:$C$22"</definedName>
    <definedName name="IQRD10" hidden="1">"$D$11:$D$22"</definedName>
    <definedName name="IQRE10" hidden="1">"$E$11:$E$22"</definedName>
    <definedName name="IQRI103" hidden="1">"$J$103:$N$103"</definedName>
    <definedName name="IQRI104" hidden="1">"$J$104:$N$104"</definedName>
    <definedName name="IQRI105" hidden="1">"$J$105:$N$105"</definedName>
    <definedName name="IQRI106" hidden="1">"$J$106:$N$106"</definedName>
    <definedName name="IQRI107" hidden="1">"$J$107:$N$107"</definedName>
    <definedName name="IQRI108" hidden="1">"$J$108:$N$108"</definedName>
    <definedName name="IQRI109" hidden="1">"$J$109:$N$109"</definedName>
    <definedName name="IQRI110" hidden="1">"$J$110:$N$110"</definedName>
    <definedName name="IQRI111" hidden="1">"$J$111:$N$111"</definedName>
    <definedName name="IQRK10" hidden="1">"$K$11:$K$17"</definedName>
    <definedName name="IQRK100" hidden="1">"$K$101:$K$111"</definedName>
    <definedName name="IQRK150" hidden="1">"$K$151:$K$156"</definedName>
    <definedName name="IQRK200" hidden="1">"$K$201:$K$209"</definedName>
    <definedName name="IQRK50" hidden="1">"$K$51:$K$60"</definedName>
    <definedName name="IQRL10" hidden="1">"$L$11:$L$17"</definedName>
    <definedName name="IQRL100" hidden="1">"$L$101:$L$111"</definedName>
    <definedName name="IQRL150" hidden="1">"$L$151:$L$156"</definedName>
    <definedName name="IQRL200" hidden="1">"$L$201:$L$209"</definedName>
    <definedName name="IQRL50" hidden="1">"$L$51:$L$60"</definedName>
    <definedName name="IQRM10" hidden="1">"$M$11:$M$17"</definedName>
    <definedName name="IQRM100" hidden="1">"$M$101:$M$111"</definedName>
    <definedName name="IQRM150" hidden="1">"$M$151:$M$156"</definedName>
    <definedName name="IQRM200" hidden="1">"$M$201:$M$209"</definedName>
    <definedName name="IQRM50" hidden="1">"$M$51:$M$60"</definedName>
    <definedName name="IQRO103" hidden="1">"$P$103:$T$103"</definedName>
    <definedName name="IQRO104" hidden="1">"$P$104:$T$104"</definedName>
    <definedName name="IQRO105" hidden="1">"$P$105:$T$105"</definedName>
    <definedName name="IQRO106" hidden="1">"$P$106:$T$106"</definedName>
    <definedName name="IQRO107" hidden="1">"$P$107:$T$107"</definedName>
    <definedName name="IQRO108" hidden="1">"$P$108:$T$108"</definedName>
    <definedName name="IQRO109" hidden="1">"$P$109:$T$109"</definedName>
    <definedName name="IQRO110" hidden="1">"$P$110:$T$110"</definedName>
    <definedName name="IQRO111" hidden="1">"$P$111:$T$111"</definedName>
    <definedName name="IQRP37" hidden="1">"$P$38:$P$60"</definedName>
    <definedName name="IQRR11" hidden="1">"$R$12:$R$13"</definedName>
    <definedName name="IQRS11" hidden="1">"$S$12:$S$13"</definedName>
    <definedName name="IQSDetailedCompsA5" hidden="1">"$A$6:$A$232"</definedName>
    <definedName name="j" hidden="1">{"EVA",#N/A,FALSE,"EVA";"WACC",#N/A,FALSE,"WACC"}</definedName>
    <definedName name="joe" hidden="1">{"DCF1",#N/A,FALSE,"SIERRA DCF";"MATRIX1",#N/A,FALSE,"SIERRA DCF"}</definedName>
    <definedName name="kjhh" hidden="1">{"cap_structure",#N/A,FALSE,"Graph-Mkt Cap";"price",#N/A,FALSE,"Graph-Price";"ebit",#N/A,FALSE,"Graph-EBITDA";"ebitda",#N/A,FALSE,"Graph-EBITDA"}</definedName>
    <definedName name="ks" hidden="1">{#N/A,#N/A,FALSE,"Aging Summary";#N/A,#N/A,FALSE,"Ratio Analysis";#N/A,#N/A,FALSE,"Test 120 Day Accts";#N/A,#N/A,FALSE,"Tickmarks"}</definedName>
    <definedName name="Last_FX">#REF!</definedName>
    <definedName name="limcount" hidden="1">1</definedName>
    <definedName name="List_BO_Cny_Names">#REF!</definedName>
    <definedName name="List_BO_Fund_Name">#REF!</definedName>
    <definedName name="List_Companies_Excl_All">#REF!</definedName>
    <definedName name="List_Funds">#REF!</definedName>
    <definedName name="List_Funds_Excl_All">#REF!</definedName>
    <definedName name="List_Geo_Zone">#REF!</definedName>
    <definedName name="List_YE_Calc">#REF!</definedName>
    <definedName name="ListOffset" hidden="1">1</definedName>
    <definedName name="m">#REF!</definedName>
    <definedName name="M_PlaceofPath" hidden="1">"F:\MREGAN\win\EXL\CO\HVAC\WLV\WLV_vdf.xls"</definedName>
    <definedName name="Manager">#REF!</definedName>
    <definedName name="Mandate">#REF!</definedName>
    <definedName name="mar">#REF!</definedName>
    <definedName name="Model1">#REF!</definedName>
    <definedName name="Model2">#REF!</definedName>
    <definedName name="Model3">#REF!</definedName>
    <definedName name="myst">#REF!</definedName>
    <definedName name="NAMES">#REF!</definedName>
    <definedName name="nhjythh" hidden="1">{"DCF","UPSIDE CASE",FALSE,"Sheet1";"DCF","BASE CASE",FALSE,"Sheet1";"DCF","DOWNSIDE CASE",FALSE,"Sheet1"}</definedName>
    <definedName name="o">#REF!</definedName>
    <definedName name="Page1">#REF!</definedName>
    <definedName name="page1a">#REF!</definedName>
    <definedName name="Page2">#REF!</definedName>
    <definedName name="Page3">#REF!</definedName>
    <definedName name="Page4">#REF!</definedName>
    <definedName name="Page4a">#REF!</definedName>
    <definedName name="Page5">#REF!</definedName>
    <definedName name="Page5a">#REF!</definedName>
    <definedName name="PageS1">#REF!</definedName>
    <definedName name="PageS2">#REF!</definedName>
    <definedName name="PageS3">#REF!</definedName>
    <definedName name="Panel">#REF!</definedName>
    <definedName name="Perf_Qtr">#REF!</definedName>
    <definedName name="PerfCurrency">#REF!</definedName>
    <definedName name="pg1A">#REF!</definedName>
    <definedName name="Pg4a">#REF!</definedName>
    <definedName name="previousye">#REF!</definedName>
    <definedName name="previousyeex">#REF!</definedName>
    <definedName name="PRG1A">#REF!</definedName>
    <definedName name="PRG2A">#REF!</definedName>
    <definedName name="PRG3A">#REF!</definedName>
    <definedName name="PRG4A">#REF!</definedName>
    <definedName name="Print_Area_MI">#REF!</definedName>
    <definedName name="QrtEnd">#REF!</definedName>
    <definedName name="qsd" hidden="1">{"cap_structure",#N/A,FALSE,"Graph-Mkt Cap";"price",#N/A,FALSE,"Graph-Price";"ebit",#N/A,FALSE,"Graph-EBITDA";"ebitda",#N/A,FALSE,"Graph-EBITDA"}</definedName>
    <definedName name="qu">#REF!</definedName>
    <definedName name="Rate">#REF!</definedName>
    <definedName name="redo" hidden="1">{#N/A,#N/A,FALSE,"ACQ_GRAPHS";#N/A,#N/A,FALSE,"T_1 GRAPHS";#N/A,#N/A,FALSE,"T_2 GRAPHS";#N/A,#N/A,FALSE,"COMB_GRAPHS"}</definedName>
    <definedName name="refe">#REF!</definedName>
    <definedName name="Region">#REF!</definedName>
    <definedName name="RevenueAllocations2">IF(#REF!="",#REF!:OFFSET(#REF!,COUNT(#REF!)-1,0),#REF!:OFFSET(#REF!,COUNT(#REF!)-1,0))</definedName>
    <definedName name="RevenueAllocations3">IF(#REF!="",#REF!:OFFSET(#REF!,COUNT(#REF!)-1,0),#REF!:OFFSET(#REF!,COUNT(#REF!)-1,0))</definedName>
    <definedName name="RevenueAllocations4">IF(#REF!="",#REF!:OFFSET(#REF!,COUNT(#REF!)-1,0),#REF!:OFFSET(#REF!,COUNT(#REF!)-1,0))</definedName>
    <definedName name="RevenueAllocations4US">IF(#REF!="",#REF!:OFFSET(#REF!,COUNT(#REF!)-1,0),#REF!:OFFSET(#REF!,COUNT(#REF!)-1,0))</definedName>
    <definedName name="RevenueAllocations5">IF(#REF!="",#REF!:OFFSET(#REF!,COUNT(#REF!)-1,0),#REF!:OFFSET(#REF!,COUNT(#REF!)-1,0))</definedName>
    <definedName name="RevenueAllocationSplit2">IF(#REF!="",#REF!:OFFSET(#REF!,COUNT(#REF!)-1,0),#REF!:OFFSET(#REF!,COUNT(#REF!)-1,0))</definedName>
    <definedName name="RevenueAllocationSplit3">IF(#REF!="",#REF!:OFFSET(#REF!,COUNT(#REF!)-1,0),#REF!:OFFSET(#REF!,COUNT(#REF!)-1,0))</definedName>
    <definedName name="RevenueAllocationSplit4">IF(#REF!="",#REF!:OFFSET(#REF!,COUNT(#REF!)-1,0),#REF!:OFFSET(#REF!,COUNT(#REF!)-1,0))</definedName>
    <definedName name="RevenueAllocationSplit4US">IF(#REF!="",#REF!:OFFSET(#REF!,COUNT(#REF!)-1,0),#REF!:OFFSET(#REF!,COUNT(#REF!)-1,0))</definedName>
    <definedName name="RevenueAllocationSplit5">IF(#REF!="",#REF!:OFFSET(#REF!,COUNT(#REF!)-1,0),#REF!:OFFSET(#REF!,COUNT(#REF!)-1,0))</definedName>
    <definedName name="rwgtrytyyte" hidden="1">{#N/A,#N/A,FALSE,"Aging Summary";#N/A,#N/A,FALSE,"Ratio Analysis";#N/A,#N/A,FALSE,"Test 120 Day Accts";#N/A,#N/A,FALSE,"Tickmarks"}</definedName>
    <definedName name="sadd" hidden="1">{"DCF","UPSIDE CASE",FALSE,"Sheet1";"DCF","BASE CASE",FALSE,"Sheet1";"DCF","DOWNSIDE CASE",FALSE,"Sheet1"}</definedName>
    <definedName name="SAFoF">#REF!</definedName>
    <definedName name="sdasd" hidden="1">{"EVA",#N/A,FALSE,"EVA";"WACC",#N/A,FALSE,"WACC"}</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ectors2">IF(#REF!="",#REF!:OFFSET(#REF!,COUNT(#REF!)-1,0),#REF!:OFFSET(#REF!,COUNT(#REF!)-1,0))</definedName>
    <definedName name="Sectors3">IF(#REF!="",#REF!:OFFSET(#REF!,COUNT(#REF!)-1,0),#REF!:OFFSET(#REF!,COUNT(#REF!)-1,0))</definedName>
    <definedName name="Sectors4">IF(#REF!="",#REF!:OFFSET(#REF!,COUNT(#REF!)-1,0),#REF!:OFFSET(#REF!,COUNT(#REF!)-1,0))</definedName>
    <definedName name="Sectors4US">IF(#REF!="",#REF!:OFFSET(#REF!,COUNT(#REF!)-1,0),#REF!:OFFSET(#REF!,COUNT(#REF!)-1,0))</definedName>
    <definedName name="Sectors5">IF(#REF!="",#REF!:OFFSET(#REF!,COUNT(#REF!)-1,0),#REF!:OFFSET(#REF!,COUNT(#REF!)-1,0))</definedName>
    <definedName name="SectorSplit2">IF(#REF!="",#REF!:OFFSET(#REF!,COUNT(#REF!)-1,0),#REF!:OFFSET(#REF!,COUNT(#REF!)-1,0))</definedName>
    <definedName name="SectorSplit3">IF(#REF!="",#REF!:OFFSET(#REF!,COUNT(#REF!)-1,0),#REF!:OFFSET(#REF!,COUNT(#REF!)-1,0))</definedName>
    <definedName name="SectorSplit4">IF(#REF!="",#REF!:OFFSET(#REF!,COUNT(#REF!)-1,0),#REF!:OFFSET(#REF!,COUNT(#REF!)-1,0))</definedName>
    <definedName name="SectorSplit4US">IF(#REF!="",#REF!:OFFSET(#REF!,COUNT(#REF!)-1,0),#REF!:OFFSET(#REF!,COUNT(#REF!)-1,0))</definedName>
    <definedName name="SectorSplit5">IF(#REF!="",#REF!:OFFSET(#REF!,COUNT(#REF!)-1,0),#REF!:OFFSET(#REF!,COUNT(#REF!)-1,0))</definedName>
    <definedName name="segfsdvgfsd" hidden="1">{"page1",#N/A,FALSE,"BHCOMPC5";"page2",#N/A,FALSE,"BHCOMPC5";"page3",#N/A,FALSE,"BHCOMPC5";"page4",#N/A,FALSE,"BHCOMPC5"}</definedName>
    <definedName name="sencount" hidden="1">1</definedName>
    <definedName name="Set">" "</definedName>
    <definedName name="sfads" hidden="1">{"EVA",#N/A,FALSE,"EVA";"WACC",#N/A,FALSE,"WACC"}</definedName>
    <definedName name="sgag" hidden="1">{"page1",#N/A,FALSE,"BHCOMPC5";"page2",#N/A,FALSE,"BHCOMPC5";"page3",#N/A,FALSE,"BHCOMPC5";"page4",#N/A,FALSE,"BHCOMPC5"}</definedName>
    <definedName name="SizeByStrat">#REF!</definedName>
    <definedName name="skr">#REF!</definedName>
    <definedName name="solver_adj" localSheetId="0" hidden="1">#REF!</definedName>
    <definedName name="solver_adj" hidden="1">#REF!</definedName>
    <definedName name="solver_lhs1" localSheetId="0" hidden="1">#REF!</definedName>
    <definedName name="solver_lhs1" hidden="1">#REF!</definedName>
    <definedName name="solver_lin" hidden="1">0</definedName>
    <definedName name="solver_num" hidden="1">1</definedName>
    <definedName name="solver_opt" localSheetId="0" hidden="1">#REF!</definedName>
    <definedName name="solver_opt" hidden="1">#REF!</definedName>
    <definedName name="solver_rel1" hidden="1">1</definedName>
    <definedName name="solver_rhs1" hidden="1">0.15</definedName>
    <definedName name="solver_tmp" hidden="1">0.15</definedName>
    <definedName name="solver_typ" hidden="1">3</definedName>
    <definedName name="solver_val" hidden="1">0.25</definedName>
    <definedName name="SPWS_WBID">"D63FBBD3-B566-43DD-BBAB-D4E01C5A7D5C"</definedName>
    <definedName name="Strategies">#REF!</definedName>
    <definedName name="SubAd1">"Text Box 5"</definedName>
    <definedName name="Summarypage">#REF!</definedName>
    <definedName name="t" hidden="1">{"DCF","UPSIDE CASE",FALSE,"Sheet1";"DCF","BASE CASE",FALSE,"Sheet1";"DCF","DOWNSIDE CASE",FALSE,"Sheet1"}</definedName>
    <definedName name="table4">#REF!</definedName>
    <definedName name="TablePeriod">#REF!</definedName>
    <definedName name="TBL_C">#REF!</definedName>
    <definedName name="TBL_CF">#REF!</definedName>
    <definedName name="TBL_INV">#REF!</definedName>
    <definedName name="TBL_KEY">#REF!</definedName>
    <definedName name="TBL_PARAMS">#REF!</definedName>
    <definedName name="TBLH_C">#REF!</definedName>
    <definedName name="TBLH_CF">#REF!</definedName>
    <definedName name="TBLH_INV">#REF!</definedName>
    <definedName name="TBLH_KEY">#REF!</definedName>
    <definedName name="TBLH_PARAMS">#REF!</definedName>
    <definedName name="Test">#REF!</definedName>
    <definedName name="test_1" hidden="1">{#N/A,#N/A,TRUE,"Proj";#N/A,#N/A,TRUE,"Crew";#N/A,#N/A,TRUE,"Month"}</definedName>
    <definedName name="test1" hidden="1">{#N/A,#N/A,TRUE,"Proj";#N/A,#N/A,TRUE,"Crew";#N/A,#N/A,TRUE,"Month"}</definedName>
    <definedName name="test2" hidden="1">{#N/A,#N/A,TRUE,"Proj";#N/A,#N/A,TRUE,"Crew";#N/A,#N/A,TRUE,"Month"}</definedName>
    <definedName name="TextRefCopyRangeCount" hidden="1">4</definedName>
    <definedName name="three" localSheetId="0" hidden="1">#REF!,#REF!,#REF!,#REF!,#REF!,#REF!,#REF!,#REF!,#REF!,#REF!,#REF!,#REF!,#REF!</definedName>
    <definedName name="three" hidden="1">#REF!,#REF!,#REF!,#REF!,#REF!,#REF!,#REF!,#REF!,#REF!,#REF!,#REF!,#REF!,#REF!</definedName>
    <definedName name="Ticker">" "</definedName>
    <definedName name="two" localSheetId="0" hidden="1">#REF!</definedName>
    <definedName name="two" hidden="1">#REF!</definedName>
    <definedName name="Valo">#REF!</definedName>
    <definedName name="ValoDates">#REF!</definedName>
    <definedName name="vv" hidden="1">{"adj95mult",#N/A,FALSE,"COMPCO";"adj95est",#N/A,FALSE,"COMPCO"}</definedName>
    <definedName name="w" hidden="1">{"DCF1",#N/A,FALSE,"SIERRA DCF";"MATRIX1",#N/A,FALSE,"SIERRA DCF"}</definedName>
    <definedName name="WACC3" hidden="1">{"adj95mult",#N/A,FALSE,"COMPCO";"adj95est",#N/A,FALSE,"COMPCO"}</definedName>
    <definedName name="what" hidden="1">{#N/A,#N/A,FALSE,"3mos";#N/A,#N/A,FALSE,"dedicated"}</definedName>
    <definedName name="wrn" hidden="1">{"glc1",#N/A,FALSE,"GLC";"glc2",#N/A,FALSE,"GLC";"glc3",#N/A,FALSE,"GLC";"glc4",#N/A,FALSE,"GLC";"glc5",#N/A,FALSE,"GLC"}</definedName>
    <definedName name="wrn.Acquisition_matrix." hidden="1">{"Acq_matrix",#N/A,FALSE,"Acquisition Matrix"}</definedName>
    <definedName name="wrn.adj95." hidden="1">{"adj95mult",#N/A,FALSE,"COMPCO";"adj95est",#N/A,FALSE,"COMPCO"}</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hidden="1">{"Matrix",#N/A,FALSE,"ACQMTRX";"Fees",#N/A,FALSE,"ACQMTRX"}</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sheets." hidden="1">{#N/A,#N/A,FALSE,"3mos";#N/A,#N/A,FALSE,"dedicated"}</definedName>
    <definedName name="wrn.AQUIROR._.DCF." hidden="1">{"AQUIRORDCF",#N/A,FALSE,"Merger consequences";"Acquirorassns",#N/A,FALSE,"Merger consequences"}</definedName>
    <definedName name="wrn.backup." hidden="1">{"background",#N/A,FALSE,"CS First Boston Merger Model";"inputs",#N/A,FALSE,"CS First Boston Merger Model"}</definedName>
    <definedName name="wrn.Basic._.Report." hidden="1">{#N/A,#N/A,FALSE,"New Depr Sch-150% DB";#N/A,#N/A,FALSE,"Cash Flows RLP";#N/A,#N/A,FALSE,"IRR";#N/A,#N/A,FALSE,"Proforma IS";#N/A,#N/A,FALSE,"Assumptions"}</definedName>
    <definedName name="wrn.basicfin." hidden="1">{"assets",#N/A,FALSE,"historicBS";"liab",#N/A,FALSE,"historicBS";"is",#N/A,FALSE,"historicIS";"ratios",#N/A,FALSE,"ratios"}</definedName>
    <definedName name="wrn.Bogdanka." hidden="1">{#N/A,#N/A,FALSE,"Assum";#N/A,#N/A,FALSE,"WorkCap";#N/A,#N/A,FALSE,"Capex";#N/A,#N/A,FALSE,"P&amp;L";#N/A,#N/A,FALSE,"BS";#N/A,#N/A,FALSE,"CF";#N/A,#N/A,FALSE,"Value"}</definedName>
    <definedName name="wrn.BROWAR_KRAKOW." hidden="1">{#N/A,#N/A,FALSE,"TOC";#N/A,#N/A,FALSE,"summ";#N/A,#N/A,FALSE,"Macro";#N/A,#N/A,FALSE,"MarketAnalysis";#N/A,#N/A,FALSE,"DCF";#N/A,#N/A,FALSE,"assump";#N/A,#N/A,FALSE,"P&amp;L";#N/A,#N/A,FALSE,"BS";#N/A,#N/A,FALSE,"CF";#N/A,#N/A,FALSE,"ratios";#N/A,#N/A,FALSE,"costs";#N/A,#N/A,FALSE,"Fixed assets";#N/A,#N/A,FALSE,"CAPM";#N/A,#N/A,FALSE,"R(f)POL";#N/A,#N/A,FALSE,"M&amp;E summary";#N/A,#N/A,FALSE,"M&amp;E detail"}</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BINED." hidden="1">{#N/A,#N/A,FALSE,"INPUTS";#N/A,#N/A,FALSE,"PROFORMA BSHEET";#N/A,#N/A,FALSE,"COMBINED";#N/A,#N/A,FALSE,"HIGH YIELD";#N/A,#N/A,FALSE,"COMB_GRAPHS"}</definedName>
    <definedName name="wrn.compco." hidden="1">{"mult96",#N/A,FALSE,"PETCOMP";"est96",#N/A,FALSE,"PETCOMP";"mult95",#N/A,FALSE,"PETCOMP";"est95",#N/A,FALSE,"PETCOMP";"multltm",#N/A,FALSE,"PETCOMP";"resultltm",#N/A,FALSE,"PETCOMP"}</definedName>
    <definedName name="wrn.compco2" hidden="1">{"page1",#N/A,FALSE,"BHCOMPC5";"page2",#N/A,FALSE,"BHCOMPC5";"page3",#N/A,FALSE,"BHCOMPC5";"page4",#N/A,FALSE,"BHCOMPC5"}</definedName>
    <definedName name="wrn.Complete._.Report." hidden="1">{#N/A,#N/A,FALSE,"Assumptions";#N/A,#N/A,FALSE,"Proforma IS";#N/A,#N/A,FALSE,"Cash Flows RLP";#N/A,#N/A,FALSE,"IRR";#N/A,#N/A,FALSE,"New Depr Sch-150% DB";#N/A,#N/A,FALSE,"Comments"}</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DCF." hidden="1">{"DCF1",#N/A,FALSE,"SIERRA DCF";"MATRIX1",#N/A,FALSE,"SIERRA DCF"}</definedName>
    <definedName name="wrn.DCF_Terminal_Value_qchm." hidden="1">{"qchm_dcf",#N/A,FALSE,"QCHMDCF2";"qchm_terminal",#N/A,FALSE,"QCHMDCF2"}</definedName>
    <definedName name="wrn.dcf2" hidden="1">{"DCF1",#N/A,FALSE,"SIERRA DCF";"MATRIX1",#N/A,FALSE,"SIERRA DCF"}</definedName>
    <definedName name="wrn.DHL._.Minor." hidden="1">{#N/A,#N/A,FALSE,"TOC";#N/A,#N/A,FALSE,"Summary";#N/A,#N/A,FALSE,"DCF";#N/A,#N/A,FALSE,"FS";#N/A,#N/A,FALSE,"Macro";#N/A,#N/A,FALSE,"Stats";#N/A,#N/A,FALSE,"GLC";#N/A,#N/A,FALSE,"GLCdescr";#N/A,#N/A,FALSE,"GLCmult";#N/A,#N/A,FALSE,"GLCratios";#N/A,#N/A,FALSE,"GLCcommon";#N/A,#N/A,FALSE,"Sales";#N/A,#N/A,FALSE,"Oper costs";#N/A,#N/A,FALSE,"Other oper";#N/A,#N/A,FALSE,"Finan";#N/A,#N/A,FALSE,"WC";#N/A,#N/A,FALSE,"Tax";#N/A,#N/A,FALSE,"WACC";#N/A,#N/A,FALSE,"Rf";#N/A,#N/A,FALSE,"ERP";#N/A,#N/A,FALSE,"B";#N/A,#N/A,FALSE,"Size";#N/A,#N/A,FALSE,"Ctrl";#N/A,#N/A,FALSE,"Mkt disc";#N/A,#N/A,FALSE,"GLCdata"}</definedName>
    <definedName name="wrn.Discuss." hidden="1">{#N/A,#N/A,FALSE,"TOC";#N/A,#N/A,FALSE,"Macro Assumptions";#N/A,#N/A,FALSE,"Bank Assumptions";#N/A,#N/A,FALSE,"BS";#N/A,#N/A,FALSE,"P&amp;L";#N/A,#N/A,FALSE,"Capital";#N/A,#N/A,FALSE,"Ratios";#N/A,#N/A,FALSE,"Loan Quality";#N/A,#N/A,FALSE,"Avg_Assets";#N/A,#N/A,FALSE,"Fixed assets";#N/A,#N/A,FALSE,"Trading Income";#N/A,#N/A,FALSE,"Employees";#N/A,#N/A,FALSE,"Other costs";#N/A,#N/A,FALSE,"Other income";#N/A,#N/A,FALSE,"FCF"}</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Economic._.Value._.Added._.Analysis." hidden="1">{"EVA",#N/A,FALSE,"EVA";"WACC",#N/A,FALSE,"WACC"}</definedName>
    <definedName name="wrn.enyém." hidden="1">{#N/A,#N/A,FALSE,"content";#N/A,#N/A,FALSE,"summary";#N/A,#N/A,FALSE,"historicBS";#N/A,#N/A,FALSE,"historicIS";#N/A,#N/A,FALSE,"historicCF";#N/A,#N/A,FALSE,"ratios";#N/A,#N/A,FALSE,"ForecastIS";#N/A,#N/A,FALSE,"DCF-WACC";#N/A,#N/A,FALSE,"DCF-CAPM";#N/A,#N/A,FALSE,"debt";#N/A,#N/A,FALSE,"depreciation";#N/A,#N/A,FALSE,"wacc";"view_a",#N/A,FALSE,"GLC";"view_b",#N/A,FALSE,"GLC";"view_c",#N/A,FALSE,"GLC";"view_d",#N/A,FALSE,"GLC";"view_e",#N/A,FALSE,"GLC";#N/A,#N/A,FALSE,"riskfree";#N/A,#N/A,FALSE,"glcapproach";#N/A,#N/A,FALSE,"control";#N/A,#N/A,FALSE,"marketibility";#N/A,#N/A,FALSE,"rev";#N/A,#N/A,FALSE,"customers";#N/A,#N/A,FALSE,"suppliers";#N/A,#N/A,FALSE,"own.str.";"view_a",#N/A,FALSE,"season";"view_b",#N/A,FALSE,"season"}</definedName>
    <definedName name="wrn.erstecpmrt." hidden="1">{#N/A,#N/A,FALSE,"TOC";#N/A,#N/A,FALSE,"CPM";#N/A,#N/A,FALSE,"Growth";#N/A,#N/A,FALSE,"TRANS_con";#N/A,#N/A,FALSE,"TRANS_min";#N/A,#N/A,FALSE,"control";#N/A,#N/A,FALSE,"ecRat1";#N/A,#N/A,FALSE,"ecBS";#N/A,#N/A,FALSE,"ecCBS";#N/A,#N/A,FALSE,"ecIS";#N/A,#N/A,FALSE,"ecCIS";#N/A,#N/A,FALSE,"WecRat1";#N/A,#N/A,FALSE,"WecBS";#N/A,#N/A,FALSE,"WecCBS";#N/A,#N/A,FALSE,"WecIS";#N/A,#N/A,FALSE,"WecCIS"}</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s." hidden="1">{#N/A,#N/A,FALSE,"Summary";#N/A,#N/A,FALSE,"Process";#N/A,#N/A,FALSE,"Utility";#N/A,#N/A,FALSE,"Crude Tanks";#N/A,#N/A,FALSE,"Product"}</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ll." hidden="1">{"Comp1",#N/A,FALSE,"COMP";"Comp2",#N/A,FALSE,"COMP";"Comp3",#N/A,FALSE,"COMP";"Comp4",#N/A,FALSE,"COMP"}</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lc." hidden="1">{"glcbs",#N/A,FALSE,"GLCBS";"glccsbs",#N/A,FALSE,"GLCCSBS";"glcis",#N/A,FALSE,"GLCIS";"glccsis",#N/A,FALSE,"GLCCSIS";"glcrat1",#N/A,FALSE,"GLC-ratios1"}</definedName>
    <definedName name="wrn.glcpromonte." hidden="1">{"glc1",#N/A,FALSE,"GLC";"glc2",#N/A,FALSE,"GLC";"glc3",#N/A,FALSE,"GLC";"glc4",#N/A,FALSE,"GLC";"glc5",#N/A,FALSE,"GLC"}</definedName>
    <definedName name="wrn.GRAPHS." hidden="1">{#N/A,#N/A,FALSE,"ACQ_GRAPHS";#N/A,#N/A,FALSE,"T_1 GRAPHS";#N/A,#N/A,FALSE,"T_2 GRAPHS";#N/A,#N/A,FALSE,"COMB_GRAPHS"}</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L." hidden="1">{"HLTotRev",#N/A,FALSE,"HL";"HLProcRev",#N/A,FALSE,"HL";"HLProcPRHRTA",#N/A,FALSE,"HL";"HLProcMSNEWTot",#N/A,FALSE,"HL";"HLSalesStarts",#N/A,FALSE,"HL";"HLLoss",#N/A,FALSE,"HL";"HLSUYrend",#N/A,FALSE,"HL";"Clients",#N/A,FALSE,"HL";"InputSales",#N/A,FALSE,"HL"}</definedName>
    <definedName name="wrn.Kompania._.Piwowarska." hidden="1">{#N/A,#N/A,FALSE,"TOC";#N/A,#N/A,FALSE,"Summary";#N/A,#N/A,FALSE,"DCF";#N/A,#N/A,FALSE,"Stats";#N/A,#N/A,FALSE,"Trans";#N/A,#N/A,FALSE,"GLC Method";#N/A,#N/A,FALSE,"IndAnalysis";#N/A,#N/A,FALSE,"DCF_EVA";#N/A,#N/A,FALSE,"Sales";#N/A,#N/A,FALSE,"Costs";#N/A,#N/A,FALSE,"Labour";#N/A,#N/A,FALSE,"Capex";#N/A,#N/A,FALSE,"Amort";#N/A,#N/A,FALSE,"Other IncExp";#N/A,#N/A,FALSE,"WC";#N/A,#N/A,FALSE,"Finan";#N/A,#N/A,FALSE,"TaxPBT";#N/A,#N/A,FALSE,"TaxEBIT";#N/A,#N/A,FALSE,"WACC";#N/A,#N/A,FALSE,"R(f)";#N/A,#N/A,FALSE,"Beta";#N/A,#N/A,FALSE,"Size";#N/A,#N/A,FALSE,"Marketability";#N/A,#N/A,FALSE,"Ctrl";#N/A,#N/A,FALSE,"Redundant"}</definedName>
    <definedName name="wrn.LZUB._.1." hidden="1">{#N/A,#N/A,FALSE,"TOC";#N/A,#N/A,FALSE,"Summary";#N/A,#N/A,FALSE,"DCF";#N/A,#N/A,FALSE,"Trans Meth";#N/A,#N/A,FALSE,"GLC Method";#N/A,#N/A,FALSE,"AdjMult";#N/A,#N/A,FALSE,"Compar";#N/A,#N/A,FALSE,"Owners";#N/A,#N/A,FALSE,"Stats";#N/A,#N/A,FALSE,"FS";#N/A,#N/A,FALSE,"Secs";#N/A,#N/A,FALSE,"CAR";#N/A,#N/A,FALSE,"Ratios";#N/A,#N/A,FALSE,"TaxPBT";#N/A,#N/A,FALSE,"CAPM";#N/A,#N/A,FALSE,"R(f)";#N/A,#N/A,FALSE,"Beta";#N/A,#N/A,FALSE,"Size";#N/A,#N/A,FALSE,"Marketability";#N/A,#N/A,FALSE,"Ctrl";#N/A,#N/A,FALSE,"TRANS_con"}</definedName>
    <definedName name="wrn.MA." hidden="1">{"MATotrev",#N/A,FALSE,"MA";"MAProcRev",#N/A,FALSE,"MA";"MAProcPRHR",#N/A,FALSE,"MA";"MAProcTAMS",#N/A,FALSE,"MA";"MAProcNewTot",#N/A,FALSE,"MA";"MASalesStarts",#N/A,FALSE,"MA";"MALoss",#N/A,FALSE,"MA";"MASUYRend",#N/A,FALSE,"MA";"MAClientno",#N/A,FALSE,"MA";"MAinput",#N/A,FALSE,"MA";"MAClientno",#N/A,FALSE,"MA"}</definedName>
    <definedName name="wrn.NA." hidden="1">{"NATotRev",#N/A,FALSE,"NA";"NAProcRev",#N/A,FALSE,"NA";"NAProcPRHR",#N/A,FALSE,"NA";"NAProcTAMS",#N/A,FALSE,"NA";"NAProcNewTot",#N/A,FALSE,"NA";"NASalesStarts",#N/A,FALSE,"NA";"NALoss",#N/A,FALSE,"NA";"NASUYrend",#N/A,FALSE,"NA";"NAclients",#N/A,FALSE,"NA";"NAinput",#N/A,FALSE,"NA";"NAclients",#N/A,FALSE,"NA"}</definedName>
    <definedName name="wrn.newoutput" hidden="1">{"DCF","UPSIDE CASE",FALSE,"Sheet1";"DCF","BASE CASE",FALSE,"Sheet1";"DCF","DOWNSIDE CASE",FALSE,"Sheet1"}</definedName>
    <definedName name="wrn.OUTPUT." hidden="1">{"DCF","UPSIDE CASE",FALSE,"Sheet1";"DCF","BASE CASE",FALSE,"Sheet1";"DCF","DOWNSIDE CASE",FALSE,"Sheet1"}</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sales." hidden="1">{"sales",#N/A,FALSE,"Sales";"sales existing",#N/A,FALSE,"Sales";"sales rd1",#N/A,FALSE,"Sales";"sales rd2",#N/A,FALSE,"Sales"}</definedName>
    <definedName name="wrn.Season._.Model." hidden="1">{#N/A,#N/A,TRUE,"Proj";#N/A,#N/A,TRUE,"Crew";#N/A,#N/A,TRUE,"Month"}</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ynthèse1." hidden="1">{"synth",#N/A,FALSE,"RATIOS CONSO";"synth",#N/A,FALSE,"CA CONSO";"synth",#N/A,FALSE,"RO CONSO";"synth",#N/A,FALSE,"EBITDA CONSO";"synth",#N/A,FALSE,"CAPEX CONSO";"synth",#N/A,FALSE,"Disponible"}</definedName>
    <definedName name="wrn.synthèse2." hidden="1">{"synth",#N/A,TRUE,"Disponible";"synth",#N/A,TRUE,"CAPEX CONSO"}</definedName>
    <definedName name="wrn.TARGET._.DCF." hidden="1">{"targetdcf",#N/A,FALSE,"Merger consequences";"TARGETASSU",#N/A,FALSE,"Merger consequences";"TERMINAL VALUE",#N/A,FALSE,"Merger consequences"}</definedName>
    <definedName name="wrn.Textron." hidden="1">{#N/A,#N/A,FALSE,"IS";#N/A,#N/A,FALSE,"SG";#N/A,#N/A,FALSE,"FF";#N/A,#N/A,FALSE,"BS";#N/A,#N/A,FALSE,"DCF";#N/A,#N/A,FALSE,"EVA";#N/A,#N/A,FALSE,"Air";#N/A,#N/A,FALSE,"Car";#N/A,#N/A,FALSE,"Ind";#N/A,#N/A,FALSE,"Sys";#N/A,#N/A,FALSE,"Fin";#N/A,#N/A,FALSE,"Ces";#N/A,#N/A,FALSE,"Bell"}</definedName>
    <definedName name="wrn.three" hidden="1">{"EVA",#N/A,FALSE,"EVA";"WACC",#N/A,FALSE,"WACC"}</definedName>
    <definedName name="wrn.Totpgs."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U.S.._.Industries._.Inc.." hidden="1">{#N/A,#N/A,TRUE,"3QRpt";#N/A,#N/A,TRUE,"EST";#N/A,#N/A,TRUE,"HOUSE";#N/A,#N/A,TRUE,"REC";#N/A,#N/A,TRUE,"SHOE";#N/A,#N/A,TRUE,"BLD";#N/A,#N/A,TRUE,"IND";#N/A,#N/A,TRUE,"COMP";#N/A,#N/A,TRUE,"COMP2";#N/A,#N/A,TRUE,"KEEP";#N/A,#N/A,TRUE,"IntExp";#N/A,#N/A,TRUE,"Proceeds"}</definedName>
    <definedName name="wrn.Utrecht." hidden="1">{"UtrTotRev",#N/A,FALSE,"Utrecht";"UtrTotProc",#N/A,FALSE,"Utrecht";"UtrProcPRHR",#N/A,FALSE,"Utrecht";"UtrProcTAMS",#N/A,FALSE,"Utrecht";"UtrProcNewTot",#N/A,FALSE,"Utrecht";"UtrSalesStarts",#N/A,FALSE,"Utrecht";"UtrLoss",#N/A,FALSE,"Utrecht";"UtrSUYrEnd",#N/A,FALSE,"Utrecht";"Utrclients",#N/A,FALSE,"Utrecht";"Utrinput",#N/A,FALSE,"Utrecht"}</definedName>
    <definedName name="wrn.VALUATION." hidden="1">{#N/A,#N/A,FALSE,"Valuation Assumptions";#N/A,#N/A,FALSE,"Summary";#N/A,#N/A,FALSE,"DCF";#N/A,#N/A,FALSE,"Valuation";#N/A,#N/A,FALSE,"WACC";#N/A,#N/A,FALSE,"UBVH";#N/A,#N/A,FALSE,"Free Cash Flow"}</definedName>
    <definedName name="wrn.Wacc." hidden="1">{"Area1",#N/A,FALSE,"OREWACC";"Area2",#N/A,FALSE,"OREWACC"}</definedName>
    <definedName name="wrnb.print" hidden="1">{#N/A,#N/A,FALSE,"Model";#N/A,#N/A,FALSE,"Division"}</definedName>
    <definedName name="wtdavgeprint">#REF!</definedName>
    <definedName name="WtdAvgP1">#REF!</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REF_COLUMN_1" localSheetId="0" hidden="1">#REF!</definedName>
    <definedName name="XREF_COLUMN_1" hidden="1">#REF!</definedName>
    <definedName name="XREF_COLUMN_2" localSheetId="0" hidden="1">#REF!</definedName>
    <definedName name="XREF_COLUMN_2" hidden="1">#REF!</definedName>
    <definedName name="XREF_COLUMN_3" localSheetId="0" hidden="1">#REF!</definedName>
    <definedName name="XREF_COLUMN_3" hidden="1">#REF!</definedName>
    <definedName name="XREF_COLUMN_4" localSheetId="0" hidden="1">#REF!</definedName>
    <definedName name="XREF_COLUMN_4" hidden="1">#REF!</definedName>
    <definedName name="XRefActiveRow" localSheetId="0" hidden="1">#REF!</definedName>
    <definedName name="XRefActiveRow" hidden="1">#REF!</definedName>
    <definedName name="XRefColumnsCount" hidden="1">4</definedName>
    <definedName name="XRefCopy1Row" localSheetId="0" hidden="1">#REF!</definedName>
    <definedName name="XRefCopy1Row" hidden="1">#REF!</definedName>
    <definedName name="XRefCopy3" localSheetId="0" hidden="1">#REF!</definedName>
    <definedName name="XRefCopy3" hidden="1">#REF!</definedName>
    <definedName name="XRefCopy3Row" localSheetId="0" hidden="1">#REF!</definedName>
    <definedName name="XRefCopy3Row" hidden="1">#REF!</definedName>
    <definedName name="XRefCopy4" localSheetId="0" hidden="1">#REF!</definedName>
    <definedName name="XRefCopy4" hidden="1">#REF!</definedName>
    <definedName name="XRefCopy4Row" localSheetId="0" hidden="1">#REF!</definedName>
    <definedName name="XRefCopy4Row" hidden="1">#REF!</definedName>
    <definedName name="XRefCopy5" localSheetId="0" hidden="1">#REF!</definedName>
    <definedName name="XRefCopy5" hidden="1">#REF!</definedName>
    <definedName name="XRefCopy5Row" localSheetId="0" hidden="1">#REF!</definedName>
    <definedName name="XRefCopy5Row" hidden="1">#REF!</definedName>
    <definedName name="XRefCopy6Row" localSheetId="0" hidden="1">#REF!</definedName>
    <definedName name="XRefCopy6Row" hidden="1">#REF!</definedName>
    <definedName name="XRefCopy7" localSheetId="0" hidden="1">#REF!</definedName>
    <definedName name="XRefCopy7" hidden="1">#REF!</definedName>
    <definedName name="XRefCopy7Row" localSheetId="0" hidden="1">#REF!</definedName>
    <definedName name="XRefCopy7Row" hidden="1">#REF!</definedName>
    <definedName name="XRefCopy8" localSheetId="0" hidden="1">#REF!</definedName>
    <definedName name="XRefCopy8" hidden="1">#REF!</definedName>
    <definedName name="XRefCopy8Row" localSheetId="0" hidden="1">#REF!</definedName>
    <definedName name="XRefCopy8Row" hidden="1">#REF!</definedName>
    <definedName name="XRefCopyRangeCount" hidden="1">8</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RangeCount" hidden="1">2</definedName>
    <definedName name="xxx">#REF!</definedName>
    <definedName name="Year">#REF!</definedName>
    <definedName name="yen">#REF!</definedName>
    <definedName name="Yo" hidden="1">{#N/A,#N/A,FALSE,"3mos";#N/A,#N/A,FALSE,"dedicated"}</definedName>
    <definedName name="z" hidden="1">{"EVA",#N/A,FALSE,"EVA";"WACC",#N/A,FALSE,"WACC"}</definedName>
    <definedName name="zar">#REF!</definedName>
    <definedName name="zfzsf" hidden="1">{"page1",#N/A,FALSE,"BHCOMPC5";"page2",#N/A,FALSE,"BHCOMPC5";"page3",#N/A,FALSE,"BHCOMPC5";"page4",#N/A,FALSE,"BHCOMPC5"}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D45" i="3" l="1"/>
  <c r="G45" i="3" s="1"/>
  <c r="J44" i="3" l="1"/>
  <c r="L51" i="3" l="1" a="1"/>
  <c r="L51" i="3" s="1"/>
  <c r="L52" i="3" a="1"/>
  <c r="L52" i="3" s="1"/>
  <c r="L53" i="3" a="1"/>
  <c r="L53" i="3" s="1"/>
  <c r="L54" i="3" a="1"/>
  <c r="L54" i="3" s="1"/>
  <c r="L55" i="3" a="1"/>
  <c r="L55" i="3" s="1"/>
  <c r="L56" i="3" a="1"/>
  <c r="L56" i="3" s="1"/>
  <c r="L57" i="3" a="1"/>
  <c r="L57" i="3" s="1"/>
  <c r="L58" i="3" a="1"/>
  <c r="L58" i="3" s="1"/>
  <c r="L59" i="3" a="1"/>
  <c r="L59" i="3" s="1"/>
  <c r="L60" i="3" a="1"/>
  <c r="L60" i="3" s="1"/>
  <c r="L61" i="3" a="1"/>
  <c r="L61" i="3" s="1"/>
  <c r="L62" i="3" a="1"/>
  <c r="L62" i="3" s="1"/>
  <c r="L63" i="3" a="1"/>
  <c r="L63" i="3" s="1"/>
  <c r="L64" i="3" a="1"/>
  <c r="L64" i="3" s="1"/>
  <c r="L65" i="3" a="1"/>
  <c r="L65" i="3" s="1"/>
  <c r="L66" i="3" a="1"/>
  <c r="L66" i="3" s="1"/>
  <c r="AN105" i="3" l="1" a="1"/>
  <c r="AN105" i="3" s="1"/>
  <c r="AO105" i="3" a="1"/>
  <c r="AO105" i="3" s="1"/>
  <c r="AP105" i="3" a="1"/>
  <c r="AP105" i="3" s="1"/>
  <c r="AQ105" i="3" a="1"/>
  <c r="AQ105" i="3" s="1"/>
  <c r="AR105" i="3" a="1"/>
  <c r="AR105" i="3" s="1"/>
  <c r="AS105" i="3" a="1"/>
  <c r="AS105" i="3" s="1"/>
  <c r="AT105" i="3" a="1"/>
  <c r="AT105" i="3" s="1"/>
  <c r="AU105" i="3" a="1"/>
  <c r="AU105" i="3" s="1"/>
  <c r="AN106" i="3" a="1"/>
  <c r="AN106" i="3" s="1"/>
  <c r="AO106" i="3" a="1"/>
  <c r="AO106" i="3" s="1"/>
  <c r="AP106" i="3" a="1"/>
  <c r="AP106" i="3" s="1"/>
  <c r="AQ106" i="3" a="1"/>
  <c r="AQ106" i="3" s="1"/>
  <c r="AR106" i="3" a="1"/>
  <c r="AR106" i="3" s="1"/>
  <c r="AS106" i="3" a="1"/>
  <c r="AS106" i="3" s="1"/>
  <c r="AT106" i="3" a="1"/>
  <c r="AT106" i="3" s="1"/>
  <c r="AU106" i="3" a="1"/>
  <c r="AU106" i="3" s="1"/>
  <c r="AN107" i="3" a="1"/>
  <c r="AN107" i="3" s="1"/>
  <c r="AO107" i="3" a="1"/>
  <c r="AO107" i="3" s="1"/>
  <c r="AP107" i="3" a="1"/>
  <c r="AP107" i="3" s="1"/>
  <c r="AQ107" i="3" a="1"/>
  <c r="AQ107" i="3" s="1"/>
  <c r="AR107" i="3" a="1"/>
  <c r="AR107" i="3" s="1"/>
  <c r="AS107" i="3" a="1"/>
  <c r="AS107" i="3" s="1"/>
  <c r="AT107" i="3" a="1"/>
  <c r="AT107" i="3" s="1"/>
  <c r="AU107" i="3" a="1"/>
  <c r="AU107" i="3" s="1"/>
  <c r="AN108" i="3" a="1"/>
  <c r="AN108" i="3" s="1"/>
  <c r="AO108" i="3" a="1"/>
  <c r="AO108" i="3" s="1"/>
  <c r="AP108" i="3" a="1"/>
  <c r="AP108" i="3" s="1"/>
  <c r="AQ108" i="3" a="1"/>
  <c r="AQ108" i="3" s="1"/>
  <c r="AR108" i="3" a="1"/>
  <c r="AR108" i="3" s="1"/>
  <c r="AS108" i="3" a="1"/>
  <c r="AS108" i="3" s="1"/>
  <c r="AT108" i="3" a="1"/>
  <c r="AT108" i="3" s="1"/>
  <c r="AU108" i="3" a="1"/>
  <c r="AU108" i="3" s="1"/>
  <c r="AN109" i="3" a="1"/>
  <c r="AN109" i="3" s="1"/>
  <c r="AO109" i="3" a="1"/>
  <c r="AO109" i="3" s="1"/>
  <c r="AP109" i="3" a="1"/>
  <c r="AP109" i="3" s="1"/>
  <c r="AQ109" i="3" a="1"/>
  <c r="AQ109" i="3" s="1"/>
  <c r="AR109" i="3" a="1"/>
  <c r="AR109" i="3" s="1"/>
  <c r="AS109" i="3" a="1"/>
  <c r="AS109" i="3" s="1"/>
  <c r="AT109" i="3" a="1"/>
  <c r="AT109" i="3" s="1"/>
  <c r="AU109" i="3" a="1"/>
  <c r="AU109" i="3" s="1"/>
  <c r="AN110" i="3" a="1"/>
  <c r="AN110" i="3" s="1"/>
  <c r="AO110" i="3" a="1"/>
  <c r="AO110" i="3" s="1"/>
  <c r="AP110" i="3" a="1"/>
  <c r="AP110" i="3" s="1"/>
  <c r="AQ110" i="3" a="1"/>
  <c r="AQ110" i="3" s="1"/>
  <c r="AR110" i="3" a="1"/>
  <c r="AR110" i="3" s="1"/>
  <c r="AS110" i="3" a="1"/>
  <c r="AS110" i="3" s="1"/>
  <c r="AT110" i="3" a="1"/>
  <c r="AT110" i="3" s="1"/>
  <c r="AU110" i="3" a="1"/>
  <c r="AU110" i="3" s="1"/>
  <c r="AN111" i="3" a="1"/>
  <c r="AN111" i="3" s="1"/>
  <c r="AO111" i="3" a="1"/>
  <c r="AO111" i="3" s="1"/>
  <c r="AP111" i="3" a="1"/>
  <c r="AP111" i="3" s="1"/>
  <c r="AQ111" i="3" a="1"/>
  <c r="AQ111" i="3" s="1"/>
  <c r="AR111" i="3" a="1"/>
  <c r="AR111" i="3" s="1"/>
  <c r="AS111" i="3" a="1"/>
  <c r="AS111" i="3" s="1"/>
  <c r="AT111" i="3" a="1"/>
  <c r="AT111" i="3" s="1"/>
  <c r="AU111" i="3" a="1"/>
  <c r="AU111" i="3" s="1"/>
  <c r="AN112" i="3" a="1"/>
  <c r="AN112" i="3" s="1"/>
  <c r="AO112" i="3" a="1"/>
  <c r="AO112" i="3" s="1"/>
  <c r="AP112" i="3" a="1"/>
  <c r="AP112" i="3" s="1"/>
  <c r="AQ112" i="3" a="1"/>
  <c r="AQ112" i="3" s="1"/>
  <c r="AR112" i="3" a="1"/>
  <c r="AR112" i="3" s="1"/>
  <c r="AS112" i="3" a="1"/>
  <c r="AS112" i="3" s="1"/>
  <c r="AT112" i="3" a="1"/>
  <c r="AT112" i="3" s="1"/>
  <c r="AU112" i="3" a="1"/>
  <c r="AU112" i="3" s="1"/>
  <c r="AN113" i="3" a="1"/>
  <c r="AN113" i="3" s="1"/>
  <c r="AO113" i="3" a="1"/>
  <c r="AO113" i="3" s="1"/>
  <c r="AP113" i="3" a="1"/>
  <c r="AP113" i="3" s="1"/>
  <c r="AQ113" i="3" a="1"/>
  <c r="AQ113" i="3" s="1"/>
  <c r="AR113" i="3" a="1"/>
  <c r="AR113" i="3" s="1"/>
  <c r="AS113" i="3" a="1"/>
  <c r="AS113" i="3" s="1"/>
  <c r="AT113" i="3" a="1"/>
  <c r="AT113" i="3" s="1"/>
  <c r="AU113" i="3" a="1"/>
  <c r="AU113" i="3" s="1"/>
  <c r="AN114" i="3" a="1"/>
  <c r="AN114" i="3" s="1"/>
  <c r="AO114" i="3" a="1"/>
  <c r="AO114" i="3" s="1"/>
  <c r="AP114" i="3" a="1"/>
  <c r="AP114" i="3" s="1"/>
  <c r="AQ114" i="3" a="1"/>
  <c r="AQ114" i="3" s="1"/>
  <c r="AR114" i="3" a="1"/>
  <c r="AR114" i="3" s="1"/>
  <c r="AS114" i="3" a="1"/>
  <c r="AS114" i="3" s="1"/>
  <c r="AT114" i="3" a="1"/>
  <c r="AT114" i="3" s="1"/>
  <c r="AU114" i="3" a="1"/>
  <c r="AU114" i="3" s="1"/>
  <c r="AN115" i="3" a="1"/>
  <c r="AN115" i="3" s="1"/>
  <c r="AO115" i="3" a="1"/>
  <c r="AO115" i="3" s="1"/>
  <c r="AP115" i="3" a="1"/>
  <c r="AP115" i="3" s="1"/>
  <c r="AQ115" i="3" a="1"/>
  <c r="AQ115" i="3" s="1"/>
  <c r="AR115" i="3" a="1"/>
  <c r="AR115" i="3" s="1"/>
  <c r="AS115" i="3" a="1"/>
  <c r="AS115" i="3" s="1"/>
  <c r="AT115" i="3" a="1"/>
  <c r="AT115" i="3" s="1"/>
  <c r="AU115" i="3" a="1"/>
  <c r="AU115" i="3" s="1"/>
  <c r="AN116" i="3" a="1"/>
  <c r="AN116" i="3" s="1"/>
  <c r="AO116" i="3" a="1"/>
  <c r="AO116" i="3" s="1"/>
  <c r="AP116" i="3" a="1"/>
  <c r="AP116" i="3" s="1"/>
  <c r="AQ116" i="3" a="1"/>
  <c r="AQ116" i="3" s="1"/>
  <c r="AR116" i="3" a="1"/>
  <c r="AR116" i="3" s="1"/>
  <c r="AS116" i="3" a="1"/>
  <c r="AS116" i="3" s="1"/>
  <c r="AT116" i="3" a="1"/>
  <c r="AT116" i="3" s="1"/>
  <c r="AU116" i="3" a="1"/>
  <c r="AU116" i="3" s="1"/>
  <c r="AN117" i="3" a="1"/>
  <c r="AN117" i="3" s="1"/>
  <c r="AO117" i="3" a="1"/>
  <c r="AO117" i="3" s="1"/>
  <c r="AP117" i="3" a="1"/>
  <c r="AP117" i="3" s="1"/>
  <c r="AQ117" i="3" a="1"/>
  <c r="AQ117" i="3" s="1"/>
  <c r="AR117" i="3" a="1"/>
  <c r="AR117" i="3" s="1"/>
  <c r="AS117" i="3" a="1"/>
  <c r="AS117" i="3" s="1"/>
  <c r="AT117" i="3" a="1"/>
  <c r="AT117" i="3" s="1"/>
  <c r="AU117" i="3" a="1"/>
  <c r="AU117" i="3" s="1"/>
  <c r="AN118" i="3" a="1"/>
  <c r="AN118" i="3" s="1"/>
  <c r="AO118" i="3" a="1"/>
  <c r="AO118" i="3" s="1"/>
  <c r="AP118" i="3" a="1"/>
  <c r="AP118" i="3" s="1"/>
  <c r="AQ118" i="3" a="1"/>
  <c r="AQ118" i="3" s="1"/>
  <c r="AR118" i="3" a="1"/>
  <c r="AR118" i="3" s="1"/>
  <c r="AS118" i="3" a="1"/>
  <c r="AS118" i="3" s="1"/>
  <c r="AT118" i="3" a="1"/>
  <c r="AT118" i="3" s="1"/>
  <c r="AU118" i="3" a="1"/>
  <c r="AU118" i="3" s="1"/>
  <c r="AN119" i="3" a="1"/>
  <c r="AN119" i="3" s="1"/>
  <c r="AO119" i="3" a="1"/>
  <c r="AO119" i="3" s="1"/>
  <c r="AP119" i="3" a="1"/>
  <c r="AP119" i="3" s="1"/>
  <c r="AQ119" i="3" a="1"/>
  <c r="AQ119" i="3" s="1"/>
  <c r="AR119" i="3" a="1"/>
  <c r="AR119" i="3" s="1"/>
  <c r="AS119" i="3" a="1"/>
  <c r="AS119" i="3" s="1"/>
  <c r="AT119" i="3" a="1"/>
  <c r="AT119" i="3" s="1"/>
  <c r="AU119" i="3" a="1"/>
  <c r="AU119" i="3" s="1"/>
  <c r="AN120" i="3" a="1"/>
  <c r="AN120" i="3" s="1"/>
  <c r="AO120" i="3" a="1"/>
  <c r="AO120" i="3" s="1"/>
  <c r="AP120" i="3" a="1"/>
  <c r="AP120" i="3" s="1"/>
  <c r="AQ120" i="3" a="1"/>
  <c r="AQ120" i="3" s="1"/>
  <c r="AR120" i="3" a="1"/>
  <c r="AR120" i="3" s="1"/>
  <c r="AS120" i="3" a="1"/>
  <c r="AS120" i="3" s="1"/>
  <c r="AT120" i="3" a="1"/>
  <c r="AT120" i="3" s="1"/>
  <c r="AU120" i="3" a="1"/>
  <c r="AU120" i="3" s="1"/>
  <c r="AN121" i="3" a="1"/>
  <c r="AN121" i="3" s="1"/>
  <c r="AO121" i="3" a="1"/>
  <c r="AO121" i="3" s="1"/>
  <c r="AP121" i="3" a="1"/>
  <c r="AP121" i="3" s="1"/>
  <c r="AQ121" i="3" a="1"/>
  <c r="AQ121" i="3" s="1"/>
  <c r="AR121" i="3" a="1"/>
  <c r="AR121" i="3" s="1"/>
  <c r="AS121" i="3" a="1"/>
  <c r="AS121" i="3" s="1"/>
  <c r="AT121" i="3" a="1"/>
  <c r="AT121" i="3" s="1"/>
  <c r="AU121" i="3" a="1"/>
  <c r="AU121" i="3" s="1"/>
  <c r="AN122" i="3" a="1"/>
  <c r="AN122" i="3" s="1"/>
  <c r="AO122" i="3" a="1"/>
  <c r="AO122" i="3" s="1"/>
  <c r="AP122" i="3" a="1"/>
  <c r="AP122" i="3" s="1"/>
  <c r="AQ122" i="3" a="1"/>
  <c r="AQ122" i="3" s="1"/>
  <c r="AR122" i="3" a="1"/>
  <c r="AR122" i="3" s="1"/>
  <c r="AS122" i="3" a="1"/>
  <c r="AS122" i="3" s="1"/>
  <c r="AT122" i="3" a="1"/>
  <c r="AT122" i="3" s="1"/>
  <c r="AU122" i="3" a="1"/>
  <c r="AU122" i="3" s="1"/>
  <c r="AN123" i="3" a="1"/>
  <c r="AN123" i="3" s="1"/>
  <c r="AO123" i="3" a="1"/>
  <c r="AO123" i="3" s="1"/>
  <c r="AP123" i="3" a="1"/>
  <c r="AP123" i="3" s="1"/>
  <c r="AQ123" i="3" a="1"/>
  <c r="AQ123" i="3" s="1"/>
  <c r="AR123" i="3" a="1"/>
  <c r="AR123" i="3" s="1"/>
  <c r="AS123" i="3" a="1"/>
  <c r="AS123" i="3" s="1"/>
  <c r="AT123" i="3" a="1"/>
  <c r="AT123" i="3" s="1"/>
  <c r="AU123" i="3" a="1"/>
  <c r="AU123" i="3" s="1"/>
  <c r="AN124" i="3" a="1"/>
  <c r="AN124" i="3" s="1"/>
  <c r="AO124" i="3" a="1"/>
  <c r="AO124" i="3" s="1"/>
  <c r="AP124" i="3" a="1"/>
  <c r="AP124" i="3" s="1"/>
  <c r="AQ124" i="3" a="1"/>
  <c r="AQ124" i="3" s="1"/>
  <c r="AR124" i="3" a="1"/>
  <c r="AR124" i="3" s="1"/>
  <c r="AS124" i="3" a="1"/>
  <c r="AS124" i="3" s="1"/>
  <c r="AT124" i="3" a="1"/>
  <c r="AT124" i="3" s="1"/>
  <c r="AU124" i="3" a="1"/>
  <c r="AU124" i="3" s="1"/>
  <c r="AN125" i="3" a="1"/>
  <c r="AN125" i="3" s="1"/>
  <c r="AO125" i="3" a="1"/>
  <c r="AO125" i="3" s="1"/>
  <c r="AP125" i="3" a="1"/>
  <c r="AP125" i="3" s="1"/>
  <c r="AQ125" i="3" a="1"/>
  <c r="AQ125" i="3" s="1"/>
  <c r="AR125" i="3" a="1"/>
  <c r="AR125" i="3" s="1"/>
  <c r="AS125" i="3" a="1"/>
  <c r="AS125" i="3" s="1"/>
  <c r="AT125" i="3" a="1"/>
  <c r="AT125" i="3" s="1"/>
  <c r="AU125" i="3" a="1"/>
  <c r="AU125" i="3" s="1"/>
  <c r="AN126" i="3" a="1"/>
  <c r="AN126" i="3" s="1"/>
  <c r="AO126" i="3" a="1"/>
  <c r="AO126" i="3" s="1"/>
  <c r="AP126" i="3" a="1"/>
  <c r="AP126" i="3" s="1"/>
  <c r="AQ126" i="3" a="1"/>
  <c r="AQ126" i="3" s="1"/>
  <c r="AR126" i="3" a="1"/>
  <c r="AR126" i="3" s="1"/>
  <c r="AS126" i="3" a="1"/>
  <c r="AS126" i="3" s="1"/>
  <c r="AT126" i="3" a="1"/>
  <c r="AT126" i="3" s="1"/>
  <c r="AU126" i="3" a="1"/>
  <c r="AU126" i="3" s="1"/>
  <c r="AN127" i="3" a="1"/>
  <c r="AN127" i="3" s="1"/>
  <c r="AO127" i="3" a="1"/>
  <c r="AO127" i="3" s="1"/>
  <c r="AP127" i="3" a="1"/>
  <c r="AP127" i="3" s="1"/>
  <c r="AQ127" i="3" a="1"/>
  <c r="AQ127" i="3" s="1"/>
  <c r="AR127" i="3" a="1"/>
  <c r="AR127" i="3" s="1"/>
  <c r="AS127" i="3" a="1"/>
  <c r="AS127" i="3" s="1"/>
  <c r="AT127" i="3" a="1"/>
  <c r="AT127" i="3" s="1"/>
  <c r="AU127" i="3" a="1"/>
  <c r="AU127" i="3" s="1"/>
  <c r="AN128" i="3" a="1"/>
  <c r="AN128" i="3" s="1"/>
  <c r="AO128" i="3" a="1"/>
  <c r="AO128" i="3" s="1"/>
  <c r="AP128" i="3" a="1"/>
  <c r="AP128" i="3" s="1"/>
  <c r="AQ128" i="3" a="1"/>
  <c r="AQ128" i="3" s="1"/>
  <c r="AR128" i="3" a="1"/>
  <c r="AR128" i="3" s="1"/>
  <c r="AS128" i="3" a="1"/>
  <c r="AS128" i="3" s="1"/>
  <c r="AT128" i="3" a="1"/>
  <c r="AT128" i="3" s="1"/>
  <c r="AU128" i="3" a="1"/>
  <c r="AU128" i="3" s="1"/>
  <c r="AN129" i="3" a="1"/>
  <c r="AN129" i="3" s="1"/>
  <c r="AO129" i="3" a="1"/>
  <c r="AO129" i="3" s="1"/>
  <c r="AP129" i="3" a="1"/>
  <c r="AP129" i="3" s="1"/>
  <c r="AQ129" i="3" a="1"/>
  <c r="AQ129" i="3" s="1"/>
  <c r="AR129" i="3" a="1"/>
  <c r="AR129" i="3" s="1"/>
  <c r="AS129" i="3" a="1"/>
  <c r="AS129" i="3" s="1"/>
  <c r="AT129" i="3" a="1"/>
  <c r="AT129" i="3" s="1"/>
  <c r="AU129" i="3" a="1"/>
  <c r="AU129" i="3" s="1"/>
  <c r="AN130" i="3" a="1"/>
  <c r="AN130" i="3" s="1"/>
  <c r="AO130" i="3" a="1"/>
  <c r="AO130" i="3" s="1"/>
  <c r="AP130" i="3" a="1"/>
  <c r="AP130" i="3" s="1"/>
  <c r="AQ130" i="3" a="1"/>
  <c r="AQ130" i="3" s="1"/>
  <c r="AR130" i="3" a="1"/>
  <c r="AR130" i="3" s="1"/>
  <c r="AS130" i="3" a="1"/>
  <c r="AS130" i="3" s="1"/>
  <c r="AT130" i="3" a="1"/>
  <c r="AT130" i="3" s="1"/>
  <c r="AU130" i="3" a="1"/>
  <c r="AU130" i="3" s="1"/>
  <c r="AE105" i="3" a="1"/>
  <c r="AE105" i="3" s="1"/>
  <c r="AF105" i="3" a="1"/>
  <c r="AF105" i="3" s="1"/>
  <c r="AG105" i="3" a="1"/>
  <c r="AG105" i="3" s="1"/>
  <c r="AH105" i="3" a="1"/>
  <c r="AH105" i="3" s="1"/>
  <c r="AI105" i="3" a="1"/>
  <c r="AI105" i="3" s="1"/>
  <c r="AJ105" i="3" a="1"/>
  <c r="AJ105" i="3" s="1"/>
  <c r="AK105" i="3" a="1"/>
  <c r="AK105" i="3" s="1"/>
  <c r="AL105" i="3" a="1"/>
  <c r="AL105" i="3" s="1"/>
  <c r="AM105" i="3" a="1"/>
  <c r="AM105" i="3" s="1"/>
  <c r="AE106" i="3" a="1"/>
  <c r="AE106" i="3" s="1"/>
  <c r="AF106" i="3" a="1"/>
  <c r="AF106" i="3" s="1"/>
  <c r="AG106" i="3" a="1"/>
  <c r="AG106" i="3" s="1"/>
  <c r="AH106" i="3" a="1"/>
  <c r="AH106" i="3" s="1"/>
  <c r="AI106" i="3" a="1"/>
  <c r="AI106" i="3" s="1"/>
  <c r="AJ106" i="3" a="1"/>
  <c r="AJ106" i="3" s="1"/>
  <c r="AK106" i="3" a="1"/>
  <c r="AK106" i="3" s="1"/>
  <c r="AL106" i="3" a="1"/>
  <c r="AL106" i="3" s="1"/>
  <c r="AM106" i="3" a="1"/>
  <c r="AM106" i="3" s="1"/>
  <c r="AE107" i="3" a="1"/>
  <c r="AE107" i="3" s="1"/>
  <c r="AF107" i="3" a="1"/>
  <c r="AF107" i="3" s="1"/>
  <c r="AG107" i="3" a="1"/>
  <c r="AG107" i="3" s="1"/>
  <c r="AH107" i="3" a="1"/>
  <c r="AH107" i="3" s="1"/>
  <c r="AI107" i="3" a="1"/>
  <c r="AI107" i="3" s="1"/>
  <c r="AJ107" i="3" a="1"/>
  <c r="AJ107" i="3" s="1"/>
  <c r="AK107" i="3" a="1"/>
  <c r="AK107" i="3" s="1"/>
  <c r="AL107" i="3" a="1"/>
  <c r="AL107" i="3" s="1"/>
  <c r="AM107" i="3" a="1"/>
  <c r="AM107" i="3" s="1"/>
  <c r="AE108" i="3" a="1"/>
  <c r="AE108" i="3" s="1"/>
  <c r="AF108" i="3" a="1"/>
  <c r="AF108" i="3" s="1"/>
  <c r="AG108" i="3" a="1"/>
  <c r="AG108" i="3" s="1"/>
  <c r="AH108" i="3" a="1"/>
  <c r="AH108" i="3" s="1"/>
  <c r="AI108" i="3" a="1"/>
  <c r="AI108" i="3" s="1"/>
  <c r="AJ108" i="3" a="1"/>
  <c r="AJ108" i="3" s="1"/>
  <c r="AK108" i="3" a="1"/>
  <c r="AK108" i="3" s="1"/>
  <c r="AL108" i="3" a="1"/>
  <c r="AL108" i="3" s="1"/>
  <c r="AM108" i="3" a="1"/>
  <c r="AM108" i="3" s="1"/>
  <c r="AE109" i="3" a="1"/>
  <c r="AE109" i="3" s="1"/>
  <c r="AF109" i="3" a="1"/>
  <c r="AF109" i="3" s="1"/>
  <c r="AG109" i="3" a="1"/>
  <c r="AG109" i="3" s="1"/>
  <c r="AH109" i="3" a="1"/>
  <c r="AH109" i="3" s="1"/>
  <c r="AI109" i="3" a="1"/>
  <c r="AI109" i="3" s="1"/>
  <c r="AJ109" i="3" a="1"/>
  <c r="AJ109" i="3" s="1"/>
  <c r="AK109" i="3" a="1"/>
  <c r="AK109" i="3" s="1"/>
  <c r="AL109" i="3" a="1"/>
  <c r="AL109" i="3" s="1"/>
  <c r="AM109" i="3" a="1"/>
  <c r="AM109" i="3" s="1"/>
  <c r="AE110" i="3" a="1"/>
  <c r="AE110" i="3" s="1"/>
  <c r="AF110" i="3" a="1"/>
  <c r="AF110" i="3" s="1"/>
  <c r="AG110" i="3" a="1"/>
  <c r="AG110" i="3" s="1"/>
  <c r="AH110" i="3" a="1"/>
  <c r="AH110" i="3" s="1"/>
  <c r="AI110" i="3" a="1"/>
  <c r="AI110" i="3" s="1"/>
  <c r="AJ110" i="3" a="1"/>
  <c r="AJ110" i="3" s="1"/>
  <c r="AK110" i="3" a="1"/>
  <c r="AK110" i="3" s="1"/>
  <c r="AL110" i="3" a="1"/>
  <c r="AL110" i="3" s="1"/>
  <c r="AM110" i="3" a="1"/>
  <c r="AM110" i="3" s="1"/>
  <c r="AE111" i="3" a="1"/>
  <c r="AE111" i="3" s="1"/>
  <c r="AF111" i="3" a="1"/>
  <c r="AF111" i="3" s="1"/>
  <c r="AG111" i="3" a="1"/>
  <c r="AG111" i="3" s="1"/>
  <c r="AH111" i="3" a="1"/>
  <c r="AH111" i="3" s="1"/>
  <c r="AI111" i="3" a="1"/>
  <c r="AI111" i="3" s="1"/>
  <c r="AJ111" i="3" a="1"/>
  <c r="AJ111" i="3" s="1"/>
  <c r="AK111" i="3" a="1"/>
  <c r="AK111" i="3" s="1"/>
  <c r="AL111" i="3" a="1"/>
  <c r="AL111" i="3" s="1"/>
  <c r="AM111" i="3" a="1"/>
  <c r="AM111" i="3" s="1"/>
  <c r="AE112" i="3" a="1"/>
  <c r="AE112" i="3" s="1"/>
  <c r="AF112" i="3" a="1"/>
  <c r="AF112" i="3" s="1"/>
  <c r="AG112" i="3" a="1"/>
  <c r="AG112" i="3" s="1"/>
  <c r="AH112" i="3" a="1"/>
  <c r="AH112" i="3" s="1"/>
  <c r="AI112" i="3" a="1"/>
  <c r="AI112" i="3" s="1"/>
  <c r="AJ112" i="3" a="1"/>
  <c r="AJ112" i="3" s="1"/>
  <c r="AK112" i="3" a="1"/>
  <c r="AK112" i="3" s="1"/>
  <c r="AL112" i="3" a="1"/>
  <c r="AL112" i="3" s="1"/>
  <c r="AM112" i="3" a="1"/>
  <c r="AM112" i="3" s="1"/>
  <c r="AE113" i="3" a="1"/>
  <c r="AE113" i="3" s="1"/>
  <c r="AF113" i="3" a="1"/>
  <c r="AF113" i="3" s="1"/>
  <c r="AG113" i="3" a="1"/>
  <c r="AG113" i="3" s="1"/>
  <c r="AH113" i="3" a="1"/>
  <c r="AH113" i="3" s="1"/>
  <c r="AI113" i="3" a="1"/>
  <c r="AI113" i="3" s="1"/>
  <c r="AJ113" i="3" a="1"/>
  <c r="AJ113" i="3" s="1"/>
  <c r="AK113" i="3" a="1"/>
  <c r="AK113" i="3" s="1"/>
  <c r="AL113" i="3" a="1"/>
  <c r="AL113" i="3" s="1"/>
  <c r="AM113" i="3" a="1"/>
  <c r="AM113" i="3" s="1"/>
  <c r="AE114" i="3" a="1"/>
  <c r="AE114" i="3" s="1"/>
  <c r="AF114" i="3" a="1"/>
  <c r="AF114" i="3" s="1"/>
  <c r="AG114" i="3" a="1"/>
  <c r="AG114" i="3" s="1"/>
  <c r="AH114" i="3" a="1"/>
  <c r="AH114" i="3" s="1"/>
  <c r="AI114" i="3" a="1"/>
  <c r="AI114" i="3" s="1"/>
  <c r="AJ114" i="3" a="1"/>
  <c r="AJ114" i="3" s="1"/>
  <c r="AK114" i="3" a="1"/>
  <c r="AK114" i="3" s="1"/>
  <c r="AL114" i="3" a="1"/>
  <c r="AL114" i="3" s="1"/>
  <c r="AM114" i="3" a="1"/>
  <c r="AM114" i="3" s="1"/>
  <c r="AE115" i="3" a="1"/>
  <c r="AE115" i="3" s="1"/>
  <c r="AF115" i="3" a="1"/>
  <c r="AF115" i="3" s="1"/>
  <c r="AG115" i="3" a="1"/>
  <c r="AG115" i="3" s="1"/>
  <c r="AH115" i="3" a="1"/>
  <c r="AH115" i="3" s="1"/>
  <c r="AI115" i="3" a="1"/>
  <c r="AI115" i="3" s="1"/>
  <c r="AJ115" i="3" a="1"/>
  <c r="AJ115" i="3" s="1"/>
  <c r="AK115" i="3" a="1"/>
  <c r="AK115" i="3" s="1"/>
  <c r="AL115" i="3" a="1"/>
  <c r="AL115" i="3" s="1"/>
  <c r="AM115" i="3" a="1"/>
  <c r="AM115" i="3" s="1"/>
  <c r="AE116" i="3" a="1"/>
  <c r="AE116" i="3" s="1"/>
  <c r="AF116" i="3" a="1"/>
  <c r="AF116" i="3" s="1"/>
  <c r="AG116" i="3" a="1"/>
  <c r="AG116" i="3" s="1"/>
  <c r="AH116" i="3" a="1"/>
  <c r="AH116" i="3" s="1"/>
  <c r="AI116" i="3" a="1"/>
  <c r="AI116" i="3" s="1"/>
  <c r="AJ116" i="3" a="1"/>
  <c r="AJ116" i="3" s="1"/>
  <c r="AK116" i="3" a="1"/>
  <c r="AK116" i="3" s="1"/>
  <c r="AL116" i="3" a="1"/>
  <c r="AL116" i="3" s="1"/>
  <c r="AM116" i="3" a="1"/>
  <c r="AM116" i="3" s="1"/>
  <c r="AE117" i="3" a="1"/>
  <c r="AE117" i="3" s="1"/>
  <c r="AF117" i="3" a="1"/>
  <c r="AF117" i="3" s="1"/>
  <c r="AG117" i="3" a="1"/>
  <c r="AG117" i="3" s="1"/>
  <c r="AH117" i="3" a="1"/>
  <c r="AH117" i="3" s="1"/>
  <c r="AI117" i="3" a="1"/>
  <c r="AI117" i="3" s="1"/>
  <c r="AJ117" i="3" a="1"/>
  <c r="AJ117" i="3" s="1"/>
  <c r="AK117" i="3" a="1"/>
  <c r="AK117" i="3" s="1"/>
  <c r="AL117" i="3" a="1"/>
  <c r="AL117" i="3" s="1"/>
  <c r="AM117" i="3" a="1"/>
  <c r="AM117" i="3" s="1"/>
  <c r="AE118" i="3" a="1"/>
  <c r="AE118" i="3" s="1"/>
  <c r="AF118" i="3" a="1"/>
  <c r="AF118" i="3" s="1"/>
  <c r="AG118" i="3" a="1"/>
  <c r="AG118" i="3" s="1"/>
  <c r="AH118" i="3" a="1"/>
  <c r="AH118" i="3" s="1"/>
  <c r="AI118" i="3" a="1"/>
  <c r="AI118" i="3" s="1"/>
  <c r="AJ118" i="3" a="1"/>
  <c r="AJ118" i="3" s="1"/>
  <c r="AK118" i="3" a="1"/>
  <c r="AK118" i="3" s="1"/>
  <c r="AL118" i="3" a="1"/>
  <c r="AL118" i="3" s="1"/>
  <c r="AM118" i="3" a="1"/>
  <c r="AM118" i="3" s="1"/>
  <c r="AE119" i="3" a="1"/>
  <c r="AE119" i="3" s="1"/>
  <c r="AF119" i="3" a="1"/>
  <c r="AF119" i="3" s="1"/>
  <c r="AG119" i="3" a="1"/>
  <c r="AG119" i="3" s="1"/>
  <c r="AH119" i="3" a="1"/>
  <c r="AH119" i="3" s="1"/>
  <c r="AI119" i="3" a="1"/>
  <c r="AI119" i="3" s="1"/>
  <c r="AJ119" i="3" a="1"/>
  <c r="AJ119" i="3" s="1"/>
  <c r="AK119" i="3" a="1"/>
  <c r="AK119" i="3" s="1"/>
  <c r="AL119" i="3" a="1"/>
  <c r="AL119" i="3" s="1"/>
  <c r="AM119" i="3" a="1"/>
  <c r="AM119" i="3" s="1"/>
  <c r="AE120" i="3" a="1"/>
  <c r="AE120" i="3" s="1"/>
  <c r="AF120" i="3" a="1"/>
  <c r="AF120" i="3" s="1"/>
  <c r="AG120" i="3" a="1"/>
  <c r="AG120" i="3" s="1"/>
  <c r="AH120" i="3" a="1"/>
  <c r="AH120" i="3" s="1"/>
  <c r="AI120" i="3" a="1"/>
  <c r="AI120" i="3" s="1"/>
  <c r="AJ120" i="3" a="1"/>
  <c r="AJ120" i="3" s="1"/>
  <c r="AK120" i="3" a="1"/>
  <c r="AK120" i="3" s="1"/>
  <c r="AL120" i="3" a="1"/>
  <c r="AL120" i="3" s="1"/>
  <c r="AM120" i="3" a="1"/>
  <c r="AM120" i="3" s="1"/>
  <c r="AE121" i="3" a="1"/>
  <c r="AE121" i="3" s="1"/>
  <c r="AF121" i="3" a="1"/>
  <c r="AF121" i="3" s="1"/>
  <c r="AG121" i="3" a="1"/>
  <c r="AG121" i="3" s="1"/>
  <c r="AH121" i="3" a="1"/>
  <c r="AH121" i="3" s="1"/>
  <c r="AI121" i="3" a="1"/>
  <c r="AI121" i="3" s="1"/>
  <c r="AJ121" i="3" a="1"/>
  <c r="AJ121" i="3" s="1"/>
  <c r="AK121" i="3" a="1"/>
  <c r="AK121" i="3" s="1"/>
  <c r="AL121" i="3" a="1"/>
  <c r="AL121" i="3" s="1"/>
  <c r="AM121" i="3" a="1"/>
  <c r="AM121" i="3" s="1"/>
  <c r="AE122" i="3" a="1"/>
  <c r="AE122" i="3" s="1"/>
  <c r="AF122" i="3" a="1"/>
  <c r="AF122" i="3" s="1"/>
  <c r="AG122" i="3" a="1"/>
  <c r="AG122" i="3" s="1"/>
  <c r="AH122" i="3" a="1"/>
  <c r="AH122" i="3" s="1"/>
  <c r="AI122" i="3" a="1"/>
  <c r="AI122" i="3" s="1"/>
  <c r="AJ122" i="3" a="1"/>
  <c r="AJ122" i="3" s="1"/>
  <c r="AK122" i="3" a="1"/>
  <c r="AK122" i="3" s="1"/>
  <c r="AL122" i="3" a="1"/>
  <c r="AL122" i="3" s="1"/>
  <c r="AM122" i="3" a="1"/>
  <c r="AM122" i="3" s="1"/>
  <c r="AE123" i="3" a="1"/>
  <c r="AE123" i="3" s="1"/>
  <c r="AF123" i="3" a="1"/>
  <c r="AF123" i="3" s="1"/>
  <c r="AG123" i="3" a="1"/>
  <c r="AG123" i="3" s="1"/>
  <c r="AH123" i="3" a="1"/>
  <c r="AH123" i="3" s="1"/>
  <c r="AI123" i="3" a="1"/>
  <c r="AI123" i="3" s="1"/>
  <c r="AJ123" i="3" a="1"/>
  <c r="AJ123" i="3" s="1"/>
  <c r="AK123" i="3" a="1"/>
  <c r="AK123" i="3" s="1"/>
  <c r="AL123" i="3" a="1"/>
  <c r="AL123" i="3" s="1"/>
  <c r="AM123" i="3" a="1"/>
  <c r="AM123" i="3" s="1"/>
  <c r="AE124" i="3" a="1"/>
  <c r="AE124" i="3" s="1"/>
  <c r="AF124" i="3" a="1"/>
  <c r="AF124" i="3" s="1"/>
  <c r="AG124" i="3" a="1"/>
  <c r="AG124" i="3" s="1"/>
  <c r="AH124" i="3" a="1"/>
  <c r="AH124" i="3" s="1"/>
  <c r="AI124" i="3" a="1"/>
  <c r="AI124" i="3" s="1"/>
  <c r="AJ124" i="3" a="1"/>
  <c r="AJ124" i="3" s="1"/>
  <c r="AK124" i="3" a="1"/>
  <c r="AK124" i="3" s="1"/>
  <c r="AL124" i="3" a="1"/>
  <c r="AL124" i="3" s="1"/>
  <c r="AM124" i="3" a="1"/>
  <c r="AM124" i="3" s="1"/>
  <c r="AE125" i="3" a="1"/>
  <c r="AE125" i="3" s="1"/>
  <c r="AF125" i="3" a="1"/>
  <c r="AF125" i="3" s="1"/>
  <c r="AG125" i="3" a="1"/>
  <c r="AG125" i="3" s="1"/>
  <c r="AH125" i="3" a="1"/>
  <c r="AH125" i="3" s="1"/>
  <c r="AI125" i="3" a="1"/>
  <c r="AI125" i="3" s="1"/>
  <c r="AJ125" i="3" a="1"/>
  <c r="AJ125" i="3" s="1"/>
  <c r="AK125" i="3" a="1"/>
  <c r="AK125" i="3" s="1"/>
  <c r="AL125" i="3" a="1"/>
  <c r="AL125" i="3" s="1"/>
  <c r="AM125" i="3" a="1"/>
  <c r="AM125" i="3" s="1"/>
  <c r="AE126" i="3" a="1"/>
  <c r="AE126" i="3" s="1"/>
  <c r="AF126" i="3" a="1"/>
  <c r="AF126" i="3" s="1"/>
  <c r="AG126" i="3" a="1"/>
  <c r="AG126" i="3" s="1"/>
  <c r="AH126" i="3" a="1"/>
  <c r="AH126" i="3" s="1"/>
  <c r="AI126" i="3" a="1"/>
  <c r="AI126" i="3" s="1"/>
  <c r="AJ126" i="3" a="1"/>
  <c r="AJ126" i="3" s="1"/>
  <c r="AK126" i="3" a="1"/>
  <c r="AK126" i="3" s="1"/>
  <c r="AL126" i="3" a="1"/>
  <c r="AL126" i="3" s="1"/>
  <c r="AM126" i="3" a="1"/>
  <c r="AM126" i="3" s="1"/>
  <c r="AE127" i="3" a="1"/>
  <c r="AE127" i="3" s="1"/>
  <c r="AF127" i="3" a="1"/>
  <c r="AF127" i="3" s="1"/>
  <c r="AG127" i="3" a="1"/>
  <c r="AG127" i="3" s="1"/>
  <c r="AH127" i="3" a="1"/>
  <c r="AH127" i="3" s="1"/>
  <c r="AI127" i="3" a="1"/>
  <c r="AI127" i="3" s="1"/>
  <c r="AJ127" i="3" a="1"/>
  <c r="AJ127" i="3" s="1"/>
  <c r="AK127" i="3" a="1"/>
  <c r="AK127" i="3" s="1"/>
  <c r="AL127" i="3" a="1"/>
  <c r="AL127" i="3" s="1"/>
  <c r="AM127" i="3" a="1"/>
  <c r="AM127" i="3" s="1"/>
  <c r="AE128" i="3" a="1"/>
  <c r="AE128" i="3" s="1"/>
  <c r="AF128" i="3" a="1"/>
  <c r="AF128" i="3" s="1"/>
  <c r="AG128" i="3" a="1"/>
  <c r="AG128" i="3" s="1"/>
  <c r="AH128" i="3" a="1"/>
  <c r="AH128" i="3" s="1"/>
  <c r="AI128" i="3" a="1"/>
  <c r="AI128" i="3" s="1"/>
  <c r="AJ128" i="3" a="1"/>
  <c r="AJ128" i="3" s="1"/>
  <c r="AK128" i="3" a="1"/>
  <c r="AK128" i="3" s="1"/>
  <c r="AL128" i="3" a="1"/>
  <c r="AL128" i="3" s="1"/>
  <c r="AM128" i="3" a="1"/>
  <c r="AM128" i="3" s="1"/>
  <c r="AE129" i="3" a="1"/>
  <c r="AE129" i="3" s="1"/>
  <c r="AF129" i="3" a="1"/>
  <c r="AF129" i="3" s="1"/>
  <c r="AG129" i="3" a="1"/>
  <c r="AG129" i="3" s="1"/>
  <c r="AH129" i="3" a="1"/>
  <c r="AH129" i="3" s="1"/>
  <c r="AI129" i="3" a="1"/>
  <c r="AI129" i="3" s="1"/>
  <c r="AJ129" i="3" a="1"/>
  <c r="AJ129" i="3" s="1"/>
  <c r="AK129" i="3" a="1"/>
  <c r="AK129" i="3" s="1"/>
  <c r="AL129" i="3" a="1"/>
  <c r="AL129" i="3" s="1"/>
  <c r="AM129" i="3" a="1"/>
  <c r="AM129" i="3" s="1"/>
  <c r="AE130" i="3" a="1"/>
  <c r="AE130" i="3" s="1"/>
  <c r="AF130" i="3" a="1"/>
  <c r="AF130" i="3" s="1"/>
  <c r="AG130" i="3" a="1"/>
  <c r="AG130" i="3" s="1"/>
  <c r="AH130" i="3" a="1"/>
  <c r="AH130" i="3" s="1"/>
  <c r="AI130" i="3" a="1"/>
  <c r="AI130" i="3" s="1"/>
  <c r="AJ130" i="3" a="1"/>
  <c r="AJ130" i="3" s="1"/>
  <c r="AK130" i="3" a="1"/>
  <c r="AK130" i="3" s="1"/>
  <c r="AL130" i="3" a="1"/>
  <c r="AL130" i="3" s="1"/>
  <c r="AM130" i="3" a="1"/>
  <c r="AM130" i="3" s="1"/>
  <c r="D43" i="3"/>
  <c r="G43" i="3" s="1"/>
  <c r="B3" i="5" l="1"/>
  <c r="D3" i="5"/>
  <c r="E3" i="5"/>
  <c r="F3" i="5"/>
  <c r="G3" i="5"/>
  <c r="I3" i="5"/>
  <c r="B4" i="5"/>
  <c r="C4" i="5"/>
  <c r="D4" i="5"/>
  <c r="E4" i="5"/>
  <c r="F4" i="5"/>
  <c r="G4" i="5"/>
  <c r="H4" i="5"/>
  <c r="I4" i="5"/>
  <c r="B5" i="5"/>
  <c r="C5" i="5"/>
  <c r="D5" i="5"/>
  <c r="E5" i="5"/>
  <c r="F5" i="5"/>
  <c r="G5" i="5"/>
  <c r="H5" i="5"/>
  <c r="I5" i="5"/>
  <c r="B6" i="5"/>
  <c r="C6" i="5"/>
  <c r="D6" i="5"/>
  <c r="E6" i="5"/>
  <c r="F6" i="5"/>
  <c r="G6" i="5"/>
  <c r="H6" i="5"/>
  <c r="I6" i="5"/>
  <c r="B7" i="5"/>
  <c r="C7" i="5"/>
  <c r="D7" i="5"/>
  <c r="E7" i="5"/>
  <c r="F7" i="5"/>
  <c r="G7" i="5"/>
  <c r="H7" i="5"/>
  <c r="I7" i="5"/>
  <c r="B8" i="5"/>
  <c r="C8" i="5"/>
  <c r="D8" i="5"/>
  <c r="E8" i="5"/>
  <c r="F8" i="5"/>
  <c r="G8" i="5"/>
  <c r="H8" i="5"/>
  <c r="I8" i="5"/>
  <c r="B9" i="5"/>
  <c r="C9" i="5"/>
  <c r="D9" i="5"/>
  <c r="E9" i="5"/>
  <c r="F9" i="5"/>
  <c r="G9" i="5"/>
  <c r="H9" i="5"/>
  <c r="I9" i="5"/>
  <c r="B10" i="5"/>
  <c r="C10" i="5"/>
  <c r="D10" i="5"/>
  <c r="E10" i="5"/>
  <c r="F10" i="5"/>
  <c r="G10" i="5"/>
  <c r="H10" i="5"/>
  <c r="I10" i="5"/>
  <c r="B11" i="5"/>
  <c r="C11" i="5"/>
  <c r="D11" i="5"/>
  <c r="E11" i="5"/>
  <c r="F11" i="5"/>
  <c r="G11" i="5"/>
  <c r="H11" i="5"/>
  <c r="I11" i="5"/>
  <c r="B12" i="5"/>
  <c r="C12" i="5"/>
  <c r="D12" i="5"/>
  <c r="E12" i="5"/>
  <c r="F12" i="5"/>
  <c r="G12" i="5"/>
  <c r="H12" i="5"/>
  <c r="I12" i="5"/>
  <c r="B13" i="5"/>
  <c r="C13" i="5"/>
  <c r="D13" i="5"/>
  <c r="E13" i="5"/>
  <c r="F13" i="5"/>
  <c r="G13" i="5"/>
  <c r="H13" i="5"/>
  <c r="I13" i="5"/>
  <c r="B14" i="5"/>
  <c r="C14" i="5"/>
  <c r="D14" i="5"/>
  <c r="E14" i="5"/>
  <c r="F14" i="5"/>
  <c r="G14" i="5"/>
  <c r="H14" i="5"/>
  <c r="I14" i="5"/>
  <c r="B15" i="5"/>
  <c r="C15" i="5"/>
  <c r="D15" i="5"/>
  <c r="E15" i="5"/>
  <c r="F15" i="5"/>
  <c r="G15" i="5"/>
  <c r="H15" i="5"/>
  <c r="I15" i="5"/>
  <c r="B16" i="5"/>
  <c r="C16" i="5"/>
  <c r="D16" i="5"/>
  <c r="E16" i="5"/>
  <c r="F16" i="5"/>
  <c r="G16" i="5"/>
  <c r="H16" i="5"/>
  <c r="I16" i="5"/>
  <c r="B17" i="5"/>
  <c r="C17" i="5"/>
  <c r="D17" i="5"/>
  <c r="E17" i="5"/>
  <c r="F17" i="5"/>
  <c r="G17" i="5"/>
  <c r="H17" i="5"/>
  <c r="I17" i="5"/>
  <c r="B18" i="5"/>
  <c r="C18" i="5"/>
  <c r="D18" i="5"/>
  <c r="E18" i="5"/>
  <c r="F18" i="5"/>
  <c r="G18" i="5"/>
  <c r="H18" i="5"/>
  <c r="I18" i="5"/>
  <c r="B19" i="5"/>
  <c r="C19" i="5"/>
  <c r="D19" i="5"/>
  <c r="E19" i="5"/>
  <c r="F19" i="5"/>
  <c r="G19" i="5"/>
  <c r="H19" i="5"/>
  <c r="I19" i="5"/>
  <c r="B20" i="5"/>
  <c r="C20" i="5"/>
  <c r="D20" i="5"/>
  <c r="E20" i="5"/>
  <c r="F20" i="5"/>
  <c r="G20" i="5"/>
  <c r="H20" i="5"/>
  <c r="I20" i="5"/>
  <c r="B21" i="5"/>
  <c r="C21" i="5"/>
  <c r="D21" i="5"/>
  <c r="E21" i="5"/>
  <c r="F21" i="5"/>
  <c r="G21" i="5"/>
  <c r="H21" i="5"/>
  <c r="I21" i="5"/>
  <c r="B22" i="5"/>
  <c r="C22" i="5"/>
  <c r="D22" i="5"/>
  <c r="E22" i="5"/>
  <c r="F22" i="5"/>
  <c r="G22" i="5"/>
  <c r="H22" i="5"/>
  <c r="I22" i="5"/>
  <c r="B23" i="5"/>
  <c r="C23" i="5"/>
  <c r="D23" i="5"/>
  <c r="E23" i="5"/>
  <c r="F23" i="5"/>
  <c r="G23" i="5"/>
  <c r="H23" i="5"/>
  <c r="I23" i="5"/>
  <c r="B24" i="5"/>
  <c r="C24" i="5"/>
  <c r="D24" i="5"/>
  <c r="E24" i="5"/>
  <c r="F24" i="5"/>
  <c r="G24" i="5"/>
  <c r="H24" i="5"/>
  <c r="I24" i="5"/>
  <c r="B25" i="5"/>
  <c r="C25" i="5"/>
  <c r="D25" i="5"/>
  <c r="E25" i="5"/>
  <c r="F25" i="5"/>
  <c r="G25" i="5"/>
  <c r="H25" i="5"/>
  <c r="I25" i="5"/>
  <c r="B26" i="5"/>
  <c r="C26" i="5"/>
  <c r="D26" i="5"/>
  <c r="E26" i="5"/>
  <c r="F26" i="5"/>
  <c r="G26" i="5"/>
  <c r="H26" i="5"/>
  <c r="I26" i="5"/>
  <c r="B27" i="5"/>
  <c r="C27" i="5"/>
  <c r="D27" i="5"/>
  <c r="E27" i="5"/>
  <c r="F27" i="5"/>
  <c r="G27" i="5"/>
  <c r="H27" i="5"/>
  <c r="I27" i="5"/>
  <c r="B28" i="5"/>
  <c r="C28" i="5"/>
  <c r="D28" i="5"/>
  <c r="E28" i="5"/>
  <c r="F28" i="5"/>
  <c r="G28" i="5"/>
  <c r="H28" i="5"/>
  <c r="I28" i="5"/>
  <c r="B29" i="5"/>
  <c r="C29" i="5"/>
  <c r="D29" i="5"/>
  <c r="E29" i="5"/>
  <c r="F29" i="5"/>
  <c r="G29" i="5"/>
  <c r="H29" i="5"/>
  <c r="I29" i="5"/>
  <c r="K4" i="5" l="1"/>
  <c r="L4" i="5"/>
  <c r="M4" i="5"/>
  <c r="N4" i="5"/>
  <c r="O4" i="5"/>
  <c r="P4" i="5"/>
  <c r="Q4" i="5"/>
  <c r="R4" i="5"/>
  <c r="S4" i="5"/>
  <c r="T4" i="5"/>
  <c r="U4" i="5"/>
  <c r="V4" i="5"/>
  <c r="W4" i="5"/>
  <c r="X4" i="5"/>
  <c r="Y4" i="5"/>
  <c r="Z4" i="5"/>
  <c r="AA4" i="5"/>
  <c r="AB4" i="5"/>
  <c r="AC4" i="5"/>
  <c r="AD4" i="5"/>
  <c r="AE4" i="5"/>
  <c r="AF4" i="5"/>
  <c r="AG4" i="5"/>
  <c r="AH4" i="5"/>
  <c r="AI4" i="5"/>
  <c r="AJ4" i="5"/>
  <c r="AK4" i="5"/>
  <c r="AL4" i="5"/>
  <c r="AM4" i="5"/>
  <c r="AN4" i="5"/>
  <c r="AO4" i="5"/>
  <c r="AP4" i="5"/>
  <c r="AQ4" i="5"/>
  <c r="AR4" i="5"/>
  <c r="AS4" i="5"/>
  <c r="AT4" i="5"/>
  <c r="AU4" i="5"/>
  <c r="AV4" i="5"/>
  <c r="AW4" i="5"/>
  <c r="AX4" i="5"/>
  <c r="AY4" i="5"/>
  <c r="AZ4" i="5"/>
  <c r="BA4" i="5"/>
  <c r="BB4" i="5"/>
  <c r="BC4" i="5"/>
  <c r="BD4" i="5"/>
  <c r="BE4" i="5"/>
  <c r="BF4" i="5"/>
  <c r="BG4" i="5"/>
  <c r="BH4" i="5"/>
  <c r="BI4" i="5"/>
  <c r="BJ4" i="5"/>
  <c r="BK4" i="5"/>
  <c r="BL4" i="5"/>
  <c r="BM4" i="5"/>
  <c r="BN4" i="5"/>
  <c r="BO4" i="5"/>
  <c r="BP4" i="5"/>
  <c r="BQ4" i="5"/>
  <c r="BR4" i="5"/>
  <c r="BS4" i="5"/>
  <c r="BT4" i="5"/>
  <c r="BU4" i="5"/>
  <c r="BV4" i="5"/>
  <c r="BW4" i="5"/>
  <c r="BX4" i="5"/>
  <c r="BY4" i="5"/>
  <c r="BZ4" i="5"/>
  <c r="CA4" i="5"/>
  <c r="CB4" i="5"/>
  <c r="CC4" i="5"/>
  <c r="CD4" i="5"/>
  <c r="CE4" i="5"/>
  <c r="CF4" i="5"/>
  <c r="CG4" i="5"/>
  <c r="CH4" i="5"/>
  <c r="CI4" i="5"/>
  <c r="CJ4" i="5"/>
  <c r="CK4" i="5"/>
  <c r="CL4" i="5"/>
  <c r="CM4" i="5"/>
  <c r="CN4" i="5"/>
  <c r="CO4" i="5"/>
  <c r="CP4" i="5"/>
  <c r="CQ4" i="5"/>
  <c r="CR4" i="5"/>
  <c r="CS4" i="5"/>
  <c r="CT4" i="5"/>
  <c r="CU4" i="5"/>
  <c r="CV4" i="5"/>
  <c r="CW4" i="5"/>
  <c r="CX4" i="5"/>
  <c r="CY4" i="5"/>
  <c r="CZ4" i="5"/>
  <c r="DA4" i="5"/>
  <c r="DB4" i="5"/>
  <c r="DC4" i="5"/>
  <c r="DD4" i="5"/>
  <c r="DE4" i="5"/>
  <c r="DF4" i="5"/>
  <c r="DG4" i="5"/>
  <c r="DH4" i="5"/>
  <c r="DI4" i="5"/>
  <c r="DJ4" i="5"/>
  <c r="DK4" i="5"/>
  <c r="DL4" i="5"/>
  <c r="DM4" i="5"/>
  <c r="DN4" i="5"/>
  <c r="DO4" i="5"/>
  <c r="DP4" i="5"/>
  <c r="DQ4" i="5"/>
  <c r="DR4" i="5"/>
  <c r="DS4" i="5"/>
  <c r="DT4" i="5"/>
  <c r="DU4" i="5"/>
  <c r="DV4" i="5"/>
  <c r="DW4" i="5"/>
  <c r="DX4" i="5"/>
  <c r="DY4" i="5"/>
  <c r="DZ4" i="5"/>
  <c r="EA4" i="5"/>
  <c r="EB4" i="5"/>
  <c r="EC4" i="5"/>
  <c r="ED4" i="5"/>
  <c r="EE4" i="5"/>
  <c r="EF4" i="5"/>
  <c r="EG4" i="5"/>
  <c r="EH4" i="5"/>
  <c r="EI4" i="5"/>
  <c r="EJ4" i="5"/>
  <c r="EK4" i="5"/>
  <c r="EL4" i="5"/>
  <c r="EM4" i="5"/>
  <c r="EN4" i="5"/>
  <c r="EO4" i="5"/>
  <c r="EP4" i="5"/>
  <c r="EQ4" i="5"/>
  <c r="ER4" i="5"/>
  <c r="ES4" i="5"/>
  <c r="ET4" i="5"/>
  <c r="EU4" i="5"/>
  <c r="EV4" i="5"/>
  <c r="EW4" i="5"/>
  <c r="EX4" i="5"/>
  <c r="EY4" i="5"/>
  <c r="EZ4" i="5"/>
  <c r="FA4" i="5"/>
  <c r="FB4" i="5"/>
  <c r="FC4" i="5"/>
  <c r="FD4" i="5"/>
  <c r="FE4" i="5"/>
  <c r="FF4" i="5"/>
  <c r="FG4" i="5"/>
  <c r="FH4" i="5"/>
  <c r="FI4" i="5"/>
  <c r="FJ4" i="5"/>
  <c r="FK4" i="5"/>
  <c r="FL4" i="5"/>
  <c r="FM4" i="5"/>
  <c r="FN4" i="5"/>
  <c r="FO4" i="5"/>
  <c r="FP4" i="5"/>
  <c r="FQ4" i="5"/>
  <c r="FR4" i="5"/>
  <c r="FS4" i="5"/>
  <c r="FT4" i="5"/>
  <c r="FU4" i="5"/>
  <c r="FV4" i="5"/>
  <c r="FW4" i="5"/>
  <c r="FX4" i="5"/>
  <c r="FY4" i="5"/>
  <c r="FZ4" i="5"/>
  <c r="GA4" i="5"/>
  <c r="GB4" i="5"/>
  <c r="GC4" i="5"/>
  <c r="GD4" i="5"/>
  <c r="GE4" i="5"/>
  <c r="GF4" i="5"/>
  <c r="GG4" i="5"/>
  <c r="GH4" i="5"/>
  <c r="GI4" i="5"/>
  <c r="GJ4" i="5"/>
  <c r="GK4" i="5"/>
  <c r="GL4" i="5"/>
  <c r="GM4" i="5"/>
  <c r="GN4" i="5"/>
  <c r="GO4" i="5"/>
  <c r="GP4" i="5"/>
  <c r="GQ4" i="5"/>
  <c r="GR4" i="5"/>
  <c r="GS4" i="5"/>
  <c r="GT4" i="5"/>
  <c r="GU4" i="5"/>
  <c r="GV4" i="5"/>
  <c r="GW4" i="5"/>
  <c r="GX4" i="5"/>
  <c r="GY4" i="5"/>
  <c r="GZ4" i="5"/>
  <c r="HA4" i="5"/>
  <c r="HB4" i="5"/>
  <c r="HC4" i="5"/>
  <c r="HD4" i="5"/>
  <c r="HE4" i="5"/>
  <c r="HF4" i="5"/>
  <c r="HG4" i="5"/>
  <c r="HH4" i="5"/>
  <c r="HI4" i="5"/>
  <c r="HJ4" i="5"/>
  <c r="HK4" i="5"/>
  <c r="HL4" i="5"/>
  <c r="HM4" i="5"/>
  <c r="HN4" i="5"/>
  <c r="HO4" i="5"/>
  <c r="HP4" i="5"/>
  <c r="HQ4" i="5"/>
  <c r="HR4" i="5"/>
  <c r="HS4" i="5"/>
  <c r="HT4" i="5"/>
  <c r="HU4" i="5"/>
  <c r="HV4" i="5"/>
  <c r="HW4" i="5"/>
  <c r="HX4" i="5"/>
  <c r="HY4" i="5"/>
  <c r="HZ4" i="5"/>
  <c r="IA4" i="5"/>
  <c r="IB4" i="5"/>
  <c r="IC4" i="5"/>
  <c r="ID4" i="5"/>
  <c r="IE4" i="5"/>
  <c r="IF4" i="5"/>
  <c r="IG4" i="5"/>
  <c r="IH4" i="5"/>
  <c r="II4" i="5"/>
  <c r="IJ4" i="5"/>
  <c r="IK4" i="5"/>
  <c r="IL4" i="5"/>
  <c r="IM4" i="5"/>
  <c r="IN4" i="5"/>
  <c r="IO4" i="5"/>
  <c r="IP4" i="5"/>
  <c r="IQ4" i="5"/>
  <c r="IR4" i="5"/>
  <c r="IS4" i="5"/>
  <c r="IT4" i="5"/>
  <c r="IU4" i="5"/>
  <c r="IV4" i="5"/>
  <c r="IW4" i="5"/>
  <c r="IX4" i="5"/>
  <c r="IY4" i="5"/>
  <c r="IZ4" i="5"/>
  <c r="JA4" i="5"/>
  <c r="JB4" i="5"/>
  <c r="JC4" i="5"/>
  <c r="JD4" i="5"/>
  <c r="JE4" i="5"/>
  <c r="JF4" i="5"/>
  <c r="JG4" i="5"/>
  <c r="JH4" i="5"/>
  <c r="JI4" i="5"/>
  <c r="JJ4" i="5"/>
  <c r="JK4" i="5"/>
  <c r="JL4" i="5"/>
  <c r="JM4" i="5"/>
  <c r="JN4" i="5"/>
  <c r="JO4" i="5"/>
  <c r="JP4" i="5"/>
  <c r="JQ4" i="5"/>
  <c r="JR4" i="5"/>
  <c r="JS4" i="5"/>
  <c r="JT4" i="5"/>
  <c r="JU4" i="5"/>
  <c r="JV4" i="5"/>
  <c r="JW4" i="5"/>
  <c r="JX4" i="5"/>
  <c r="JY4" i="5"/>
  <c r="JZ4" i="5"/>
  <c r="KA4" i="5"/>
  <c r="KB4" i="5"/>
  <c r="KC4" i="5"/>
  <c r="KD4" i="5"/>
  <c r="KE4" i="5"/>
  <c r="KF4" i="5"/>
  <c r="KG4" i="5"/>
  <c r="KH4" i="5"/>
  <c r="KI4" i="5"/>
  <c r="KJ4" i="5"/>
  <c r="KK4" i="5"/>
  <c r="KL4" i="5"/>
  <c r="KM4" i="5"/>
  <c r="KN4" i="5"/>
  <c r="KO4" i="5"/>
  <c r="KP4" i="5"/>
  <c r="KQ4" i="5"/>
  <c r="KR4" i="5"/>
  <c r="KS4" i="5"/>
  <c r="KT4" i="5"/>
  <c r="KU4" i="5"/>
  <c r="KV4" i="5"/>
  <c r="KW4" i="5"/>
  <c r="KX4" i="5"/>
  <c r="KY4" i="5"/>
  <c r="KZ4" i="5"/>
  <c r="LA4" i="5"/>
  <c r="LB4" i="5"/>
  <c r="LC4" i="5"/>
  <c r="LD4" i="5"/>
  <c r="LE4" i="5"/>
  <c r="LF4" i="5"/>
  <c r="LG4" i="5"/>
  <c r="LH4" i="5"/>
  <c r="LI4" i="5"/>
  <c r="LJ4" i="5"/>
  <c r="LK4" i="5"/>
  <c r="LL4" i="5"/>
  <c r="LM4" i="5"/>
  <c r="LN4" i="5"/>
  <c r="LO4" i="5"/>
  <c r="LP4" i="5"/>
  <c r="LQ4" i="5"/>
  <c r="LR4" i="5"/>
  <c r="LS4" i="5"/>
  <c r="LT4" i="5"/>
  <c r="LU4" i="5"/>
  <c r="LV4" i="5"/>
  <c r="LW4" i="5"/>
  <c r="LX4" i="5"/>
  <c r="LY4" i="5"/>
  <c r="LZ4" i="5"/>
  <c r="MA4" i="5"/>
  <c r="MB4" i="5"/>
  <c r="MC4" i="5"/>
  <c r="MD4" i="5"/>
  <c r="ME4" i="5"/>
  <c r="MF4" i="5"/>
  <c r="MG4" i="5"/>
  <c r="MH4" i="5"/>
  <c r="MI4" i="5"/>
  <c r="MJ4" i="5"/>
  <c r="MK4" i="5"/>
  <c r="ML4" i="5"/>
  <c r="MM4" i="5"/>
  <c r="MN4" i="5"/>
  <c r="MO4" i="5"/>
  <c r="MP4" i="5"/>
  <c r="MQ4" i="5"/>
  <c r="MR4" i="5"/>
  <c r="MS4" i="5"/>
  <c r="MT4" i="5"/>
  <c r="MU4" i="5"/>
  <c r="MV4" i="5"/>
  <c r="MW4" i="5"/>
  <c r="MX4" i="5"/>
  <c r="MY4" i="5"/>
  <c r="MZ4" i="5"/>
  <c r="NA4" i="5"/>
  <c r="NB4" i="5"/>
  <c r="NC4" i="5"/>
  <c r="ND4" i="5"/>
  <c r="NE4" i="5"/>
  <c r="NF4" i="5"/>
  <c r="NG4" i="5"/>
  <c r="NH4" i="5"/>
  <c r="NI4" i="5"/>
  <c r="NJ4" i="5"/>
  <c r="NK4" i="5"/>
  <c r="NL4" i="5"/>
  <c r="NM4" i="5"/>
  <c r="NN4" i="5"/>
  <c r="NO4" i="5"/>
  <c r="NP4" i="5"/>
  <c r="NQ4" i="5"/>
  <c r="NR4" i="5"/>
  <c r="NS4" i="5"/>
  <c r="NT4" i="5"/>
  <c r="NU4" i="5"/>
  <c r="NV4" i="5"/>
  <c r="NW4" i="5"/>
  <c r="NX4" i="5"/>
  <c r="NY4" i="5"/>
  <c r="NZ4" i="5"/>
  <c r="OA4" i="5"/>
  <c r="OB4" i="5"/>
  <c r="OC4" i="5"/>
  <c r="OD4" i="5"/>
  <c r="OE4" i="5"/>
  <c r="OF4" i="5"/>
  <c r="OG4" i="5"/>
  <c r="OH4" i="5"/>
  <c r="OI4" i="5"/>
  <c r="OJ4" i="5"/>
  <c r="OK4" i="5"/>
  <c r="OL4" i="5"/>
  <c r="OM4" i="5"/>
  <c r="ON4" i="5"/>
  <c r="OO4" i="5"/>
  <c r="OP4" i="5"/>
  <c r="OQ4" i="5"/>
  <c r="OR4" i="5"/>
  <c r="OS4" i="5"/>
  <c r="OT4" i="5"/>
  <c r="OU4" i="5"/>
  <c r="OV4" i="5"/>
  <c r="OW4" i="5"/>
  <c r="OX4" i="5"/>
  <c r="OY4" i="5"/>
  <c r="OZ4" i="5"/>
  <c r="PA4" i="5"/>
  <c r="PB4" i="5"/>
  <c r="PC4" i="5"/>
  <c r="PD4" i="5"/>
  <c r="PE4" i="5"/>
  <c r="PF4" i="5"/>
  <c r="PG4" i="5"/>
  <c r="PH4" i="5"/>
  <c r="PI4" i="5"/>
  <c r="PJ4" i="5"/>
  <c r="PK4" i="5"/>
  <c r="PL4" i="5"/>
  <c r="PM4" i="5"/>
  <c r="PN4" i="5"/>
  <c r="PO4" i="5"/>
  <c r="PP4" i="5"/>
  <c r="PQ4" i="5"/>
  <c r="PR4" i="5"/>
  <c r="PS4" i="5"/>
  <c r="PT4" i="5"/>
  <c r="PU4" i="5"/>
  <c r="PV4" i="5"/>
  <c r="PW4" i="5"/>
  <c r="PX4" i="5"/>
  <c r="PY4" i="5"/>
  <c r="PZ4" i="5"/>
  <c r="QA4" i="5"/>
  <c r="QB4" i="5"/>
  <c r="QC4" i="5"/>
  <c r="QD4" i="5"/>
  <c r="QE4" i="5"/>
  <c r="QF4" i="5"/>
  <c r="QG4" i="5"/>
  <c r="QH4" i="5"/>
  <c r="QI4" i="5"/>
  <c r="QJ4" i="5"/>
  <c r="QK4" i="5"/>
  <c r="QL4" i="5"/>
  <c r="QM4" i="5"/>
  <c r="QN4" i="5"/>
  <c r="QO4" i="5"/>
  <c r="QP4" i="5"/>
  <c r="QQ4" i="5"/>
  <c r="QR4" i="5"/>
  <c r="QS4" i="5"/>
  <c r="QT4" i="5"/>
  <c r="QU4" i="5"/>
  <c r="QV4" i="5"/>
  <c r="QW4" i="5"/>
  <c r="QX4" i="5"/>
  <c r="QY4" i="5"/>
  <c r="QZ4" i="5"/>
  <c r="RA4" i="5"/>
  <c r="RB4" i="5"/>
  <c r="RC4" i="5"/>
  <c r="RD4" i="5"/>
  <c r="RE4" i="5"/>
  <c r="RF4" i="5"/>
  <c r="RG4" i="5"/>
  <c r="RH4" i="5"/>
  <c r="RI4" i="5"/>
  <c r="RJ4" i="5"/>
  <c r="RK4" i="5"/>
  <c r="RL4" i="5"/>
  <c r="RM4" i="5"/>
  <c r="RN4" i="5"/>
  <c r="RO4" i="5"/>
  <c r="RP4" i="5"/>
  <c r="RQ4" i="5"/>
  <c r="RR4" i="5"/>
  <c r="RS4" i="5"/>
  <c r="RT4" i="5"/>
  <c r="RU4" i="5"/>
  <c r="RV4" i="5"/>
  <c r="RW4" i="5"/>
  <c r="RX4" i="5"/>
  <c r="RY4" i="5"/>
  <c r="RZ4" i="5"/>
  <c r="SA4" i="5"/>
  <c r="SB4" i="5"/>
  <c r="SC4" i="5"/>
  <c r="SD4" i="5"/>
  <c r="SE4" i="5"/>
  <c r="SF4" i="5"/>
  <c r="SG4" i="5"/>
  <c r="SH4" i="5"/>
  <c r="SI4" i="5"/>
  <c r="SJ4" i="5"/>
  <c r="SK4" i="5"/>
  <c r="SL4" i="5"/>
  <c r="SM4" i="5"/>
  <c r="SN4" i="5"/>
  <c r="SO4" i="5"/>
  <c r="SP4" i="5"/>
  <c r="SQ4" i="5"/>
  <c r="SR4" i="5"/>
  <c r="SS4" i="5"/>
  <c r="ST4" i="5"/>
  <c r="SU4" i="5"/>
  <c r="SV4" i="5"/>
  <c r="SW4" i="5"/>
  <c r="SX4" i="5"/>
  <c r="SY4" i="5"/>
  <c r="SZ4" i="5"/>
  <c r="TA4" i="5"/>
  <c r="TB4" i="5"/>
  <c r="TC4" i="5"/>
  <c r="TD4" i="5"/>
  <c r="TE4" i="5"/>
  <c r="TF4" i="5"/>
  <c r="TG4" i="5"/>
  <c r="TH4" i="5"/>
  <c r="TI4" i="5"/>
  <c r="TJ4" i="5"/>
  <c r="TK4" i="5"/>
  <c r="TL4" i="5"/>
  <c r="TM4" i="5"/>
  <c r="TN4" i="5"/>
  <c r="TO4" i="5"/>
  <c r="TP4" i="5"/>
  <c r="TQ4" i="5"/>
  <c r="TR4" i="5"/>
  <c r="TS4" i="5"/>
  <c r="TT4" i="5"/>
  <c r="TU4" i="5"/>
  <c r="TV4" i="5"/>
  <c r="TW4" i="5"/>
  <c r="TX4" i="5"/>
  <c r="TY4" i="5"/>
  <c r="TZ4" i="5"/>
  <c r="UA4" i="5"/>
  <c r="UB4" i="5"/>
  <c r="UC4" i="5"/>
  <c r="UD4" i="5"/>
  <c r="UE4" i="5"/>
  <c r="UF4" i="5"/>
  <c r="UG4" i="5"/>
  <c r="UH4" i="5"/>
  <c r="UI4" i="5"/>
  <c r="UJ4" i="5"/>
  <c r="UK4" i="5"/>
  <c r="K5" i="5"/>
  <c r="L5" i="5"/>
  <c r="M5" i="5"/>
  <c r="N5" i="5"/>
  <c r="O5" i="5"/>
  <c r="P5" i="5"/>
  <c r="Q5" i="5"/>
  <c r="R5" i="5"/>
  <c r="S5" i="5"/>
  <c r="T5" i="5"/>
  <c r="U5" i="5"/>
  <c r="V5" i="5"/>
  <c r="W5" i="5"/>
  <c r="X5" i="5"/>
  <c r="Y5" i="5"/>
  <c r="Z5" i="5"/>
  <c r="AA5" i="5"/>
  <c r="AB5" i="5"/>
  <c r="AC5" i="5"/>
  <c r="AD5" i="5"/>
  <c r="AE5" i="5"/>
  <c r="AF5" i="5"/>
  <c r="AG5" i="5"/>
  <c r="AH5" i="5"/>
  <c r="AI5" i="5"/>
  <c r="AJ5" i="5"/>
  <c r="AK5" i="5"/>
  <c r="AL5" i="5"/>
  <c r="AM5" i="5"/>
  <c r="AN5" i="5"/>
  <c r="AO5" i="5"/>
  <c r="AP5" i="5"/>
  <c r="AQ5" i="5"/>
  <c r="AR5" i="5"/>
  <c r="AS5" i="5"/>
  <c r="AT5" i="5"/>
  <c r="AU5" i="5"/>
  <c r="AV5" i="5"/>
  <c r="AW5" i="5"/>
  <c r="AX5" i="5"/>
  <c r="AY5" i="5"/>
  <c r="AZ5" i="5"/>
  <c r="BA5" i="5"/>
  <c r="BB5" i="5"/>
  <c r="BC5" i="5"/>
  <c r="BD5" i="5"/>
  <c r="BE5" i="5"/>
  <c r="BF5" i="5"/>
  <c r="BG5" i="5"/>
  <c r="BH5" i="5"/>
  <c r="BI5" i="5"/>
  <c r="BJ5" i="5"/>
  <c r="BK5" i="5"/>
  <c r="BL5" i="5"/>
  <c r="BM5" i="5"/>
  <c r="BN5" i="5"/>
  <c r="BO5" i="5"/>
  <c r="BP5" i="5"/>
  <c r="BQ5" i="5"/>
  <c r="BR5" i="5"/>
  <c r="BS5" i="5"/>
  <c r="BT5" i="5"/>
  <c r="BU5" i="5"/>
  <c r="BV5" i="5"/>
  <c r="BW5" i="5"/>
  <c r="BX5" i="5"/>
  <c r="BY5" i="5"/>
  <c r="BZ5" i="5"/>
  <c r="CA5" i="5"/>
  <c r="CB5" i="5"/>
  <c r="CC5" i="5"/>
  <c r="CD5" i="5"/>
  <c r="CE5" i="5"/>
  <c r="CF5" i="5"/>
  <c r="CG5" i="5"/>
  <c r="CH5" i="5"/>
  <c r="CI5" i="5"/>
  <c r="CJ5" i="5"/>
  <c r="CK5" i="5"/>
  <c r="CL5" i="5"/>
  <c r="CM5" i="5"/>
  <c r="CN5" i="5"/>
  <c r="CO5" i="5"/>
  <c r="CP5" i="5"/>
  <c r="CQ5" i="5"/>
  <c r="CR5" i="5"/>
  <c r="CS5" i="5"/>
  <c r="CT5" i="5"/>
  <c r="CU5" i="5"/>
  <c r="CV5" i="5"/>
  <c r="CW5" i="5"/>
  <c r="CX5" i="5"/>
  <c r="CY5" i="5"/>
  <c r="CZ5" i="5"/>
  <c r="DA5" i="5"/>
  <c r="DB5" i="5"/>
  <c r="DC5" i="5"/>
  <c r="DD5" i="5"/>
  <c r="DE5" i="5"/>
  <c r="DF5" i="5"/>
  <c r="DG5" i="5"/>
  <c r="DH5" i="5"/>
  <c r="DI5" i="5"/>
  <c r="DJ5" i="5"/>
  <c r="DK5" i="5"/>
  <c r="DL5" i="5"/>
  <c r="DM5" i="5"/>
  <c r="DN5" i="5"/>
  <c r="DO5" i="5"/>
  <c r="DP5" i="5"/>
  <c r="DQ5" i="5"/>
  <c r="DR5" i="5"/>
  <c r="DS5" i="5"/>
  <c r="DT5" i="5"/>
  <c r="DU5" i="5"/>
  <c r="DV5" i="5"/>
  <c r="DW5" i="5"/>
  <c r="DX5" i="5"/>
  <c r="DY5" i="5"/>
  <c r="DZ5" i="5"/>
  <c r="EA5" i="5"/>
  <c r="EB5" i="5"/>
  <c r="EC5" i="5"/>
  <c r="ED5" i="5"/>
  <c r="EE5" i="5"/>
  <c r="EF5" i="5"/>
  <c r="EG5" i="5"/>
  <c r="EH5" i="5"/>
  <c r="EI5" i="5"/>
  <c r="EJ5" i="5"/>
  <c r="EK5" i="5"/>
  <c r="EL5" i="5"/>
  <c r="EM5" i="5"/>
  <c r="EN5" i="5"/>
  <c r="EO5" i="5"/>
  <c r="EP5" i="5"/>
  <c r="EQ5" i="5"/>
  <c r="ER5" i="5"/>
  <c r="ES5" i="5"/>
  <c r="ET5" i="5"/>
  <c r="EU5" i="5"/>
  <c r="EV5" i="5"/>
  <c r="EW5" i="5"/>
  <c r="EX5" i="5"/>
  <c r="EY5" i="5"/>
  <c r="EZ5" i="5"/>
  <c r="FA5" i="5"/>
  <c r="FB5" i="5"/>
  <c r="FC5" i="5"/>
  <c r="FD5" i="5"/>
  <c r="FE5" i="5"/>
  <c r="FF5" i="5"/>
  <c r="FG5" i="5"/>
  <c r="FH5" i="5"/>
  <c r="FI5" i="5"/>
  <c r="FJ5" i="5"/>
  <c r="FK5" i="5"/>
  <c r="FL5" i="5"/>
  <c r="FM5" i="5"/>
  <c r="FN5" i="5"/>
  <c r="FO5" i="5"/>
  <c r="FP5" i="5"/>
  <c r="FQ5" i="5"/>
  <c r="FR5" i="5"/>
  <c r="FS5" i="5"/>
  <c r="FT5" i="5"/>
  <c r="FU5" i="5"/>
  <c r="FV5" i="5"/>
  <c r="FW5" i="5"/>
  <c r="FX5" i="5"/>
  <c r="FY5" i="5"/>
  <c r="FZ5" i="5"/>
  <c r="GA5" i="5"/>
  <c r="GB5" i="5"/>
  <c r="GC5" i="5"/>
  <c r="GD5" i="5"/>
  <c r="GE5" i="5"/>
  <c r="GF5" i="5"/>
  <c r="GG5" i="5"/>
  <c r="GH5" i="5"/>
  <c r="GI5" i="5"/>
  <c r="GJ5" i="5"/>
  <c r="GK5" i="5"/>
  <c r="GL5" i="5"/>
  <c r="GM5" i="5"/>
  <c r="GN5" i="5"/>
  <c r="GO5" i="5"/>
  <c r="GP5" i="5"/>
  <c r="GQ5" i="5"/>
  <c r="GR5" i="5"/>
  <c r="GS5" i="5"/>
  <c r="GT5" i="5"/>
  <c r="GU5" i="5"/>
  <c r="GV5" i="5"/>
  <c r="GW5" i="5"/>
  <c r="GX5" i="5"/>
  <c r="GY5" i="5"/>
  <c r="GZ5" i="5"/>
  <c r="HA5" i="5"/>
  <c r="HB5" i="5"/>
  <c r="HC5" i="5"/>
  <c r="HD5" i="5"/>
  <c r="HE5" i="5"/>
  <c r="HF5" i="5"/>
  <c r="HG5" i="5"/>
  <c r="HH5" i="5"/>
  <c r="HI5" i="5"/>
  <c r="HJ5" i="5"/>
  <c r="HK5" i="5"/>
  <c r="HL5" i="5"/>
  <c r="HM5" i="5"/>
  <c r="HN5" i="5"/>
  <c r="HO5" i="5"/>
  <c r="HP5" i="5"/>
  <c r="HQ5" i="5"/>
  <c r="HR5" i="5"/>
  <c r="HS5" i="5"/>
  <c r="HT5" i="5"/>
  <c r="HU5" i="5"/>
  <c r="HV5" i="5"/>
  <c r="HW5" i="5"/>
  <c r="HX5" i="5"/>
  <c r="HY5" i="5"/>
  <c r="HZ5" i="5"/>
  <c r="IA5" i="5"/>
  <c r="IB5" i="5"/>
  <c r="IC5" i="5"/>
  <c r="ID5" i="5"/>
  <c r="IE5" i="5"/>
  <c r="IF5" i="5"/>
  <c r="IG5" i="5"/>
  <c r="IH5" i="5"/>
  <c r="II5" i="5"/>
  <c r="IJ5" i="5"/>
  <c r="IK5" i="5"/>
  <c r="IL5" i="5"/>
  <c r="IM5" i="5"/>
  <c r="IN5" i="5"/>
  <c r="IO5" i="5"/>
  <c r="IP5" i="5"/>
  <c r="IQ5" i="5"/>
  <c r="IR5" i="5"/>
  <c r="IS5" i="5"/>
  <c r="IT5" i="5"/>
  <c r="IU5" i="5"/>
  <c r="IV5" i="5"/>
  <c r="IW5" i="5"/>
  <c r="IX5" i="5"/>
  <c r="IY5" i="5"/>
  <c r="IZ5" i="5"/>
  <c r="JA5" i="5"/>
  <c r="JB5" i="5"/>
  <c r="JC5" i="5"/>
  <c r="JD5" i="5"/>
  <c r="JE5" i="5"/>
  <c r="JF5" i="5"/>
  <c r="JG5" i="5"/>
  <c r="JH5" i="5"/>
  <c r="JI5" i="5"/>
  <c r="JJ5" i="5"/>
  <c r="JK5" i="5"/>
  <c r="JL5" i="5"/>
  <c r="JM5" i="5"/>
  <c r="JN5" i="5"/>
  <c r="JO5" i="5"/>
  <c r="JP5" i="5"/>
  <c r="JQ5" i="5"/>
  <c r="JR5" i="5"/>
  <c r="JS5" i="5"/>
  <c r="JT5" i="5"/>
  <c r="JU5" i="5"/>
  <c r="JV5" i="5"/>
  <c r="JW5" i="5"/>
  <c r="JX5" i="5"/>
  <c r="JY5" i="5"/>
  <c r="JZ5" i="5"/>
  <c r="KA5" i="5"/>
  <c r="KB5" i="5"/>
  <c r="KC5" i="5"/>
  <c r="KD5" i="5"/>
  <c r="KE5" i="5"/>
  <c r="KF5" i="5"/>
  <c r="KG5" i="5"/>
  <c r="KH5" i="5"/>
  <c r="KI5" i="5"/>
  <c r="KJ5" i="5"/>
  <c r="KK5" i="5"/>
  <c r="KL5" i="5"/>
  <c r="KM5" i="5"/>
  <c r="KN5" i="5"/>
  <c r="KO5" i="5"/>
  <c r="KP5" i="5"/>
  <c r="KQ5" i="5"/>
  <c r="KR5" i="5"/>
  <c r="KS5" i="5"/>
  <c r="KT5" i="5"/>
  <c r="KU5" i="5"/>
  <c r="KV5" i="5"/>
  <c r="KW5" i="5"/>
  <c r="KX5" i="5"/>
  <c r="KY5" i="5"/>
  <c r="KZ5" i="5"/>
  <c r="LA5" i="5"/>
  <c r="LB5" i="5"/>
  <c r="LC5" i="5"/>
  <c r="LD5" i="5"/>
  <c r="LE5" i="5"/>
  <c r="LF5" i="5"/>
  <c r="LG5" i="5"/>
  <c r="LH5" i="5"/>
  <c r="LI5" i="5"/>
  <c r="LJ5" i="5"/>
  <c r="LK5" i="5"/>
  <c r="LL5" i="5"/>
  <c r="LM5" i="5"/>
  <c r="LN5" i="5"/>
  <c r="LO5" i="5"/>
  <c r="LP5" i="5"/>
  <c r="LQ5" i="5"/>
  <c r="LR5" i="5"/>
  <c r="LS5" i="5"/>
  <c r="LT5" i="5"/>
  <c r="LU5" i="5"/>
  <c r="LV5" i="5"/>
  <c r="LW5" i="5"/>
  <c r="LX5" i="5"/>
  <c r="LY5" i="5"/>
  <c r="LZ5" i="5"/>
  <c r="MA5" i="5"/>
  <c r="MB5" i="5"/>
  <c r="MC5" i="5"/>
  <c r="MD5" i="5"/>
  <c r="ME5" i="5"/>
  <c r="MF5" i="5"/>
  <c r="MG5" i="5"/>
  <c r="MH5" i="5"/>
  <c r="MI5" i="5"/>
  <c r="MJ5" i="5"/>
  <c r="MK5" i="5"/>
  <c r="ML5" i="5"/>
  <c r="MM5" i="5"/>
  <c r="MN5" i="5"/>
  <c r="MO5" i="5"/>
  <c r="MP5" i="5"/>
  <c r="MQ5" i="5"/>
  <c r="MR5" i="5"/>
  <c r="MS5" i="5"/>
  <c r="MT5" i="5"/>
  <c r="MU5" i="5"/>
  <c r="MV5" i="5"/>
  <c r="MW5" i="5"/>
  <c r="MX5" i="5"/>
  <c r="MY5" i="5"/>
  <c r="MZ5" i="5"/>
  <c r="NA5" i="5"/>
  <c r="NB5" i="5"/>
  <c r="NC5" i="5"/>
  <c r="ND5" i="5"/>
  <c r="NE5" i="5"/>
  <c r="NF5" i="5"/>
  <c r="NG5" i="5"/>
  <c r="NH5" i="5"/>
  <c r="NI5" i="5"/>
  <c r="NJ5" i="5"/>
  <c r="NK5" i="5"/>
  <c r="NL5" i="5"/>
  <c r="NM5" i="5"/>
  <c r="NN5" i="5"/>
  <c r="NO5" i="5"/>
  <c r="NP5" i="5"/>
  <c r="NQ5" i="5"/>
  <c r="NR5" i="5"/>
  <c r="NS5" i="5"/>
  <c r="NT5" i="5"/>
  <c r="NU5" i="5"/>
  <c r="NV5" i="5"/>
  <c r="NW5" i="5"/>
  <c r="NX5" i="5"/>
  <c r="NY5" i="5"/>
  <c r="NZ5" i="5"/>
  <c r="OA5" i="5"/>
  <c r="OB5" i="5"/>
  <c r="OC5" i="5"/>
  <c r="OD5" i="5"/>
  <c r="OE5" i="5"/>
  <c r="OF5" i="5"/>
  <c r="OG5" i="5"/>
  <c r="OH5" i="5"/>
  <c r="OI5" i="5"/>
  <c r="OJ5" i="5"/>
  <c r="OK5" i="5"/>
  <c r="OL5" i="5"/>
  <c r="OM5" i="5"/>
  <c r="ON5" i="5"/>
  <c r="OO5" i="5"/>
  <c r="OP5" i="5"/>
  <c r="OQ5" i="5"/>
  <c r="OR5" i="5"/>
  <c r="OS5" i="5"/>
  <c r="OT5" i="5"/>
  <c r="OU5" i="5"/>
  <c r="OV5" i="5"/>
  <c r="OW5" i="5"/>
  <c r="OX5" i="5"/>
  <c r="OY5" i="5"/>
  <c r="OZ5" i="5"/>
  <c r="PA5" i="5"/>
  <c r="PB5" i="5"/>
  <c r="PC5" i="5"/>
  <c r="PD5" i="5"/>
  <c r="PE5" i="5"/>
  <c r="PF5" i="5"/>
  <c r="PG5" i="5"/>
  <c r="PH5" i="5"/>
  <c r="PI5" i="5"/>
  <c r="PJ5" i="5"/>
  <c r="PK5" i="5"/>
  <c r="PL5" i="5"/>
  <c r="PM5" i="5"/>
  <c r="PN5" i="5"/>
  <c r="PO5" i="5"/>
  <c r="PP5" i="5"/>
  <c r="PQ5" i="5"/>
  <c r="PR5" i="5"/>
  <c r="PS5" i="5"/>
  <c r="PT5" i="5"/>
  <c r="PU5" i="5"/>
  <c r="PV5" i="5"/>
  <c r="PW5" i="5"/>
  <c r="PX5" i="5"/>
  <c r="PY5" i="5"/>
  <c r="PZ5" i="5"/>
  <c r="QA5" i="5"/>
  <c r="QB5" i="5"/>
  <c r="QC5" i="5"/>
  <c r="QD5" i="5"/>
  <c r="QE5" i="5"/>
  <c r="QF5" i="5"/>
  <c r="QG5" i="5"/>
  <c r="QH5" i="5"/>
  <c r="QI5" i="5"/>
  <c r="QJ5" i="5"/>
  <c r="QK5" i="5"/>
  <c r="QL5" i="5"/>
  <c r="QM5" i="5"/>
  <c r="QN5" i="5"/>
  <c r="QO5" i="5"/>
  <c r="QP5" i="5"/>
  <c r="QQ5" i="5"/>
  <c r="QR5" i="5"/>
  <c r="QS5" i="5"/>
  <c r="QT5" i="5"/>
  <c r="QU5" i="5"/>
  <c r="QV5" i="5"/>
  <c r="QW5" i="5"/>
  <c r="QX5" i="5"/>
  <c r="QY5" i="5"/>
  <c r="QZ5" i="5"/>
  <c r="RA5" i="5"/>
  <c r="RB5" i="5"/>
  <c r="RC5" i="5"/>
  <c r="RD5" i="5"/>
  <c r="RE5" i="5"/>
  <c r="RF5" i="5"/>
  <c r="RG5" i="5"/>
  <c r="RH5" i="5"/>
  <c r="RI5" i="5"/>
  <c r="RJ5" i="5"/>
  <c r="RK5" i="5"/>
  <c r="RL5" i="5"/>
  <c r="RM5" i="5"/>
  <c r="RN5" i="5"/>
  <c r="RO5" i="5"/>
  <c r="RP5" i="5"/>
  <c r="RQ5" i="5"/>
  <c r="RR5" i="5"/>
  <c r="RS5" i="5"/>
  <c r="RT5" i="5"/>
  <c r="RU5" i="5"/>
  <c r="RV5" i="5"/>
  <c r="RW5" i="5"/>
  <c r="RX5" i="5"/>
  <c r="RY5" i="5"/>
  <c r="RZ5" i="5"/>
  <c r="SA5" i="5"/>
  <c r="SB5" i="5"/>
  <c r="SC5" i="5"/>
  <c r="SD5" i="5"/>
  <c r="SE5" i="5"/>
  <c r="SF5" i="5"/>
  <c r="SG5" i="5"/>
  <c r="SH5" i="5"/>
  <c r="SI5" i="5"/>
  <c r="SJ5" i="5"/>
  <c r="SK5" i="5"/>
  <c r="SL5" i="5"/>
  <c r="SM5" i="5"/>
  <c r="SN5" i="5"/>
  <c r="SO5" i="5"/>
  <c r="SP5" i="5"/>
  <c r="SQ5" i="5"/>
  <c r="SR5" i="5"/>
  <c r="SS5" i="5"/>
  <c r="ST5" i="5"/>
  <c r="SU5" i="5"/>
  <c r="SV5" i="5"/>
  <c r="SW5" i="5"/>
  <c r="SX5" i="5"/>
  <c r="SY5" i="5"/>
  <c r="SZ5" i="5"/>
  <c r="TA5" i="5"/>
  <c r="TB5" i="5"/>
  <c r="TC5" i="5"/>
  <c r="TD5" i="5"/>
  <c r="TE5" i="5"/>
  <c r="TF5" i="5"/>
  <c r="TG5" i="5"/>
  <c r="TH5" i="5"/>
  <c r="TI5" i="5"/>
  <c r="TJ5" i="5"/>
  <c r="TK5" i="5"/>
  <c r="TL5" i="5"/>
  <c r="TM5" i="5"/>
  <c r="TN5" i="5"/>
  <c r="TO5" i="5"/>
  <c r="TP5" i="5"/>
  <c r="TQ5" i="5"/>
  <c r="TR5" i="5"/>
  <c r="TS5" i="5"/>
  <c r="TT5" i="5"/>
  <c r="TU5" i="5"/>
  <c r="TV5" i="5"/>
  <c r="TW5" i="5"/>
  <c r="TX5" i="5"/>
  <c r="TY5" i="5"/>
  <c r="TZ5" i="5"/>
  <c r="UA5" i="5"/>
  <c r="UB5" i="5"/>
  <c r="UC5" i="5"/>
  <c r="UD5" i="5"/>
  <c r="UE5" i="5"/>
  <c r="UF5" i="5"/>
  <c r="UG5" i="5"/>
  <c r="UH5" i="5"/>
  <c r="UI5" i="5"/>
  <c r="UJ5" i="5"/>
  <c r="UK5"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BF6" i="5"/>
  <c r="BG6"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CJ6" i="5"/>
  <c r="CK6" i="5"/>
  <c r="CL6" i="5"/>
  <c r="CM6" i="5"/>
  <c r="CN6" i="5"/>
  <c r="CO6" i="5"/>
  <c r="CP6" i="5"/>
  <c r="CQ6" i="5"/>
  <c r="CR6" i="5"/>
  <c r="CS6" i="5"/>
  <c r="CT6" i="5"/>
  <c r="CU6" i="5"/>
  <c r="CV6" i="5"/>
  <c r="CW6" i="5"/>
  <c r="CX6" i="5"/>
  <c r="CY6" i="5"/>
  <c r="CZ6" i="5"/>
  <c r="DA6" i="5"/>
  <c r="DB6" i="5"/>
  <c r="DC6" i="5"/>
  <c r="DD6" i="5"/>
  <c r="DE6" i="5"/>
  <c r="DF6" i="5"/>
  <c r="DG6" i="5"/>
  <c r="DH6" i="5"/>
  <c r="DI6" i="5"/>
  <c r="DJ6" i="5"/>
  <c r="DK6" i="5"/>
  <c r="DL6" i="5"/>
  <c r="DM6" i="5"/>
  <c r="DN6" i="5"/>
  <c r="DO6" i="5"/>
  <c r="DP6" i="5"/>
  <c r="DQ6" i="5"/>
  <c r="DR6" i="5"/>
  <c r="DS6" i="5"/>
  <c r="DT6" i="5"/>
  <c r="DU6" i="5"/>
  <c r="DV6" i="5"/>
  <c r="DW6" i="5"/>
  <c r="DX6" i="5"/>
  <c r="DY6" i="5"/>
  <c r="DZ6" i="5"/>
  <c r="EA6" i="5"/>
  <c r="EB6" i="5"/>
  <c r="EC6" i="5"/>
  <c r="ED6" i="5"/>
  <c r="EE6" i="5"/>
  <c r="EF6" i="5"/>
  <c r="EG6" i="5"/>
  <c r="EH6" i="5"/>
  <c r="EI6" i="5"/>
  <c r="EJ6" i="5"/>
  <c r="EK6" i="5"/>
  <c r="EL6" i="5"/>
  <c r="EM6" i="5"/>
  <c r="EN6" i="5"/>
  <c r="EO6" i="5"/>
  <c r="EP6" i="5"/>
  <c r="EQ6" i="5"/>
  <c r="ER6" i="5"/>
  <c r="ES6" i="5"/>
  <c r="ET6" i="5"/>
  <c r="EU6" i="5"/>
  <c r="EV6" i="5"/>
  <c r="EW6" i="5"/>
  <c r="EX6" i="5"/>
  <c r="EY6" i="5"/>
  <c r="EZ6" i="5"/>
  <c r="FA6" i="5"/>
  <c r="FB6" i="5"/>
  <c r="FC6" i="5"/>
  <c r="FD6" i="5"/>
  <c r="FE6" i="5"/>
  <c r="FF6" i="5"/>
  <c r="FG6" i="5"/>
  <c r="FH6" i="5"/>
  <c r="FI6" i="5"/>
  <c r="FJ6" i="5"/>
  <c r="FK6" i="5"/>
  <c r="FL6" i="5"/>
  <c r="FM6" i="5"/>
  <c r="FN6" i="5"/>
  <c r="FO6" i="5"/>
  <c r="FP6" i="5"/>
  <c r="FQ6" i="5"/>
  <c r="FR6" i="5"/>
  <c r="FS6" i="5"/>
  <c r="FT6" i="5"/>
  <c r="FU6" i="5"/>
  <c r="FV6" i="5"/>
  <c r="FW6" i="5"/>
  <c r="FX6" i="5"/>
  <c r="FY6" i="5"/>
  <c r="FZ6" i="5"/>
  <c r="GA6" i="5"/>
  <c r="GB6" i="5"/>
  <c r="GC6" i="5"/>
  <c r="GD6" i="5"/>
  <c r="GE6" i="5"/>
  <c r="GF6" i="5"/>
  <c r="GG6" i="5"/>
  <c r="GH6" i="5"/>
  <c r="GI6" i="5"/>
  <c r="GJ6" i="5"/>
  <c r="GK6" i="5"/>
  <c r="GL6" i="5"/>
  <c r="GM6" i="5"/>
  <c r="GN6" i="5"/>
  <c r="GO6" i="5"/>
  <c r="GP6" i="5"/>
  <c r="GQ6" i="5"/>
  <c r="GR6" i="5"/>
  <c r="GS6" i="5"/>
  <c r="GT6" i="5"/>
  <c r="GU6" i="5"/>
  <c r="GV6" i="5"/>
  <c r="GW6" i="5"/>
  <c r="GX6" i="5"/>
  <c r="GY6" i="5"/>
  <c r="GZ6" i="5"/>
  <c r="HA6" i="5"/>
  <c r="HB6" i="5"/>
  <c r="HC6" i="5"/>
  <c r="HD6" i="5"/>
  <c r="HE6" i="5"/>
  <c r="HF6" i="5"/>
  <c r="HG6" i="5"/>
  <c r="HH6" i="5"/>
  <c r="HI6" i="5"/>
  <c r="HJ6" i="5"/>
  <c r="HK6" i="5"/>
  <c r="HL6" i="5"/>
  <c r="HM6" i="5"/>
  <c r="HN6" i="5"/>
  <c r="HO6" i="5"/>
  <c r="HP6" i="5"/>
  <c r="HQ6" i="5"/>
  <c r="HR6" i="5"/>
  <c r="HS6" i="5"/>
  <c r="HT6" i="5"/>
  <c r="HU6" i="5"/>
  <c r="HV6" i="5"/>
  <c r="HW6" i="5"/>
  <c r="HX6" i="5"/>
  <c r="HY6" i="5"/>
  <c r="HZ6" i="5"/>
  <c r="IA6" i="5"/>
  <c r="IB6" i="5"/>
  <c r="IC6" i="5"/>
  <c r="ID6" i="5"/>
  <c r="IE6" i="5"/>
  <c r="IF6" i="5"/>
  <c r="IG6" i="5"/>
  <c r="IH6" i="5"/>
  <c r="II6" i="5"/>
  <c r="IJ6" i="5"/>
  <c r="IK6" i="5"/>
  <c r="IL6" i="5"/>
  <c r="IM6" i="5"/>
  <c r="IN6" i="5"/>
  <c r="IO6" i="5"/>
  <c r="IP6" i="5"/>
  <c r="IQ6" i="5"/>
  <c r="IR6" i="5"/>
  <c r="IS6" i="5"/>
  <c r="IT6" i="5"/>
  <c r="IU6" i="5"/>
  <c r="IV6" i="5"/>
  <c r="IW6" i="5"/>
  <c r="IX6" i="5"/>
  <c r="IY6" i="5"/>
  <c r="IZ6" i="5"/>
  <c r="JA6" i="5"/>
  <c r="JB6" i="5"/>
  <c r="JC6" i="5"/>
  <c r="JD6" i="5"/>
  <c r="JE6" i="5"/>
  <c r="JF6" i="5"/>
  <c r="JG6" i="5"/>
  <c r="JH6" i="5"/>
  <c r="JI6" i="5"/>
  <c r="JJ6" i="5"/>
  <c r="JK6" i="5"/>
  <c r="JL6" i="5"/>
  <c r="JM6" i="5"/>
  <c r="JN6" i="5"/>
  <c r="JO6" i="5"/>
  <c r="JP6" i="5"/>
  <c r="JQ6" i="5"/>
  <c r="JR6" i="5"/>
  <c r="JS6" i="5"/>
  <c r="JT6" i="5"/>
  <c r="JU6" i="5"/>
  <c r="JV6" i="5"/>
  <c r="JW6" i="5"/>
  <c r="JX6" i="5"/>
  <c r="JY6" i="5"/>
  <c r="JZ6" i="5"/>
  <c r="KA6" i="5"/>
  <c r="KB6" i="5"/>
  <c r="KC6" i="5"/>
  <c r="KD6" i="5"/>
  <c r="KE6" i="5"/>
  <c r="KF6" i="5"/>
  <c r="KG6" i="5"/>
  <c r="KH6" i="5"/>
  <c r="KI6" i="5"/>
  <c r="KJ6" i="5"/>
  <c r="KK6" i="5"/>
  <c r="KL6" i="5"/>
  <c r="KM6" i="5"/>
  <c r="KN6" i="5"/>
  <c r="KO6" i="5"/>
  <c r="KP6" i="5"/>
  <c r="KQ6" i="5"/>
  <c r="KR6" i="5"/>
  <c r="KS6" i="5"/>
  <c r="KT6" i="5"/>
  <c r="KU6" i="5"/>
  <c r="KV6" i="5"/>
  <c r="KW6" i="5"/>
  <c r="KX6" i="5"/>
  <c r="KY6" i="5"/>
  <c r="KZ6" i="5"/>
  <c r="LA6" i="5"/>
  <c r="LB6" i="5"/>
  <c r="LC6" i="5"/>
  <c r="LD6" i="5"/>
  <c r="LE6" i="5"/>
  <c r="LF6" i="5"/>
  <c r="LG6" i="5"/>
  <c r="LH6" i="5"/>
  <c r="LI6" i="5"/>
  <c r="LJ6" i="5"/>
  <c r="LK6" i="5"/>
  <c r="LL6" i="5"/>
  <c r="LM6" i="5"/>
  <c r="LN6" i="5"/>
  <c r="LO6" i="5"/>
  <c r="LP6" i="5"/>
  <c r="LQ6" i="5"/>
  <c r="LR6" i="5"/>
  <c r="LS6" i="5"/>
  <c r="LT6" i="5"/>
  <c r="LU6" i="5"/>
  <c r="LV6" i="5"/>
  <c r="LW6" i="5"/>
  <c r="LX6" i="5"/>
  <c r="LY6" i="5"/>
  <c r="LZ6" i="5"/>
  <c r="MA6" i="5"/>
  <c r="MB6" i="5"/>
  <c r="MC6" i="5"/>
  <c r="MD6" i="5"/>
  <c r="ME6" i="5"/>
  <c r="MF6" i="5"/>
  <c r="MG6" i="5"/>
  <c r="MH6" i="5"/>
  <c r="MI6" i="5"/>
  <c r="MJ6" i="5"/>
  <c r="MK6" i="5"/>
  <c r="ML6" i="5"/>
  <c r="MM6" i="5"/>
  <c r="MN6" i="5"/>
  <c r="MO6" i="5"/>
  <c r="MP6" i="5"/>
  <c r="MQ6" i="5"/>
  <c r="MR6" i="5"/>
  <c r="MS6" i="5"/>
  <c r="MT6" i="5"/>
  <c r="MU6" i="5"/>
  <c r="MV6" i="5"/>
  <c r="MW6" i="5"/>
  <c r="MX6" i="5"/>
  <c r="MY6" i="5"/>
  <c r="MZ6" i="5"/>
  <c r="NA6" i="5"/>
  <c r="NB6" i="5"/>
  <c r="NC6" i="5"/>
  <c r="ND6" i="5"/>
  <c r="NE6" i="5"/>
  <c r="NF6" i="5"/>
  <c r="NG6" i="5"/>
  <c r="NH6" i="5"/>
  <c r="NI6" i="5"/>
  <c r="NJ6" i="5"/>
  <c r="NK6" i="5"/>
  <c r="NL6" i="5"/>
  <c r="NM6" i="5"/>
  <c r="NN6" i="5"/>
  <c r="NO6" i="5"/>
  <c r="NP6" i="5"/>
  <c r="NQ6" i="5"/>
  <c r="NR6" i="5"/>
  <c r="NS6" i="5"/>
  <c r="NT6" i="5"/>
  <c r="NU6" i="5"/>
  <c r="NV6" i="5"/>
  <c r="NW6" i="5"/>
  <c r="NX6" i="5"/>
  <c r="NY6" i="5"/>
  <c r="NZ6" i="5"/>
  <c r="OA6" i="5"/>
  <c r="OB6" i="5"/>
  <c r="OC6" i="5"/>
  <c r="OD6" i="5"/>
  <c r="OE6" i="5"/>
  <c r="OF6" i="5"/>
  <c r="OG6" i="5"/>
  <c r="OH6" i="5"/>
  <c r="OI6" i="5"/>
  <c r="OJ6" i="5"/>
  <c r="OK6" i="5"/>
  <c r="OL6" i="5"/>
  <c r="OM6" i="5"/>
  <c r="ON6" i="5"/>
  <c r="OO6" i="5"/>
  <c r="OP6" i="5"/>
  <c r="OQ6" i="5"/>
  <c r="OR6" i="5"/>
  <c r="OS6" i="5"/>
  <c r="OT6" i="5"/>
  <c r="OU6" i="5"/>
  <c r="OV6" i="5"/>
  <c r="OW6" i="5"/>
  <c r="OX6" i="5"/>
  <c r="OY6" i="5"/>
  <c r="OZ6" i="5"/>
  <c r="PA6" i="5"/>
  <c r="PB6" i="5"/>
  <c r="PC6" i="5"/>
  <c r="PD6" i="5"/>
  <c r="PE6" i="5"/>
  <c r="PF6" i="5"/>
  <c r="PG6" i="5"/>
  <c r="PH6" i="5"/>
  <c r="PI6" i="5"/>
  <c r="PJ6" i="5"/>
  <c r="PK6" i="5"/>
  <c r="PL6" i="5"/>
  <c r="PM6" i="5"/>
  <c r="PN6" i="5"/>
  <c r="PO6" i="5"/>
  <c r="PP6" i="5"/>
  <c r="PQ6" i="5"/>
  <c r="PR6" i="5"/>
  <c r="PS6" i="5"/>
  <c r="PT6" i="5"/>
  <c r="PU6" i="5"/>
  <c r="PV6" i="5"/>
  <c r="PW6" i="5"/>
  <c r="PX6" i="5"/>
  <c r="PY6" i="5"/>
  <c r="PZ6" i="5"/>
  <c r="QA6" i="5"/>
  <c r="QB6" i="5"/>
  <c r="QC6" i="5"/>
  <c r="QD6" i="5"/>
  <c r="QE6" i="5"/>
  <c r="QF6" i="5"/>
  <c r="QG6" i="5"/>
  <c r="QH6" i="5"/>
  <c r="QI6" i="5"/>
  <c r="QJ6" i="5"/>
  <c r="QK6" i="5"/>
  <c r="QL6" i="5"/>
  <c r="QM6" i="5"/>
  <c r="QN6" i="5"/>
  <c r="QO6" i="5"/>
  <c r="QP6" i="5"/>
  <c r="QQ6" i="5"/>
  <c r="QR6" i="5"/>
  <c r="QS6" i="5"/>
  <c r="QT6" i="5"/>
  <c r="QU6" i="5"/>
  <c r="QV6" i="5"/>
  <c r="QW6" i="5"/>
  <c r="QX6" i="5"/>
  <c r="QY6" i="5"/>
  <c r="QZ6" i="5"/>
  <c r="RA6" i="5"/>
  <c r="RB6" i="5"/>
  <c r="RC6" i="5"/>
  <c r="RD6" i="5"/>
  <c r="RE6" i="5"/>
  <c r="RF6" i="5"/>
  <c r="RG6" i="5"/>
  <c r="RH6" i="5"/>
  <c r="RI6" i="5"/>
  <c r="RJ6" i="5"/>
  <c r="RK6" i="5"/>
  <c r="RL6" i="5"/>
  <c r="RM6" i="5"/>
  <c r="RN6" i="5"/>
  <c r="RO6" i="5"/>
  <c r="RP6" i="5"/>
  <c r="RQ6" i="5"/>
  <c r="RR6" i="5"/>
  <c r="RS6" i="5"/>
  <c r="RT6" i="5"/>
  <c r="RU6" i="5"/>
  <c r="RV6" i="5"/>
  <c r="RW6" i="5"/>
  <c r="RX6" i="5"/>
  <c r="RY6" i="5"/>
  <c r="RZ6" i="5"/>
  <c r="SA6" i="5"/>
  <c r="SB6" i="5"/>
  <c r="SC6" i="5"/>
  <c r="SD6" i="5"/>
  <c r="SE6" i="5"/>
  <c r="SF6" i="5"/>
  <c r="SG6" i="5"/>
  <c r="SH6" i="5"/>
  <c r="SI6" i="5"/>
  <c r="SJ6" i="5"/>
  <c r="SK6" i="5"/>
  <c r="SL6" i="5"/>
  <c r="SM6" i="5"/>
  <c r="SN6" i="5"/>
  <c r="SO6" i="5"/>
  <c r="SP6" i="5"/>
  <c r="SQ6" i="5"/>
  <c r="SR6" i="5"/>
  <c r="SS6" i="5"/>
  <c r="ST6" i="5"/>
  <c r="SU6" i="5"/>
  <c r="SV6" i="5"/>
  <c r="SW6" i="5"/>
  <c r="SX6" i="5"/>
  <c r="SY6" i="5"/>
  <c r="SZ6" i="5"/>
  <c r="TA6" i="5"/>
  <c r="TB6" i="5"/>
  <c r="TC6" i="5"/>
  <c r="TD6" i="5"/>
  <c r="TE6" i="5"/>
  <c r="TF6" i="5"/>
  <c r="TG6" i="5"/>
  <c r="TH6" i="5"/>
  <c r="TI6" i="5"/>
  <c r="TJ6" i="5"/>
  <c r="TK6" i="5"/>
  <c r="TL6" i="5"/>
  <c r="TM6" i="5"/>
  <c r="TN6" i="5"/>
  <c r="TO6" i="5"/>
  <c r="TP6" i="5"/>
  <c r="TQ6" i="5"/>
  <c r="TR6" i="5"/>
  <c r="TS6" i="5"/>
  <c r="TT6" i="5"/>
  <c r="TU6" i="5"/>
  <c r="TV6" i="5"/>
  <c r="TW6" i="5"/>
  <c r="TX6" i="5"/>
  <c r="TY6" i="5"/>
  <c r="TZ6" i="5"/>
  <c r="UA6" i="5"/>
  <c r="UB6" i="5"/>
  <c r="UC6" i="5"/>
  <c r="UD6" i="5"/>
  <c r="UE6" i="5"/>
  <c r="UF6" i="5"/>
  <c r="UG6" i="5"/>
  <c r="UH6" i="5"/>
  <c r="UI6" i="5"/>
  <c r="UJ6" i="5"/>
  <c r="UK6" i="5"/>
  <c r="K7" i="5"/>
  <c r="L7" i="5"/>
  <c r="M7" i="5"/>
  <c r="N7" i="5"/>
  <c r="O7" i="5"/>
  <c r="P7" i="5"/>
  <c r="Q7" i="5"/>
  <c r="R7" i="5"/>
  <c r="S7" i="5"/>
  <c r="T7" i="5"/>
  <c r="U7" i="5"/>
  <c r="V7" i="5"/>
  <c r="W7" i="5"/>
  <c r="X7" i="5"/>
  <c r="Y7" i="5"/>
  <c r="Z7" i="5"/>
  <c r="AA7" i="5"/>
  <c r="AB7" i="5"/>
  <c r="AC7" i="5"/>
  <c r="AD7" i="5"/>
  <c r="AE7" i="5"/>
  <c r="AF7" i="5"/>
  <c r="AG7" i="5"/>
  <c r="AH7" i="5"/>
  <c r="AI7" i="5"/>
  <c r="AJ7" i="5"/>
  <c r="AK7" i="5"/>
  <c r="AL7" i="5"/>
  <c r="AM7" i="5"/>
  <c r="AN7" i="5"/>
  <c r="AO7" i="5"/>
  <c r="AP7" i="5"/>
  <c r="AQ7" i="5"/>
  <c r="AR7" i="5"/>
  <c r="AS7" i="5"/>
  <c r="AT7" i="5"/>
  <c r="AU7" i="5"/>
  <c r="AV7" i="5"/>
  <c r="AW7" i="5"/>
  <c r="AX7" i="5"/>
  <c r="AY7" i="5"/>
  <c r="AZ7" i="5"/>
  <c r="BA7" i="5"/>
  <c r="BB7" i="5"/>
  <c r="BC7" i="5"/>
  <c r="BD7" i="5"/>
  <c r="BE7" i="5"/>
  <c r="BF7" i="5"/>
  <c r="BG7" i="5"/>
  <c r="BH7" i="5"/>
  <c r="BI7" i="5"/>
  <c r="BJ7" i="5"/>
  <c r="BK7" i="5"/>
  <c r="BL7" i="5"/>
  <c r="BM7" i="5"/>
  <c r="BN7" i="5"/>
  <c r="BO7" i="5"/>
  <c r="BP7" i="5"/>
  <c r="BQ7" i="5"/>
  <c r="BR7" i="5"/>
  <c r="BS7" i="5"/>
  <c r="BT7" i="5"/>
  <c r="BU7" i="5"/>
  <c r="BV7" i="5"/>
  <c r="BW7" i="5"/>
  <c r="BX7" i="5"/>
  <c r="BY7" i="5"/>
  <c r="BZ7" i="5"/>
  <c r="CA7" i="5"/>
  <c r="CB7" i="5"/>
  <c r="CC7" i="5"/>
  <c r="CD7" i="5"/>
  <c r="CE7" i="5"/>
  <c r="CF7" i="5"/>
  <c r="CG7" i="5"/>
  <c r="CH7" i="5"/>
  <c r="CI7" i="5"/>
  <c r="CJ7" i="5"/>
  <c r="CK7" i="5"/>
  <c r="CL7" i="5"/>
  <c r="CM7" i="5"/>
  <c r="CN7" i="5"/>
  <c r="CO7" i="5"/>
  <c r="CP7" i="5"/>
  <c r="CQ7" i="5"/>
  <c r="CR7" i="5"/>
  <c r="CS7" i="5"/>
  <c r="CT7" i="5"/>
  <c r="CU7" i="5"/>
  <c r="CV7" i="5"/>
  <c r="CW7" i="5"/>
  <c r="CX7" i="5"/>
  <c r="CY7" i="5"/>
  <c r="CZ7" i="5"/>
  <c r="DA7" i="5"/>
  <c r="DB7" i="5"/>
  <c r="DC7" i="5"/>
  <c r="DD7" i="5"/>
  <c r="DE7" i="5"/>
  <c r="DF7" i="5"/>
  <c r="DG7" i="5"/>
  <c r="DH7" i="5"/>
  <c r="DI7" i="5"/>
  <c r="DJ7" i="5"/>
  <c r="DK7" i="5"/>
  <c r="DL7" i="5"/>
  <c r="DM7" i="5"/>
  <c r="DN7" i="5"/>
  <c r="DO7" i="5"/>
  <c r="DP7" i="5"/>
  <c r="DQ7" i="5"/>
  <c r="DR7" i="5"/>
  <c r="DS7" i="5"/>
  <c r="DT7" i="5"/>
  <c r="DU7" i="5"/>
  <c r="DV7" i="5"/>
  <c r="DW7" i="5"/>
  <c r="DX7" i="5"/>
  <c r="DY7" i="5"/>
  <c r="DZ7" i="5"/>
  <c r="EA7" i="5"/>
  <c r="EB7" i="5"/>
  <c r="EC7" i="5"/>
  <c r="ED7" i="5"/>
  <c r="EE7" i="5"/>
  <c r="EF7" i="5"/>
  <c r="EG7" i="5"/>
  <c r="EH7" i="5"/>
  <c r="EI7" i="5"/>
  <c r="EJ7" i="5"/>
  <c r="EK7" i="5"/>
  <c r="EL7" i="5"/>
  <c r="EM7" i="5"/>
  <c r="EN7" i="5"/>
  <c r="EO7" i="5"/>
  <c r="EP7" i="5"/>
  <c r="EQ7" i="5"/>
  <c r="ER7" i="5"/>
  <c r="ES7" i="5"/>
  <c r="ET7" i="5"/>
  <c r="EU7" i="5"/>
  <c r="EV7" i="5"/>
  <c r="EW7" i="5"/>
  <c r="EX7" i="5"/>
  <c r="EY7" i="5"/>
  <c r="EZ7" i="5"/>
  <c r="FA7" i="5"/>
  <c r="FB7" i="5"/>
  <c r="FC7" i="5"/>
  <c r="FD7" i="5"/>
  <c r="FE7" i="5"/>
  <c r="FF7" i="5"/>
  <c r="FG7" i="5"/>
  <c r="FH7" i="5"/>
  <c r="FI7" i="5"/>
  <c r="FJ7" i="5"/>
  <c r="FK7" i="5"/>
  <c r="FL7" i="5"/>
  <c r="FM7" i="5"/>
  <c r="FN7" i="5"/>
  <c r="FO7" i="5"/>
  <c r="FP7" i="5"/>
  <c r="FQ7" i="5"/>
  <c r="FR7" i="5"/>
  <c r="FS7" i="5"/>
  <c r="FT7" i="5"/>
  <c r="FU7" i="5"/>
  <c r="FV7" i="5"/>
  <c r="FW7" i="5"/>
  <c r="FX7" i="5"/>
  <c r="FY7" i="5"/>
  <c r="FZ7" i="5"/>
  <c r="GA7" i="5"/>
  <c r="GB7" i="5"/>
  <c r="GC7" i="5"/>
  <c r="GD7" i="5"/>
  <c r="GE7" i="5"/>
  <c r="GF7" i="5"/>
  <c r="GG7" i="5"/>
  <c r="GH7" i="5"/>
  <c r="GI7" i="5"/>
  <c r="GJ7" i="5"/>
  <c r="GK7" i="5"/>
  <c r="GL7" i="5"/>
  <c r="GM7" i="5"/>
  <c r="GN7" i="5"/>
  <c r="GO7" i="5"/>
  <c r="GP7" i="5"/>
  <c r="GQ7" i="5"/>
  <c r="GR7" i="5"/>
  <c r="GS7" i="5"/>
  <c r="GT7" i="5"/>
  <c r="GU7" i="5"/>
  <c r="GV7" i="5"/>
  <c r="GW7" i="5"/>
  <c r="GX7" i="5"/>
  <c r="GY7" i="5"/>
  <c r="GZ7" i="5"/>
  <c r="HA7" i="5"/>
  <c r="HB7" i="5"/>
  <c r="HC7" i="5"/>
  <c r="HD7" i="5"/>
  <c r="HE7" i="5"/>
  <c r="HF7" i="5"/>
  <c r="HG7" i="5"/>
  <c r="HH7" i="5"/>
  <c r="HI7" i="5"/>
  <c r="HJ7" i="5"/>
  <c r="HK7" i="5"/>
  <c r="HL7" i="5"/>
  <c r="HM7" i="5"/>
  <c r="HN7" i="5"/>
  <c r="HO7" i="5"/>
  <c r="HP7" i="5"/>
  <c r="HQ7" i="5"/>
  <c r="HR7" i="5"/>
  <c r="HS7" i="5"/>
  <c r="HT7" i="5"/>
  <c r="HU7" i="5"/>
  <c r="HV7" i="5"/>
  <c r="HW7" i="5"/>
  <c r="HX7" i="5"/>
  <c r="HY7" i="5"/>
  <c r="HZ7" i="5"/>
  <c r="IA7" i="5"/>
  <c r="IB7" i="5"/>
  <c r="IC7" i="5"/>
  <c r="ID7" i="5"/>
  <c r="IE7" i="5"/>
  <c r="IF7" i="5"/>
  <c r="IG7" i="5"/>
  <c r="IH7" i="5"/>
  <c r="II7" i="5"/>
  <c r="IJ7" i="5"/>
  <c r="IK7" i="5"/>
  <c r="IL7" i="5"/>
  <c r="IM7" i="5"/>
  <c r="IN7" i="5"/>
  <c r="IO7" i="5"/>
  <c r="IP7" i="5"/>
  <c r="IQ7" i="5"/>
  <c r="IR7" i="5"/>
  <c r="IS7" i="5"/>
  <c r="IT7" i="5"/>
  <c r="IU7" i="5"/>
  <c r="IV7" i="5"/>
  <c r="IW7" i="5"/>
  <c r="IX7" i="5"/>
  <c r="IY7" i="5"/>
  <c r="IZ7" i="5"/>
  <c r="JA7" i="5"/>
  <c r="JB7" i="5"/>
  <c r="JC7" i="5"/>
  <c r="JD7" i="5"/>
  <c r="JE7" i="5"/>
  <c r="JF7" i="5"/>
  <c r="JG7" i="5"/>
  <c r="JH7" i="5"/>
  <c r="JI7" i="5"/>
  <c r="JJ7" i="5"/>
  <c r="JK7" i="5"/>
  <c r="JL7" i="5"/>
  <c r="JM7" i="5"/>
  <c r="JN7" i="5"/>
  <c r="JO7" i="5"/>
  <c r="JP7" i="5"/>
  <c r="JQ7" i="5"/>
  <c r="JR7" i="5"/>
  <c r="JS7" i="5"/>
  <c r="JT7" i="5"/>
  <c r="JU7" i="5"/>
  <c r="JV7" i="5"/>
  <c r="JW7" i="5"/>
  <c r="JX7" i="5"/>
  <c r="JY7" i="5"/>
  <c r="JZ7" i="5"/>
  <c r="KA7" i="5"/>
  <c r="KB7" i="5"/>
  <c r="KC7" i="5"/>
  <c r="KD7" i="5"/>
  <c r="KE7" i="5"/>
  <c r="KF7" i="5"/>
  <c r="KG7" i="5"/>
  <c r="KH7" i="5"/>
  <c r="KI7" i="5"/>
  <c r="KJ7" i="5"/>
  <c r="KK7" i="5"/>
  <c r="KL7" i="5"/>
  <c r="KM7" i="5"/>
  <c r="KN7" i="5"/>
  <c r="KO7" i="5"/>
  <c r="KP7" i="5"/>
  <c r="KQ7" i="5"/>
  <c r="KR7" i="5"/>
  <c r="KS7" i="5"/>
  <c r="KT7" i="5"/>
  <c r="KU7" i="5"/>
  <c r="KV7" i="5"/>
  <c r="KW7" i="5"/>
  <c r="KX7" i="5"/>
  <c r="KY7" i="5"/>
  <c r="KZ7" i="5"/>
  <c r="LA7" i="5"/>
  <c r="LB7" i="5"/>
  <c r="LC7" i="5"/>
  <c r="LD7" i="5"/>
  <c r="LE7" i="5"/>
  <c r="LF7" i="5"/>
  <c r="LG7" i="5"/>
  <c r="LH7" i="5"/>
  <c r="LI7" i="5"/>
  <c r="LJ7" i="5"/>
  <c r="LK7" i="5"/>
  <c r="LL7" i="5"/>
  <c r="LM7" i="5"/>
  <c r="LN7" i="5"/>
  <c r="LO7" i="5"/>
  <c r="LP7" i="5"/>
  <c r="LQ7" i="5"/>
  <c r="LR7" i="5"/>
  <c r="LS7" i="5"/>
  <c r="LT7" i="5"/>
  <c r="LU7" i="5"/>
  <c r="LV7" i="5"/>
  <c r="LW7" i="5"/>
  <c r="LX7" i="5"/>
  <c r="LY7" i="5"/>
  <c r="LZ7" i="5"/>
  <c r="MA7" i="5"/>
  <c r="MB7" i="5"/>
  <c r="MC7" i="5"/>
  <c r="MD7" i="5"/>
  <c r="ME7" i="5"/>
  <c r="MF7" i="5"/>
  <c r="MG7" i="5"/>
  <c r="MH7" i="5"/>
  <c r="MI7" i="5"/>
  <c r="MJ7" i="5"/>
  <c r="MK7" i="5"/>
  <c r="ML7" i="5"/>
  <c r="MM7" i="5"/>
  <c r="MN7" i="5"/>
  <c r="MO7" i="5"/>
  <c r="MP7" i="5"/>
  <c r="MQ7" i="5"/>
  <c r="MR7" i="5"/>
  <c r="MS7" i="5"/>
  <c r="MT7" i="5"/>
  <c r="MU7" i="5"/>
  <c r="MV7" i="5"/>
  <c r="MW7" i="5"/>
  <c r="MX7" i="5"/>
  <c r="MY7" i="5"/>
  <c r="MZ7" i="5"/>
  <c r="NA7" i="5"/>
  <c r="NB7" i="5"/>
  <c r="NC7" i="5"/>
  <c r="ND7" i="5"/>
  <c r="NE7" i="5"/>
  <c r="NF7" i="5"/>
  <c r="NG7" i="5"/>
  <c r="NH7" i="5"/>
  <c r="NI7" i="5"/>
  <c r="NJ7" i="5"/>
  <c r="NK7" i="5"/>
  <c r="NL7" i="5"/>
  <c r="NM7" i="5"/>
  <c r="NN7" i="5"/>
  <c r="NO7" i="5"/>
  <c r="NP7" i="5"/>
  <c r="NQ7" i="5"/>
  <c r="NR7" i="5"/>
  <c r="NS7" i="5"/>
  <c r="NT7" i="5"/>
  <c r="NU7" i="5"/>
  <c r="NV7" i="5"/>
  <c r="NW7" i="5"/>
  <c r="NX7" i="5"/>
  <c r="NY7" i="5"/>
  <c r="NZ7" i="5"/>
  <c r="OA7" i="5"/>
  <c r="OB7" i="5"/>
  <c r="OC7" i="5"/>
  <c r="OD7" i="5"/>
  <c r="OE7" i="5"/>
  <c r="OF7" i="5"/>
  <c r="OG7" i="5"/>
  <c r="OH7" i="5"/>
  <c r="OI7" i="5"/>
  <c r="OJ7" i="5"/>
  <c r="OK7" i="5"/>
  <c r="OL7" i="5"/>
  <c r="OM7" i="5"/>
  <c r="ON7" i="5"/>
  <c r="OO7" i="5"/>
  <c r="OP7" i="5"/>
  <c r="OQ7" i="5"/>
  <c r="OR7" i="5"/>
  <c r="OS7" i="5"/>
  <c r="OT7" i="5"/>
  <c r="OU7" i="5"/>
  <c r="OV7" i="5"/>
  <c r="OW7" i="5"/>
  <c r="OX7" i="5"/>
  <c r="OY7" i="5"/>
  <c r="OZ7" i="5"/>
  <c r="PA7" i="5"/>
  <c r="PB7" i="5"/>
  <c r="PC7" i="5"/>
  <c r="PD7" i="5"/>
  <c r="PE7" i="5"/>
  <c r="PF7" i="5"/>
  <c r="PG7" i="5"/>
  <c r="PH7" i="5"/>
  <c r="PI7" i="5"/>
  <c r="PJ7" i="5"/>
  <c r="PK7" i="5"/>
  <c r="PL7" i="5"/>
  <c r="PM7" i="5"/>
  <c r="PN7" i="5"/>
  <c r="PO7" i="5"/>
  <c r="PP7" i="5"/>
  <c r="PQ7" i="5"/>
  <c r="PR7" i="5"/>
  <c r="PS7" i="5"/>
  <c r="PT7" i="5"/>
  <c r="PU7" i="5"/>
  <c r="PV7" i="5"/>
  <c r="PW7" i="5"/>
  <c r="PX7" i="5"/>
  <c r="PY7" i="5"/>
  <c r="PZ7" i="5"/>
  <c r="QA7" i="5"/>
  <c r="QB7" i="5"/>
  <c r="QC7" i="5"/>
  <c r="QD7" i="5"/>
  <c r="QE7" i="5"/>
  <c r="QF7" i="5"/>
  <c r="QG7" i="5"/>
  <c r="QH7" i="5"/>
  <c r="QI7" i="5"/>
  <c r="QJ7" i="5"/>
  <c r="QK7" i="5"/>
  <c r="QL7" i="5"/>
  <c r="QM7" i="5"/>
  <c r="QN7" i="5"/>
  <c r="QO7" i="5"/>
  <c r="QP7" i="5"/>
  <c r="QQ7" i="5"/>
  <c r="QR7" i="5"/>
  <c r="QS7" i="5"/>
  <c r="QT7" i="5"/>
  <c r="QU7" i="5"/>
  <c r="QV7" i="5"/>
  <c r="QW7" i="5"/>
  <c r="QX7" i="5"/>
  <c r="QY7" i="5"/>
  <c r="QZ7" i="5"/>
  <c r="RA7" i="5"/>
  <c r="RB7" i="5"/>
  <c r="RC7" i="5"/>
  <c r="RD7" i="5"/>
  <c r="RE7" i="5"/>
  <c r="RF7" i="5"/>
  <c r="RG7" i="5"/>
  <c r="RH7" i="5"/>
  <c r="RI7" i="5"/>
  <c r="RJ7" i="5"/>
  <c r="RK7" i="5"/>
  <c r="RL7" i="5"/>
  <c r="RM7" i="5"/>
  <c r="RN7" i="5"/>
  <c r="RO7" i="5"/>
  <c r="RP7" i="5"/>
  <c r="RQ7" i="5"/>
  <c r="RR7" i="5"/>
  <c r="RS7" i="5"/>
  <c r="RT7" i="5"/>
  <c r="RU7" i="5"/>
  <c r="RV7" i="5"/>
  <c r="RW7" i="5"/>
  <c r="RX7" i="5"/>
  <c r="RY7" i="5"/>
  <c r="RZ7" i="5"/>
  <c r="SA7" i="5"/>
  <c r="SB7" i="5"/>
  <c r="SC7" i="5"/>
  <c r="SD7" i="5"/>
  <c r="SE7" i="5"/>
  <c r="SF7" i="5"/>
  <c r="SG7" i="5"/>
  <c r="SH7" i="5"/>
  <c r="SI7" i="5"/>
  <c r="SJ7" i="5"/>
  <c r="SK7" i="5"/>
  <c r="SL7" i="5"/>
  <c r="SM7" i="5"/>
  <c r="SN7" i="5"/>
  <c r="SO7" i="5"/>
  <c r="SP7" i="5"/>
  <c r="SQ7" i="5"/>
  <c r="SR7" i="5"/>
  <c r="SS7" i="5"/>
  <c r="ST7" i="5"/>
  <c r="SU7" i="5"/>
  <c r="SV7" i="5"/>
  <c r="SW7" i="5"/>
  <c r="SX7" i="5"/>
  <c r="SY7" i="5"/>
  <c r="SZ7" i="5"/>
  <c r="TA7" i="5"/>
  <c r="TB7" i="5"/>
  <c r="TC7" i="5"/>
  <c r="TD7" i="5"/>
  <c r="TE7" i="5"/>
  <c r="TF7" i="5"/>
  <c r="TG7" i="5"/>
  <c r="TH7" i="5"/>
  <c r="TI7" i="5"/>
  <c r="TJ7" i="5"/>
  <c r="TK7" i="5"/>
  <c r="TL7" i="5"/>
  <c r="TM7" i="5"/>
  <c r="TN7" i="5"/>
  <c r="TO7" i="5"/>
  <c r="TP7" i="5"/>
  <c r="TQ7" i="5"/>
  <c r="TR7" i="5"/>
  <c r="TS7" i="5"/>
  <c r="TT7" i="5"/>
  <c r="TU7" i="5"/>
  <c r="TV7" i="5"/>
  <c r="TW7" i="5"/>
  <c r="TX7" i="5"/>
  <c r="TY7" i="5"/>
  <c r="TZ7" i="5"/>
  <c r="UA7" i="5"/>
  <c r="UB7" i="5"/>
  <c r="UC7" i="5"/>
  <c r="UD7" i="5"/>
  <c r="UE7" i="5"/>
  <c r="UF7" i="5"/>
  <c r="UG7" i="5"/>
  <c r="UH7" i="5"/>
  <c r="UI7" i="5"/>
  <c r="UJ7" i="5"/>
  <c r="UK7" i="5"/>
  <c r="K8" i="5"/>
  <c r="L8" i="5"/>
  <c r="M8" i="5"/>
  <c r="N8" i="5"/>
  <c r="O8" i="5"/>
  <c r="P8" i="5"/>
  <c r="Q8" i="5"/>
  <c r="R8" i="5"/>
  <c r="S8" i="5"/>
  <c r="T8" i="5"/>
  <c r="U8" i="5"/>
  <c r="V8" i="5"/>
  <c r="W8" i="5"/>
  <c r="X8" i="5"/>
  <c r="Y8" i="5"/>
  <c r="Z8" i="5"/>
  <c r="AA8" i="5"/>
  <c r="AB8" i="5"/>
  <c r="AC8" i="5"/>
  <c r="AD8" i="5"/>
  <c r="AE8" i="5"/>
  <c r="AF8" i="5"/>
  <c r="AG8" i="5"/>
  <c r="AH8" i="5"/>
  <c r="AI8" i="5"/>
  <c r="AJ8" i="5"/>
  <c r="AK8" i="5"/>
  <c r="AL8" i="5"/>
  <c r="AM8" i="5"/>
  <c r="AN8" i="5"/>
  <c r="AO8" i="5"/>
  <c r="AP8" i="5"/>
  <c r="AQ8" i="5"/>
  <c r="AR8" i="5"/>
  <c r="AS8" i="5"/>
  <c r="AT8" i="5"/>
  <c r="AU8" i="5"/>
  <c r="AV8" i="5"/>
  <c r="AW8" i="5"/>
  <c r="AX8" i="5"/>
  <c r="AY8" i="5"/>
  <c r="AZ8" i="5"/>
  <c r="BA8" i="5"/>
  <c r="BB8" i="5"/>
  <c r="BC8" i="5"/>
  <c r="BD8" i="5"/>
  <c r="BE8" i="5"/>
  <c r="BF8" i="5"/>
  <c r="BG8" i="5"/>
  <c r="BH8" i="5"/>
  <c r="BI8" i="5"/>
  <c r="BJ8" i="5"/>
  <c r="BK8" i="5"/>
  <c r="BL8" i="5"/>
  <c r="BM8" i="5"/>
  <c r="BN8" i="5"/>
  <c r="BO8" i="5"/>
  <c r="BP8" i="5"/>
  <c r="BQ8" i="5"/>
  <c r="BR8" i="5"/>
  <c r="BS8" i="5"/>
  <c r="BT8" i="5"/>
  <c r="BU8" i="5"/>
  <c r="BV8" i="5"/>
  <c r="BW8" i="5"/>
  <c r="BX8" i="5"/>
  <c r="BY8" i="5"/>
  <c r="BZ8" i="5"/>
  <c r="CA8" i="5"/>
  <c r="CB8" i="5"/>
  <c r="CC8" i="5"/>
  <c r="CD8" i="5"/>
  <c r="CE8" i="5"/>
  <c r="CF8" i="5"/>
  <c r="CG8" i="5"/>
  <c r="CH8" i="5"/>
  <c r="CI8" i="5"/>
  <c r="CJ8" i="5"/>
  <c r="CK8" i="5"/>
  <c r="CL8" i="5"/>
  <c r="CM8" i="5"/>
  <c r="CN8" i="5"/>
  <c r="CO8" i="5"/>
  <c r="CP8" i="5"/>
  <c r="CQ8" i="5"/>
  <c r="CR8" i="5"/>
  <c r="CS8" i="5"/>
  <c r="CT8" i="5"/>
  <c r="CU8" i="5"/>
  <c r="CV8" i="5"/>
  <c r="CW8" i="5"/>
  <c r="CX8" i="5"/>
  <c r="CY8" i="5"/>
  <c r="CZ8" i="5"/>
  <c r="DA8" i="5"/>
  <c r="DB8" i="5"/>
  <c r="DC8" i="5"/>
  <c r="DD8" i="5"/>
  <c r="DE8" i="5"/>
  <c r="DF8" i="5"/>
  <c r="DG8" i="5"/>
  <c r="DH8" i="5"/>
  <c r="DI8" i="5"/>
  <c r="DJ8" i="5"/>
  <c r="DK8" i="5"/>
  <c r="DL8" i="5"/>
  <c r="DM8" i="5"/>
  <c r="DN8" i="5"/>
  <c r="DO8" i="5"/>
  <c r="DP8" i="5"/>
  <c r="DQ8" i="5"/>
  <c r="DR8" i="5"/>
  <c r="DS8" i="5"/>
  <c r="DT8" i="5"/>
  <c r="DU8" i="5"/>
  <c r="DV8" i="5"/>
  <c r="DW8" i="5"/>
  <c r="DX8" i="5"/>
  <c r="DY8" i="5"/>
  <c r="DZ8" i="5"/>
  <c r="EA8" i="5"/>
  <c r="EB8" i="5"/>
  <c r="EC8" i="5"/>
  <c r="ED8" i="5"/>
  <c r="EE8" i="5"/>
  <c r="EF8" i="5"/>
  <c r="EG8" i="5"/>
  <c r="EH8" i="5"/>
  <c r="EI8" i="5"/>
  <c r="EJ8" i="5"/>
  <c r="EK8" i="5"/>
  <c r="EL8" i="5"/>
  <c r="EM8" i="5"/>
  <c r="EN8" i="5"/>
  <c r="EO8" i="5"/>
  <c r="EP8" i="5"/>
  <c r="EQ8" i="5"/>
  <c r="ER8" i="5"/>
  <c r="ES8" i="5"/>
  <c r="ET8" i="5"/>
  <c r="EU8" i="5"/>
  <c r="EV8" i="5"/>
  <c r="EW8" i="5"/>
  <c r="EX8" i="5"/>
  <c r="EY8" i="5"/>
  <c r="EZ8" i="5"/>
  <c r="FA8" i="5"/>
  <c r="FB8" i="5"/>
  <c r="FC8" i="5"/>
  <c r="FD8" i="5"/>
  <c r="FE8" i="5"/>
  <c r="FF8" i="5"/>
  <c r="FG8" i="5"/>
  <c r="FH8" i="5"/>
  <c r="FI8" i="5"/>
  <c r="FJ8" i="5"/>
  <c r="FK8" i="5"/>
  <c r="FL8" i="5"/>
  <c r="FM8" i="5"/>
  <c r="FN8" i="5"/>
  <c r="FO8" i="5"/>
  <c r="FP8" i="5"/>
  <c r="FQ8" i="5"/>
  <c r="FR8" i="5"/>
  <c r="FS8" i="5"/>
  <c r="FT8" i="5"/>
  <c r="FU8" i="5"/>
  <c r="FV8" i="5"/>
  <c r="FW8" i="5"/>
  <c r="FX8" i="5"/>
  <c r="FY8" i="5"/>
  <c r="FZ8" i="5"/>
  <c r="GA8" i="5"/>
  <c r="GB8" i="5"/>
  <c r="GC8" i="5"/>
  <c r="GD8" i="5"/>
  <c r="GE8" i="5"/>
  <c r="GF8" i="5"/>
  <c r="GG8" i="5"/>
  <c r="GH8" i="5"/>
  <c r="GI8" i="5"/>
  <c r="GJ8" i="5"/>
  <c r="GK8" i="5"/>
  <c r="GL8" i="5"/>
  <c r="GM8" i="5"/>
  <c r="GN8" i="5"/>
  <c r="GO8" i="5"/>
  <c r="GP8" i="5"/>
  <c r="GQ8" i="5"/>
  <c r="GR8" i="5"/>
  <c r="GS8" i="5"/>
  <c r="GT8" i="5"/>
  <c r="GU8" i="5"/>
  <c r="GV8" i="5"/>
  <c r="GW8" i="5"/>
  <c r="GX8" i="5"/>
  <c r="GY8" i="5"/>
  <c r="GZ8" i="5"/>
  <c r="HA8" i="5"/>
  <c r="HB8" i="5"/>
  <c r="HC8" i="5"/>
  <c r="HD8" i="5"/>
  <c r="HE8" i="5"/>
  <c r="HF8" i="5"/>
  <c r="HG8" i="5"/>
  <c r="HH8" i="5"/>
  <c r="HI8" i="5"/>
  <c r="HJ8" i="5"/>
  <c r="HK8" i="5"/>
  <c r="HL8" i="5"/>
  <c r="HM8" i="5"/>
  <c r="HN8" i="5"/>
  <c r="HO8" i="5"/>
  <c r="HP8" i="5"/>
  <c r="HQ8" i="5"/>
  <c r="HR8" i="5"/>
  <c r="HS8" i="5"/>
  <c r="HT8" i="5"/>
  <c r="HU8" i="5"/>
  <c r="HV8" i="5"/>
  <c r="HW8" i="5"/>
  <c r="HX8" i="5"/>
  <c r="HY8" i="5"/>
  <c r="HZ8" i="5"/>
  <c r="IA8" i="5"/>
  <c r="IB8" i="5"/>
  <c r="IC8" i="5"/>
  <c r="ID8" i="5"/>
  <c r="IE8" i="5"/>
  <c r="IF8" i="5"/>
  <c r="IG8" i="5"/>
  <c r="IH8" i="5"/>
  <c r="II8" i="5"/>
  <c r="IJ8" i="5"/>
  <c r="IK8" i="5"/>
  <c r="IL8" i="5"/>
  <c r="IM8" i="5"/>
  <c r="IN8" i="5"/>
  <c r="IO8" i="5"/>
  <c r="IP8" i="5"/>
  <c r="IQ8" i="5"/>
  <c r="IR8" i="5"/>
  <c r="IS8" i="5"/>
  <c r="IT8" i="5"/>
  <c r="IU8" i="5"/>
  <c r="IV8" i="5"/>
  <c r="IW8" i="5"/>
  <c r="IX8" i="5"/>
  <c r="IY8" i="5"/>
  <c r="IZ8" i="5"/>
  <c r="JA8" i="5"/>
  <c r="JB8" i="5"/>
  <c r="JC8" i="5"/>
  <c r="JD8" i="5"/>
  <c r="JE8" i="5"/>
  <c r="JF8" i="5"/>
  <c r="JG8" i="5"/>
  <c r="JH8" i="5"/>
  <c r="JI8" i="5"/>
  <c r="JJ8" i="5"/>
  <c r="JK8" i="5"/>
  <c r="JL8" i="5"/>
  <c r="JM8" i="5"/>
  <c r="JN8" i="5"/>
  <c r="JO8" i="5"/>
  <c r="JP8" i="5"/>
  <c r="JQ8" i="5"/>
  <c r="JR8" i="5"/>
  <c r="JS8" i="5"/>
  <c r="JT8" i="5"/>
  <c r="JU8" i="5"/>
  <c r="JV8" i="5"/>
  <c r="JW8" i="5"/>
  <c r="JX8" i="5"/>
  <c r="JY8" i="5"/>
  <c r="JZ8" i="5"/>
  <c r="KA8" i="5"/>
  <c r="KB8" i="5"/>
  <c r="KC8" i="5"/>
  <c r="KD8" i="5"/>
  <c r="KE8" i="5"/>
  <c r="KF8" i="5"/>
  <c r="KG8" i="5"/>
  <c r="KH8" i="5"/>
  <c r="KI8" i="5"/>
  <c r="KJ8" i="5"/>
  <c r="KK8" i="5"/>
  <c r="KL8" i="5"/>
  <c r="KM8" i="5"/>
  <c r="KN8" i="5"/>
  <c r="KO8" i="5"/>
  <c r="KP8" i="5"/>
  <c r="KQ8" i="5"/>
  <c r="KR8" i="5"/>
  <c r="KS8" i="5"/>
  <c r="KT8" i="5"/>
  <c r="KU8" i="5"/>
  <c r="KV8" i="5"/>
  <c r="KW8" i="5"/>
  <c r="KX8" i="5"/>
  <c r="KY8" i="5"/>
  <c r="KZ8" i="5"/>
  <c r="LA8" i="5"/>
  <c r="LB8" i="5"/>
  <c r="LC8" i="5"/>
  <c r="LD8" i="5"/>
  <c r="LE8" i="5"/>
  <c r="LF8" i="5"/>
  <c r="LG8" i="5"/>
  <c r="LH8" i="5"/>
  <c r="LI8" i="5"/>
  <c r="LJ8" i="5"/>
  <c r="LK8" i="5"/>
  <c r="LL8" i="5"/>
  <c r="LM8" i="5"/>
  <c r="LN8" i="5"/>
  <c r="LO8" i="5"/>
  <c r="LP8" i="5"/>
  <c r="LQ8" i="5"/>
  <c r="LR8" i="5"/>
  <c r="LS8" i="5"/>
  <c r="LT8" i="5"/>
  <c r="LU8" i="5"/>
  <c r="LV8" i="5"/>
  <c r="LW8" i="5"/>
  <c r="LX8" i="5"/>
  <c r="LY8" i="5"/>
  <c r="LZ8" i="5"/>
  <c r="MA8" i="5"/>
  <c r="MB8" i="5"/>
  <c r="MC8" i="5"/>
  <c r="MD8" i="5"/>
  <c r="ME8" i="5"/>
  <c r="MF8" i="5"/>
  <c r="MG8" i="5"/>
  <c r="MH8" i="5"/>
  <c r="MI8" i="5"/>
  <c r="MJ8" i="5"/>
  <c r="MK8" i="5"/>
  <c r="ML8" i="5"/>
  <c r="MM8" i="5"/>
  <c r="MN8" i="5"/>
  <c r="MO8" i="5"/>
  <c r="MP8" i="5"/>
  <c r="MQ8" i="5"/>
  <c r="MR8" i="5"/>
  <c r="MS8" i="5"/>
  <c r="MT8" i="5"/>
  <c r="MU8" i="5"/>
  <c r="MV8" i="5"/>
  <c r="MW8" i="5"/>
  <c r="MX8" i="5"/>
  <c r="MY8" i="5"/>
  <c r="MZ8" i="5"/>
  <c r="NA8" i="5"/>
  <c r="NB8" i="5"/>
  <c r="NC8" i="5"/>
  <c r="ND8" i="5"/>
  <c r="NE8" i="5"/>
  <c r="NF8" i="5"/>
  <c r="NG8" i="5"/>
  <c r="NH8" i="5"/>
  <c r="NI8" i="5"/>
  <c r="NJ8" i="5"/>
  <c r="NK8" i="5"/>
  <c r="NL8" i="5"/>
  <c r="NM8" i="5"/>
  <c r="NN8" i="5"/>
  <c r="NO8" i="5"/>
  <c r="NP8" i="5"/>
  <c r="NQ8" i="5"/>
  <c r="NR8" i="5"/>
  <c r="NS8" i="5"/>
  <c r="NT8" i="5"/>
  <c r="NU8" i="5"/>
  <c r="NV8" i="5"/>
  <c r="NW8" i="5"/>
  <c r="NX8" i="5"/>
  <c r="NY8" i="5"/>
  <c r="NZ8" i="5"/>
  <c r="OA8" i="5"/>
  <c r="OB8" i="5"/>
  <c r="OC8" i="5"/>
  <c r="OD8" i="5"/>
  <c r="OE8" i="5"/>
  <c r="OF8" i="5"/>
  <c r="OG8" i="5"/>
  <c r="OH8" i="5"/>
  <c r="OI8" i="5"/>
  <c r="OJ8" i="5"/>
  <c r="OK8" i="5"/>
  <c r="OL8" i="5"/>
  <c r="OM8" i="5"/>
  <c r="ON8" i="5"/>
  <c r="OO8" i="5"/>
  <c r="OP8" i="5"/>
  <c r="OQ8" i="5"/>
  <c r="OR8" i="5"/>
  <c r="OS8" i="5"/>
  <c r="OT8" i="5"/>
  <c r="OU8" i="5"/>
  <c r="OV8" i="5"/>
  <c r="OW8" i="5"/>
  <c r="OX8" i="5"/>
  <c r="OY8" i="5"/>
  <c r="OZ8" i="5"/>
  <c r="PA8" i="5"/>
  <c r="PB8" i="5"/>
  <c r="PC8" i="5"/>
  <c r="PD8" i="5"/>
  <c r="PE8" i="5"/>
  <c r="PF8" i="5"/>
  <c r="PG8" i="5"/>
  <c r="PH8" i="5"/>
  <c r="PI8" i="5"/>
  <c r="PJ8" i="5"/>
  <c r="PK8" i="5"/>
  <c r="PL8" i="5"/>
  <c r="PM8" i="5"/>
  <c r="PN8" i="5"/>
  <c r="PO8" i="5"/>
  <c r="PP8" i="5"/>
  <c r="PQ8" i="5"/>
  <c r="PR8" i="5"/>
  <c r="PS8" i="5"/>
  <c r="PT8" i="5"/>
  <c r="PU8" i="5"/>
  <c r="PV8" i="5"/>
  <c r="PW8" i="5"/>
  <c r="PX8" i="5"/>
  <c r="PY8" i="5"/>
  <c r="PZ8" i="5"/>
  <c r="QA8" i="5"/>
  <c r="QB8" i="5"/>
  <c r="QC8" i="5"/>
  <c r="QD8" i="5"/>
  <c r="QE8" i="5"/>
  <c r="QF8" i="5"/>
  <c r="QG8" i="5"/>
  <c r="QH8" i="5"/>
  <c r="QI8" i="5"/>
  <c r="QJ8" i="5"/>
  <c r="QK8" i="5"/>
  <c r="QL8" i="5"/>
  <c r="QM8" i="5"/>
  <c r="QN8" i="5"/>
  <c r="QO8" i="5"/>
  <c r="QP8" i="5"/>
  <c r="QQ8" i="5"/>
  <c r="QR8" i="5"/>
  <c r="QS8" i="5"/>
  <c r="QT8" i="5"/>
  <c r="QU8" i="5"/>
  <c r="QV8" i="5"/>
  <c r="QW8" i="5"/>
  <c r="QX8" i="5"/>
  <c r="QY8" i="5"/>
  <c r="QZ8" i="5"/>
  <c r="RA8" i="5"/>
  <c r="RB8" i="5"/>
  <c r="RC8" i="5"/>
  <c r="RD8" i="5"/>
  <c r="RE8" i="5"/>
  <c r="RF8" i="5"/>
  <c r="RG8" i="5"/>
  <c r="RH8" i="5"/>
  <c r="RI8" i="5"/>
  <c r="RJ8" i="5"/>
  <c r="RK8" i="5"/>
  <c r="RL8" i="5"/>
  <c r="RM8" i="5"/>
  <c r="RN8" i="5"/>
  <c r="RO8" i="5"/>
  <c r="RP8" i="5"/>
  <c r="RQ8" i="5"/>
  <c r="RR8" i="5"/>
  <c r="RS8" i="5"/>
  <c r="RT8" i="5"/>
  <c r="RU8" i="5"/>
  <c r="RV8" i="5"/>
  <c r="RW8" i="5"/>
  <c r="RX8" i="5"/>
  <c r="RY8" i="5"/>
  <c r="RZ8" i="5"/>
  <c r="SA8" i="5"/>
  <c r="SB8" i="5"/>
  <c r="SC8" i="5"/>
  <c r="SD8" i="5"/>
  <c r="SE8" i="5"/>
  <c r="SF8" i="5"/>
  <c r="SG8" i="5"/>
  <c r="SH8" i="5"/>
  <c r="SI8" i="5"/>
  <c r="SJ8" i="5"/>
  <c r="SK8" i="5"/>
  <c r="SL8" i="5"/>
  <c r="SM8" i="5"/>
  <c r="SN8" i="5"/>
  <c r="SO8" i="5"/>
  <c r="SP8" i="5"/>
  <c r="SQ8" i="5"/>
  <c r="SR8" i="5"/>
  <c r="SS8" i="5"/>
  <c r="ST8" i="5"/>
  <c r="SU8" i="5"/>
  <c r="SV8" i="5"/>
  <c r="SW8" i="5"/>
  <c r="SX8" i="5"/>
  <c r="SY8" i="5"/>
  <c r="SZ8" i="5"/>
  <c r="TA8" i="5"/>
  <c r="TB8" i="5"/>
  <c r="TC8" i="5"/>
  <c r="TD8" i="5"/>
  <c r="TE8" i="5"/>
  <c r="TF8" i="5"/>
  <c r="TG8" i="5"/>
  <c r="TH8" i="5"/>
  <c r="TI8" i="5"/>
  <c r="TJ8" i="5"/>
  <c r="TK8" i="5"/>
  <c r="TL8" i="5"/>
  <c r="TM8" i="5"/>
  <c r="TN8" i="5"/>
  <c r="TO8" i="5"/>
  <c r="TP8" i="5"/>
  <c r="TQ8" i="5"/>
  <c r="TR8" i="5"/>
  <c r="TS8" i="5"/>
  <c r="TT8" i="5"/>
  <c r="TU8" i="5"/>
  <c r="TV8" i="5"/>
  <c r="TW8" i="5"/>
  <c r="TX8" i="5"/>
  <c r="TY8" i="5"/>
  <c r="TZ8" i="5"/>
  <c r="UA8" i="5"/>
  <c r="UB8" i="5"/>
  <c r="UC8" i="5"/>
  <c r="UD8" i="5"/>
  <c r="UE8" i="5"/>
  <c r="UF8" i="5"/>
  <c r="UG8" i="5"/>
  <c r="UH8" i="5"/>
  <c r="UI8" i="5"/>
  <c r="UJ8" i="5"/>
  <c r="UK8" i="5"/>
  <c r="K9" i="5"/>
  <c r="L9" i="5"/>
  <c r="M9" i="5"/>
  <c r="N9" i="5"/>
  <c r="O9" i="5"/>
  <c r="P9" i="5"/>
  <c r="Q9" i="5"/>
  <c r="R9" i="5"/>
  <c r="S9" i="5"/>
  <c r="T9" i="5"/>
  <c r="U9" i="5"/>
  <c r="V9" i="5"/>
  <c r="W9" i="5"/>
  <c r="X9" i="5"/>
  <c r="Y9" i="5"/>
  <c r="Z9" i="5"/>
  <c r="AA9" i="5"/>
  <c r="AB9" i="5"/>
  <c r="AC9" i="5"/>
  <c r="AD9" i="5"/>
  <c r="AE9" i="5"/>
  <c r="AF9" i="5"/>
  <c r="AG9" i="5"/>
  <c r="AH9" i="5"/>
  <c r="AI9" i="5"/>
  <c r="AJ9" i="5"/>
  <c r="AK9" i="5"/>
  <c r="AL9" i="5"/>
  <c r="AM9" i="5"/>
  <c r="AN9" i="5"/>
  <c r="AO9" i="5"/>
  <c r="AP9" i="5"/>
  <c r="AQ9" i="5"/>
  <c r="AR9" i="5"/>
  <c r="AS9" i="5"/>
  <c r="AT9" i="5"/>
  <c r="AU9" i="5"/>
  <c r="AV9" i="5"/>
  <c r="AW9" i="5"/>
  <c r="AX9" i="5"/>
  <c r="AY9" i="5"/>
  <c r="AZ9" i="5"/>
  <c r="BA9" i="5"/>
  <c r="BB9" i="5"/>
  <c r="BC9" i="5"/>
  <c r="BD9" i="5"/>
  <c r="BE9" i="5"/>
  <c r="BF9" i="5"/>
  <c r="BG9" i="5"/>
  <c r="BH9" i="5"/>
  <c r="BI9" i="5"/>
  <c r="BJ9" i="5"/>
  <c r="BK9" i="5"/>
  <c r="BL9" i="5"/>
  <c r="BM9" i="5"/>
  <c r="BN9" i="5"/>
  <c r="BO9" i="5"/>
  <c r="BP9" i="5"/>
  <c r="BQ9" i="5"/>
  <c r="BR9" i="5"/>
  <c r="BS9" i="5"/>
  <c r="BT9" i="5"/>
  <c r="BU9" i="5"/>
  <c r="BV9" i="5"/>
  <c r="BW9" i="5"/>
  <c r="BX9" i="5"/>
  <c r="BY9" i="5"/>
  <c r="BZ9" i="5"/>
  <c r="CA9" i="5"/>
  <c r="CB9" i="5"/>
  <c r="CC9" i="5"/>
  <c r="CD9" i="5"/>
  <c r="CE9" i="5"/>
  <c r="CF9" i="5"/>
  <c r="CG9" i="5"/>
  <c r="CH9" i="5"/>
  <c r="CI9" i="5"/>
  <c r="CJ9" i="5"/>
  <c r="CK9" i="5"/>
  <c r="CL9" i="5"/>
  <c r="CM9" i="5"/>
  <c r="CN9" i="5"/>
  <c r="CO9" i="5"/>
  <c r="CP9" i="5"/>
  <c r="CQ9" i="5"/>
  <c r="CR9" i="5"/>
  <c r="CS9" i="5"/>
  <c r="CT9" i="5"/>
  <c r="CU9" i="5"/>
  <c r="CV9" i="5"/>
  <c r="CW9" i="5"/>
  <c r="CX9" i="5"/>
  <c r="CY9" i="5"/>
  <c r="CZ9" i="5"/>
  <c r="DA9" i="5"/>
  <c r="DB9" i="5"/>
  <c r="DC9" i="5"/>
  <c r="DD9" i="5"/>
  <c r="DE9" i="5"/>
  <c r="DF9" i="5"/>
  <c r="DG9" i="5"/>
  <c r="DH9" i="5"/>
  <c r="DI9" i="5"/>
  <c r="DJ9" i="5"/>
  <c r="DK9" i="5"/>
  <c r="DL9" i="5"/>
  <c r="DM9" i="5"/>
  <c r="DN9" i="5"/>
  <c r="DO9" i="5"/>
  <c r="DP9" i="5"/>
  <c r="DQ9" i="5"/>
  <c r="DR9" i="5"/>
  <c r="DS9" i="5"/>
  <c r="DT9" i="5"/>
  <c r="DU9" i="5"/>
  <c r="DV9" i="5"/>
  <c r="DW9" i="5"/>
  <c r="DX9" i="5"/>
  <c r="DY9" i="5"/>
  <c r="DZ9" i="5"/>
  <c r="EA9" i="5"/>
  <c r="EB9" i="5"/>
  <c r="EC9" i="5"/>
  <c r="ED9" i="5"/>
  <c r="EE9" i="5"/>
  <c r="EF9" i="5"/>
  <c r="EG9" i="5"/>
  <c r="EH9" i="5"/>
  <c r="EI9" i="5"/>
  <c r="EJ9" i="5"/>
  <c r="EK9" i="5"/>
  <c r="EL9" i="5"/>
  <c r="EM9" i="5"/>
  <c r="EN9" i="5"/>
  <c r="EO9" i="5"/>
  <c r="EP9" i="5"/>
  <c r="EQ9" i="5"/>
  <c r="ER9" i="5"/>
  <c r="ES9" i="5"/>
  <c r="ET9" i="5"/>
  <c r="EU9" i="5"/>
  <c r="EV9" i="5"/>
  <c r="EW9" i="5"/>
  <c r="EX9" i="5"/>
  <c r="EY9" i="5"/>
  <c r="EZ9" i="5"/>
  <c r="FA9" i="5"/>
  <c r="FB9" i="5"/>
  <c r="FC9" i="5"/>
  <c r="FD9" i="5"/>
  <c r="FE9" i="5"/>
  <c r="FF9" i="5"/>
  <c r="FG9" i="5"/>
  <c r="FH9" i="5"/>
  <c r="FI9" i="5"/>
  <c r="FJ9" i="5"/>
  <c r="FK9" i="5"/>
  <c r="FL9" i="5"/>
  <c r="FM9" i="5"/>
  <c r="FN9" i="5"/>
  <c r="FO9" i="5"/>
  <c r="FP9" i="5"/>
  <c r="FQ9" i="5"/>
  <c r="FR9" i="5"/>
  <c r="FS9" i="5"/>
  <c r="FT9" i="5"/>
  <c r="FU9" i="5"/>
  <c r="FV9" i="5"/>
  <c r="FW9" i="5"/>
  <c r="FX9" i="5"/>
  <c r="FY9" i="5"/>
  <c r="FZ9" i="5"/>
  <c r="GA9" i="5"/>
  <c r="GB9" i="5"/>
  <c r="GC9" i="5"/>
  <c r="GD9" i="5"/>
  <c r="GE9" i="5"/>
  <c r="GF9" i="5"/>
  <c r="GG9" i="5"/>
  <c r="GH9" i="5"/>
  <c r="GI9" i="5"/>
  <c r="GJ9" i="5"/>
  <c r="GK9" i="5"/>
  <c r="GL9" i="5"/>
  <c r="GM9" i="5"/>
  <c r="GN9" i="5"/>
  <c r="GO9" i="5"/>
  <c r="GP9" i="5"/>
  <c r="GQ9" i="5"/>
  <c r="GR9" i="5"/>
  <c r="GS9" i="5"/>
  <c r="GT9" i="5"/>
  <c r="GU9" i="5"/>
  <c r="GV9" i="5"/>
  <c r="GW9" i="5"/>
  <c r="GX9" i="5"/>
  <c r="GY9" i="5"/>
  <c r="GZ9" i="5"/>
  <c r="HA9" i="5"/>
  <c r="HB9" i="5"/>
  <c r="HC9" i="5"/>
  <c r="HD9" i="5"/>
  <c r="HE9" i="5"/>
  <c r="HF9" i="5"/>
  <c r="HG9" i="5"/>
  <c r="HH9" i="5"/>
  <c r="HI9" i="5"/>
  <c r="HJ9" i="5"/>
  <c r="HK9" i="5"/>
  <c r="HL9" i="5"/>
  <c r="HM9" i="5"/>
  <c r="HN9" i="5"/>
  <c r="HO9" i="5"/>
  <c r="HP9" i="5"/>
  <c r="HQ9" i="5"/>
  <c r="HR9" i="5"/>
  <c r="HS9" i="5"/>
  <c r="HT9" i="5"/>
  <c r="HU9" i="5"/>
  <c r="HV9" i="5"/>
  <c r="HW9" i="5"/>
  <c r="HX9" i="5"/>
  <c r="HY9" i="5"/>
  <c r="HZ9" i="5"/>
  <c r="IA9" i="5"/>
  <c r="IB9" i="5"/>
  <c r="IC9" i="5"/>
  <c r="ID9" i="5"/>
  <c r="IE9" i="5"/>
  <c r="IF9" i="5"/>
  <c r="IG9" i="5"/>
  <c r="IH9" i="5"/>
  <c r="II9" i="5"/>
  <c r="IJ9" i="5"/>
  <c r="IK9" i="5"/>
  <c r="IL9" i="5"/>
  <c r="IM9" i="5"/>
  <c r="IN9" i="5"/>
  <c r="IO9" i="5"/>
  <c r="IP9" i="5"/>
  <c r="IQ9" i="5"/>
  <c r="IR9" i="5"/>
  <c r="IS9" i="5"/>
  <c r="IT9" i="5"/>
  <c r="IU9" i="5"/>
  <c r="IV9" i="5"/>
  <c r="IW9" i="5"/>
  <c r="IX9" i="5"/>
  <c r="IY9" i="5"/>
  <c r="IZ9" i="5"/>
  <c r="JA9" i="5"/>
  <c r="JB9" i="5"/>
  <c r="JC9" i="5"/>
  <c r="JD9" i="5"/>
  <c r="JE9" i="5"/>
  <c r="JF9" i="5"/>
  <c r="JG9" i="5"/>
  <c r="JH9" i="5"/>
  <c r="JI9" i="5"/>
  <c r="JJ9" i="5"/>
  <c r="JK9" i="5"/>
  <c r="JL9" i="5"/>
  <c r="JM9" i="5"/>
  <c r="JN9" i="5"/>
  <c r="JO9" i="5"/>
  <c r="JP9" i="5"/>
  <c r="JQ9" i="5"/>
  <c r="JR9" i="5"/>
  <c r="JS9" i="5"/>
  <c r="JT9" i="5"/>
  <c r="JU9" i="5"/>
  <c r="JV9" i="5"/>
  <c r="JW9" i="5"/>
  <c r="JX9" i="5"/>
  <c r="JY9" i="5"/>
  <c r="JZ9" i="5"/>
  <c r="KA9" i="5"/>
  <c r="KB9" i="5"/>
  <c r="KC9" i="5"/>
  <c r="KD9" i="5"/>
  <c r="KE9" i="5"/>
  <c r="KF9" i="5"/>
  <c r="KG9" i="5"/>
  <c r="KH9" i="5"/>
  <c r="KI9" i="5"/>
  <c r="KJ9" i="5"/>
  <c r="KK9" i="5"/>
  <c r="KL9" i="5"/>
  <c r="KM9" i="5"/>
  <c r="KN9" i="5"/>
  <c r="KO9" i="5"/>
  <c r="KP9" i="5"/>
  <c r="KQ9" i="5"/>
  <c r="KR9" i="5"/>
  <c r="KS9" i="5"/>
  <c r="KT9" i="5"/>
  <c r="KU9" i="5"/>
  <c r="KV9" i="5"/>
  <c r="KW9" i="5"/>
  <c r="KX9" i="5"/>
  <c r="KY9" i="5"/>
  <c r="KZ9" i="5"/>
  <c r="LA9" i="5"/>
  <c r="LB9" i="5"/>
  <c r="LC9" i="5"/>
  <c r="LD9" i="5"/>
  <c r="LE9" i="5"/>
  <c r="LF9" i="5"/>
  <c r="LG9" i="5"/>
  <c r="LH9" i="5"/>
  <c r="LI9" i="5"/>
  <c r="LJ9" i="5"/>
  <c r="LK9" i="5"/>
  <c r="LL9" i="5"/>
  <c r="LM9" i="5"/>
  <c r="LN9" i="5"/>
  <c r="LO9" i="5"/>
  <c r="LP9" i="5"/>
  <c r="LQ9" i="5"/>
  <c r="LR9" i="5"/>
  <c r="LS9" i="5"/>
  <c r="LT9" i="5"/>
  <c r="LU9" i="5"/>
  <c r="LV9" i="5"/>
  <c r="LW9" i="5"/>
  <c r="LX9" i="5"/>
  <c r="LY9" i="5"/>
  <c r="LZ9" i="5"/>
  <c r="MA9" i="5"/>
  <c r="MB9" i="5"/>
  <c r="MC9" i="5"/>
  <c r="MD9" i="5"/>
  <c r="ME9" i="5"/>
  <c r="MF9" i="5"/>
  <c r="MG9" i="5"/>
  <c r="MH9" i="5"/>
  <c r="MI9" i="5"/>
  <c r="MJ9" i="5"/>
  <c r="MK9" i="5"/>
  <c r="ML9" i="5"/>
  <c r="MM9" i="5"/>
  <c r="MN9" i="5"/>
  <c r="MO9" i="5"/>
  <c r="MP9" i="5"/>
  <c r="MQ9" i="5"/>
  <c r="MR9" i="5"/>
  <c r="MS9" i="5"/>
  <c r="MT9" i="5"/>
  <c r="MU9" i="5"/>
  <c r="MV9" i="5"/>
  <c r="MW9" i="5"/>
  <c r="MX9" i="5"/>
  <c r="MY9" i="5"/>
  <c r="MZ9" i="5"/>
  <c r="NA9" i="5"/>
  <c r="NB9" i="5"/>
  <c r="NC9" i="5"/>
  <c r="ND9" i="5"/>
  <c r="NE9" i="5"/>
  <c r="NF9" i="5"/>
  <c r="NG9" i="5"/>
  <c r="NH9" i="5"/>
  <c r="NI9" i="5"/>
  <c r="NJ9" i="5"/>
  <c r="NK9" i="5"/>
  <c r="NL9" i="5"/>
  <c r="NM9" i="5"/>
  <c r="NN9" i="5"/>
  <c r="NO9" i="5"/>
  <c r="NP9" i="5"/>
  <c r="NQ9" i="5"/>
  <c r="NR9" i="5"/>
  <c r="NS9" i="5"/>
  <c r="NT9" i="5"/>
  <c r="NU9" i="5"/>
  <c r="NV9" i="5"/>
  <c r="NW9" i="5"/>
  <c r="NX9" i="5"/>
  <c r="NY9" i="5"/>
  <c r="NZ9" i="5"/>
  <c r="OA9" i="5"/>
  <c r="OB9" i="5"/>
  <c r="OC9" i="5"/>
  <c r="OD9" i="5"/>
  <c r="OE9" i="5"/>
  <c r="OF9" i="5"/>
  <c r="OG9" i="5"/>
  <c r="OH9" i="5"/>
  <c r="OI9" i="5"/>
  <c r="OJ9" i="5"/>
  <c r="OK9" i="5"/>
  <c r="OL9" i="5"/>
  <c r="OM9" i="5"/>
  <c r="ON9" i="5"/>
  <c r="OO9" i="5"/>
  <c r="OP9" i="5"/>
  <c r="OQ9" i="5"/>
  <c r="OR9" i="5"/>
  <c r="OS9" i="5"/>
  <c r="OT9" i="5"/>
  <c r="OU9" i="5"/>
  <c r="OV9" i="5"/>
  <c r="OW9" i="5"/>
  <c r="OX9" i="5"/>
  <c r="OY9" i="5"/>
  <c r="OZ9" i="5"/>
  <c r="PA9" i="5"/>
  <c r="PB9" i="5"/>
  <c r="PC9" i="5"/>
  <c r="PD9" i="5"/>
  <c r="PE9" i="5"/>
  <c r="PF9" i="5"/>
  <c r="PG9" i="5"/>
  <c r="PH9" i="5"/>
  <c r="PI9" i="5"/>
  <c r="PJ9" i="5"/>
  <c r="PK9" i="5"/>
  <c r="PL9" i="5"/>
  <c r="PM9" i="5"/>
  <c r="PN9" i="5"/>
  <c r="PO9" i="5"/>
  <c r="PP9" i="5"/>
  <c r="PQ9" i="5"/>
  <c r="PR9" i="5"/>
  <c r="PS9" i="5"/>
  <c r="PT9" i="5"/>
  <c r="PU9" i="5"/>
  <c r="PV9" i="5"/>
  <c r="PW9" i="5"/>
  <c r="PX9" i="5"/>
  <c r="PY9" i="5"/>
  <c r="PZ9" i="5"/>
  <c r="QA9" i="5"/>
  <c r="QB9" i="5"/>
  <c r="QC9" i="5"/>
  <c r="QD9" i="5"/>
  <c r="QE9" i="5"/>
  <c r="QF9" i="5"/>
  <c r="QG9" i="5"/>
  <c r="QH9" i="5"/>
  <c r="QI9" i="5"/>
  <c r="QJ9" i="5"/>
  <c r="QK9" i="5"/>
  <c r="QL9" i="5"/>
  <c r="QM9" i="5"/>
  <c r="QN9" i="5"/>
  <c r="QO9" i="5"/>
  <c r="QP9" i="5"/>
  <c r="QQ9" i="5"/>
  <c r="QR9" i="5"/>
  <c r="QS9" i="5"/>
  <c r="QT9" i="5"/>
  <c r="QU9" i="5"/>
  <c r="QV9" i="5"/>
  <c r="QW9" i="5"/>
  <c r="QX9" i="5"/>
  <c r="QY9" i="5"/>
  <c r="QZ9" i="5"/>
  <c r="RA9" i="5"/>
  <c r="RB9" i="5"/>
  <c r="RC9" i="5"/>
  <c r="RD9" i="5"/>
  <c r="RE9" i="5"/>
  <c r="RF9" i="5"/>
  <c r="RG9" i="5"/>
  <c r="RH9" i="5"/>
  <c r="RI9" i="5"/>
  <c r="RJ9" i="5"/>
  <c r="RK9" i="5"/>
  <c r="RL9" i="5"/>
  <c r="RM9" i="5"/>
  <c r="RN9" i="5"/>
  <c r="RO9" i="5"/>
  <c r="RP9" i="5"/>
  <c r="RQ9" i="5"/>
  <c r="RR9" i="5"/>
  <c r="RS9" i="5"/>
  <c r="RT9" i="5"/>
  <c r="RU9" i="5"/>
  <c r="RV9" i="5"/>
  <c r="RW9" i="5"/>
  <c r="RX9" i="5"/>
  <c r="RY9" i="5"/>
  <c r="RZ9" i="5"/>
  <c r="SA9" i="5"/>
  <c r="SB9" i="5"/>
  <c r="SC9" i="5"/>
  <c r="SD9" i="5"/>
  <c r="SE9" i="5"/>
  <c r="SF9" i="5"/>
  <c r="SG9" i="5"/>
  <c r="SH9" i="5"/>
  <c r="SI9" i="5"/>
  <c r="SJ9" i="5"/>
  <c r="SK9" i="5"/>
  <c r="SL9" i="5"/>
  <c r="SM9" i="5"/>
  <c r="SN9" i="5"/>
  <c r="SO9" i="5"/>
  <c r="SP9" i="5"/>
  <c r="SQ9" i="5"/>
  <c r="SR9" i="5"/>
  <c r="SS9" i="5"/>
  <c r="ST9" i="5"/>
  <c r="SU9" i="5"/>
  <c r="SV9" i="5"/>
  <c r="SW9" i="5"/>
  <c r="SX9" i="5"/>
  <c r="SY9" i="5"/>
  <c r="SZ9" i="5"/>
  <c r="TA9" i="5"/>
  <c r="TB9" i="5"/>
  <c r="TC9" i="5"/>
  <c r="TD9" i="5"/>
  <c r="TE9" i="5"/>
  <c r="TF9" i="5"/>
  <c r="TG9" i="5"/>
  <c r="TH9" i="5"/>
  <c r="TI9" i="5"/>
  <c r="TJ9" i="5"/>
  <c r="TK9" i="5"/>
  <c r="TL9" i="5"/>
  <c r="TM9" i="5"/>
  <c r="TN9" i="5"/>
  <c r="TO9" i="5"/>
  <c r="TP9" i="5"/>
  <c r="TQ9" i="5"/>
  <c r="TR9" i="5"/>
  <c r="TS9" i="5"/>
  <c r="TT9" i="5"/>
  <c r="TU9" i="5"/>
  <c r="TV9" i="5"/>
  <c r="TW9" i="5"/>
  <c r="TX9" i="5"/>
  <c r="TY9" i="5"/>
  <c r="TZ9" i="5"/>
  <c r="UA9" i="5"/>
  <c r="UB9" i="5"/>
  <c r="UC9" i="5"/>
  <c r="UD9" i="5"/>
  <c r="UE9" i="5"/>
  <c r="UF9" i="5"/>
  <c r="UG9" i="5"/>
  <c r="UH9" i="5"/>
  <c r="UI9" i="5"/>
  <c r="UJ9" i="5"/>
  <c r="UK9"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Q10" i="5"/>
  <c r="AR10" i="5"/>
  <c r="AS10" i="5"/>
  <c r="AT10" i="5"/>
  <c r="AU10" i="5"/>
  <c r="AV10" i="5"/>
  <c r="AW10" i="5"/>
  <c r="AX10" i="5"/>
  <c r="AY10" i="5"/>
  <c r="AZ10" i="5"/>
  <c r="BA10" i="5"/>
  <c r="BB10" i="5"/>
  <c r="BC10" i="5"/>
  <c r="BD10" i="5"/>
  <c r="BE10" i="5"/>
  <c r="BF10" i="5"/>
  <c r="BG10" i="5"/>
  <c r="BH10" i="5"/>
  <c r="BI10" i="5"/>
  <c r="BJ10" i="5"/>
  <c r="BK10" i="5"/>
  <c r="BL10" i="5"/>
  <c r="BM10" i="5"/>
  <c r="BN10" i="5"/>
  <c r="BO10" i="5"/>
  <c r="BP10" i="5"/>
  <c r="BQ10" i="5"/>
  <c r="BR10" i="5"/>
  <c r="BS10" i="5"/>
  <c r="BT10" i="5"/>
  <c r="BU10" i="5"/>
  <c r="BV10" i="5"/>
  <c r="BW10" i="5"/>
  <c r="BX10" i="5"/>
  <c r="BY10" i="5"/>
  <c r="BZ10" i="5"/>
  <c r="CA10" i="5"/>
  <c r="CB10" i="5"/>
  <c r="CC10" i="5"/>
  <c r="CD10" i="5"/>
  <c r="CE10" i="5"/>
  <c r="CF10" i="5"/>
  <c r="CG10" i="5"/>
  <c r="CH10" i="5"/>
  <c r="CI10" i="5"/>
  <c r="CJ10" i="5"/>
  <c r="CK10" i="5"/>
  <c r="CL10" i="5"/>
  <c r="CM10" i="5"/>
  <c r="CN10" i="5"/>
  <c r="CO10" i="5"/>
  <c r="CP10" i="5"/>
  <c r="CQ10" i="5"/>
  <c r="CR10" i="5"/>
  <c r="CS10" i="5"/>
  <c r="CT10" i="5"/>
  <c r="CU10" i="5"/>
  <c r="CV10" i="5"/>
  <c r="CW10" i="5"/>
  <c r="CX10" i="5"/>
  <c r="CY10" i="5"/>
  <c r="CZ10" i="5"/>
  <c r="DA10" i="5"/>
  <c r="DB10" i="5"/>
  <c r="DC10" i="5"/>
  <c r="DD10" i="5"/>
  <c r="DE10" i="5"/>
  <c r="DF10" i="5"/>
  <c r="DG10" i="5"/>
  <c r="DH10" i="5"/>
  <c r="DI10" i="5"/>
  <c r="DJ10" i="5"/>
  <c r="DK10" i="5"/>
  <c r="DL10" i="5"/>
  <c r="DM10" i="5"/>
  <c r="DN10" i="5"/>
  <c r="DO10" i="5"/>
  <c r="DP10" i="5"/>
  <c r="DQ10" i="5"/>
  <c r="DR10" i="5"/>
  <c r="DS10" i="5"/>
  <c r="DT10" i="5"/>
  <c r="DU10" i="5"/>
  <c r="DV10" i="5"/>
  <c r="DW10" i="5"/>
  <c r="DX10" i="5"/>
  <c r="DY10" i="5"/>
  <c r="DZ10" i="5"/>
  <c r="EA10" i="5"/>
  <c r="EB10" i="5"/>
  <c r="EC10" i="5"/>
  <c r="ED10" i="5"/>
  <c r="EE10" i="5"/>
  <c r="EF10" i="5"/>
  <c r="EG10" i="5"/>
  <c r="EH10" i="5"/>
  <c r="EI10" i="5"/>
  <c r="EJ10" i="5"/>
  <c r="EK10" i="5"/>
  <c r="EL10" i="5"/>
  <c r="EM10" i="5"/>
  <c r="EN10" i="5"/>
  <c r="EO10" i="5"/>
  <c r="EP10" i="5"/>
  <c r="EQ10" i="5"/>
  <c r="ER10" i="5"/>
  <c r="ES10" i="5"/>
  <c r="ET10" i="5"/>
  <c r="EU10" i="5"/>
  <c r="EV10" i="5"/>
  <c r="EW10" i="5"/>
  <c r="EX10" i="5"/>
  <c r="EY10" i="5"/>
  <c r="EZ10" i="5"/>
  <c r="FA10" i="5"/>
  <c r="FB10" i="5"/>
  <c r="FC10" i="5"/>
  <c r="FD10" i="5"/>
  <c r="FE10" i="5"/>
  <c r="FF10" i="5"/>
  <c r="FG10" i="5"/>
  <c r="FH10" i="5"/>
  <c r="FI10" i="5"/>
  <c r="FJ10" i="5"/>
  <c r="FK10" i="5"/>
  <c r="FL10" i="5"/>
  <c r="FM10" i="5"/>
  <c r="FN10" i="5"/>
  <c r="FO10" i="5"/>
  <c r="FP10" i="5"/>
  <c r="FQ10" i="5"/>
  <c r="FR10" i="5"/>
  <c r="FS10" i="5"/>
  <c r="FT10" i="5"/>
  <c r="FU10" i="5"/>
  <c r="FV10" i="5"/>
  <c r="FW10" i="5"/>
  <c r="FX10" i="5"/>
  <c r="FY10" i="5"/>
  <c r="FZ10" i="5"/>
  <c r="GA10" i="5"/>
  <c r="GB10" i="5"/>
  <c r="GC10" i="5"/>
  <c r="GD10" i="5"/>
  <c r="GE10" i="5"/>
  <c r="GF10" i="5"/>
  <c r="GG10" i="5"/>
  <c r="GH10" i="5"/>
  <c r="GI10" i="5"/>
  <c r="GJ10" i="5"/>
  <c r="GK10" i="5"/>
  <c r="GL10" i="5"/>
  <c r="GM10" i="5"/>
  <c r="GN10" i="5"/>
  <c r="GO10" i="5"/>
  <c r="GP10" i="5"/>
  <c r="GQ10" i="5"/>
  <c r="GR10" i="5"/>
  <c r="GS10" i="5"/>
  <c r="GT10" i="5"/>
  <c r="GU10" i="5"/>
  <c r="GV10" i="5"/>
  <c r="GW10" i="5"/>
  <c r="GX10" i="5"/>
  <c r="GY10" i="5"/>
  <c r="GZ10" i="5"/>
  <c r="HA10" i="5"/>
  <c r="HB10" i="5"/>
  <c r="HC10" i="5"/>
  <c r="HD10" i="5"/>
  <c r="HE10" i="5"/>
  <c r="HF10" i="5"/>
  <c r="HG10" i="5"/>
  <c r="HH10" i="5"/>
  <c r="HI10" i="5"/>
  <c r="HJ10" i="5"/>
  <c r="HK10" i="5"/>
  <c r="HL10" i="5"/>
  <c r="HM10" i="5"/>
  <c r="HN10" i="5"/>
  <c r="HO10" i="5"/>
  <c r="HP10" i="5"/>
  <c r="HQ10" i="5"/>
  <c r="HR10" i="5"/>
  <c r="HS10" i="5"/>
  <c r="HT10" i="5"/>
  <c r="HU10" i="5"/>
  <c r="HV10" i="5"/>
  <c r="HW10" i="5"/>
  <c r="HX10" i="5"/>
  <c r="HY10" i="5"/>
  <c r="HZ10" i="5"/>
  <c r="IA10" i="5"/>
  <c r="IB10" i="5"/>
  <c r="IC10" i="5"/>
  <c r="ID10" i="5"/>
  <c r="IE10" i="5"/>
  <c r="IF10" i="5"/>
  <c r="IG10" i="5"/>
  <c r="IH10" i="5"/>
  <c r="II10" i="5"/>
  <c r="IJ10" i="5"/>
  <c r="IK10" i="5"/>
  <c r="IL10" i="5"/>
  <c r="IM10" i="5"/>
  <c r="IN10" i="5"/>
  <c r="IO10" i="5"/>
  <c r="IP10" i="5"/>
  <c r="IQ10" i="5"/>
  <c r="IR10" i="5"/>
  <c r="IS10" i="5"/>
  <c r="IT10" i="5"/>
  <c r="IU10" i="5"/>
  <c r="IV10" i="5"/>
  <c r="IW10" i="5"/>
  <c r="IX10" i="5"/>
  <c r="IY10" i="5"/>
  <c r="IZ10" i="5"/>
  <c r="JA10" i="5"/>
  <c r="JB10" i="5"/>
  <c r="JC10" i="5"/>
  <c r="JD10" i="5"/>
  <c r="JE10" i="5"/>
  <c r="JF10" i="5"/>
  <c r="JG10" i="5"/>
  <c r="JH10" i="5"/>
  <c r="JI10" i="5"/>
  <c r="JJ10" i="5"/>
  <c r="JK10" i="5"/>
  <c r="JL10" i="5"/>
  <c r="JM10" i="5"/>
  <c r="JN10" i="5"/>
  <c r="JO10" i="5"/>
  <c r="JP10" i="5"/>
  <c r="JQ10" i="5"/>
  <c r="JR10" i="5"/>
  <c r="JS10" i="5"/>
  <c r="JT10" i="5"/>
  <c r="JU10" i="5"/>
  <c r="JV10" i="5"/>
  <c r="JW10" i="5"/>
  <c r="JX10" i="5"/>
  <c r="JY10" i="5"/>
  <c r="JZ10" i="5"/>
  <c r="KA10" i="5"/>
  <c r="KB10" i="5"/>
  <c r="KC10" i="5"/>
  <c r="KD10" i="5"/>
  <c r="KE10" i="5"/>
  <c r="KF10" i="5"/>
  <c r="KG10" i="5"/>
  <c r="KH10" i="5"/>
  <c r="KI10" i="5"/>
  <c r="KJ10" i="5"/>
  <c r="KK10" i="5"/>
  <c r="KL10" i="5"/>
  <c r="KM10" i="5"/>
  <c r="KN10" i="5"/>
  <c r="KO10" i="5"/>
  <c r="KP10" i="5"/>
  <c r="KQ10" i="5"/>
  <c r="KR10" i="5"/>
  <c r="KS10" i="5"/>
  <c r="KT10" i="5"/>
  <c r="KU10" i="5"/>
  <c r="KV10" i="5"/>
  <c r="KW10" i="5"/>
  <c r="KX10" i="5"/>
  <c r="KY10" i="5"/>
  <c r="KZ10" i="5"/>
  <c r="LA10" i="5"/>
  <c r="LB10" i="5"/>
  <c r="LC10" i="5"/>
  <c r="LD10" i="5"/>
  <c r="LE10" i="5"/>
  <c r="LF10" i="5"/>
  <c r="LG10" i="5"/>
  <c r="LH10" i="5"/>
  <c r="LI10" i="5"/>
  <c r="LJ10" i="5"/>
  <c r="LK10" i="5"/>
  <c r="LL10" i="5"/>
  <c r="LM10" i="5"/>
  <c r="LN10" i="5"/>
  <c r="LO10" i="5"/>
  <c r="LP10" i="5"/>
  <c r="LQ10" i="5"/>
  <c r="LR10" i="5"/>
  <c r="LS10" i="5"/>
  <c r="LT10" i="5"/>
  <c r="LU10" i="5"/>
  <c r="LV10" i="5"/>
  <c r="LW10" i="5"/>
  <c r="LX10" i="5"/>
  <c r="LY10" i="5"/>
  <c r="LZ10" i="5"/>
  <c r="MA10" i="5"/>
  <c r="MB10" i="5"/>
  <c r="MC10" i="5"/>
  <c r="MD10" i="5"/>
  <c r="ME10" i="5"/>
  <c r="MF10" i="5"/>
  <c r="MG10" i="5"/>
  <c r="MH10" i="5"/>
  <c r="MI10" i="5"/>
  <c r="MJ10" i="5"/>
  <c r="MK10" i="5"/>
  <c r="ML10" i="5"/>
  <c r="MM10" i="5"/>
  <c r="MN10" i="5"/>
  <c r="MO10" i="5"/>
  <c r="MP10" i="5"/>
  <c r="MQ10" i="5"/>
  <c r="MR10" i="5"/>
  <c r="MS10" i="5"/>
  <c r="MT10" i="5"/>
  <c r="MU10" i="5"/>
  <c r="MV10" i="5"/>
  <c r="MW10" i="5"/>
  <c r="MX10" i="5"/>
  <c r="MY10" i="5"/>
  <c r="MZ10" i="5"/>
  <c r="NA10" i="5"/>
  <c r="NB10" i="5"/>
  <c r="NC10" i="5"/>
  <c r="ND10" i="5"/>
  <c r="NE10" i="5"/>
  <c r="NF10" i="5"/>
  <c r="NG10" i="5"/>
  <c r="NH10" i="5"/>
  <c r="NI10" i="5"/>
  <c r="NJ10" i="5"/>
  <c r="NK10" i="5"/>
  <c r="NL10" i="5"/>
  <c r="NM10" i="5"/>
  <c r="NN10" i="5"/>
  <c r="NO10" i="5"/>
  <c r="NP10" i="5"/>
  <c r="NQ10" i="5"/>
  <c r="NR10" i="5"/>
  <c r="NS10" i="5"/>
  <c r="NT10" i="5"/>
  <c r="NU10" i="5"/>
  <c r="NV10" i="5"/>
  <c r="NW10" i="5"/>
  <c r="NX10" i="5"/>
  <c r="NY10" i="5"/>
  <c r="NZ10" i="5"/>
  <c r="OA10" i="5"/>
  <c r="OB10" i="5"/>
  <c r="OC10" i="5"/>
  <c r="OD10" i="5"/>
  <c r="OE10" i="5"/>
  <c r="OF10" i="5"/>
  <c r="OG10" i="5"/>
  <c r="OH10" i="5"/>
  <c r="OI10" i="5"/>
  <c r="OJ10" i="5"/>
  <c r="OK10" i="5"/>
  <c r="OL10" i="5"/>
  <c r="OM10" i="5"/>
  <c r="ON10" i="5"/>
  <c r="OO10" i="5"/>
  <c r="OP10" i="5"/>
  <c r="OQ10" i="5"/>
  <c r="OR10" i="5"/>
  <c r="OS10" i="5"/>
  <c r="OT10" i="5"/>
  <c r="OU10" i="5"/>
  <c r="OV10" i="5"/>
  <c r="OW10" i="5"/>
  <c r="OX10" i="5"/>
  <c r="OY10" i="5"/>
  <c r="OZ10" i="5"/>
  <c r="PA10" i="5"/>
  <c r="PB10" i="5"/>
  <c r="PC10" i="5"/>
  <c r="PD10" i="5"/>
  <c r="PE10" i="5"/>
  <c r="PF10" i="5"/>
  <c r="PG10" i="5"/>
  <c r="PH10" i="5"/>
  <c r="PI10" i="5"/>
  <c r="PJ10" i="5"/>
  <c r="PK10" i="5"/>
  <c r="PL10" i="5"/>
  <c r="PM10" i="5"/>
  <c r="PN10" i="5"/>
  <c r="PO10" i="5"/>
  <c r="PP10" i="5"/>
  <c r="PQ10" i="5"/>
  <c r="PR10" i="5"/>
  <c r="PS10" i="5"/>
  <c r="PT10" i="5"/>
  <c r="PU10" i="5"/>
  <c r="PV10" i="5"/>
  <c r="PW10" i="5"/>
  <c r="PX10" i="5"/>
  <c r="PY10" i="5"/>
  <c r="PZ10" i="5"/>
  <c r="QA10" i="5"/>
  <c r="QB10" i="5"/>
  <c r="QC10" i="5"/>
  <c r="QD10" i="5"/>
  <c r="QE10" i="5"/>
  <c r="QF10" i="5"/>
  <c r="QG10" i="5"/>
  <c r="QH10" i="5"/>
  <c r="QI10" i="5"/>
  <c r="QJ10" i="5"/>
  <c r="QK10" i="5"/>
  <c r="QL10" i="5"/>
  <c r="QM10" i="5"/>
  <c r="QN10" i="5"/>
  <c r="QO10" i="5"/>
  <c r="QP10" i="5"/>
  <c r="QQ10" i="5"/>
  <c r="QR10" i="5"/>
  <c r="QS10" i="5"/>
  <c r="QT10" i="5"/>
  <c r="QU10" i="5"/>
  <c r="QV10" i="5"/>
  <c r="QW10" i="5"/>
  <c r="QX10" i="5"/>
  <c r="QY10" i="5"/>
  <c r="QZ10" i="5"/>
  <c r="RA10" i="5"/>
  <c r="RB10" i="5"/>
  <c r="RC10" i="5"/>
  <c r="RD10" i="5"/>
  <c r="RE10" i="5"/>
  <c r="RF10" i="5"/>
  <c r="RG10" i="5"/>
  <c r="RH10" i="5"/>
  <c r="RI10" i="5"/>
  <c r="RJ10" i="5"/>
  <c r="RK10" i="5"/>
  <c r="RL10" i="5"/>
  <c r="RM10" i="5"/>
  <c r="RN10" i="5"/>
  <c r="RO10" i="5"/>
  <c r="RP10" i="5"/>
  <c r="RQ10" i="5"/>
  <c r="RR10" i="5"/>
  <c r="RS10" i="5"/>
  <c r="RT10" i="5"/>
  <c r="RU10" i="5"/>
  <c r="RV10" i="5"/>
  <c r="RW10" i="5"/>
  <c r="RX10" i="5"/>
  <c r="RY10" i="5"/>
  <c r="RZ10" i="5"/>
  <c r="SA10" i="5"/>
  <c r="SB10" i="5"/>
  <c r="SC10" i="5"/>
  <c r="SD10" i="5"/>
  <c r="SE10" i="5"/>
  <c r="SF10" i="5"/>
  <c r="SG10" i="5"/>
  <c r="SH10" i="5"/>
  <c r="SI10" i="5"/>
  <c r="SJ10" i="5"/>
  <c r="SK10" i="5"/>
  <c r="SL10" i="5"/>
  <c r="SM10" i="5"/>
  <c r="SN10" i="5"/>
  <c r="SO10" i="5"/>
  <c r="SP10" i="5"/>
  <c r="SQ10" i="5"/>
  <c r="SR10" i="5"/>
  <c r="SS10" i="5"/>
  <c r="ST10" i="5"/>
  <c r="SU10" i="5"/>
  <c r="SV10" i="5"/>
  <c r="SW10" i="5"/>
  <c r="SX10" i="5"/>
  <c r="SY10" i="5"/>
  <c r="SZ10" i="5"/>
  <c r="TA10" i="5"/>
  <c r="TB10" i="5"/>
  <c r="TC10" i="5"/>
  <c r="TD10" i="5"/>
  <c r="TE10" i="5"/>
  <c r="TF10" i="5"/>
  <c r="TG10" i="5"/>
  <c r="TH10" i="5"/>
  <c r="TI10" i="5"/>
  <c r="TJ10" i="5"/>
  <c r="TK10" i="5"/>
  <c r="TL10" i="5"/>
  <c r="TM10" i="5"/>
  <c r="TN10" i="5"/>
  <c r="TO10" i="5"/>
  <c r="TP10" i="5"/>
  <c r="TQ10" i="5"/>
  <c r="TR10" i="5"/>
  <c r="TS10" i="5"/>
  <c r="TT10" i="5"/>
  <c r="TU10" i="5"/>
  <c r="TV10" i="5"/>
  <c r="TW10" i="5"/>
  <c r="TX10" i="5"/>
  <c r="TY10" i="5"/>
  <c r="TZ10" i="5"/>
  <c r="UA10" i="5"/>
  <c r="UB10" i="5"/>
  <c r="UC10" i="5"/>
  <c r="UD10" i="5"/>
  <c r="UE10" i="5"/>
  <c r="UF10" i="5"/>
  <c r="UG10" i="5"/>
  <c r="UH10" i="5"/>
  <c r="UI10" i="5"/>
  <c r="UJ10" i="5"/>
  <c r="UK10" i="5"/>
  <c r="K11" i="5"/>
  <c r="L11" i="5"/>
  <c r="M11" i="5"/>
  <c r="N11" i="5"/>
  <c r="O11" i="5"/>
  <c r="P11" i="5"/>
  <c r="Q11" i="5"/>
  <c r="R11" i="5"/>
  <c r="S11" i="5"/>
  <c r="T11" i="5"/>
  <c r="U11" i="5"/>
  <c r="V11" i="5"/>
  <c r="W11" i="5"/>
  <c r="X11" i="5"/>
  <c r="Y11" i="5"/>
  <c r="Z11" i="5"/>
  <c r="AA11" i="5"/>
  <c r="AB11" i="5"/>
  <c r="AC11" i="5"/>
  <c r="AD11" i="5"/>
  <c r="AE11" i="5"/>
  <c r="AF11" i="5"/>
  <c r="AG11" i="5"/>
  <c r="AH11" i="5"/>
  <c r="AI11" i="5"/>
  <c r="AJ11" i="5"/>
  <c r="AK11" i="5"/>
  <c r="AL11" i="5"/>
  <c r="AM11" i="5"/>
  <c r="AN11" i="5"/>
  <c r="AO11" i="5"/>
  <c r="AP11" i="5"/>
  <c r="AQ11" i="5"/>
  <c r="AR11" i="5"/>
  <c r="AS11" i="5"/>
  <c r="AT11" i="5"/>
  <c r="AU11" i="5"/>
  <c r="AV11" i="5"/>
  <c r="AW11" i="5"/>
  <c r="AX11" i="5"/>
  <c r="AY11" i="5"/>
  <c r="AZ11" i="5"/>
  <c r="BA11" i="5"/>
  <c r="BB11" i="5"/>
  <c r="BC11" i="5"/>
  <c r="BD11" i="5"/>
  <c r="BE11" i="5"/>
  <c r="BF11" i="5"/>
  <c r="BG11" i="5"/>
  <c r="BH11" i="5"/>
  <c r="BI11" i="5"/>
  <c r="BJ11" i="5"/>
  <c r="BK11" i="5"/>
  <c r="BL11" i="5"/>
  <c r="BM11" i="5"/>
  <c r="BN11" i="5"/>
  <c r="BO11" i="5"/>
  <c r="BP11" i="5"/>
  <c r="BQ11" i="5"/>
  <c r="BR11" i="5"/>
  <c r="BS11" i="5"/>
  <c r="BT11" i="5"/>
  <c r="BU11" i="5"/>
  <c r="BV11" i="5"/>
  <c r="BW11" i="5"/>
  <c r="BX11" i="5"/>
  <c r="BY11" i="5"/>
  <c r="BZ11" i="5"/>
  <c r="CA11" i="5"/>
  <c r="CB11" i="5"/>
  <c r="CC11" i="5"/>
  <c r="CD11" i="5"/>
  <c r="CE11" i="5"/>
  <c r="CF11" i="5"/>
  <c r="CG11" i="5"/>
  <c r="CH11" i="5"/>
  <c r="CI11" i="5"/>
  <c r="CJ11" i="5"/>
  <c r="CK11" i="5"/>
  <c r="CL11" i="5"/>
  <c r="CM11" i="5"/>
  <c r="CN11" i="5"/>
  <c r="CO11" i="5"/>
  <c r="CP11" i="5"/>
  <c r="CQ11" i="5"/>
  <c r="CR11" i="5"/>
  <c r="CS11" i="5"/>
  <c r="CT11" i="5"/>
  <c r="CU11" i="5"/>
  <c r="CV11" i="5"/>
  <c r="CW11" i="5"/>
  <c r="CX11" i="5"/>
  <c r="CY11" i="5"/>
  <c r="CZ11" i="5"/>
  <c r="DA11" i="5"/>
  <c r="DB11" i="5"/>
  <c r="DC11" i="5"/>
  <c r="DD11" i="5"/>
  <c r="DE11" i="5"/>
  <c r="DF11" i="5"/>
  <c r="DG11" i="5"/>
  <c r="DH11" i="5"/>
  <c r="DI11" i="5"/>
  <c r="DJ11" i="5"/>
  <c r="DK11" i="5"/>
  <c r="DL11" i="5"/>
  <c r="DM11" i="5"/>
  <c r="DN11" i="5"/>
  <c r="DO11" i="5"/>
  <c r="DP11" i="5"/>
  <c r="DQ11" i="5"/>
  <c r="DR11" i="5"/>
  <c r="DS11" i="5"/>
  <c r="DT11" i="5"/>
  <c r="DU11" i="5"/>
  <c r="DV11" i="5"/>
  <c r="DW11" i="5"/>
  <c r="DX11" i="5"/>
  <c r="DY11" i="5"/>
  <c r="DZ11" i="5"/>
  <c r="EA11" i="5"/>
  <c r="EB11" i="5"/>
  <c r="EC11" i="5"/>
  <c r="ED11" i="5"/>
  <c r="EE11" i="5"/>
  <c r="EF11" i="5"/>
  <c r="EG11" i="5"/>
  <c r="EH11" i="5"/>
  <c r="EI11" i="5"/>
  <c r="EJ11" i="5"/>
  <c r="EK11" i="5"/>
  <c r="EL11" i="5"/>
  <c r="EM11" i="5"/>
  <c r="EN11" i="5"/>
  <c r="EO11" i="5"/>
  <c r="EP11" i="5"/>
  <c r="EQ11" i="5"/>
  <c r="ER11" i="5"/>
  <c r="ES11" i="5"/>
  <c r="ET11" i="5"/>
  <c r="EU11" i="5"/>
  <c r="EV11" i="5"/>
  <c r="EW11" i="5"/>
  <c r="EX11" i="5"/>
  <c r="EY11" i="5"/>
  <c r="EZ11" i="5"/>
  <c r="FA11" i="5"/>
  <c r="FB11" i="5"/>
  <c r="FC11" i="5"/>
  <c r="FD11" i="5"/>
  <c r="FE11" i="5"/>
  <c r="FF11" i="5"/>
  <c r="FG11" i="5"/>
  <c r="FH11" i="5"/>
  <c r="FI11" i="5"/>
  <c r="FJ11" i="5"/>
  <c r="FK11" i="5"/>
  <c r="FL11" i="5"/>
  <c r="FM11" i="5"/>
  <c r="FN11" i="5"/>
  <c r="FO11" i="5"/>
  <c r="FP11" i="5"/>
  <c r="FQ11" i="5"/>
  <c r="FR11" i="5"/>
  <c r="FS11" i="5"/>
  <c r="FT11" i="5"/>
  <c r="FU11" i="5"/>
  <c r="FV11" i="5"/>
  <c r="FW11" i="5"/>
  <c r="FX11" i="5"/>
  <c r="FY11" i="5"/>
  <c r="FZ11" i="5"/>
  <c r="GA11" i="5"/>
  <c r="GB11" i="5"/>
  <c r="GC11" i="5"/>
  <c r="GD11" i="5"/>
  <c r="GE11" i="5"/>
  <c r="GF11" i="5"/>
  <c r="GG11" i="5"/>
  <c r="GH11" i="5"/>
  <c r="GI11" i="5"/>
  <c r="GJ11" i="5"/>
  <c r="GK11" i="5"/>
  <c r="GL11" i="5"/>
  <c r="GM11" i="5"/>
  <c r="GN11" i="5"/>
  <c r="GO11" i="5"/>
  <c r="GP11" i="5"/>
  <c r="GQ11" i="5"/>
  <c r="GR11" i="5"/>
  <c r="GS11" i="5"/>
  <c r="GT11" i="5"/>
  <c r="GU11" i="5"/>
  <c r="GV11" i="5"/>
  <c r="GW11" i="5"/>
  <c r="GX11" i="5"/>
  <c r="GY11" i="5"/>
  <c r="GZ11" i="5"/>
  <c r="HA11" i="5"/>
  <c r="HB11" i="5"/>
  <c r="HC11" i="5"/>
  <c r="HD11" i="5"/>
  <c r="HE11" i="5"/>
  <c r="HF11" i="5"/>
  <c r="HG11" i="5"/>
  <c r="HH11" i="5"/>
  <c r="HI11" i="5"/>
  <c r="HJ11" i="5"/>
  <c r="HK11" i="5"/>
  <c r="HL11" i="5"/>
  <c r="HM11" i="5"/>
  <c r="HN11" i="5"/>
  <c r="HO11" i="5"/>
  <c r="HP11" i="5"/>
  <c r="HQ11" i="5"/>
  <c r="HR11" i="5"/>
  <c r="HS11" i="5"/>
  <c r="HT11" i="5"/>
  <c r="HU11" i="5"/>
  <c r="HV11" i="5"/>
  <c r="HW11" i="5"/>
  <c r="HX11" i="5"/>
  <c r="HY11" i="5"/>
  <c r="HZ11" i="5"/>
  <c r="IA11" i="5"/>
  <c r="IB11" i="5"/>
  <c r="IC11" i="5"/>
  <c r="ID11" i="5"/>
  <c r="IE11" i="5"/>
  <c r="IF11" i="5"/>
  <c r="IG11" i="5"/>
  <c r="IH11" i="5"/>
  <c r="II11" i="5"/>
  <c r="IJ11" i="5"/>
  <c r="IK11" i="5"/>
  <c r="IL11" i="5"/>
  <c r="IM11" i="5"/>
  <c r="IN11" i="5"/>
  <c r="IO11" i="5"/>
  <c r="IP11" i="5"/>
  <c r="IQ11" i="5"/>
  <c r="IR11" i="5"/>
  <c r="IS11" i="5"/>
  <c r="IT11" i="5"/>
  <c r="IU11" i="5"/>
  <c r="IV11" i="5"/>
  <c r="IW11" i="5"/>
  <c r="IX11" i="5"/>
  <c r="IY11" i="5"/>
  <c r="IZ11" i="5"/>
  <c r="JA11" i="5"/>
  <c r="JB11" i="5"/>
  <c r="JC11" i="5"/>
  <c r="JD11" i="5"/>
  <c r="JE11" i="5"/>
  <c r="JF11" i="5"/>
  <c r="JG11" i="5"/>
  <c r="JH11" i="5"/>
  <c r="JI11" i="5"/>
  <c r="JJ11" i="5"/>
  <c r="JK11" i="5"/>
  <c r="JL11" i="5"/>
  <c r="JM11" i="5"/>
  <c r="JN11" i="5"/>
  <c r="JO11" i="5"/>
  <c r="JP11" i="5"/>
  <c r="JQ11" i="5"/>
  <c r="JR11" i="5"/>
  <c r="JS11" i="5"/>
  <c r="JT11" i="5"/>
  <c r="JU11" i="5"/>
  <c r="JV11" i="5"/>
  <c r="JW11" i="5"/>
  <c r="JX11" i="5"/>
  <c r="JY11" i="5"/>
  <c r="JZ11" i="5"/>
  <c r="KA11" i="5"/>
  <c r="KB11" i="5"/>
  <c r="KC11" i="5"/>
  <c r="KD11" i="5"/>
  <c r="KE11" i="5"/>
  <c r="KF11" i="5"/>
  <c r="KG11" i="5"/>
  <c r="KH11" i="5"/>
  <c r="KI11" i="5"/>
  <c r="KJ11" i="5"/>
  <c r="KK11" i="5"/>
  <c r="KL11" i="5"/>
  <c r="KM11" i="5"/>
  <c r="KN11" i="5"/>
  <c r="KO11" i="5"/>
  <c r="KP11" i="5"/>
  <c r="KQ11" i="5"/>
  <c r="KR11" i="5"/>
  <c r="KS11" i="5"/>
  <c r="KT11" i="5"/>
  <c r="KU11" i="5"/>
  <c r="KV11" i="5"/>
  <c r="KW11" i="5"/>
  <c r="KX11" i="5"/>
  <c r="KY11" i="5"/>
  <c r="KZ11" i="5"/>
  <c r="LA11" i="5"/>
  <c r="LB11" i="5"/>
  <c r="LC11" i="5"/>
  <c r="LD11" i="5"/>
  <c r="LE11" i="5"/>
  <c r="LF11" i="5"/>
  <c r="LG11" i="5"/>
  <c r="LH11" i="5"/>
  <c r="LI11" i="5"/>
  <c r="LJ11" i="5"/>
  <c r="LK11" i="5"/>
  <c r="LL11" i="5"/>
  <c r="LM11" i="5"/>
  <c r="LN11" i="5"/>
  <c r="LO11" i="5"/>
  <c r="LP11" i="5"/>
  <c r="LQ11" i="5"/>
  <c r="LR11" i="5"/>
  <c r="LS11" i="5"/>
  <c r="LT11" i="5"/>
  <c r="LU11" i="5"/>
  <c r="LV11" i="5"/>
  <c r="LW11" i="5"/>
  <c r="LX11" i="5"/>
  <c r="LY11" i="5"/>
  <c r="LZ11" i="5"/>
  <c r="MA11" i="5"/>
  <c r="MB11" i="5"/>
  <c r="MC11" i="5"/>
  <c r="MD11" i="5"/>
  <c r="ME11" i="5"/>
  <c r="MF11" i="5"/>
  <c r="MG11" i="5"/>
  <c r="MH11" i="5"/>
  <c r="MI11" i="5"/>
  <c r="MJ11" i="5"/>
  <c r="MK11" i="5"/>
  <c r="ML11" i="5"/>
  <c r="MM11" i="5"/>
  <c r="MN11" i="5"/>
  <c r="MO11" i="5"/>
  <c r="MP11" i="5"/>
  <c r="MQ11" i="5"/>
  <c r="MR11" i="5"/>
  <c r="MS11" i="5"/>
  <c r="MT11" i="5"/>
  <c r="MU11" i="5"/>
  <c r="MV11" i="5"/>
  <c r="MW11" i="5"/>
  <c r="MX11" i="5"/>
  <c r="MY11" i="5"/>
  <c r="MZ11" i="5"/>
  <c r="NA11" i="5"/>
  <c r="NB11" i="5"/>
  <c r="NC11" i="5"/>
  <c r="ND11" i="5"/>
  <c r="NE11" i="5"/>
  <c r="NF11" i="5"/>
  <c r="NG11" i="5"/>
  <c r="NH11" i="5"/>
  <c r="NI11" i="5"/>
  <c r="NJ11" i="5"/>
  <c r="NK11" i="5"/>
  <c r="NL11" i="5"/>
  <c r="NM11" i="5"/>
  <c r="NN11" i="5"/>
  <c r="NO11" i="5"/>
  <c r="NP11" i="5"/>
  <c r="NQ11" i="5"/>
  <c r="NR11" i="5"/>
  <c r="NS11" i="5"/>
  <c r="NT11" i="5"/>
  <c r="NU11" i="5"/>
  <c r="NV11" i="5"/>
  <c r="NW11" i="5"/>
  <c r="NX11" i="5"/>
  <c r="NY11" i="5"/>
  <c r="NZ11" i="5"/>
  <c r="OA11" i="5"/>
  <c r="OB11" i="5"/>
  <c r="OC11" i="5"/>
  <c r="OD11" i="5"/>
  <c r="OE11" i="5"/>
  <c r="OF11" i="5"/>
  <c r="OG11" i="5"/>
  <c r="OH11" i="5"/>
  <c r="OI11" i="5"/>
  <c r="OJ11" i="5"/>
  <c r="OK11" i="5"/>
  <c r="OL11" i="5"/>
  <c r="OM11" i="5"/>
  <c r="ON11" i="5"/>
  <c r="OO11" i="5"/>
  <c r="OP11" i="5"/>
  <c r="OQ11" i="5"/>
  <c r="OR11" i="5"/>
  <c r="OS11" i="5"/>
  <c r="OT11" i="5"/>
  <c r="OU11" i="5"/>
  <c r="OV11" i="5"/>
  <c r="OW11" i="5"/>
  <c r="OX11" i="5"/>
  <c r="OY11" i="5"/>
  <c r="OZ11" i="5"/>
  <c r="PA11" i="5"/>
  <c r="PB11" i="5"/>
  <c r="PC11" i="5"/>
  <c r="PD11" i="5"/>
  <c r="PE11" i="5"/>
  <c r="PF11" i="5"/>
  <c r="PG11" i="5"/>
  <c r="PH11" i="5"/>
  <c r="PI11" i="5"/>
  <c r="PJ11" i="5"/>
  <c r="PK11" i="5"/>
  <c r="PL11" i="5"/>
  <c r="PM11" i="5"/>
  <c r="PN11" i="5"/>
  <c r="PO11" i="5"/>
  <c r="PP11" i="5"/>
  <c r="PQ11" i="5"/>
  <c r="PR11" i="5"/>
  <c r="PS11" i="5"/>
  <c r="PT11" i="5"/>
  <c r="PU11" i="5"/>
  <c r="PV11" i="5"/>
  <c r="PW11" i="5"/>
  <c r="PX11" i="5"/>
  <c r="PY11" i="5"/>
  <c r="PZ11" i="5"/>
  <c r="QA11" i="5"/>
  <c r="QB11" i="5"/>
  <c r="QC11" i="5"/>
  <c r="QD11" i="5"/>
  <c r="QE11" i="5"/>
  <c r="QF11" i="5"/>
  <c r="QG11" i="5"/>
  <c r="QH11" i="5"/>
  <c r="QI11" i="5"/>
  <c r="QJ11" i="5"/>
  <c r="QK11" i="5"/>
  <c r="QL11" i="5"/>
  <c r="QM11" i="5"/>
  <c r="QN11" i="5"/>
  <c r="QO11" i="5"/>
  <c r="QP11" i="5"/>
  <c r="QQ11" i="5"/>
  <c r="QR11" i="5"/>
  <c r="QS11" i="5"/>
  <c r="QT11" i="5"/>
  <c r="QU11" i="5"/>
  <c r="QV11" i="5"/>
  <c r="QW11" i="5"/>
  <c r="QX11" i="5"/>
  <c r="QY11" i="5"/>
  <c r="QZ11" i="5"/>
  <c r="RA11" i="5"/>
  <c r="RB11" i="5"/>
  <c r="RC11" i="5"/>
  <c r="RD11" i="5"/>
  <c r="RE11" i="5"/>
  <c r="RF11" i="5"/>
  <c r="RG11" i="5"/>
  <c r="RH11" i="5"/>
  <c r="RI11" i="5"/>
  <c r="RJ11" i="5"/>
  <c r="RK11" i="5"/>
  <c r="RL11" i="5"/>
  <c r="RM11" i="5"/>
  <c r="RN11" i="5"/>
  <c r="RO11" i="5"/>
  <c r="RP11" i="5"/>
  <c r="RQ11" i="5"/>
  <c r="RR11" i="5"/>
  <c r="RS11" i="5"/>
  <c r="RT11" i="5"/>
  <c r="RU11" i="5"/>
  <c r="RV11" i="5"/>
  <c r="RW11" i="5"/>
  <c r="RX11" i="5"/>
  <c r="RY11" i="5"/>
  <c r="RZ11" i="5"/>
  <c r="SA11" i="5"/>
  <c r="SB11" i="5"/>
  <c r="SC11" i="5"/>
  <c r="SD11" i="5"/>
  <c r="SE11" i="5"/>
  <c r="SF11" i="5"/>
  <c r="SG11" i="5"/>
  <c r="SH11" i="5"/>
  <c r="SI11" i="5"/>
  <c r="SJ11" i="5"/>
  <c r="SK11" i="5"/>
  <c r="SL11" i="5"/>
  <c r="SM11" i="5"/>
  <c r="SN11" i="5"/>
  <c r="SO11" i="5"/>
  <c r="SP11" i="5"/>
  <c r="SQ11" i="5"/>
  <c r="SR11" i="5"/>
  <c r="SS11" i="5"/>
  <c r="ST11" i="5"/>
  <c r="SU11" i="5"/>
  <c r="SV11" i="5"/>
  <c r="SW11" i="5"/>
  <c r="SX11" i="5"/>
  <c r="SY11" i="5"/>
  <c r="SZ11" i="5"/>
  <c r="TA11" i="5"/>
  <c r="TB11" i="5"/>
  <c r="TC11" i="5"/>
  <c r="TD11" i="5"/>
  <c r="TE11" i="5"/>
  <c r="TF11" i="5"/>
  <c r="TG11" i="5"/>
  <c r="TH11" i="5"/>
  <c r="TI11" i="5"/>
  <c r="TJ11" i="5"/>
  <c r="TK11" i="5"/>
  <c r="TL11" i="5"/>
  <c r="TM11" i="5"/>
  <c r="TN11" i="5"/>
  <c r="TO11" i="5"/>
  <c r="TP11" i="5"/>
  <c r="TQ11" i="5"/>
  <c r="TR11" i="5"/>
  <c r="TS11" i="5"/>
  <c r="TT11" i="5"/>
  <c r="TU11" i="5"/>
  <c r="TV11" i="5"/>
  <c r="TW11" i="5"/>
  <c r="TX11" i="5"/>
  <c r="TY11" i="5"/>
  <c r="TZ11" i="5"/>
  <c r="UA11" i="5"/>
  <c r="UB11" i="5"/>
  <c r="UC11" i="5"/>
  <c r="UD11" i="5"/>
  <c r="UE11" i="5"/>
  <c r="UF11" i="5"/>
  <c r="UG11" i="5"/>
  <c r="UH11" i="5"/>
  <c r="UI11" i="5"/>
  <c r="UJ11" i="5"/>
  <c r="UK11" i="5"/>
  <c r="K12" i="5"/>
  <c r="L12" i="5"/>
  <c r="M12" i="5"/>
  <c r="N12" i="5"/>
  <c r="O12" i="5"/>
  <c r="P12" i="5"/>
  <c r="Q12" i="5"/>
  <c r="R12" i="5"/>
  <c r="S12" i="5"/>
  <c r="T12" i="5"/>
  <c r="U12" i="5"/>
  <c r="V12" i="5"/>
  <c r="W12" i="5"/>
  <c r="X12" i="5"/>
  <c r="Y12" i="5"/>
  <c r="Z12" i="5"/>
  <c r="AA12" i="5"/>
  <c r="AB12" i="5"/>
  <c r="AC12" i="5"/>
  <c r="AD12" i="5"/>
  <c r="AE12" i="5"/>
  <c r="AF12" i="5"/>
  <c r="AG12" i="5"/>
  <c r="AH12" i="5"/>
  <c r="AI12" i="5"/>
  <c r="AJ12" i="5"/>
  <c r="AK12" i="5"/>
  <c r="AL12" i="5"/>
  <c r="AM12" i="5"/>
  <c r="AN12" i="5"/>
  <c r="AO12" i="5"/>
  <c r="AP12" i="5"/>
  <c r="AQ12" i="5"/>
  <c r="AR12" i="5"/>
  <c r="AS12" i="5"/>
  <c r="AT12" i="5"/>
  <c r="AU12" i="5"/>
  <c r="AV12" i="5"/>
  <c r="AW12" i="5"/>
  <c r="AX12" i="5"/>
  <c r="AY12" i="5"/>
  <c r="AZ12" i="5"/>
  <c r="BA12" i="5"/>
  <c r="BB12" i="5"/>
  <c r="BC12" i="5"/>
  <c r="BD12" i="5"/>
  <c r="BE12" i="5"/>
  <c r="BF12" i="5"/>
  <c r="BG12" i="5"/>
  <c r="BH12" i="5"/>
  <c r="BI12" i="5"/>
  <c r="BJ12" i="5"/>
  <c r="BK12" i="5"/>
  <c r="BL12" i="5"/>
  <c r="BM12" i="5"/>
  <c r="BN12" i="5"/>
  <c r="BO12" i="5"/>
  <c r="BP12" i="5"/>
  <c r="BQ12" i="5"/>
  <c r="BR12" i="5"/>
  <c r="BS12" i="5"/>
  <c r="BT12" i="5"/>
  <c r="BU12" i="5"/>
  <c r="BV12" i="5"/>
  <c r="BW12" i="5"/>
  <c r="BX12" i="5"/>
  <c r="BY12" i="5"/>
  <c r="BZ12" i="5"/>
  <c r="CA12" i="5"/>
  <c r="CB12" i="5"/>
  <c r="CC12" i="5"/>
  <c r="CD12" i="5"/>
  <c r="CE12" i="5"/>
  <c r="CF12" i="5"/>
  <c r="CG12" i="5"/>
  <c r="CH12" i="5"/>
  <c r="CI12" i="5"/>
  <c r="CJ12" i="5"/>
  <c r="CK12" i="5"/>
  <c r="CL12" i="5"/>
  <c r="CM12" i="5"/>
  <c r="CN12" i="5"/>
  <c r="CO12" i="5"/>
  <c r="CP12" i="5"/>
  <c r="CQ12" i="5"/>
  <c r="CR12" i="5"/>
  <c r="CS12" i="5"/>
  <c r="CT12" i="5"/>
  <c r="CU12" i="5"/>
  <c r="CV12" i="5"/>
  <c r="CW12" i="5"/>
  <c r="CX12" i="5"/>
  <c r="CY12" i="5"/>
  <c r="CZ12" i="5"/>
  <c r="DA12" i="5"/>
  <c r="DB12" i="5"/>
  <c r="DC12" i="5"/>
  <c r="DD12" i="5"/>
  <c r="DE12" i="5"/>
  <c r="DF12" i="5"/>
  <c r="DG12" i="5"/>
  <c r="DH12" i="5"/>
  <c r="DI12" i="5"/>
  <c r="DJ12" i="5"/>
  <c r="DK12" i="5"/>
  <c r="DL12" i="5"/>
  <c r="DM12" i="5"/>
  <c r="DN12" i="5"/>
  <c r="DO12" i="5"/>
  <c r="DP12" i="5"/>
  <c r="DQ12" i="5"/>
  <c r="DR12" i="5"/>
  <c r="DS12" i="5"/>
  <c r="DT12" i="5"/>
  <c r="DU12" i="5"/>
  <c r="DV12" i="5"/>
  <c r="DW12" i="5"/>
  <c r="DX12" i="5"/>
  <c r="DY12" i="5"/>
  <c r="DZ12" i="5"/>
  <c r="EA12" i="5"/>
  <c r="EB12" i="5"/>
  <c r="EC12" i="5"/>
  <c r="ED12" i="5"/>
  <c r="EE12" i="5"/>
  <c r="EF12" i="5"/>
  <c r="EG12" i="5"/>
  <c r="EH12" i="5"/>
  <c r="EI12" i="5"/>
  <c r="EJ12" i="5"/>
  <c r="EK12" i="5"/>
  <c r="EL12" i="5"/>
  <c r="EM12" i="5"/>
  <c r="EN12" i="5"/>
  <c r="EO12" i="5"/>
  <c r="EP12" i="5"/>
  <c r="EQ12" i="5"/>
  <c r="ER12" i="5"/>
  <c r="ES12" i="5"/>
  <c r="ET12" i="5"/>
  <c r="EU12" i="5"/>
  <c r="EV12" i="5"/>
  <c r="EW12" i="5"/>
  <c r="EX12" i="5"/>
  <c r="EY12" i="5"/>
  <c r="EZ12" i="5"/>
  <c r="FA12" i="5"/>
  <c r="FB12" i="5"/>
  <c r="FC12" i="5"/>
  <c r="FD12" i="5"/>
  <c r="FE12" i="5"/>
  <c r="FF12" i="5"/>
  <c r="FG12" i="5"/>
  <c r="FH12" i="5"/>
  <c r="FI12" i="5"/>
  <c r="FJ12" i="5"/>
  <c r="FK12" i="5"/>
  <c r="FL12" i="5"/>
  <c r="FM12" i="5"/>
  <c r="FN12" i="5"/>
  <c r="FO12" i="5"/>
  <c r="FP12" i="5"/>
  <c r="FQ12" i="5"/>
  <c r="FR12" i="5"/>
  <c r="FS12" i="5"/>
  <c r="FT12" i="5"/>
  <c r="FU12" i="5"/>
  <c r="FV12" i="5"/>
  <c r="FW12" i="5"/>
  <c r="FX12" i="5"/>
  <c r="FY12" i="5"/>
  <c r="FZ12" i="5"/>
  <c r="GA12" i="5"/>
  <c r="GB12" i="5"/>
  <c r="GC12" i="5"/>
  <c r="GD12" i="5"/>
  <c r="GE12" i="5"/>
  <c r="GF12" i="5"/>
  <c r="GG12" i="5"/>
  <c r="GH12" i="5"/>
  <c r="GI12" i="5"/>
  <c r="GJ12" i="5"/>
  <c r="GK12" i="5"/>
  <c r="GL12" i="5"/>
  <c r="GM12" i="5"/>
  <c r="GN12" i="5"/>
  <c r="GO12" i="5"/>
  <c r="GP12" i="5"/>
  <c r="GQ12" i="5"/>
  <c r="GR12" i="5"/>
  <c r="GS12" i="5"/>
  <c r="GT12" i="5"/>
  <c r="GU12" i="5"/>
  <c r="GV12" i="5"/>
  <c r="GW12" i="5"/>
  <c r="GX12" i="5"/>
  <c r="GY12" i="5"/>
  <c r="GZ12" i="5"/>
  <c r="HA12" i="5"/>
  <c r="HB12" i="5"/>
  <c r="HC12" i="5"/>
  <c r="HD12" i="5"/>
  <c r="HE12" i="5"/>
  <c r="HF12" i="5"/>
  <c r="HG12" i="5"/>
  <c r="HH12" i="5"/>
  <c r="HI12" i="5"/>
  <c r="HJ12" i="5"/>
  <c r="HK12" i="5"/>
  <c r="HL12" i="5"/>
  <c r="HM12" i="5"/>
  <c r="HN12" i="5"/>
  <c r="HO12" i="5"/>
  <c r="HP12" i="5"/>
  <c r="HQ12" i="5"/>
  <c r="HR12" i="5"/>
  <c r="HS12" i="5"/>
  <c r="HT12" i="5"/>
  <c r="HU12" i="5"/>
  <c r="HV12" i="5"/>
  <c r="HW12" i="5"/>
  <c r="HX12" i="5"/>
  <c r="HY12" i="5"/>
  <c r="HZ12" i="5"/>
  <c r="IA12" i="5"/>
  <c r="IB12" i="5"/>
  <c r="IC12" i="5"/>
  <c r="ID12" i="5"/>
  <c r="IE12" i="5"/>
  <c r="IF12" i="5"/>
  <c r="IG12" i="5"/>
  <c r="IH12" i="5"/>
  <c r="II12" i="5"/>
  <c r="IJ12" i="5"/>
  <c r="IK12" i="5"/>
  <c r="IL12" i="5"/>
  <c r="IM12" i="5"/>
  <c r="IN12" i="5"/>
  <c r="IO12" i="5"/>
  <c r="IP12" i="5"/>
  <c r="IQ12" i="5"/>
  <c r="IR12" i="5"/>
  <c r="IS12" i="5"/>
  <c r="IT12" i="5"/>
  <c r="IU12" i="5"/>
  <c r="IV12" i="5"/>
  <c r="IW12" i="5"/>
  <c r="IX12" i="5"/>
  <c r="IY12" i="5"/>
  <c r="IZ12" i="5"/>
  <c r="JA12" i="5"/>
  <c r="JB12" i="5"/>
  <c r="JC12" i="5"/>
  <c r="JD12" i="5"/>
  <c r="JE12" i="5"/>
  <c r="JF12" i="5"/>
  <c r="JG12" i="5"/>
  <c r="JH12" i="5"/>
  <c r="JI12" i="5"/>
  <c r="JJ12" i="5"/>
  <c r="JK12" i="5"/>
  <c r="JL12" i="5"/>
  <c r="JM12" i="5"/>
  <c r="JN12" i="5"/>
  <c r="JO12" i="5"/>
  <c r="JP12" i="5"/>
  <c r="JQ12" i="5"/>
  <c r="JR12" i="5"/>
  <c r="JS12" i="5"/>
  <c r="JT12" i="5"/>
  <c r="JU12" i="5"/>
  <c r="JV12" i="5"/>
  <c r="JW12" i="5"/>
  <c r="JX12" i="5"/>
  <c r="JY12" i="5"/>
  <c r="JZ12" i="5"/>
  <c r="KA12" i="5"/>
  <c r="KB12" i="5"/>
  <c r="KC12" i="5"/>
  <c r="KD12" i="5"/>
  <c r="KE12" i="5"/>
  <c r="KF12" i="5"/>
  <c r="KG12" i="5"/>
  <c r="KH12" i="5"/>
  <c r="KI12" i="5"/>
  <c r="KJ12" i="5"/>
  <c r="KK12" i="5"/>
  <c r="KL12" i="5"/>
  <c r="KM12" i="5"/>
  <c r="KN12" i="5"/>
  <c r="KO12" i="5"/>
  <c r="KP12" i="5"/>
  <c r="KQ12" i="5"/>
  <c r="KR12" i="5"/>
  <c r="KS12" i="5"/>
  <c r="KT12" i="5"/>
  <c r="KU12" i="5"/>
  <c r="KV12" i="5"/>
  <c r="KW12" i="5"/>
  <c r="KX12" i="5"/>
  <c r="KY12" i="5"/>
  <c r="KZ12" i="5"/>
  <c r="LA12" i="5"/>
  <c r="LB12" i="5"/>
  <c r="LC12" i="5"/>
  <c r="LD12" i="5"/>
  <c r="LE12" i="5"/>
  <c r="LF12" i="5"/>
  <c r="LG12" i="5"/>
  <c r="LH12" i="5"/>
  <c r="LI12" i="5"/>
  <c r="LJ12" i="5"/>
  <c r="LK12" i="5"/>
  <c r="LL12" i="5"/>
  <c r="LM12" i="5"/>
  <c r="LN12" i="5"/>
  <c r="LO12" i="5"/>
  <c r="LP12" i="5"/>
  <c r="LQ12" i="5"/>
  <c r="LR12" i="5"/>
  <c r="LS12" i="5"/>
  <c r="LT12" i="5"/>
  <c r="LU12" i="5"/>
  <c r="LV12" i="5"/>
  <c r="LW12" i="5"/>
  <c r="LX12" i="5"/>
  <c r="LY12" i="5"/>
  <c r="LZ12" i="5"/>
  <c r="MA12" i="5"/>
  <c r="MB12" i="5"/>
  <c r="MC12" i="5"/>
  <c r="MD12" i="5"/>
  <c r="ME12" i="5"/>
  <c r="MF12" i="5"/>
  <c r="MG12" i="5"/>
  <c r="MH12" i="5"/>
  <c r="MI12" i="5"/>
  <c r="MJ12" i="5"/>
  <c r="MK12" i="5"/>
  <c r="ML12" i="5"/>
  <c r="MM12" i="5"/>
  <c r="MN12" i="5"/>
  <c r="MO12" i="5"/>
  <c r="MP12" i="5"/>
  <c r="MQ12" i="5"/>
  <c r="MR12" i="5"/>
  <c r="MS12" i="5"/>
  <c r="MT12" i="5"/>
  <c r="MU12" i="5"/>
  <c r="MV12" i="5"/>
  <c r="MW12" i="5"/>
  <c r="MX12" i="5"/>
  <c r="MY12" i="5"/>
  <c r="MZ12" i="5"/>
  <c r="NA12" i="5"/>
  <c r="NB12" i="5"/>
  <c r="NC12" i="5"/>
  <c r="ND12" i="5"/>
  <c r="NE12" i="5"/>
  <c r="NF12" i="5"/>
  <c r="NG12" i="5"/>
  <c r="NH12" i="5"/>
  <c r="NI12" i="5"/>
  <c r="NJ12" i="5"/>
  <c r="NK12" i="5"/>
  <c r="NL12" i="5"/>
  <c r="NM12" i="5"/>
  <c r="NN12" i="5"/>
  <c r="NO12" i="5"/>
  <c r="NP12" i="5"/>
  <c r="NQ12" i="5"/>
  <c r="NR12" i="5"/>
  <c r="NS12" i="5"/>
  <c r="NT12" i="5"/>
  <c r="NU12" i="5"/>
  <c r="NV12" i="5"/>
  <c r="NW12" i="5"/>
  <c r="NX12" i="5"/>
  <c r="NY12" i="5"/>
  <c r="NZ12" i="5"/>
  <c r="OA12" i="5"/>
  <c r="OB12" i="5"/>
  <c r="OC12" i="5"/>
  <c r="OD12" i="5"/>
  <c r="OE12" i="5"/>
  <c r="OF12" i="5"/>
  <c r="OG12" i="5"/>
  <c r="OH12" i="5"/>
  <c r="OI12" i="5"/>
  <c r="OJ12" i="5"/>
  <c r="OK12" i="5"/>
  <c r="OL12" i="5"/>
  <c r="OM12" i="5"/>
  <c r="ON12" i="5"/>
  <c r="OO12" i="5"/>
  <c r="OP12" i="5"/>
  <c r="OQ12" i="5"/>
  <c r="OR12" i="5"/>
  <c r="OS12" i="5"/>
  <c r="OT12" i="5"/>
  <c r="OU12" i="5"/>
  <c r="OV12" i="5"/>
  <c r="OW12" i="5"/>
  <c r="OX12" i="5"/>
  <c r="OY12" i="5"/>
  <c r="OZ12" i="5"/>
  <c r="PA12" i="5"/>
  <c r="PB12" i="5"/>
  <c r="PC12" i="5"/>
  <c r="PD12" i="5"/>
  <c r="PE12" i="5"/>
  <c r="PF12" i="5"/>
  <c r="PG12" i="5"/>
  <c r="PH12" i="5"/>
  <c r="PI12" i="5"/>
  <c r="PJ12" i="5"/>
  <c r="PK12" i="5"/>
  <c r="PL12" i="5"/>
  <c r="PM12" i="5"/>
  <c r="PN12" i="5"/>
  <c r="PO12" i="5"/>
  <c r="PP12" i="5"/>
  <c r="PQ12" i="5"/>
  <c r="PR12" i="5"/>
  <c r="PS12" i="5"/>
  <c r="PT12" i="5"/>
  <c r="PU12" i="5"/>
  <c r="PV12" i="5"/>
  <c r="PW12" i="5"/>
  <c r="PX12" i="5"/>
  <c r="PY12" i="5"/>
  <c r="PZ12" i="5"/>
  <c r="QA12" i="5"/>
  <c r="QB12" i="5"/>
  <c r="QC12" i="5"/>
  <c r="QD12" i="5"/>
  <c r="QE12" i="5"/>
  <c r="QF12" i="5"/>
  <c r="QG12" i="5"/>
  <c r="QH12" i="5"/>
  <c r="QI12" i="5"/>
  <c r="QJ12" i="5"/>
  <c r="QK12" i="5"/>
  <c r="QL12" i="5"/>
  <c r="QM12" i="5"/>
  <c r="QN12" i="5"/>
  <c r="QO12" i="5"/>
  <c r="QP12" i="5"/>
  <c r="QQ12" i="5"/>
  <c r="QR12" i="5"/>
  <c r="QS12" i="5"/>
  <c r="QT12" i="5"/>
  <c r="QU12" i="5"/>
  <c r="QV12" i="5"/>
  <c r="QW12" i="5"/>
  <c r="QX12" i="5"/>
  <c r="QY12" i="5"/>
  <c r="QZ12" i="5"/>
  <c r="RA12" i="5"/>
  <c r="RB12" i="5"/>
  <c r="RC12" i="5"/>
  <c r="RD12" i="5"/>
  <c r="RE12" i="5"/>
  <c r="RF12" i="5"/>
  <c r="RG12" i="5"/>
  <c r="RH12" i="5"/>
  <c r="RI12" i="5"/>
  <c r="RJ12" i="5"/>
  <c r="RK12" i="5"/>
  <c r="RL12" i="5"/>
  <c r="RM12" i="5"/>
  <c r="RN12" i="5"/>
  <c r="RO12" i="5"/>
  <c r="RP12" i="5"/>
  <c r="RQ12" i="5"/>
  <c r="RR12" i="5"/>
  <c r="RS12" i="5"/>
  <c r="RT12" i="5"/>
  <c r="RU12" i="5"/>
  <c r="RV12" i="5"/>
  <c r="RW12" i="5"/>
  <c r="RX12" i="5"/>
  <c r="RY12" i="5"/>
  <c r="RZ12" i="5"/>
  <c r="SA12" i="5"/>
  <c r="SB12" i="5"/>
  <c r="SC12" i="5"/>
  <c r="SD12" i="5"/>
  <c r="SE12" i="5"/>
  <c r="SF12" i="5"/>
  <c r="SG12" i="5"/>
  <c r="SH12" i="5"/>
  <c r="SI12" i="5"/>
  <c r="SJ12" i="5"/>
  <c r="SK12" i="5"/>
  <c r="SL12" i="5"/>
  <c r="SM12" i="5"/>
  <c r="SN12" i="5"/>
  <c r="SO12" i="5"/>
  <c r="SP12" i="5"/>
  <c r="SQ12" i="5"/>
  <c r="SR12" i="5"/>
  <c r="SS12" i="5"/>
  <c r="ST12" i="5"/>
  <c r="SU12" i="5"/>
  <c r="SV12" i="5"/>
  <c r="SW12" i="5"/>
  <c r="SX12" i="5"/>
  <c r="SY12" i="5"/>
  <c r="SZ12" i="5"/>
  <c r="TA12" i="5"/>
  <c r="TB12" i="5"/>
  <c r="TC12" i="5"/>
  <c r="TD12" i="5"/>
  <c r="TE12" i="5"/>
  <c r="TF12" i="5"/>
  <c r="TG12" i="5"/>
  <c r="TH12" i="5"/>
  <c r="TI12" i="5"/>
  <c r="TJ12" i="5"/>
  <c r="TK12" i="5"/>
  <c r="TL12" i="5"/>
  <c r="TM12" i="5"/>
  <c r="TN12" i="5"/>
  <c r="TO12" i="5"/>
  <c r="TP12" i="5"/>
  <c r="TQ12" i="5"/>
  <c r="TR12" i="5"/>
  <c r="TS12" i="5"/>
  <c r="TT12" i="5"/>
  <c r="TU12" i="5"/>
  <c r="TV12" i="5"/>
  <c r="TW12" i="5"/>
  <c r="TX12" i="5"/>
  <c r="TY12" i="5"/>
  <c r="TZ12" i="5"/>
  <c r="UA12" i="5"/>
  <c r="UB12" i="5"/>
  <c r="UC12" i="5"/>
  <c r="UD12" i="5"/>
  <c r="UE12" i="5"/>
  <c r="UF12" i="5"/>
  <c r="UG12" i="5"/>
  <c r="UH12" i="5"/>
  <c r="UI12" i="5"/>
  <c r="UJ12" i="5"/>
  <c r="UK12"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I13" i="5"/>
  <c r="BJ13" i="5"/>
  <c r="BK13" i="5"/>
  <c r="BL13" i="5"/>
  <c r="BM13" i="5"/>
  <c r="BN13" i="5"/>
  <c r="BO13" i="5"/>
  <c r="BP13" i="5"/>
  <c r="BQ13" i="5"/>
  <c r="BR13" i="5"/>
  <c r="BS13" i="5"/>
  <c r="BT13" i="5"/>
  <c r="BU13" i="5"/>
  <c r="BV13" i="5"/>
  <c r="BW13" i="5"/>
  <c r="BX13" i="5"/>
  <c r="BY13" i="5"/>
  <c r="BZ13" i="5"/>
  <c r="CA13" i="5"/>
  <c r="CB13" i="5"/>
  <c r="CC13" i="5"/>
  <c r="CD13" i="5"/>
  <c r="CE13" i="5"/>
  <c r="CF13" i="5"/>
  <c r="CG13" i="5"/>
  <c r="CH13" i="5"/>
  <c r="CI13" i="5"/>
  <c r="CJ13" i="5"/>
  <c r="CK13" i="5"/>
  <c r="CL13" i="5"/>
  <c r="CM13" i="5"/>
  <c r="CN13" i="5"/>
  <c r="CO13" i="5"/>
  <c r="CP13" i="5"/>
  <c r="CQ13" i="5"/>
  <c r="CR13" i="5"/>
  <c r="CS13" i="5"/>
  <c r="CT13" i="5"/>
  <c r="CU13" i="5"/>
  <c r="CV13" i="5"/>
  <c r="CW13" i="5"/>
  <c r="CX13" i="5"/>
  <c r="CY13" i="5"/>
  <c r="CZ13" i="5"/>
  <c r="DA13" i="5"/>
  <c r="DB13" i="5"/>
  <c r="DC13" i="5"/>
  <c r="DD13" i="5"/>
  <c r="DE13" i="5"/>
  <c r="DF13" i="5"/>
  <c r="DG13" i="5"/>
  <c r="DH13" i="5"/>
  <c r="DI13" i="5"/>
  <c r="DJ13" i="5"/>
  <c r="DK13" i="5"/>
  <c r="DL13" i="5"/>
  <c r="DM13" i="5"/>
  <c r="DN13" i="5"/>
  <c r="DO13" i="5"/>
  <c r="DP13" i="5"/>
  <c r="DQ13" i="5"/>
  <c r="DR13" i="5"/>
  <c r="DS13" i="5"/>
  <c r="DT13" i="5"/>
  <c r="DU13" i="5"/>
  <c r="DV13" i="5"/>
  <c r="DW13" i="5"/>
  <c r="DX13" i="5"/>
  <c r="DY13" i="5"/>
  <c r="DZ13" i="5"/>
  <c r="EA13" i="5"/>
  <c r="EB13" i="5"/>
  <c r="EC13" i="5"/>
  <c r="ED13" i="5"/>
  <c r="EE13" i="5"/>
  <c r="EF13" i="5"/>
  <c r="EG13" i="5"/>
  <c r="EH13" i="5"/>
  <c r="EI13" i="5"/>
  <c r="EJ13" i="5"/>
  <c r="EK13" i="5"/>
  <c r="EL13" i="5"/>
  <c r="EM13" i="5"/>
  <c r="EN13" i="5"/>
  <c r="EO13" i="5"/>
  <c r="EP13" i="5"/>
  <c r="EQ13" i="5"/>
  <c r="ER13" i="5"/>
  <c r="ES13" i="5"/>
  <c r="ET13" i="5"/>
  <c r="EU13" i="5"/>
  <c r="EV13" i="5"/>
  <c r="EW13" i="5"/>
  <c r="EX13" i="5"/>
  <c r="EY13" i="5"/>
  <c r="EZ13" i="5"/>
  <c r="FA13" i="5"/>
  <c r="FB13" i="5"/>
  <c r="FC13" i="5"/>
  <c r="FD13" i="5"/>
  <c r="FE13" i="5"/>
  <c r="FF13" i="5"/>
  <c r="FG13" i="5"/>
  <c r="FH13" i="5"/>
  <c r="FI13" i="5"/>
  <c r="FJ13" i="5"/>
  <c r="FK13" i="5"/>
  <c r="FL13" i="5"/>
  <c r="FM13" i="5"/>
  <c r="FN13" i="5"/>
  <c r="FO13" i="5"/>
  <c r="FP13" i="5"/>
  <c r="FQ13" i="5"/>
  <c r="FR13" i="5"/>
  <c r="FS13" i="5"/>
  <c r="FT13" i="5"/>
  <c r="FU13" i="5"/>
  <c r="FV13" i="5"/>
  <c r="FW13" i="5"/>
  <c r="FX13" i="5"/>
  <c r="FY13" i="5"/>
  <c r="FZ13" i="5"/>
  <c r="GA13" i="5"/>
  <c r="GB13" i="5"/>
  <c r="GC13" i="5"/>
  <c r="GD13" i="5"/>
  <c r="GE13" i="5"/>
  <c r="GF13" i="5"/>
  <c r="GG13" i="5"/>
  <c r="GH13" i="5"/>
  <c r="GI13" i="5"/>
  <c r="GJ13" i="5"/>
  <c r="GK13" i="5"/>
  <c r="GL13" i="5"/>
  <c r="GM13" i="5"/>
  <c r="GN13" i="5"/>
  <c r="GO13" i="5"/>
  <c r="GP13" i="5"/>
  <c r="GQ13" i="5"/>
  <c r="GR13" i="5"/>
  <c r="GS13" i="5"/>
  <c r="GT13" i="5"/>
  <c r="GU13" i="5"/>
  <c r="GV13" i="5"/>
  <c r="GW13" i="5"/>
  <c r="GX13" i="5"/>
  <c r="GY13" i="5"/>
  <c r="GZ13" i="5"/>
  <c r="HA13" i="5"/>
  <c r="HB13" i="5"/>
  <c r="HC13" i="5"/>
  <c r="HD13" i="5"/>
  <c r="HE13" i="5"/>
  <c r="HF13" i="5"/>
  <c r="HG13" i="5"/>
  <c r="HH13" i="5"/>
  <c r="HI13" i="5"/>
  <c r="HJ13" i="5"/>
  <c r="HK13" i="5"/>
  <c r="HL13" i="5"/>
  <c r="HM13" i="5"/>
  <c r="HN13" i="5"/>
  <c r="HO13" i="5"/>
  <c r="HP13" i="5"/>
  <c r="HQ13" i="5"/>
  <c r="HR13" i="5"/>
  <c r="HS13" i="5"/>
  <c r="HT13" i="5"/>
  <c r="HU13" i="5"/>
  <c r="HV13" i="5"/>
  <c r="HW13" i="5"/>
  <c r="HX13" i="5"/>
  <c r="HY13" i="5"/>
  <c r="HZ13" i="5"/>
  <c r="IA13" i="5"/>
  <c r="IB13" i="5"/>
  <c r="IC13" i="5"/>
  <c r="ID13" i="5"/>
  <c r="IE13" i="5"/>
  <c r="IF13" i="5"/>
  <c r="IG13" i="5"/>
  <c r="IH13" i="5"/>
  <c r="II13" i="5"/>
  <c r="IJ13" i="5"/>
  <c r="IK13" i="5"/>
  <c r="IL13" i="5"/>
  <c r="IM13" i="5"/>
  <c r="IN13" i="5"/>
  <c r="IO13" i="5"/>
  <c r="IP13" i="5"/>
  <c r="IQ13" i="5"/>
  <c r="IR13" i="5"/>
  <c r="IS13" i="5"/>
  <c r="IT13" i="5"/>
  <c r="IU13" i="5"/>
  <c r="IV13" i="5"/>
  <c r="IW13" i="5"/>
  <c r="IX13" i="5"/>
  <c r="IY13" i="5"/>
  <c r="IZ13" i="5"/>
  <c r="JA13" i="5"/>
  <c r="JB13" i="5"/>
  <c r="JC13" i="5"/>
  <c r="JD13" i="5"/>
  <c r="JE13" i="5"/>
  <c r="JF13" i="5"/>
  <c r="JG13" i="5"/>
  <c r="JH13" i="5"/>
  <c r="JI13" i="5"/>
  <c r="JJ13" i="5"/>
  <c r="JK13" i="5"/>
  <c r="JL13" i="5"/>
  <c r="JM13" i="5"/>
  <c r="JN13" i="5"/>
  <c r="JO13" i="5"/>
  <c r="JP13" i="5"/>
  <c r="JQ13" i="5"/>
  <c r="JR13" i="5"/>
  <c r="JS13" i="5"/>
  <c r="JT13" i="5"/>
  <c r="JU13" i="5"/>
  <c r="JV13" i="5"/>
  <c r="JW13" i="5"/>
  <c r="JX13" i="5"/>
  <c r="JY13" i="5"/>
  <c r="JZ13" i="5"/>
  <c r="KA13" i="5"/>
  <c r="KB13" i="5"/>
  <c r="KC13" i="5"/>
  <c r="KD13" i="5"/>
  <c r="KE13" i="5"/>
  <c r="KF13" i="5"/>
  <c r="KG13" i="5"/>
  <c r="KH13" i="5"/>
  <c r="KI13" i="5"/>
  <c r="KJ13" i="5"/>
  <c r="KK13" i="5"/>
  <c r="KL13" i="5"/>
  <c r="KM13" i="5"/>
  <c r="KN13" i="5"/>
  <c r="KO13" i="5"/>
  <c r="KP13" i="5"/>
  <c r="KQ13" i="5"/>
  <c r="KR13" i="5"/>
  <c r="KS13" i="5"/>
  <c r="KT13" i="5"/>
  <c r="KU13" i="5"/>
  <c r="KV13" i="5"/>
  <c r="KW13" i="5"/>
  <c r="KX13" i="5"/>
  <c r="KY13" i="5"/>
  <c r="KZ13" i="5"/>
  <c r="LA13" i="5"/>
  <c r="LB13" i="5"/>
  <c r="LC13" i="5"/>
  <c r="LD13" i="5"/>
  <c r="LE13" i="5"/>
  <c r="LF13" i="5"/>
  <c r="LG13" i="5"/>
  <c r="LH13" i="5"/>
  <c r="LI13" i="5"/>
  <c r="LJ13" i="5"/>
  <c r="LK13" i="5"/>
  <c r="LL13" i="5"/>
  <c r="LM13" i="5"/>
  <c r="LN13" i="5"/>
  <c r="LO13" i="5"/>
  <c r="LP13" i="5"/>
  <c r="LQ13" i="5"/>
  <c r="LR13" i="5"/>
  <c r="LS13" i="5"/>
  <c r="LT13" i="5"/>
  <c r="LU13" i="5"/>
  <c r="LV13" i="5"/>
  <c r="LW13" i="5"/>
  <c r="LX13" i="5"/>
  <c r="LY13" i="5"/>
  <c r="LZ13" i="5"/>
  <c r="MA13" i="5"/>
  <c r="MB13" i="5"/>
  <c r="MC13" i="5"/>
  <c r="MD13" i="5"/>
  <c r="ME13" i="5"/>
  <c r="MF13" i="5"/>
  <c r="MG13" i="5"/>
  <c r="MH13" i="5"/>
  <c r="MI13" i="5"/>
  <c r="MJ13" i="5"/>
  <c r="MK13" i="5"/>
  <c r="ML13" i="5"/>
  <c r="MM13" i="5"/>
  <c r="MN13" i="5"/>
  <c r="MO13" i="5"/>
  <c r="MP13" i="5"/>
  <c r="MQ13" i="5"/>
  <c r="MR13" i="5"/>
  <c r="MS13" i="5"/>
  <c r="MT13" i="5"/>
  <c r="MU13" i="5"/>
  <c r="MV13" i="5"/>
  <c r="MW13" i="5"/>
  <c r="MX13" i="5"/>
  <c r="MY13" i="5"/>
  <c r="MZ13" i="5"/>
  <c r="NA13" i="5"/>
  <c r="NB13" i="5"/>
  <c r="NC13" i="5"/>
  <c r="ND13" i="5"/>
  <c r="NE13" i="5"/>
  <c r="NF13" i="5"/>
  <c r="NG13" i="5"/>
  <c r="NH13" i="5"/>
  <c r="NI13" i="5"/>
  <c r="NJ13" i="5"/>
  <c r="NK13" i="5"/>
  <c r="NL13" i="5"/>
  <c r="NM13" i="5"/>
  <c r="NN13" i="5"/>
  <c r="NO13" i="5"/>
  <c r="NP13" i="5"/>
  <c r="NQ13" i="5"/>
  <c r="NR13" i="5"/>
  <c r="NS13" i="5"/>
  <c r="NT13" i="5"/>
  <c r="NU13" i="5"/>
  <c r="NV13" i="5"/>
  <c r="NW13" i="5"/>
  <c r="NX13" i="5"/>
  <c r="NY13" i="5"/>
  <c r="NZ13" i="5"/>
  <c r="OA13" i="5"/>
  <c r="OB13" i="5"/>
  <c r="OC13" i="5"/>
  <c r="OD13" i="5"/>
  <c r="OE13" i="5"/>
  <c r="OF13" i="5"/>
  <c r="OG13" i="5"/>
  <c r="OH13" i="5"/>
  <c r="OI13" i="5"/>
  <c r="OJ13" i="5"/>
  <c r="OK13" i="5"/>
  <c r="OL13" i="5"/>
  <c r="OM13" i="5"/>
  <c r="ON13" i="5"/>
  <c r="OO13" i="5"/>
  <c r="OP13" i="5"/>
  <c r="OQ13" i="5"/>
  <c r="OR13" i="5"/>
  <c r="OS13" i="5"/>
  <c r="OT13" i="5"/>
  <c r="OU13" i="5"/>
  <c r="OV13" i="5"/>
  <c r="OW13" i="5"/>
  <c r="OX13" i="5"/>
  <c r="OY13" i="5"/>
  <c r="OZ13" i="5"/>
  <c r="PA13" i="5"/>
  <c r="PB13" i="5"/>
  <c r="PC13" i="5"/>
  <c r="PD13" i="5"/>
  <c r="PE13" i="5"/>
  <c r="PF13" i="5"/>
  <c r="PG13" i="5"/>
  <c r="PH13" i="5"/>
  <c r="PI13" i="5"/>
  <c r="PJ13" i="5"/>
  <c r="PK13" i="5"/>
  <c r="PL13" i="5"/>
  <c r="PM13" i="5"/>
  <c r="PN13" i="5"/>
  <c r="PO13" i="5"/>
  <c r="PP13" i="5"/>
  <c r="PQ13" i="5"/>
  <c r="PR13" i="5"/>
  <c r="PS13" i="5"/>
  <c r="PT13" i="5"/>
  <c r="PU13" i="5"/>
  <c r="PV13" i="5"/>
  <c r="PW13" i="5"/>
  <c r="PX13" i="5"/>
  <c r="PY13" i="5"/>
  <c r="PZ13" i="5"/>
  <c r="QA13" i="5"/>
  <c r="QB13" i="5"/>
  <c r="QC13" i="5"/>
  <c r="QD13" i="5"/>
  <c r="QE13" i="5"/>
  <c r="QF13" i="5"/>
  <c r="QG13" i="5"/>
  <c r="QH13" i="5"/>
  <c r="QI13" i="5"/>
  <c r="QJ13" i="5"/>
  <c r="QK13" i="5"/>
  <c r="QL13" i="5"/>
  <c r="QM13" i="5"/>
  <c r="QN13" i="5"/>
  <c r="QO13" i="5"/>
  <c r="QP13" i="5"/>
  <c r="QQ13" i="5"/>
  <c r="QR13" i="5"/>
  <c r="QS13" i="5"/>
  <c r="QT13" i="5"/>
  <c r="QU13" i="5"/>
  <c r="QV13" i="5"/>
  <c r="QW13" i="5"/>
  <c r="QX13" i="5"/>
  <c r="QY13" i="5"/>
  <c r="QZ13" i="5"/>
  <c r="RA13" i="5"/>
  <c r="RB13" i="5"/>
  <c r="RC13" i="5"/>
  <c r="RD13" i="5"/>
  <c r="RE13" i="5"/>
  <c r="RF13" i="5"/>
  <c r="RG13" i="5"/>
  <c r="RH13" i="5"/>
  <c r="RI13" i="5"/>
  <c r="RJ13" i="5"/>
  <c r="RK13" i="5"/>
  <c r="RL13" i="5"/>
  <c r="RM13" i="5"/>
  <c r="RN13" i="5"/>
  <c r="RO13" i="5"/>
  <c r="RP13" i="5"/>
  <c r="RQ13" i="5"/>
  <c r="RR13" i="5"/>
  <c r="RS13" i="5"/>
  <c r="RT13" i="5"/>
  <c r="RU13" i="5"/>
  <c r="RV13" i="5"/>
  <c r="RW13" i="5"/>
  <c r="RX13" i="5"/>
  <c r="RY13" i="5"/>
  <c r="RZ13" i="5"/>
  <c r="SA13" i="5"/>
  <c r="SB13" i="5"/>
  <c r="SC13" i="5"/>
  <c r="SD13" i="5"/>
  <c r="SE13" i="5"/>
  <c r="SF13" i="5"/>
  <c r="SG13" i="5"/>
  <c r="SH13" i="5"/>
  <c r="SI13" i="5"/>
  <c r="SJ13" i="5"/>
  <c r="SK13" i="5"/>
  <c r="SL13" i="5"/>
  <c r="SM13" i="5"/>
  <c r="SN13" i="5"/>
  <c r="SO13" i="5"/>
  <c r="SP13" i="5"/>
  <c r="SQ13" i="5"/>
  <c r="SR13" i="5"/>
  <c r="SS13" i="5"/>
  <c r="ST13" i="5"/>
  <c r="SU13" i="5"/>
  <c r="SV13" i="5"/>
  <c r="SW13" i="5"/>
  <c r="SX13" i="5"/>
  <c r="SY13" i="5"/>
  <c r="SZ13" i="5"/>
  <c r="TA13" i="5"/>
  <c r="TB13" i="5"/>
  <c r="TC13" i="5"/>
  <c r="TD13" i="5"/>
  <c r="TE13" i="5"/>
  <c r="TF13" i="5"/>
  <c r="TG13" i="5"/>
  <c r="TH13" i="5"/>
  <c r="TI13" i="5"/>
  <c r="TJ13" i="5"/>
  <c r="TK13" i="5"/>
  <c r="TL13" i="5"/>
  <c r="TM13" i="5"/>
  <c r="TN13" i="5"/>
  <c r="TO13" i="5"/>
  <c r="TP13" i="5"/>
  <c r="TQ13" i="5"/>
  <c r="TR13" i="5"/>
  <c r="TS13" i="5"/>
  <c r="TT13" i="5"/>
  <c r="TU13" i="5"/>
  <c r="TV13" i="5"/>
  <c r="TW13" i="5"/>
  <c r="TX13" i="5"/>
  <c r="TY13" i="5"/>
  <c r="TZ13" i="5"/>
  <c r="UA13" i="5"/>
  <c r="UB13" i="5"/>
  <c r="UC13" i="5"/>
  <c r="UD13" i="5"/>
  <c r="UE13" i="5"/>
  <c r="UF13" i="5"/>
  <c r="UG13" i="5"/>
  <c r="UH13" i="5"/>
  <c r="UI13" i="5"/>
  <c r="UJ13" i="5"/>
  <c r="UK13" i="5"/>
  <c r="K14" i="5"/>
  <c r="L14" i="5"/>
  <c r="M14" i="5"/>
  <c r="N14" i="5"/>
  <c r="O14" i="5"/>
  <c r="P14" i="5"/>
  <c r="Q14" i="5"/>
  <c r="R14" i="5"/>
  <c r="S14" i="5"/>
  <c r="T14" i="5"/>
  <c r="U14" i="5"/>
  <c r="V14" i="5"/>
  <c r="W14" i="5"/>
  <c r="X14" i="5"/>
  <c r="Y14" i="5"/>
  <c r="Z14" i="5"/>
  <c r="AA14" i="5"/>
  <c r="AB14" i="5"/>
  <c r="AC14" i="5"/>
  <c r="AD14" i="5"/>
  <c r="AE14" i="5"/>
  <c r="AF14" i="5"/>
  <c r="AG14" i="5"/>
  <c r="AH14" i="5"/>
  <c r="AI14" i="5"/>
  <c r="AJ14" i="5"/>
  <c r="AK14" i="5"/>
  <c r="AL14" i="5"/>
  <c r="AM14" i="5"/>
  <c r="AN14" i="5"/>
  <c r="AO14" i="5"/>
  <c r="AP14" i="5"/>
  <c r="AQ14" i="5"/>
  <c r="AR14" i="5"/>
  <c r="AS14" i="5"/>
  <c r="AT14" i="5"/>
  <c r="AU14" i="5"/>
  <c r="AV14" i="5"/>
  <c r="AW14" i="5"/>
  <c r="AX14" i="5"/>
  <c r="AY14" i="5"/>
  <c r="AZ14" i="5"/>
  <c r="BA14" i="5"/>
  <c r="BB14" i="5"/>
  <c r="BC14" i="5"/>
  <c r="BD14" i="5"/>
  <c r="BE14" i="5"/>
  <c r="BF14" i="5"/>
  <c r="BG14" i="5"/>
  <c r="BH14" i="5"/>
  <c r="BI14" i="5"/>
  <c r="BJ14" i="5"/>
  <c r="BK14" i="5"/>
  <c r="BL14" i="5"/>
  <c r="BM14" i="5"/>
  <c r="BN14" i="5"/>
  <c r="BO14" i="5"/>
  <c r="BP14" i="5"/>
  <c r="BQ14" i="5"/>
  <c r="BR14" i="5"/>
  <c r="BS14" i="5"/>
  <c r="BT14" i="5"/>
  <c r="BU14" i="5"/>
  <c r="BV14" i="5"/>
  <c r="BW14" i="5"/>
  <c r="BX14" i="5"/>
  <c r="BY14" i="5"/>
  <c r="BZ14" i="5"/>
  <c r="CA14" i="5"/>
  <c r="CB14" i="5"/>
  <c r="CC14" i="5"/>
  <c r="CD14" i="5"/>
  <c r="CE14" i="5"/>
  <c r="CF14" i="5"/>
  <c r="CG14" i="5"/>
  <c r="CH14" i="5"/>
  <c r="CI14" i="5"/>
  <c r="CJ14" i="5"/>
  <c r="CK14" i="5"/>
  <c r="CL14" i="5"/>
  <c r="CM14" i="5"/>
  <c r="CN14" i="5"/>
  <c r="CO14" i="5"/>
  <c r="CP14" i="5"/>
  <c r="CQ14" i="5"/>
  <c r="CR14" i="5"/>
  <c r="CS14" i="5"/>
  <c r="CT14" i="5"/>
  <c r="CU14" i="5"/>
  <c r="CV14" i="5"/>
  <c r="CW14" i="5"/>
  <c r="CX14" i="5"/>
  <c r="CY14" i="5"/>
  <c r="CZ14" i="5"/>
  <c r="DA14" i="5"/>
  <c r="DB14" i="5"/>
  <c r="DC14" i="5"/>
  <c r="DD14" i="5"/>
  <c r="DE14" i="5"/>
  <c r="DF14" i="5"/>
  <c r="DG14" i="5"/>
  <c r="DH14" i="5"/>
  <c r="DI14" i="5"/>
  <c r="DJ14" i="5"/>
  <c r="DK14" i="5"/>
  <c r="DL14" i="5"/>
  <c r="DM14" i="5"/>
  <c r="DN14" i="5"/>
  <c r="DO14" i="5"/>
  <c r="DP14" i="5"/>
  <c r="DQ14" i="5"/>
  <c r="DR14" i="5"/>
  <c r="DS14" i="5"/>
  <c r="DT14" i="5"/>
  <c r="DU14" i="5"/>
  <c r="DV14" i="5"/>
  <c r="DW14" i="5"/>
  <c r="DX14" i="5"/>
  <c r="DY14" i="5"/>
  <c r="DZ14" i="5"/>
  <c r="EA14" i="5"/>
  <c r="EB14" i="5"/>
  <c r="EC14" i="5"/>
  <c r="ED14" i="5"/>
  <c r="EE14" i="5"/>
  <c r="EF14" i="5"/>
  <c r="EG14" i="5"/>
  <c r="EH14" i="5"/>
  <c r="EI14" i="5"/>
  <c r="EJ14" i="5"/>
  <c r="EK14" i="5"/>
  <c r="EL14" i="5"/>
  <c r="EM14" i="5"/>
  <c r="EN14" i="5"/>
  <c r="EO14" i="5"/>
  <c r="EP14" i="5"/>
  <c r="EQ14" i="5"/>
  <c r="ER14" i="5"/>
  <c r="ES14" i="5"/>
  <c r="ET14" i="5"/>
  <c r="EU14" i="5"/>
  <c r="EV14" i="5"/>
  <c r="EW14" i="5"/>
  <c r="EX14" i="5"/>
  <c r="EY14" i="5"/>
  <c r="EZ14" i="5"/>
  <c r="FA14" i="5"/>
  <c r="FB14" i="5"/>
  <c r="FC14" i="5"/>
  <c r="FD14" i="5"/>
  <c r="FE14" i="5"/>
  <c r="FF14" i="5"/>
  <c r="FG14" i="5"/>
  <c r="FH14" i="5"/>
  <c r="FI14" i="5"/>
  <c r="FJ14" i="5"/>
  <c r="FK14" i="5"/>
  <c r="FL14" i="5"/>
  <c r="FM14" i="5"/>
  <c r="FN14" i="5"/>
  <c r="FO14" i="5"/>
  <c r="FP14" i="5"/>
  <c r="FQ14" i="5"/>
  <c r="FR14" i="5"/>
  <c r="FS14" i="5"/>
  <c r="FT14" i="5"/>
  <c r="FU14" i="5"/>
  <c r="FV14" i="5"/>
  <c r="FW14" i="5"/>
  <c r="FX14" i="5"/>
  <c r="FY14" i="5"/>
  <c r="FZ14" i="5"/>
  <c r="GA14" i="5"/>
  <c r="GB14" i="5"/>
  <c r="GC14" i="5"/>
  <c r="GD14" i="5"/>
  <c r="GE14" i="5"/>
  <c r="GF14" i="5"/>
  <c r="GG14" i="5"/>
  <c r="GH14" i="5"/>
  <c r="GI14" i="5"/>
  <c r="GJ14" i="5"/>
  <c r="GK14" i="5"/>
  <c r="GL14" i="5"/>
  <c r="GM14" i="5"/>
  <c r="GN14" i="5"/>
  <c r="GO14" i="5"/>
  <c r="GP14" i="5"/>
  <c r="GQ14" i="5"/>
  <c r="GR14" i="5"/>
  <c r="GS14" i="5"/>
  <c r="GT14" i="5"/>
  <c r="GU14" i="5"/>
  <c r="GV14" i="5"/>
  <c r="GW14" i="5"/>
  <c r="GX14" i="5"/>
  <c r="GY14" i="5"/>
  <c r="GZ14" i="5"/>
  <c r="HA14" i="5"/>
  <c r="HB14" i="5"/>
  <c r="HC14" i="5"/>
  <c r="HD14" i="5"/>
  <c r="HE14" i="5"/>
  <c r="HF14" i="5"/>
  <c r="HG14" i="5"/>
  <c r="HH14" i="5"/>
  <c r="HI14" i="5"/>
  <c r="HJ14" i="5"/>
  <c r="HK14" i="5"/>
  <c r="HL14" i="5"/>
  <c r="HM14" i="5"/>
  <c r="HN14" i="5"/>
  <c r="HO14" i="5"/>
  <c r="HP14" i="5"/>
  <c r="HQ14" i="5"/>
  <c r="HR14" i="5"/>
  <c r="HS14" i="5"/>
  <c r="HT14" i="5"/>
  <c r="HU14" i="5"/>
  <c r="HV14" i="5"/>
  <c r="HW14" i="5"/>
  <c r="HX14" i="5"/>
  <c r="HY14" i="5"/>
  <c r="HZ14" i="5"/>
  <c r="IA14" i="5"/>
  <c r="IB14" i="5"/>
  <c r="IC14" i="5"/>
  <c r="ID14" i="5"/>
  <c r="IE14" i="5"/>
  <c r="IF14" i="5"/>
  <c r="IG14" i="5"/>
  <c r="IH14" i="5"/>
  <c r="II14" i="5"/>
  <c r="IJ14" i="5"/>
  <c r="IK14" i="5"/>
  <c r="IL14" i="5"/>
  <c r="IM14" i="5"/>
  <c r="IN14" i="5"/>
  <c r="IO14" i="5"/>
  <c r="IP14" i="5"/>
  <c r="IQ14" i="5"/>
  <c r="IR14" i="5"/>
  <c r="IS14" i="5"/>
  <c r="IT14" i="5"/>
  <c r="IU14" i="5"/>
  <c r="IV14" i="5"/>
  <c r="IW14" i="5"/>
  <c r="IX14" i="5"/>
  <c r="IY14" i="5"/>
  <c r="IZ14" i="5"/>
  <c r="JA14" i="5"/>
  <c r="JB14" i="5"/>
  <c r="JC14" i="5"/>
  <c r="JD14" i="5"/>
  <c r="JE14" i="5"/>
  <c r="JF14" i="5"/>
  <c r="JG14" i="5"/>
  <c r="JH14" i="5"/>
  <c r="JI14" i="5"/>
  <c r="JJ14" i="5"/>
  <c r="JK14" i="5"/>
  <c r="JL14" i="5"/>
  <c r="JM14" i="5"/>
  <c r="JN14" i="5"/>
  <c r="JO14" i="5"/>
  <c r="JP14" i="5"/>
  <c r="JQ14" i="5"/>
  <c r="JR14" i="5"/>
  <c r="JS14" i="5"/>
  <c r="JT14" i="5"/>
  <c r="JU14" i="5"/>
  <c r="JV14" i="5"/>
  <c r="JW14" i="5"/>
  <c r="JX14" i="5"/>
  <c r="JY14" i="5"/>
  <c r="JZ14" i="5"/>
  <c r="KA14" i="5"/>
  <c r="KB14" i="5"/>
  <c r="KC14" i="5"/>
  <c r="KD14" i="5"/>
  <c r="KE14" i="5"/>
  <c r="KF14" i="5"/>
  <c r="KG14" i="5"/>
  <c r="KH14" i="5"/>
  <c r="KI14" i="5"/>
  <c r="KJ14" i="5"/>
  <c r="KK14" i="5"/>
  <c r="KL14" i="5"/>
  <c r="KM14" i="5"/>
  <c r="KN14" i="5"/>
  <c r="KO14" i="5"/>
  <c r="KP14" i="5"/>
  <c r="KQ14" i="5"/>
  <c r="KR14" i="5"/>
  <c r="KS14" i="5"/>
  <c r="KT14" i="5"/>
  <c r="KU14" i="5"/>
  <c r="KV14" i="5"/>
  <c r="KW14" i="5"/>
  <c r="KX14" i="5"/>
  <c r="KY14" i="5"/>
  <c r="KZ14" i="5"/>
  <c r="LA14" i="5"/>
  <c r="LB14" i="5"/>
  <c r="LC14" i="5"/>
  <c r="LD14" i="5"/>
  <c r="LE14" i="5"/>
  <c r="LF14" i="5"/>
  <c r="LG14" i="5"/>
  <c r="LH14" i="5"/>
  <c r="LI14" i="5"/>
  <c r="LJ14" i="5"/>
  <c r="LK14" i="5"/>
  <c r="LL14" i="5"/>
  <c r="LM14" i="5"/>
  <c r="LN14" i="5"/>
  <c r="LO14" i="5"/>
  <c r="LP14" i="5"/>
  <c r="LQ14" i="5"/>
  <c r="LR14" i="5"/>
  <c r="LS14" i="5"/>
  <c r="LT14" i="5"/>
  <c r="LU14" i="5"/>
  <c r="LV14" i="5"/>
  <c r="LW14" i="5"/>
  <c r="LX14" i="5"/>
  <c r="LY14" i="5"/>
  <c r="LZ14" i="5"/>
  <c r="MA14" i="5"/>
  <c r="MB14" i="5"/>
  <c r="MC14" i="5"/>
  <c r="MD14" i="5"/>
  <c r="ME14" i="5"/>
  <c r="MF14" i="5"/>
  <c r="MG14" i="5"/>
  <c r="MH14" i="5"/>
  <c r="MI14" i="5"/>
  <c r="MJ14" i="5"/>
  <c r="MK14" i="5"/>
  <c r="ML14" i="5"/>
  <c r="MM14" i="5"/>
  <c r="MN14" i="5"/>
  <c r="MO14" i="5"/>
  <c r="MP14" i="5"/>
  <c r="MQ14" i="5"/>
  <c r="MR14" i="5"/>
  <c r="MS14" i="5"/>
  <c r="MT14" i="5"/>
  <c r="MU14" i="5"/>
  <c r="MV14" i="5"/>
  <c r="MW14" i="5"/>
  <c r="MX14" i="5"/>
  <c r="MY14" i="5"/>
  <c r="MZ14" i="5"/>
  <c r="NA14" i="5"/>
  <c r="NB14" i="5"/>
  <c r="NC14" i="5"/>
  <c r="ND14" i="5"/>
  <c r="NE14" i="5"/>
  <c r="NF14" i="5"/>
  <c r="NG14" i="5"/>
  <c r="NH14" i="5"/>
  <c r="NI14" i="5"/>
  <c r="NJ14" i="5"/>
  <c r="NK14" i="5"/>
  <c r="NL14" i="5"/>
  <c r="NM14" i="5"/>
  <c r="NN14" i="5"/>
  <c r="NO14" i="5"/>
  <c r="NP14" i="5"/>
  <c r="NQ14" i="5"/>
  <c r="NR14" i="5"/>
  <c r="NS14" i="5"/>
  <c r="NT14" i="5"/>
  <c r="NU14" i="5"/>
  <c r="NV14" i="5"/>
  <c r="NW14" i="5"/>
  <c r="NX14" i="5"/>
  <c r="NY14" i="5"/>
  <c r="NZ14" i="5"/>
  <c r="OA14" i="5"/>
  <c r="OB14" i="5"/>
  <c r="OC14" i="5"/>
  <c r="OD14" i="5"/>
  <c r="OE14" i="5"/>
  <c r="OF14" i="5"/>
  <c r="OG14" i="5"/>
  <c r="OH14" i="5"/>
  <c r="OI14" i="5"/>
  <c r="OJ14" i="5"/>
  <c r="OK14" i="5"/>
  <c r="OL14" i="5"/>
  <c r="OM14" i="5"/>
  <c r="ON14" i="5"/>
  <c r="OO14" i="5"/>
  <c r="OP14" i="5"/>
  <c r="OQ14" i="5"/>
  <c r="OR14" i="5"/>
  <c r="OS14" i="5"/>
  <c r="OT14" i="5"/>
  <c r="OU14" i="5"/>
  <c r="OV14" i="5"/>
  <c r="OW14" i="5"/>
  <c r="OX14" i="5"/>
  <c r="OY14" i="5"/>
  <c r="OZ14" i="5"/>
  <c r="PA14" i="5"/>
  <c r="PB14" i="5"/>
  <c r="PC14" i="5"/>
  <c r="PD14" i="5"/>
  <c r="PE14" i="5"/>
  <c r="PF14" i="5"/>
  <c r="PG14" i="5"/>
  <c r="PH14" i="5"/>
  <c r="PI14" i="5"/>
  <c r="PJ14" i="5"/>
  <c r="PK14" i="5"/>
  <c r="PL14" i="5"/>
  <c r="PM14" i="5"/>
  <c r="PN14" i="5"/>
  <c r="PO14" i="5"/>
  <c r="PP14" i="5"/>
  <c r="PQ14" i="5"/>
  <c r="PR14" i="5"/>
  <c r="PS14" i="5"/>
  <c r="PT14" i="5"/>
  <c r="PU14" i="5"/>
  <c r="PV14" i="5"/>
  <c r="PW14" i="5"/>
  <c r="PX14" i="5"/>
  <c r="PY14" i="5"/>
  <c r="PZ14" i="5"/>
  <c r="QA14" i="5"/>
  <c r="QB14" i="5"/>
  <c r="QC14" i="5"/>
  <c r="QD14" i="5"/>
  <c r="QE14" i="5"/>
  <c r="QF14" i="5"/>
  <c r="QG14" i="5"/>
  <c r="QH14" i="5"/>
  <c r="QI14" i="5"/>
  <c r="QJ14" i="5"/>
  <c r="QK14" i="5"/>
  <c r="QL14" i="5"/>
  <c r="QM14" i="5"/>
  <c r="QN14" i="5"/>
  <c r="QO14" i="5"/>
  <c r="QP14" i="5"/>
  <c r="QQ14" i="5"/>
  <c r="QR14" i="5"/>
  <c r="QS14" i="5"/>
  <c r="QT14" i="5"/>
  <c r="QU14" i="5"/>
  <c r="QV14" i="5"/>
  <c r="QW14" i="5"/>
  <c r="QX14" i="5"/>
  <c r="QY14" i="5"/>
  <c r="QZ14" i="5"/>
  <c r="RA14" i="5"/>
  <c r="RB14" i="5"/>
  <c r="RC14" i="5"/>
  <c r="RD14" i="5"/>
  <c r="RE14" i="5"/>
  <c r="RF14" i="5"/>
  <c r="RG14" i="5"/>
  <c r="RH14" i="5"/>
  <c r="RI14" i="5"/>
  <c r="RJ14" i="5"/>
  <c r="RK14" i="5"/>
  <c r="RL14" i="5"/>
  <c r="RM14" i="5"/>
  <c r="RN14" i="5"/>
  <c r="RO14" i="5"/>
  <c r="RP14" i="5"/>
  <c r="RQ14" i="5"/>
  <c r="RR14" i="5"/>
  <c r="RS14" i="5"/>
  <c r="RT14" i="5"/>
  <c r="RU14" i="5"/>
  <c r="RV14" i="5"/>
  <c r="RW14" i="5"/>
  <c r="RX14" i="5"/>
  <c r="RY14" i="5"/>
  <c r="RZ14" i="5"/>
  <c r="SA14" i="5"/>
  <c r="SB14" i="5"/>
  <c r="SC14" i="5"/>
  <c r="SD14" i="5"/>
  <c r="SE14" i="5"/>
  <c r="SF14" i="5"/>
  <c r="SG14" i="5"/>
  <c r="SH14" i="5"/>
  <c r="SI14" i="5"/>
  <c r="SJ14" i="5"/>
  <c r="SK14" i="5"/>
  <c r="SL14" i="5"/>
  <c r="SM14" i="5"/>
  <c r="SN14" i="5"/>
  <c r="SO14" i="5"/>
  <c r="SP14" i="5"/>
  <c r="SQ14" i="5"/>
  <c r="SR14" i="5"/>
  <c r="SS14" i="5"/>
  <c r="ST14" i="5"/>
  <c r="SU14" i="5"/>
  <c r="SV14" i="5"/>
  <c r="SW14" i="5"/>
  <c r="SX14" i="5"/>
  <c r="SY14" i="5"/>
  <c r="SZ14" i="5"/>
  <c r="TA14" i="5"/>
  <c r="TB14" i="5"/>
  <c r="TC14" i="5"/>
  <c r="TD14" i="5"/>
  <c r="TE14" i="5"/>
  <c r="TF14" i="5"/>
  <c r="TG14" i="5"/>
  <c r="TH14" i="5"/>
  <c r="TI14" i="5"/>
  <c r="TJ14" i="5"/>
  <c r="TK14" i="5"/>
  <c r="TL14" i="5"/>
  <c r="TM14" i="5"/>
  <c r="TN14" i="5"/>
  <c r="TO14" i="5"/>
  <c r="TP14" i="5"/>
  <c r="TQ14" i="5"/>
  <c r="TR14" i="5"/>
  <c r="TS14" i="5"/>
  <c r="TT14" i="5"/>
  <c r="TU14" i="5"/>
  <c r="TV14" i="5"/>
  <c r="TW14" i="5"/>
  <c r="TX14" i="5"/>
  <c r="TY14" i="5"/>
  <c r="TZ14" i="5"/>
  <c r="UA14" i="5"/>
  <c r="UB14" i="5"/>
  <c r="UC14" i="5"/>
  <c r="UD14" i="5"/>
  <c r="UE14" i="5"/>
  <c r="UF14" i="5"/>
  <c r="UG14" i="5"/>
  <c r="UH14" i="5"/>
  <c r="UI14" i="5"/>
  <c r="UJ14" i="5"/>
  <c r="UK14" i="5"/>
  <c r="K15" i="5"/>
  <c r="L15" i="5"/>
  <c r="M15" i="5"/>
  <c r="N15" i="5"/>
  <c r="O15" i="5"/>
  <c r="P15" i="5"/>
  <c r="Q15" i="5"/>
  <c r="R15" i="5"/>
  <c r="S15" i="5"/>
  <c r="T15" i="5"/>
  <c r="U15" i="5"/>
  <c r="V15" i="5"/>
  <c r="W15" i="5"/>
  <c r="X15" i="5"/>
  <c r="Y15" i="5"/>
  <c r="Z15" i="5"/>
  <c r="AA15" i="5"/>
  <c r="AB15"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BB15" i="5"/>
  <c r="BC15" i="5"/>
  <c r="BD15" i="5"/>
  <c r="BE15" i="5"/>
  <c r="BF15" i="5"/>
  <c r="BG15" i="5"/>
  <c r="BH15" i="5"/>
  <c r="BI15" i="5"/>
  <c r="BJ15" i="5"/>
  <c r="BK15" i="5"/>
  <c r="BL15" i="5"/>
  <c r="BM15" i="5"/>
  <c r="BN15" i="5"/>
  <c r="BO15" i="5"/>
  <c r="BP15" i="5"/>
  <c r="BQ15" i="5"/>
  <c r="BR15" i="5"/>
  <c r="BS15" i="5"/>
  <c r="BT15" i="5"/>
  <c r="BU15" i="5"/>
  <c r="BV15" i="5"/>
  <c r="BW15" i="5"/>
  <c r="BX15" i="5"/>
  <c r="BY15" i="5"/>
  <c r="BZ15" i="5"/>
  <c r="CA15" i="5"/>
  <c r="CB15" i="5"/>
  <c r="CC15" i="5"/>
  <c r="CD15" i="5"/>
  <c r="CE15" i="5"/>
  <c r="CF15" i="5"/>
  <c r="CG15" i="5"/>
  <c r="CH15" i="5"/>
  <c r="CI15" i="5"/>
  <c r="CJ15" i="5"/>
  <c r="CK15" i="5"/>
  <c r="CL15" i="5"/>
  <c r="CM15" i="5"/>
  <c r="CN15" i="5"/>
  <c r="CO15" i="5"/>
  <c r="CP15" i="5"/>
  <c r="CQ15" i="5"/>
  <c r="CR15" i="5"/>
  <c r="CS15" i="5"/>
  <c r="CT15" i="5"/>
  <c r="CU15" i="5"/>
  <c r="CV15" i="5"/>
  <c r="CW15" i="5"/>
  <c r="CX15" i="5"/>
  <c r="CY15" i="5"/>
  <c r="CZ15" i="5"/>
  <c r="DA15" i="5"/>
  <c r="DB15" i="5"/>
  <c r="DC15" i="5"/>
  <c r="DD15" i="5"/>
  <c r="DE15" i="5"/>
  <c r="DF15" i="5"/>
  <c r="DG15" i="5"/>
  <c r="DH15" i="5"/>
  <c r="DI15" i="5"/>
  <c r="DJ15" i="5"/>
  <c r="DK15" i="5"/>
  <c r="DL15" i="5"/>
  <c r="DM15" i="5"/>
  <c r="DN15" i="5"/>
  <c r="DO15" i="5"/>
  <c r="DP15" i="5"/>
  <c r="DQ15" i="5"/>
  <c r="DR15" i="5"/>
  <c r="DS15" i="5"/>
  <c r="DT15" i="5"/>
  <c r="DU15" i="5"/>
  <c r="DV15" i="5"/>
  <c r="DW15" i="5"/>
  <c r="DX15" i="5"/>
  <c r="DY15" i="5"/>
  <c r="DZ15" i="5"/>
  <c r="EA15" i="5"/>
  <c r="EB15" i="5"/>
  <c r="EC15" i="5"/>
  <c r="ED15" i="5"/>
  <c r="EE15" i="5"/>
  <c r="EF15" i="5"/>
  <c r="EG15" i="5"/>
  <c r="EH15" i="5"/>
  <c r="EI15" i="5"/>
  <c r="EJ15" i="5"/>
  <c r="EK15" i="5"/>
  <c r="EL15" i="5"/>
  <c r="EM15" i="5"/>
  <c r="EN15" i="5"/>
  <c r="EO15" i="5"/>
  <c r="EP15" i="5"/>
  <c r="EQ15" i="5"/>
  <c r="ER15" i="5"/>
  <c r="ES15" i="5"/>
  <c r="ET15" i="5"/>
  <c r="EU15" i="5"/>
  <c r="EV15" i="5"/>
  <c r="EW15" i="5"/>
  <c r="EX15" i="5"/>
  <c r="EY15" i="5"/>
  <c r="EZ15" i="5"/>
  <c r="FA15" i="5"/>
  <c r="FB15" i="5"/>
  <c r="FC15" i="5"/>
  <c r="FD15" i="5"/>
  <c r="FE15" i="5"/>
  <c r="FF15" i="5"/>
  <c r="FG15" i="5"/>
  <c r="FH15" i="5"/>
  <c r="FI15" i="5"/>
  <c r="FJ15" i="5"/>
  <c r="FK15" i="5"/>
  <c r="FL15" i="5"/>
  <c r="FM15" i="5"/>
  <c r="FN15" i="5"/>
  <c r="FO15" i="5"/>
  <c r="FP15" i="5"/>
  <c r="FQ15" i="5"/>
  <c r="FR15" i="5"/>
  <c r="FS15" i="5"/>
  <c r="FT15" i="5"/>
  <c r="FU15" i="5"/>
  <c r="FV15" i="5"/>
  <c r="FW15" i="5"/>
  <c r="FX15" i="5"/>
  <c r="FY15" i="5"/>
  <c r="FZ15" i="5"/>
  <c r="GA15" i="5"/>
  <c r="GB15" i="5"/>
  <c r="GC15" i="5"/>
  <c r="GD15" i="5"/>
  <c r="GE15" i="5"/>
  <c r="GF15" i="5"/>
  <c r="GG15" i="5"/>
  <c r="GH15" i="5"/>
  <c r="GI15" i="5"/>
  <c r="GJ15" i="5"/>
  <c r="GK15" i="5"/>
  <c r="GL15" i="5"/>
  <c r="GM15" i="5"/>
  <c r="GN15" i="5"/>
  <c r="GO15" i="5"/>
  <c r="GP15" i="5"/>
  <c r="GQ15" i="5"/>
  <c r="GR15" i="5"/>
  <c r="GS15" i="5"/>
  <c r="GT15" i="5"/>
  <c r="GU15" i="5"/>
  <c r="GV15" i="5"/>
  <c r="GW15" i="5"/>
  <c r="GX15" i="5"/>
  <c r="GY15" i="5"/>
  <c r="GZ15" i="5"/>
  <c r="HA15" i="5"/>
  <c r="HB15" i="5"/>
  <c r="HC15" i="5"/>
  <c r="HD15" i="5"/>
  <c r="HE15" i="5"/>
  <c r="HF15" i="5"/>
  <c r="HG15" i="5"/>
  <c r="HH15" i="5"/>
  <c r="HI15" i="5"/>
  <c r="HJ15" i="5"/>
  <c r="HK15" i="5"/>
  <c r="HL15" i="5"/>
  <c r="HM15" i="5"/>
  <c r="HN15" i="5"/>
  <c r="HO15" i="5"/>
  <c r="HP15" i="5"/>
  <c r="HQ15" i="5"/>
  <c r="HR15" i="5"/>
  <c r="HS15" i="5"/>
  <c r="HT15" i="5"/>
  <c r="HU15" i="5"/>
  <c r="HV15" i="5"/>
  <c r="HW15" i="5"/>
  <c r="HX15" i="5"/>
  <c r="HY15" i="5"/>
  <c r="HZ15" i="5"/>
  <c r="IA15" i="5"/>
  <c r="IB15" i="5"/>
  <c r="IC15" i="5"/>
  <c r="ID15" i="5"/>
  <c r="IE15" i="5"/>
  <c r="IF15" i="5"/>
  <c r="IG15" i="5"/>
  <c r="IH15" i="5"/>
  <c r="II15" i="5"/>
  <c r="IJ15" i="5"/>
  <c r="IK15" i="5"/>
  <c r="IL15" i="5"/>
  <c r="IM15" i="5"/>
  <c r="IN15" i="5"/>
  <c r="IO15" i="5"/>
  <c r="IP15" i="5"/>
  <c r="IQ15" i="5"/>
  <c r="IR15" i="5"/>
  <c r="IS15" i="5"/>
  <c r="IT15" i="5"/>
  <c r="IU15" i="5"/>
  <c r="IV15" i="5"/>
  <c r="IW15" i="5"/>
  <c r="IX15" i="5"/>
  <c r="IY15" i="5"/>
  <c r="IZ15" i="5"/>
  <c r="JA15" i="5"/>
  <c r="JB15" i="5"/>
  <c r="JC15" i="5"/>
  <c r="JD15" i="5"/>
  <c r="JE15" i="5"/>
  <c r="JF15" i="5"/>
  <c r="JG15" i="5"/>
  <c r="JH15" i="5"/>
  <c r="JI15" i="5"/>
  <c r="JJ15" i="5"/>
  <c r="JK15" i="5"/>
  <c r="JL15" i="5"/>
  <c r="JM15" i="5"/>
  <c r="JN15" i="5"/>
  <c r="JO15" i="5"/>
  <c r="JP15" i="5"/>
  <c r="JQ15" i="5"/>
  <c r="JR15" i="5"/>
  <c r="JS15" i="5"/>
  <c r="JT15" i="5"/>
  <c r="JU15" i="5"/>
  <c r="JV15" i="5"/>
  <c r="JW15" i="5"/>
  <c r="JX15" i="5"/>
  <c r="JY15" i="5"/>
  <c r="JZ15" i="5"/>
  <c r="KA15" i="5"/>
  <c r="KB15" i="5"/>
  <c r="KC15" i="5"/>
  <c r="KD15" i="5"/>
  <c r="KE15" i="5"/>
  <c r="KF15" i="5"/>
  <c r="KG15" i="5"/>
  <c r="KH15" i="5"/>
  <c r="KI15" i="5"/>
  <c r="KJ15" i="5"/>
  <c r="KK15" i="5"/>
  <c r="KL15" i="5"/>
  <c r="KM15" i="5"/>
  <c r="KN15" i="5"/>
  <c r="KO15" i="5"/>
  <c r="KP15" i="5"/>
  <c r="KQ15" i="5"/>
  <c r="KR15" i="5"/>
  <c r="KS15" i="5"/>
  <c r="KT15" i="5"/>
  <c r="KU15" i="5"/>
  <c r="KV15" i="5"/>
  <c r="KW15" i="5"/>
  <c r="KX15" i="5"/>
  <c r="KY15" i="5"/>
  <c r="KZ15" i="5"/>
  <c r="LA15" i="5"/>
  <c r="LB15" i="5"/>
  <c r="LC15" i="5"/>
  <c r="LD15" i="5"/>
  <c r="LE15" i="5"/>
  <c r="LF15" i="5"/>
  <c r="LG15" i="5"/>
  <c r="LH15" i="5"/>
  <c r="LI15" i="5"/>
  <c r="LJ15" i="5"/>
  <c r="LK15" i="5"/>
  <c r="LL15" i="5"/>
  <c r="LM15" i="5"/>
  <c r="LN15" i="5"/>
  <c r="LO15" i="5"/>
  <c r="LP15" i="5"/>
  <c r="LQ15" i="5"/>
  <c r="LR15" i="5"/>
  <c r="LS15" i="5"/>
  <c r="LT15" i="5"/>
  <c r="LU15" i="5"/>
  <c r="LV15" i="5"/>
  <c r="LW15" i="5"/>
  <c r="LX15" i="5"/>
  <c r="LY15" i="5"/>
  <c r="LZ15" i="5"/>
  <c r="MA15" i="5"/>
  <c r="MB15" i="5"/>
  <c r="MC15" i="5"/>
  <c r="MD15" i="5"/>
  <c r="ME15" i="5"/>
  <c r="MF15" i="5"/>
  <c r="MG15" i="5"/>
  <c r="MH15" i="5"/>
  <c r="MI15" i="5"/>
  <c r="MJ15" i="5"/>
  <c r="MK15" i="5"/>
  <c r="ML15" i="5"/>
  <c r="MM15" i="5"/>
  <c r="MN15" i="5"/>
  <c r="MO15" i="5"/>
  <c r="MP15" i="5"/>
  <c r="MQ15" i="5"/>
  <c r="MR15" i="5"/>
  <c r="MS15" i="5"/>
  <c r="MT15" i="5"/>
  <c r="MU15" i="5"/>
  <c r="MV15" i="5"/>
  <c r="MW15" i="5"/>
  <c r="MX15" i="5"/>
  <c r="MY15" i="5"/>
  <c r="MZ15" i="5"/>
  <c r="NA15" i="5"/>
  <c r="NB15" i="5"/>
  <c r="NC15" i="5"/>
  <c r="ND15" i="5"/>
  <c r="NE15" i="5"/>
  <c r="NF15" i="5"/>
  <c r="NG15" i="5"/>
  <c r="NH15" i="5"/>
  <c r="NI15" i="5"/>
  <c r="NJ15" i="5"/>
  <c r="NK15" i="5"/>
  <c r="NL15" i="5"/>
  <c r="NM15" i="5"/>
  <c r="NN15" i="5"/>
  <c r="NO15" i="5"/>
  <c r="NP15" i="5"/>
  <c r="NQ15" i="5"/>
  <c r="NR15" i="5"/>
  <c r="NS15" i="5"/>
  <c r="NT15" i="5"/>
  <c r="NU15" i="5"/>
  <c r="NV15" i="5"/>
  <c r="NW15" i="5"/>
  <c r="NX15" i="5"/>
  <c r="NY15" i="5"/>
  <c r="NZ15" i="5"/>
  <c r="OA15" i="5"/>
  <c r="OB15" i="5"/>
  <c r="OC15" i="5"/>
  <c r="OD15" i="5"/>
  <c r="OE15" i="5"/>
  <c r="OF15" i="5"/>
  <c r="OG15" i="5"/>
  <c r="OH15" i="5"/>
  <c r="OI15" i="5"/>
  <c r="OJ15" i="5"/>
  <c r="OK15" i="5"/>
  <c r="OL15" i="5"/>
  <c r="OM15" i="5"/>
  <c r="ON15" i="5"/>
  <c r="OO15" i="5"/>
  <c r="OP15" i="5"/>
  <c r="OQ15" i="5"/>
  <c r="OR15" i="5"/>
  <c r="OS15" i="5"/>
  <c r="OT15" i="5"/>
  <c r="OU15" i="5"/>
  <c r="OV15" i="5"/>
  <c r="OW15" i="5"/>
  <c r="OX15" i="5"/>
  <c r="OY15" i="5"/>
  <c r="OZ15" i="5"/>
  <c r="PA15" i="5"/>
  <c r="PB15" i="5"/>
  <c r="PC15" i="5"/>
  <c r="PD15" i="5"/>
  <c r="PE15" i="5"/>
  <c r="PF15" i="5"/>
  <c r="PG15" i="5"/>
  <c r="PH15" i="5"/>
  <c r="PI15" i="5"/>
  <c r="PJ15" i="5"/>
  <c r="PK15" i="5"/>
  <c r="PL15" i="5"/>
  <c r="PM15" i="5"/>
  <c r="PN15" i="5"/>
  <c r="PO15" i="5"/>
  <c r="PP15" i="5"/>
  <c r="PQ15" i="5"/>
  <c r="PR15" i="5"/>
  <c r="PS15" i="5"/>
  <c r="PT15" i="5"/>
  <c r="PU15" i="5"/>
  <c r="PV15" i="5"/>
  <c r="PW15" i="5"/>
  <c r="PX15" i="5"/>
  <c r="PY15" i="5"/>
  <c r="PZ15" i="5"/>
  <c r="QA15" i="5"/>
  <c r="QB15" i="5"/>
  <c r="QC15" i="5"/>
  <c r="QD15" i="5"/>
  <c r="QE15" i="5"/>
  <c r="QF15" i="5"/>
  <c r="QG15" i="5"/>
  <c r="QH15" i="5"/>
  <c r="QI15" i="5"/>
  <c r="QJ15" i="5"/>
  <c r="QK15" i="5"/>
  <c r="QL15" i="5"/>
  <c r="QM15" i="5"/>
  <c r="QN15" i="5"/>
  <c r="QO15" i="5"/>
  <c r="QP15" i="5"/>
  <c r="QQ15" i="5"/>
  <c r="QR15" i="5"/>
  <c r="QS15" i="5"/>
  <c r="QT15" i="5"/>
  <c r="QU15" i="5"/>
  <c r="QV15" i="5"/>
  <c r="QW15" i="5"/>
  <c r="QX15" i="5"/>
  <c r="QY15" i="5"/>
  <c r="QZ15" i="5"/>
  <c r="RA15" i="5"/>
  <c r="RB15" i="5"/>
  <c r="RC15" i="5"/>
  <c r="RD15" i="5"/>
  <c r="RE15" i="5"/>
  <c r="RF15" i="5"/>
  <c r="RG15" i="5"/>
  <c r="RH15" i="5"/>
  <c r="RI15" i="5"/>
  <c r="RJ15" i="5"/>
  <c r="RK15" i="5"/>
  <c r="RL15" i="5"/>
  <c r="RM15" i="5"/>
  <c r="RN15" i="5"/>
  <c r="RO15" i="5"/>
  <c r="RP15" i="5"/>
  <c r="RQ15" i="5"/>
  <c r="RR15" i="5"/>
  <c r="RS15" i="5"/>
  <c r="RT15" i="5"/>
  <c r="RU15" i="5"/>
  <c r="RV15" i="5"/>
  <c r="RW15" i="5"/>
  <c r="RX15" i="5"/>
  <c r="RY15" i="5"/>
  <c r="RZ15" i="5"/>
  <c r="SA15" i="5"/>
  <c r="SB15" i="5"/>
  <c r="SC15" i="5"/>
  <c r="SD15" i="5"/>
  <c r="SE15" i="5"/>
  <c r="SF15" i="5"/>
  <c r="SG15" i="5"/>
  <c r="SH15" i="5"/>
  <c r="SI15" i="5"/>
  <c r="SJ15" i="5"/>
  <c r="SK15" i="5"/>
  <c r="SL15" i="5"/>
  <c r="SM15" i="5"/>
  <c r="SN15" i="5"/>
  <c r="SO15" i="5"/>
  <c r="SP15" i="5"/>
  <c r="SQ15" i="5"/>
  <c r="SR15" i="5"/>
  <c r="SS15" i="5"/>
  <c r="ST15" i="5"/>
  <c r="SU15" i="5"/>
  <c r="SV15" i="5"/>
  <c r="SW15" i="5"/>
  <c r="SX15" i="5"/>
  <c r="SY15" i="5"/>
  <c r="SZ15" i="5"/>
  <c r="TA15" i="5"/>
  <c r="TB15" i="5"/>
  <c r="TC15" i="5"/>
  <c r="TD15" i="5"/>
  <c r="TE15" i="5"/>
  <c r="TF15" i="5"/>
  <c r="TG15" i="5"/>
  <c r="TH15" i="5"/>
  <c r="TI15" i="5"/>
  <c r="TJ15" i="5"/>
  <c r="TK15" i="5"/>
  <c r="TL15" i="5"/>
  <c r="TM15" i="5"/>
  <c r="TN15" i="5"/>
  <c r="TO15" i="5"/>
  <c r="TP15" i="5"/>
  <c r="TQ15" i="5"/>
  <c r="TR15" i="5"/>
  <c r="TS15" i="5"/>
  <c r="TT15" i="5"/>
  <c r="TU15" i="5"/>
  <c r="TV15" i="5"/>
  <c r="TW15" i="5"/>
  <c r="TX15" i="5"/>
  <c r="TY15" i="5"/>
  <c r="TZ15" i="5"/>
  <c r="UA15" i="5"/>
  <c r="UB15" i="5"/>
  <c r="UC15" i="5"/>
  <c r="UD15" i="5"/>
  <c r="UE15" i="5"/>
  <c r="UF15" i="5"/>
  <c r="UG15" i="5"/>
  <c r="UH15" i="5"/>
  <c r="UI15" i="5"/>
  <c r="UJ15" i="5"/>
  <c r="UK15" i="5"/>
  <c r="K16" i="5"/>
  <c r="L16" i="5"/>
  <c r="M16" i="5"/>
  <c r="N16" i="5"/>
  <c r="O16" i="5"/>
  <c r="P16" i="5"/>
  <c r="Q16" i="5"/>
  <c r="R16" i="5"/>
  <c r="S16" i="5"/>
  <c r="T16" i="5"/>
  <c r="U16" i="5"/>
  <c r="V16" i="5"/>
  <c r="W16" i="5"/>
  <c r="X16" i="5"/>
  <c r="Y16" i="5"/>
  <c r="Z16" i="5"/>
  <c r="AA16" i="5"/>
  <c r="AB16" i="5"/>
  <c r="AC16" i="5"/>
  <c r="AD16" i="5"/>
  <c r="AE16" i="5"/>
  <c r="AF16" i="5"/>
  <c r="AG16" i="5"/>
  <c r="AH16" i="5"/>
  <c r="AI16" i="5"/>
  <c r="AJ16" i="5"/>
  <c r="AK16" i="5"/>
  <c r="AL16" i="5"/>
  <c r="AM16" i="5"/>
  <c r="AN16" i="5"/>
  <c r="AO16" i="5"/>
  <c r="AP16" i="5"/>
  <c r="AQ16" i="5"/>
  <c r="AR16" i="5"/>
  <c r="AS16" i="5"/>
  <c r="AT16" i="5"/>
  <c r="AU16" i="5"/>
  <c r="AV16" i="5"/>
  <c r="AW16" i="5"/>
  <c r="AX16" i="5"/>
  <c r="AY16" i="5"/>
  <c r="AZ16" i="5"/>
  <c r="BA16" i="5"/>
  <c r="BB16" i="5"/>
  <c r="BC16" i="5"/>
  <c r="BD16" i="5"/>
  <c r="BE16" i="5"/>
  <c r="BF16" i="5"/>
  <c r="BG16" i="5"/>
  <c r="BH16" i="5"/>
  <c r="BI16" i="5"/>
  <c r="BJ16" i="5"/>
  <c r="BK16" i="5"/>
  <c r="BL16" i="5"/>
  <c r="BM16" i="5"/>
  <c r="BN16" i="5"/>
  <c r="BO16" i="5"/>
  <c r="BP16" i="5"/>
  <c r="BQ16" i="5"/>
  <c r="BR16" i="5"/>
  <c r="BS16" i="5"/>
  <c r="BT16" i="5"/>
  <c r="BU16" i="5"/>
  <c r="BV16" i="5"/>
  <c r="BW16" i="5"/>
  <c r="BX16" i="5"/>
  <c r="BY16" i="5"/>
  <c r="BZ16" i="5"/>
  <c r="CA16" i="5"/>
  <c r="CB16" i="5"/>
  <c r="CC16" i="5"/>
  <c r="CD16" i="5"/>
  <c r="CE16" i="5"/>
  <c r="CF16" i="5"/>
  <c r="CG16" i="5"/>
  <c r="CH16" i="5"/>
  <c r="CI16" i="5"/>
  <c r="CJ16" i="5"/>
  <c r="CK16" i="5"/>
  <c r="CL16" i="5"/>
  <c r="CM16" i="5"/>
  <c r="CN16" i="5"/>
  <c r="CO16" i="5"/>
  <c r="CP16" i="5"/>
  <c r="CQ16" i="5"/>
  <c r="CR16" i="5"/>
  <c r="CS16" i="5"/>
  <c r="CT16" i="5"/>
  <c r="CU16" i="5"/>
  <c r="CV16" i="5"/>
  <c r="CW16" i="5"/>
  <c r="CX16" i="5"/>
  <c r="CY16" i="5"/>
  <c r="CZ16" i="5"/>
  <c r="DA16" i="5"/>
  <c r="DB16" i="5"/>
  <c r="DC16" i="5"/>
  <c r="DD16" i="5"/>
  <c r="DE16" i="5"/>
  <c r="DF16" i="5"/>
  <c r="DG16" i="5"/>
  <c r="DH16" i="5"/>
  <c r="DI16" i="5"/>
  <c r="DJ16" i="5"/>
  <c r="DK16" i="5"/>
  <c r="DL16" i="5"/>
  <c r="DM16" i="5"/>
  <c r="DN16" i="5"/>
  <c r="DO16" i="5"/>
  <c r="DP16" i="5"/>
  <c r="DQ16" i="5"/>
  <c r="DR16" i="5"/>
  <c r="DS16" i="5"/>
  <c r="DT16" i="5"/>
  <c r="DU16" i="5"/>
  <c r="DV16" i="5"/>
  <c r="DW16" i="5"/>
  <c r="DX16" i="5"/>
  <c r="DY16" i="5"/>
  <c r="DZ16" i="5"/>
  <c r="EA16" i="5"/>
  <c r="EB16" i="5"/>
  <c r="EC16" i="5"/>
  <c r="ED16" i="5"/>
  <c r="EE16" i="5"/>
  <c r="EF16" i="5"/>
  <c r="EG16" i="5"/>
  <c r="EH16" i="5"/>
  <c r="EI16" i="5"/>
  <c r="EJ16" i="5"/>
  <c r="EK16" i="5"/>
  <c r="EL16" i="5"/>
  <c r="EM16" i="5"/>
  <c r="EN16" i="5"/>
  <c r="EO16" i="5"/>
  <c r="EP16" i="5"/>
  <c r="EQ16" i="5"/>
  <c r="ER16" i="5"/>
  <c r="ES16" i="5"/>
  <c r="ET16" i="5"/>
  <c r="EU16" i="5"/>
  <c r="EV16" i="5"/>
  <c r="EW16" i="5"/>
  <c r="EX16" i="5"/>
  <c r="EY16" i="5"/>
  <c r="EZ16" i="5"/>
  <c r="FA16" i="5"/>
  <c r="FB16" i="5"/>
  <c r="FC16" i="5"/>
  <c r="FD16" i="5"/>
  <c r="FE16" i="5"/>
  <c r="FF16" i="5"/>
  <c r="FG16" i="5"/>
  <c r="FH16" i="5"/>
  <c r="FI16" i="5"/>
  <c r="FJ16" i="5"/>
  <c r="FK16" i="5"/>
  <c r="FL16" i="5"/>
  <c r="FM16" i="5"/>
  <c r="FN16" i="5"/>
  <c r="FO16" i="5"/>
  <c r="FP16" i="5"/>
  <c r="FQ16" i="5"/>
  <c r="FR16" i="5"/>
  <c r="FS16" i="5"/>
  <c r="FT16" i="5"/>
  <c r="FU16" i="5"/>
  <c r="FV16" i="5"/>
  <c r="FW16" i="5"/>
  <c r="FX16" i="5"/>
  <c r="FY16" i="5"/>
  <c r="FZ16" i="5"/>
  <c r="GA16" i="5"/>
  <c r="GB16" i="5"/>
  <c r="GC16" i="5"/>
  <c r="GD16" i="5"/>
  <c r="GE16" i="5"/>
  <c r="GF16" i="5"/>
  <c r="GG16" i="5"/>
  <c r="GH16" i="5"/>
  <c r="GI16" i="5"/>
  <c r="GJ16" i="5"/>
  <c r="GK16" i="5"/>
  <c r="GL16" i="5"/>
  <c r="GM16" i="5"/>
  <c r="GN16" i="5"/>
  <c r="GO16" i="5"/>
  <c r="GP16" i="5"/>
  <c r="GQ16" i="5"/>
  <c r="GR16" i="5"/>
  <c r="GS16" i="5"/>
  <c r="GT16" i="5"/>
  <c r="GU16" i="5"/>
  <c r="GV16" i="5"/>
  <c r="GW16" i="5"/>
  <c r="GX16" i="5"/>
  <c r="GY16" i="5"/>
  <c r="GZ16" i="5"/>
  <c r="HA16" i="5"/>
  <c r="HB16" i="5"/>
  <c r="HC16" i="5"/>
  <c r="HD16" i="5"/>
  <c r="HE16" i="5"/>
  <c r="HF16" i="5"/>
  <c r="HG16" i="5"/>
  <c r="HH16" i="5"/>
  <c r="HI16" i="5"/>
  <c r="HJ16" i="5"/>
  <c r="HK16" i="5"/>
  <c r="HL16" i="5"/>
  <c r="HM16" i="5"/>
  <c r="HN16" i="5"/>
  <c r="HO16" i="5"/>
  <c r="HP16" i="5"/>
  <c r="HQ16" i="5"/>
  <c r="HR16" i="5"/>
  <c r="HS16" i="5"/>
  <c r="HT16" i="5"/>
  <c r="HU16" i="5"/>
  <c r="HV16" i="5"/>
  <c r="HW16" i="5"/>
  <c r="HX16" i="5"/>
  <c r="HY16" i="5"/>
  <c r="HZ16" i="5"/>
  <c r="IA16" i="5"/>
  <c r="IB16" i="5"/>
  <c r="IC16" i="5"/>
  <c r="ID16" i="5"/>
  <c r="IE16" i="5"/>
  <c r="IF16" i="5"/>
  <c r="IG16" i="5"/>
  <c r="IH16" i="5"/>
  <c r="II16" i="5"/>
  <c r="IJ16" i="5"/>
  <c r="IK16" i="5"/>
  <c r="IL16" i="5"/>
  <c r="IM16" i="5"/>
  <c r="IN16" i="5"/>
  <c r="IO16" i="5"/>
  <c r="IP16" i="5"/>
  <c r="IQ16" i="5"/>
  <c r="IR16" i="5"/>
  <c r="IS16" i="5"/>
  <c r="IT16" i="5"/>
  <c r="IU16" i="5"/>
  <c r="IV16" i="5"/>
  <c r="IW16" i="5"/>
  <c r="IX16" i="5"/>
  <c r="IY16" i="5"/>
  <c r="IZ16" i="5"/>
  <c r="JA16" i="5"/>
  <c r="JB16" i="5"/>
  <c r="JC16" i="5"/>
  <c r="JD16" i="5"/>
  <c r="JE16" i="5"/>
  <c r="JF16" i="5"/>
  <c r="JG16" i="5"/>
  <c r="JH16" i="5"/>
  <c r="JI16" i="5"/>
  <c r="JJ16" i="5"/>
  <c r="JK16" i="5"/>
  <c r="JL16" i="5"/>
  <c r="JM16" i="5"/>
  <c r="JN16" i="5"/>
  <c r="JO16" i="5"/>
  <c r="JP16" i="5"/>
  <c r="JQ16" i="5"/>
  <c r="JR16" i="5"/>
  <c r="JS16" i="5"/>
  <c r="JT16" i="5"/>
  <c r="JU16" i="5"/>
  <c r="JV16" i="5"/>
  <c r="JW16" i="5"/>
  <c r="JX16" i="5"/>
  <c r="JY16" i="5"/>
  <c r="JZ16" i="5"/>
  <c r="KA16" i="5"/>
  <c r="KB16" i="5"/>
  <c r="KC16" i="5"/>
  <c r="KD16" i="5"/>
  <c r="KE16" i="5"/>
  <c r="KF16" i="5"/>
  <c r="KG16" i="5"/>
  <c r="KH16" i="5"/>
  <c r="KI16" i="5"/>
  <c r="KJ16" i="5"/>
  <c r="KK16" i="5"/>
  <c r="KL16" i="5"/>
  <c r="KM16" i="5"/>
  <c r="KN16" i="5"/>
  <c r="KO16" i="5"/>
  <c r="KP16" i="5"/>
  <c r="KQ16" i="5"/>
  <c r="KR16" i="5"/>
  <c r="KS16" i="5"/>
  <c r="KT16" i="5"/>
  <c r="KU16" i="5"/>
  <c r="KV16" i="5"/>
  <c r="KW16" i="5"/>
  <c r="KX16" i="5"/>
  <c r="KY16" i="5"/>
  <c r="KZ16" i="5"/>
  <c r="LA16" i="5"/>
  <c r="LB16" i="5"/>
  <c r="LC16" i="5"/>
  <c r="LD16" i="5"/>
  <c r="LE16" i="5"/>
  <c r="LF16" i="5"/>
  <c r="LG16" i="5"/>
  <c r="LH16" i="5"/>
  <c r="LI16" i="5"/>
  <c r="LJ16" i="5"/>
  <c r="LK16" i="5"/>
  <c r="LL16" i="5"/>
  <c r="LM16" i="5"/>
  <c r="LN16" i="5"/>
  <c r="LO16" i="5"/>
  <c r="LP16" i="5"/>
  <c r="LQ16" i="5"/>
  <c r="LR16" i="5"/>
  <c r="LS16" i="5"/>
  <c r="LT16" i="5"/>
  <c r="LU16" i="5"/>
  <c r="LV16" i="5"/>
  <c r="LW16" i="5"/>
  <c r="LX16" i="5"/>
  <c r="LY16" i="5"/>
  <c r="LZ16" i="5"/>
  <c r="MA16" i="5"/>
  <c r="MB16" i="5"/>
  <c r="MC16" i="5"/>
  <c r="MD16" i="5"/>
  <c r="ME16" i="5"/>
  <c r="MF16" i="5"/>
  <c r="MG16" i="5"/>
  <c r="MH16" i="5"/>
  <c r="MI16" i="5"/>
  <c r="MJ16" i="5"/>
  <c r="MK16" i="5"/>
  <c r="ML16" i="5"/>
  <c r="MM16" i="5"/>
  <c r="MN16" i="5"/>
  <c r="MO16" i="5"/>
  <c r="MP16" i="5"/>
  <c r="MQ16" i="5"/>
  <c r="MR16" i="5"/>
  <c r="MS16" i="5"/>
  <c r="MT16" i="5"/>
  <c r="MU16" i="5"/>
  <c r="MV16" i="5"/>
  <c r="MW16" i="5"/>
  <c r="MX16" i="5"/>
  <c r="MY16" i="5"/>
  <c r="MZ16" i="5"/>
  <c r="NA16" i="5"/>
  <c r="NB16" i="5"/>
  <c r="NC16" i="5"/>
  <c r="ND16" i="5"/>
  <c r="NE16" i="5"/>
  <c r="NF16" i="5"/>
  <c r="NG16" i="5"/>
  <c r="NH16" i="5"/>
  <c r="NI16" i="5"/>
  <c r="NJ16" i="5"/>
  <c r="NK16" i="5"/>
  <c r="NL16" i="5"/>
  <c r="NM16" i="5"/>
  <c r="NN16" i="5"/>
  <c r="NO16" i="5"/>
  <c r="NP16" i="5"/>
  <c r="NQ16" i="5"/>
  <c r="NR16" i="5"/>
  <c r="NS16" i="5"/>
  <c r="NT16" i="5"/>
  <c r="NU16" i="5"/>
  <c r="NV16" i="5"/>
  <c r="NW16" i="5"/>
  <c r="NX16" i="5"/>
  <c r="NY16" i="5"/>
  <c r="NZ16" i="5"/>
  <c r="OA16" i="5"/>
  <c r="OB16" i="5"/>
  <c r="OC16" i="5"/>
  <c r="OD16" i="5"/>
  <c r="OE16" i="5"/>
  <c r="OF16" i="5"/>
  <c r="OG16" i="5"/>
  <c r="OH16" i="5"/>
  <c r="OI16" i="5"/>
  <c r="OJ16" i="5"/>
  <c r="OK16" i="5"/>
  <c r="OL16" i="5"/>
  <c r="OM16" i="5"/>
  <c r="ON16" i="5"/>
  <c r="OO16" i="5"/>
  <c r="OP16" i="5"/>
  <c r="OQ16" i="5"/>
  <c r="OR16" i="5"/>
  <c r="OS16" i="5"/>
  <c r="OT16" i="5"/>
  <c r="OU16" i="5"/>
  <c r="OV16" i="5"/>
  <c r="OW16" i="5"/>
  <c r="OX16" i="5"/>
  <c r="OY16" i="5"/>
  <c r="OZ16" i="5"/>
  <c r="PA16" i="5"/>
  <c r="PB16" i="5"/>
  <c r="PC16" i="5"/>
  <c r="PD16" i="5"/>
  <c r="PE16" i="5"/>
  <c r="PF16" i="5"/>
  <c r="PG16" i="5"/>
  <c r="PH16" i="5"/>
  <c r="PI16" i="5"/>
  <c r="PJ16" i="5"/>
  <c r="PK16" i="5"/>
  <c r="PL16" i="5"/>
  <c r="PM16" i="5"/>
  <c r="PN16" i="5"/>
  <c r="PO16" i="5"/>
  <c r="PP16" i="5"/>
  <c r="PQ16" i="5"/>
  <c r="PR16" i="5"/>
  <c r="PS16" i="5"/>
  <c r="PT16" i="5"/>
  <c r="PU16" i="5"/>
  <c r="PV16" i="5"/>
  <c r="PW16" i="5"/>
  <c r="PX16" i="5"/>
  <c r="PY16" i="5"/>
  <c r="PZ16" i="5"/>
  <c r="QA16" i="5"/>
  <c r="QB16" i="5"/>
  <c r="QC16" i="5"/>
  <c r="QD16" i="5"/>
  <c r="QE16" i="5"/>
  <c r="QF16" i="5"/>
  <c r="QG16" i="5"/>
  <c r="QH16" i="5"/>
  <c r="QI16" i="5"/>
  <c r="QJ16" i="5"/>
  <c r="QK16" i="5"/>
  <c r="QL16" i="5"/>
  <c r="QM16" i="5"/>
  <c r="QN16" i="5"/>
  <c r="QO16" i="5"/>
  <c r="QP16" i="5"/>
  <c r="QQ16" i="5"/>
  <c r="QR16" i="5"/>
  <c r="QS16" i="5"/>
  <c r="QT16" i="5"/>
  <c r="QU16" i="5"/>
  <c r="QV16" i="5"/>
  <c r="QW16" i="5"/>
  <c r="QX16" i="5"/>
  <c r="QY16" i="5"/>
  <c r="QZ16" i="5"/>
  <c r="RA16" i="5"/>
  <c r="RB16" i="5"/>
  <c r="RC16" i="5"/>
  <c r="RD16" i="5"/>
  <c r="RE16" i="5"/>
  <c r="RF16" i="5"/>
  <c r="RG16" i="5"/>
  <c r="RH16" i="5"/>
  <c r="RI16" i="5"/>
  <c r="RJ16" i="5"/>
  <c r="RK16" i="5"/>
  <c r="RL16" i="5"/>
  <c r="RM16" i="5"/>
  <c r="RN16" i="5"/>
  <c r="RO16" i="5"/>
  <c r="RP16" i="5"/>
  <c r="RQ16" i="5"/>
  <c r="RR16" i="5"/>
  <c r="RS16" i="5"/>
  <c r="RT16" i="5"/>
  <c r="RU16" i="5"/>
  <c r="RV16" i="5"/>
  <c r="RW16" i="5"/>
  <c r="RX16" i="5"/>
  <c r="RY16" i="5"/>
  <c r="RZ16" i="5"/>
  <c r="SA16" i="5"/>
  <c r="SB16" i="5"/>
  <c r="SC16" i="5"/>
  <c r="SD16" i="5"/>
  <c r="SE16" i="5"/>
  <c r="SF16" i="5"/>
  <c r="SG16" i="5"/>
  <c r="SH16" i="5"/>
  <c r="SI16" i="5"/>
  <c r="SJ16" i="5"/>
  <c r="SK16" i="5"/>
  <c r="SL16" i="5"/>
  <c r="SM16" i="5"/>
  <c r="SN16" i="5"/>
  <c r="SO16" i="5"/>
  <c r="SP16" i="5"/>
  <c r="SQ16" i="5"/>
  <c r="SR16" i="5"/>
  <c r="SS16" i="5"/>
  <c r="ST16" i="5"/>
  <c r="SU16" i="5"/>
  <c r="SV16" i="5"/>
  <c r="SW16" i="5"/>
  <c r="SX16" i="5"/>
  <c r="SY16" i="5"/>
  <c r="SZ16" i="5"/>
  <c r="TA16" i="5"/>
  <c r="TB16" i="5"/>
  <c r="TC16" i="5"/>
  <c r="TD16" i="5"/>
  <c r="TE16" i="5"/>
  <c r="TF16" i="5"/>
  <c r="TG16" i="5"/>
  <c r="TH16" i="5"/>
  <c r="TI16" i="5"/>
  <c r="TJ16" i="5"/>
  <c r="TK16" i="5"/>
  <c r="TL16" i="5"/>
  <c r="TM16" i="5"/>
  <c r="TN16" i="5"/>
  <c r="TO16" i="5"/>
  <c r="TP16" i="5"/>
  <c r="TQ16" i="5"/>
  <c r="TR16" i="5"/>
  <c r="TS16" i="5"/>
  <c r="TT16" i="5"/>
  <c r="TU16" i="5"/>
  <c r="TV16" i="5"/>
  <c r="TW16" i="5"/>
  <c r="TX16" i="5"/>
  <c r="TY16" i="5"/>
  <c r="TZ16" i="5"/>
  <c r="UA16" i="5"/>
  <c r="UB16" i="5"/>
  <c r="UC16" i="5"/>
  <c r="UD16" i="5"/>
  <c r="UE16" i="5"/>
  <c r="UF16" i="5"/>
  <c r="UG16" i="5"/>
  <c r="UH16" i="5"/>
  <c r="UI16" i="5"/>
  <c r="UJ16" i="5"/>
  <c r="UK16" i="5"/>
  <c r="K17" i="5"/>
  <c r="L17" i="5"/>
  <c r="M17" i="5"/>
  <c r="N17" i="5"/>
  <c r="O17" i="5"/>
  <c r="P17" i="5"/>
  <c r="Q17" i="5"/>
  <c r="R17" i="5"/>
  <c r="S17" i="5"/>
  <c r="T17" i="5"/>
  <c r="U17" i="5"/>
  <c r="V17" i="5"/>
  <c r="W17" i="5"/>
  <c r="X17" i="5"/>
  <c r="Y17" i="5"/>
  <c r="Z17" i="5"/>
  <c r="AA17" i="5"/>
  <c r="AB17" i="5"/>
  <c r="AC17" i="5"/>
  <c r="AD17" i="5"/>
  <c r="AE17" i="5"/>
  <c r="AF17" i="5"/>
  <c r="AG17" i="5"/>
  <c r="AH17" i="5"/>
  <c r="AI17" i="5"/>
  <c r="AJ17" i="5"/>
  <c r="AK17" i="5"/>
  <c r="AL17" i="5"/>
  <c r="AM17" i="5"/>
  <c r="AN17" i="5"/>
  <c r="AO17" i="5"/>
  <c r="AP17" i="5"/>
  <c r="AQ17" i="5"/>
  <c r="AR17" i="5"/>
  <c r="AS17" i="5"/>
  <c r="AT17" i="5"/>
  <c r="AU17" i="5"/>
  <c r="AV17" i="5"/>
  <c r="AW17" i="5"/>
  <c r="AX17" i="5"/>
  <c r="AY17" i="5"/>
  <c r="AZ17" i="5"/>
  <c r="BA17" i="5"/>
  <c r="BB17" i="5"/>
  <c r="BC17" i="5"/>
  <c r="BD17" i="5"/>
  <c r="BE17" i="5"/>
  <c r="BF17" i="5"/>
  <c r="BG17" i="5"/>
  <c r="BH17" i="5"/>
  <c r="BI17" i="5"/>
  <c r="BJ17" i="5"/>
  <c r="BK17" i="5"/>
  <c r="BL17" i="5"/>
  <c r="BM17" i="5"/>
  <c r="BN17" i="5"/>
  <c r="BO17" i="5"/>
  <c r="BP17" i="5"/>
  <c r="BQ17" i="5"/>
  <c r="BR17" i="5"/>
  <c r="BS17" i="5"/>
  <c r="BT17" i="5"/>
  <c r="BU17" i="5"/>
  <c r="BV17" i="5"/>
  <c r="BW17" i="5"/>
  <c r="BX17" i="5"/>
  <c r="BY17" i="5"/>
  <c r="BZ17" i="5"/>
  <c r="CA17" i="5"/>
  <c r="CB17" i="5"/>
  <c r="CC17" i="5"/>
  <c r="CD17" i="5"/>
  <c r="CE17" i="5"/>
  <c r="CF17" i="5"/>
  <c r="CG17" i="5"/>
  <c r="CH17" i="5"/>
  <c r="CI17" i="5"/>
  <c r="CJ17" i="5"/>
  <c r="CK17" i="5"/>
  <c r="CL17" i="5"/>
  <c r="CM17" i="5"/>
  <c r="CN17" i="5"/>
  <c r="CO17" i="5"/>
  <c r="CP17" i="5"/>
  <c r="CQ17" i="5"/>
  <c r="CR17" i="5"/>
  <c r="CS17" i="5"/>
  <c r="CT17" i="5"/>
  <c r="CU17" i="5"/>
  <c r="CV17" i="5"/>
  <c r="CW17" i="5"/>
  <c r="CX17" i="5"/>
  <c r="CY17" i="5"/>
  <c r="CZ17" i="5"/>
  <c r="DA17" i="5"/>
  <c r="DB17" i="5"/>
  <c r="DC17" i="5"/>
  <c r="DD17" i="5"/>
  <c r="DE17" i="5"/>
  <c r="DF17" i="5"/>
  <c r="DG17" i="5"/>
  <c r="DH17" i="5"/>
  <c r="DI17" i="5"/>
  <c r="DJ17" i="5"/>
  <c r="DK17" i="5"/>
  <c r="DL17" i="5"/>
  <c r="DM17" i="5"/>
  <c r="DN17" i="5"/>
  <c r="DO17" i="5"/>
  <c r="DP17" i="5"/>
  <c r="DQ17" i="5"/>
  <c r="DR17" i="5"/>
  <c r="DS17" i="5"/>
  <c r="DT17" i="5"/>
  <c r="DU17" i="5"/>
  <c r="DV17" i="5"/>
  <c r="DW17" i="5"/>
  <c r="DX17" i="5"/>
  <c r="DY17" i="5"/>
  <c r="DZ17" i="5"/>
  <c r="EA17" i="5"/>
  <c r="EB17" i="5"/>
  <c r="EC17" i="5"/>
  <c r="ED17" i="5"/>
  <c r="EE17" i="5"/>
  <c r="EF17" i="5"/>
  <c r="EG17" i="5"/>
  <c r="EH17" i="5"/>
  <c r="EI17" i="5"/>
  <c r="EJ17" i="5"/>
  <c r="EK17" i="5"/>
  <c r="EL17" i="5"/>
  <c r="EM17" i="5"/>
  <c r="EN17" i="5"/>
  <c r="EO17" i="5"/>
  <c r="EP17" i="5"/>
  <c r="EQ17" i="5"/>
  <c r="ER17" i="5"/>
  <c r="ES17" i="5"/>
  <c r="ET17" i="5"/>
  <c r="EU17" i="5"/>
  <c r="EV17" i="5"/>
  <c r="EW17" i="5"/>
  <c r="EX17" i="5"/>
  <c r="EY17" i="5"/>
  <c r="EZ17" i="5"/>
  <c r="FA17" i="5"/>
  <c r="FB17" i="5"/>
  <c r="FC17" i="5"/>
  <c r="FD17" i="5"/>
  <c r="FE17" i="5"/>
  <c r="FF17" i="5"/>
  <c r="FG17" i="5"/>
  <c r="FH17" i="5"/>
  <c r="FI17" i="5"/>
  <c r="FJ17" i="5"/>
  <c r="FK17" i="5"/>
  <c r="FL17" i="5"/>
  <c r="FM17" i="5"/>
  <c r="FN17" i="5"/>
  <c r="FO17" i="5"/>
  <c r="FP17" i="5"/>
  <c r="FQ17" i="5"/>
  <c r="FR17" i="5"/>
  <c r="FS17" i="5"/>
  <c r="FT17" i="5"/>
  <c r="FU17" i="5"/>
  <c r="FV17" i="5"/>
  <c r="FW17" i="5"/>
  <c r="FX17" i="5"/>
  <c r="FY17" i="5"/>
  <c r="FZ17" i="5"/>
  <c r="GA17" i="5"/>
  <c r="GB17" i="5"/>
  <c r="GC17" i="5"/>
  <c r="GD17" i="5"/>
  <c r="GE17" i="5"/>
  <c r="GF17" i="5"/>
  <c r="GG17" i="5"/>
  <c r="GH17" i="5"/>
  <c r="GI17" i="5"/>
  <c r="GJ17" i="5"/>
  <c r="GK17" i="5"/>
  <c r="GL17" i="5"/>
  <c r="GM17" i="5"/>
  <c r="GN17" i="5"/>
  <c r="GO17" i="5"/>
  <c r="GP17" i="5"/>
  <c r="GQ17" i="5"/>
  <c r="GR17" i="5"/>
  <c r="GS17" i="5"/>
  <c r="GT17" i="5"/>
  <c r="GU17" i="5"/>
  <c r="GV17" i="5"/>
  <c r="GW17" i="5"/>
  <c r="GX17" i="5"/>
  <c r="GY17" i="5"/>
  <c r="GZ17" i="5"/>
  <c r="HA17" i="5"/>
  <c r="HB17" i="5"/>
  <c r="HC17" i="5"/>
  <c r="HD17" i="5"/>
  <c r="HE17" i="5"/>
  <c r="HF17" i="5"/>
  <c r="HG17" i="5"/>
  <c r="HH17" i="5"/>
  <c r="HI17" i="5"/>
  <c r="HJ17" i="5"/>
  <c r="HK17" i="5"/>
  <c r="HL17" i="5"/>
  <c r="HM17" i="5"/>
  <c r="HN17" i="5"/>
  <c r="HO17" i="5"/>
  <c r="HP17" i="5"/>
  <c r="HQ17" i="5"/>
  <c r="HR17" i="5"/>
  <c r="HS17" i="5"/>
  <c r="HT17" i="5"/>
  <c r="HU17" i="5"/>
  <c r="HV17" i="5"/>
  <c r="HW17" i="5"/>
  <c r="HX17" i="5"/>
  <c r="HY17" i="5"/>
  <c r="HZ17" i="5"/>
  <c r="IA17" i="5"/>
  <c r="IB17" i="5"/>
  <c r="IC17" i="5"/>
  <c r="ID17" i="5"/>
  <c r="IE17" i="5"/>
  <c r="IF17" i="5"/>
  <c r="IG17" i="5"/>
  <c r="IH17" i="5"/>
  <c r="II17" i="5"/>
  <c r="IJ17" i="5"/>
  <c r="IK17" i="5"/>
  <c r="IL17" i="5"/>
  <c r="IM17" i="5"/>
  <c r="IN17" i="5"/>
  <c r="IO17" i="5"/>
  <c r="IP17" i="5"/>
  <c r="IQ17" i="5"/>
  <c r="IR17" i="5"/>
  <c r="IS17" i="5"/>
  <c r="IT17" i="5"/>
  <c r="IU17" i="5"/>
  <c r="IV17" i="5"/>
  <c r="IW17" i="5"/>
  <c r="IX17" i="5"/>
  <c r="IY17" i="5"/>
  <c r="IZ17" i="5"/>
  <c r="JA17" i="5"/>
  <c r="JB17" i="5"/>
  <c r="JC17" i="5"/>
  <c r="JD17" i="5"/>
  <c r="JE17" i="5"/>
  <c r="JF17" i="5"/>
  <c r="JG17" i="5"/>
  <c r="JH17" i="5"/>
  <c r="JI17" i="5"/>
  <c r="JJ17" i="5"/>
  <c r="JK17" i="5"/>
  <c r="JL17" i="5"/>
  <c r="JM17" i="5"/>
  <c r="JN17" i="5"/>
  <c r="JO17" i="5"/>
  <c r="JP17" i="5"/>
  <c r="JQ17" i="5"/>
  <c r="JR17" i="5"/>
  <c r="JS17" i="5"/>
  <c r="JT17" i="5"/>
  <c r="JU17" i="5"/>
  <c r="JV17" i="5"/>
  <c r="JW17" i="5"/>
  <c r="JX17" i="5"/>
  <c r="JY17" i="5"/>
  <c r="JZ17" i="5"/>
  <c r="KA17" i="5"/>
  <c r="KB17" i="5"/>
  <c r="KC17" i="5"/>
  <c r="KD17" i="5"/>
  <c r="KE17" i="5"/>
  <c r="KF17" i="5"/>
  <c r="KG17" i="5"/>
  <c r="KH17" i="5"/>
  <c r="KI17" i="5"/>
  <c r="KJ17" i="5"/>
  <c r="KK17" i="5"/>
  <c r="KL17" i="5"/>
  <c r="KM17" i="5"/>
  <c r="KN17" i="5"/>
  <c r="KO17" i="5"/>
  <c r="KP17" i="5"/>
  <c r="KQ17" i="5"/>
  <c r="KR17" i="5"/>
  <c r="KS17" i="5"/>
  <c r="KT17" i="5"/>
  <c r="KU17" i="5"/>
  <c r="KV17" i="5"/>
  <c r="KW17" i="5"/>
  <c r="KX17" i="5"/>
  <c r="KY17" i="5"/>
  <c r="KZ17" i="5"/>
  <c r="LA17" i="5"/>
  <c r="LB17" i="5"/>
  <c r="LC17" i="5"/>
  <c r="LD17" i="5"/>
  <c r="LE17" i="5"/>
  <c r="LF17" i="5"/>
  <c r="LG17" i="5"/>
  <c r="LH17" i="5"/>
  <c r="LI17" i="5"/>
  <c r="LJ17" i="5"/>
  <c r="LK17" i="5"/>
  <c r="LL17" i="5"/>
  <c r="LM17" i="5"/>
  <c r="LN17" i="5"/>
  <c r="LO17" i="5"/>
  <c r="LP17" i="5"/>
  <c r="LQ17" i="5"/>
  <c r="LR17" i="5"/>
  <c r="LS17" i="5"/>
  <c r="LT17" i="5"/>
  <c r="LU17" i="5"/>
  <c r="LV17" i="5"/>
  <c r="LW17" i="5"/>
  <c r="LX17" i="5"/>
  <c r="LY17" i="5"/>
  <c r="LZ17" i="5"/>
  <c r="MA17" i="5"/>
  <c r="MB17" i="5"/>
  <c r="MC17" i="5"/>
  <c r="MD17" i="5"/>
  <c r="ME17" i="5"/>
  <c r="MF17" i="5"/>
  <c r="MG17" i="5"/>
  <c r="MH17" i="5"/>
  <c r="MI17" i="5"/>
  <c r="MJ17" i="5"/>
  <c r="MK17" i="5"/>
  <c r="ML17" i="5"/>
  <c r="MM17" i="5"/>
  <c r="MN17" i="5"/>
  <c r="MO17" i="5"/>
  <c r="MP17" i="5"/>
  <c r="MQ17" i="5"/>
  <c r="MR17" i="5"/>
  <c r="MS17" i="5"/>
  <c r="MT17" i="5"/>
  <c r="MU17" i="5"/>
  <c r="MV17" i="5"/>
  <c r="MW17" i="5"/>
  <c r="MX17" i="5"/>
  <c r="MY17" i="5"/>
  <c r="MZ17" i="5"/>
  <c r="NA17" i="5"/>
  <c r="NB17" i="5"/>
  <c r="NC17" i="5"/>
  <c r="ND17" i="5"/>
  <c r="NE17" i="5"/>
  <c r="NF17" i="5"/>
  <c r="NG17" i="5"/>
  <c r="NH17" i="5"/>
  <c r="NI17" i="5"/>
  <c r="NJ17" i="5"/>
  <c r="NK17" i="5"/>
  <c r="NL17" i="5"/>
  <c r="NM17" i="5"/>
  <c r="NN17" i="5"/>
  <c r="NO17" i="5"/>
  <c r="NP17" i="5"/>
  <c r="NQ17" i="5"/>
  <c r="NR17" i="5"/>
  <c r="NS17" i="5"/>
  <c r="NT17" i="5"/>
  <c r="NU17" i="5"/>
  <c r="NV17" i="5"/>
  <c r="NW17" i="5"/>
  <c r="NX17" i="5"/>
  <c r="NY17" i="5"/>
  <c r="NZ17" i="5"/>
  <c r="OA17" i="5"/>
  <c r="OB17" i="5"/>
  <c r="OC17" i="5"/>
  <c r="OD17" i="5"/>
  <c r="OE17" i="5"/>
  <c r="OF17" i="5"/>
  <c r="OG17" i="5"/>
  <c r="OH17" i="5"/>
  <c r="OI17" i="5"/>
  <c r="OJ17" i="5"/>
  <c r="OK17" i="5"/>
  <c r="OL17" i="5"/>
  <c r="OM17" i="5"/>
  <c r="ON17" i="5"/>
  <c r="OO17" i="5"/>
  <c r="OP17" i="5"/>
  <c r="OQ17" i="5"/>
  <c r="OR17" i="5"/>
  <c r="OS17" i="5"/>
  <c r="OT17" i="5"/>
  <c r="OU17" i="5"/>
  <c r="OV17" i="5"/>
  <c r="OW17" i="5"/>
  <c r="OX17" i="5"/>
  <c r="OY17" i="5"/>
  <c r="OZ17" i="5"/>
  <c r="PA17" i="5"/>
  <c r="PB17" i="5"/>
  <c r="PC17" i="5"/>
  <c r="PD17" i="5"/>
  <c r="PE17" i="5"/>
  <c r="PF17" i="5"/>
  <c r="PG17" i="5"/>
  <c r="PH17" i="5"/>
  <c r="PI17" i="5"/>
  <c r="PJ17" i="5"/>
  <c r="PK17" i="5"/>
  <c r="PL17" i="5"/>
  <c r="PM17" i="5"/>
  <c r="PN17" i="5"/>
  <c r="PO17" i="5"/>
  <c r="PP17" i="5"/>
  <c r="PQ17" i="5"/>
  <c r="PR17" i="5"/>
  <c r="PS17" i="5"/>
  <c r="PT17" i="5"/>
  <c r="PU17" i="5"/>
  <c r="PV17" i="5"/>
  <c r="PW17" i="5"/>
  <c r="PX17" i="5"/>
  <c r="PY17" i="5"/>
  <c r="PZ17" i="5"/>
  <c r="QA17" i="5"/>
  <c r="QB17" i="5"/>
  <c r="QC17" i="5"/>
  <c r="QD17" i="5"/>
  <c r="QE17" i="5"/>
  <c r="QF17" i="5"/>
  <c r="QG17" i="5"/>
  <c r="QH17" i="5"/>
  <c r="QI17" i="5"/>
  <c r="QJ17" i="5"/>
  <c r="QK17" i="5"/>
  <c r="QL17" i="5"/>
  <c r="QM17" i="5"/>
  <c r="QN17" i="5"/>
  <c r="QO17" i="5"/>
  <c r="QP17" i="5"/>
  <c r="QQ17" i="5"/>
  <c r="QR17" i="5"/>
  <c r="QS17" i="5"/>
  <c r="QT17" i="5"/>
  <c r="QU17" i="5"/>
  <c r="QV17" i="5"/>
  <c r="QW17" i="5"/>
  <c r="QX17" i="5"/>
  <c r="QY17" i="5"/>
  <c r="QZ17" i="5"/>
  <c r="RA17" i="5"/>
  <c r="RB17" i="5"/>
  <c r="RC17" i="5"/>
  <c r="RD17" i="5"/>
  <c r="RE17" i="5"/>
  <c r="RF17" i="5"/>
  <c r="RG17" i="5"/>
  <c r="RH17" i="5"/>
  <c r="RI17" i="5"/>
  <c r="RJ17" i="5"/>
  <c r="RK17" i="5"/>
  <c r="RL17" i="5"/>
  <c r="RM17" i="5"/>
  <c r="RN17" i="5"/>
  <c r="RO17" i="5"/>
  <c r="RP17" i="5"/>
  <c r="RQ17" i="5"/>
  <c r="RR17" i="5"/>
  <c r="RS17" i="5"/>
  <c r="RT17" i="5"/>
  <c r="RU17" i="5"/>
  <c r="RV17" i="5"/>
  <c r="RW17" i="5"/>
  <c r="RX17" i="5"/>
  <c r="RY17" i="5"/>
  <c r="RZ17" i="5"/>
  <c r="SA17" i="5"/>
  <c r="SB17" i="5"/>
  <c r="SC17" i="5"/>
  <c r="SD17" i="5"/>
  <c r="SE17" i="5"/>
  <c r="SF17" i="5"/>
  <c r="SG17" i="5"/>
  <c r="SH17" i="5"/>
  <c r="SI17" i="5"/>
  <c r="SJ17" i="5"/>
  <c r="SK17" i="5"/>
  <c r="SL17" i="5"/>
  <c r="SM17" i="5"/>
  <c r="SN17" i="5"/>
  <c r="SO17" i="5"/>
  <c r="SP17" i="5"/>
  <c r="SQ17" i="5"/>
  <c r="SR17" i="5"/>
  <c r="SS17" i="5"/>
  <c r="ST17" i="5"/>
  <c r="SU17" i="5"/>
  <c r="SV17" i="5"/>
  <c r="SW17" i="5"/>
  <c r="SX17" i="5"/>
  <c r="SY17" i="5"/>
  <c r="SZ17" i="5"/>
  <c r="TA17" i="5"/>
  <c r="TB17" i="5"/>
  <c r="TC17" i="5"/>
  <c r="TD17" i="5"/>
  <c r="TE17" i="5"/>
  <c r="TF17" i="5"/>
  <c r="TG17" i="5"/>
  <c r="TH17" i="5"/>
  <c r="TI17" i="5"/>
  <c r="TJ17" i="5"/>
  <c r="TK17" i="5"/>
  <c r="TL17" i="5"/>
  <c r="TM17" i="5"/>
  <c r="TN17" i="5"/>
  <c r="TO17" i="5"/>
  <c r="TP17" i="5"/>
  <c r="TQ17" i="5"/>
  <c r="TR17" i="5"/>
  <c r="TS17" i="5"/>
  <c r="TT17" i="5"/>
  <c r="TU17" i="5"/>
  <c r="TV17" i="5"/>
  <c r="TW17" i="5"/>
  <c r="TX17" i="5"/>
  <c r="TY17" i="5"/>
  <c r="TZ17" i="5"/>
  <c r="UA17" i="5"/>
  <c r="UB17" i="5"/>
  <c r="UC17" i="5"/>
  <c r="UD17" i="5"/>
  <c r="UE17" i="5"/>
  <c r="UF17" i="5"/>
  <c r="UG17" i="5"/>
  <c r="UH17" i="5"/>
  <c r="UI17" i="5"/>
  <c r="UJ17" i="5"/>
  <c r="UK17" i="5"/>
  <c r="K18" i="5"/>
  <c r="L18" i="5"/>
  <c r="M18" i="5"/>
  <c r="N18" i="5"/>
  <c r="O18" i="5"/>
  <c r="P18" i="5"/>
  <c r="Q18" i="5"/>
  <c r="R18" i="5"/>
  <c r="S18" i="5"/>
  <c r="T18" i="5"/>
  <c r="U18" i="5"/>
  <c r="V18" i="5"/>
  <c r="W18" i="5"/>
  <c r="X18" i="5"/>
  <c r="Y18" i="5"/>
  <c r="Z18" i="5"/>
  <c r="AA18" i="5"/>
  <c r="AB18" i="5"/>
  <c r="AC18" i="5"/>
  <c r="AD18" i="5"/>
  <c r="AE18" i="5"/>
  <c r="AF18" i="5"/>
  <c r="AG18" i="5"/>
  <c r="AH18" i="5"/>
  <c r="AI18" i="5"/>
  <c r="AJ18" i="5"/>
  <c r="AK18" i="5"/>
  <c r="AL18" i="5"/>
  <c r="AM18" i="5"/>
  <c r="AN18" i="5"/>
  <c r="AO18" i="5"/>
  <c r="AP18" i="5"/>
  <c r="AQ18" i="5"/>
  <c r="AR18" i="5"/>
  <c r="AS18" i="5"/>
  <c r="AT18" i="5"/>
  <c r="AU18" i="5"/>
  <c r="AV18" i="5"/>
  <c r="AW18" i="5"/>
  <c r="AX18" i="5"/>
  <c r="AY18" i="5"/>
  <c r="AZ18" i="5"/>
  <c r="BA18" i="5"/>
  <c r="BB18" i="5"/>
  <c r="BC18" i="5"/>
  <c r="BD18" i="5"/>
  <c r="BE18" i="5"/>
  <c r="BF18" i="5"/>
  <c r="BG18" i="5"/>
  <c r="BH18" i="5"/>
  <c r="BI18" i="5"/>
  <c r="BJ18" i="5"/>
  <c r="BK18" i="5"/>
  <c r="BL18" i="5"/>
  <c r="BM18" i="5"/>
  <c r="BN18" i="5"/>
  <c r="BO18" i="5"/>
  <c r="BP18" i="5"/>
  <c r="BQ18" i="5"/>
  <c r="BR18" i="5"/>
  <c r="BS18" i="5"/>
  <c r="BT18" i="5"/>
  <c r="BU18" i="5"/>
  <c r="BV18" i="5"/>
  <c r="BW18" i="5"/>
  <c r="BX18" i="5"/>
  <c r="BY18" i="5"/>
  <c r="BZ18" i="5"/>
  <c r="CA18" i="5"/>
  <c r="CB18" i="5"/>
  <c r="CC18" i="5"/>
  <c r="CD18" i="5"/>
  <c r="CE18" i="5"/>
  <c r="CF18" i="5"/>
  <c r="CG18" i="5"/>
  <c r="CH18" i="5"/>
  <c r="CI18" i="5"/>
  <c r="CJ18" i="5"/>
  <c r="CK18" i="5"/>
  <c r="CL18" i="5"/>
  <c r="CM18" i="5"/>
  <c r="CN18" i="5"/>
  <c r="CO18" i="5"/>
  <c r="CP18" i="5"/>
  <c r="CQ18" i="5"/>
  <c r="CR18" i="5"/>
  <c r="CS18" i="5"/>
  <c r="CT18" i="5"/>
  <c r="CU18" i="5"/>
  <c r="CV18" i="5"/>
  <c r="CW18" i="5"/>
  <c r="CX18" i="5"/>
  <c r="CY18" i="5"/>
  <c r="CZ18" i="5"/>
  <c r="DA18" i="5"/>
  <c r="DB18" i="5"/>
  <c r="DC18" i="5"/>
  <c r="DD18" i="5"/>
  <c r="DE18" i="5"/>
  <c r="DF18" i="5"/>
  <c r="DG18" i="5"/>
  <c r="DH18" i="5"/>
  <c r="DI18" i="5"/>
  <c r="DJ18" i="5"/>
  <c r="DK18" i="5"/>
  <c r="DL18" i="5"/>
  <c r="DM18" i="5"/>
  <c r="DN18" i="5"/>
  <c r="DO18" i="5"/>
  <c r="DP18" i="5"/>
  <c r="DQ18" i="5"/>
  <c r="DR18" i="5"/>
  <c r="DS18" i="5"/>
  <c r="DT18" i="5"/>
  <c r="DU18" i="5"/>
  <c r="DV18" i="5"/>
  <c r="DW18" i="5"/>
  <c r="DX18" i="5"/>
  <c r="DY18" i="5"/>
  <c r="DZ18" i="5"/>
  <c r="EA18" i="5"/>
  <c r="EB18" i="5"/>
  <c r="EC18" i="5"/>
  <c r="ED18" i="5"/>
  <c r="EE18" i="5"/>
  <c r="EF18" i="5"/>
  <c r="EG18" i="5"/>
  <c r="EH18" i="5"/>
  <c r="EI18" i="5"/>
  <c r="EJ18" i="5"/>
  <c r="EK18" i="5"/>
  <c r="EL18" i="5"/>
  <c r="EM18" i="5"/>
  <c r="EN18" i="5"/>
  <c r="EO18" i="5"/>
  <c r="EP18" i="5"/>
  <c r="EQ18" i="5"/>
  <c r="ER18" i="5"/>
  <c r="ES18" i="5"/>
  <c r="ET18" i="5"/>
  <c r="EU18" i="5"/>
  <c r="EV18" i="5"/>
  <c r="EW18" i="5"/>
  <c r="EX18" i="5"/>
  <c r="EY18" i="5"/>
  <c r="EZ18" i="5"/>
  <c r="FA18" i="5"/>
  <c r="FB18" i="5"/>
  <c r="FC18" i="5"/>
  <c r="FD18" i="5"/>
  <c r="FE18" i="5"/>
  <c r="FF18" i="5"/>
  <c r="FG18" i="5"/>
  <c r="FH18" i="5"/>
  <c r="FI18" i="5"/>
  <c r="FJ18" i="5"/>
  <c r="FK18" i="5"/>
  <c r="FL18" i="5"/>
  <c r="FM18" i="5"/>
  <c r="FN18" i="5"/>
  <c r="FO18" i="5"/>
  <c r="FP18" i="5"/>
  <c r="FQ18" i="5"/>
  <c r="FR18" i="5"/>
  <c r="FS18" i="5"/>
  <c r="FT18" i="5"/>
  <c r="FU18" i="5"/>
  <c r="FV18" i="5"/>
  <c r="FW18" i="5"/>
  <c r="FX18" i="5"/>
  <c r="FY18" i="5"/>
  <c r="FZ18" i="5"/>
  <c r="GA18" i="5"/>
  <c r="GB18" i="5"/>
  <c r="GC18" i="5"/>
  <c r="GD18" i="5"/>
  <c r="GE18" i="5"/>
  <c r="GF18" i="5"/>
  <c r="GG18" i="5"/>
  <c r="GH18" i="5"/>
  <c r="GI18" i="5"/>
  <c r="GJ18" i="5"/>
  <c r="GK18" i="5"/>
  <c r="GL18" i="5"/>
  <c r="GM18" i="5"/>
  <c r="GN18" i="5"/>
  <c r="GO18" i="5"/>
  <c r="GP18" i="5"/>
  <c r="GQ18" i="5"/>
  <c r="GR18" i="5"/>
  <c r="GS18" i="5"/>
  <c r="GT18" i="5"/>
  <c r="GU18" i="5"/>
  <c r="GV18" i="5"/>
  <c r="GW18" i="5"/>
  <c r="GX18" i="5"/>
  <c r="GY18" i="5"/>
  <c r="GZ18" i="5"/>
  <c r="HA18" i="5"/>
  <c r="HB18" i="5"/>
  <c r="HC18" i="5"/>
  <c r="HD18" i="5"/>
  <c r="HE18" i="5"/>
  <c r="HF18" i="5"/>
  <c r="HG18" i="5"/>
  <c r="HH18" i="5"/>
  <c r="HI18" i="5"/>
  <c r="HJ18" i="5"/>
  <c r="HK18" i="5"/>
  <c r="HL18" i="5"/>
  <c r="HM18" i="5"/>
  <c r="HN18" i="5"/>
  <c r="HO18" i="5"/>
  <c r="HP18" i="5"/>
  <c r="HQ18" i="5"/>
  <c r="HR18" i="5"/>
  <c r="HS18" i="5"/>
  <c r="HT18" i="5"/>
  <c r="HU18" i="5"/>
  <c r="HV18" i="5"/>
  <c r="HW18" i="5"/>
  <c r="HX18" i="5"/>
  <c r="HY18" i="5"/>
  <c r="HZ18" i="5"/>
  <c r="IA18" i="5"/>
  <c r="IB18" i="5"/>
  <c r="IC18" i="5"/>
  <c r="ID18" i="5"/>
  <c r="IE18" i="5"/>
  <c r="IF18" i="5"/>
  <c r="IG18" i="5"/>
  <c r="IH18" i="5"/>
  <c r="II18" i="5"/>
  <c r="IJ18" i="5"/>
  <c r="IK18" i="5"/>
  <c r="IL18" i="5"/>
  <c r="IM18" i="5"/>
  <c r="IN18" i="5"/>
  <c r="IO18" i="5"/>
  <c r="IP18" i="5"/>
  <c r="IQ18" i="5"/>
  <c r="IR18" i="5"/>
  <c r="IS18" i="5"/>
  <c r="IT18" i="5"/>
  <c r="IU18" i="5"/>
  <c r="IV18" i="5"/>
  <c r="IW18" i="5"/>
  <c r="IX18" i="5"/>
  <c r="IY18" i="5"/>
  <c r="IZ18" i="5"/>
  <c r="JA18" i="5"/>
  <c r="JB18" i="5"/>
  <c r="JC18" i="5"/>
  <c r="JD18" i="5"/>
  <c r="JE18" i="5"/>
  <c r="JF18" i="5"/>
  <c r="JG18" i="5"/>
  <c r="JH18" i="5"/>
  <c r="JI18" i="5"/>
  <c r="JJ18" i="5"/>
  <c r="JK18" i="5"/>
  <c r="JL18" i="5"/>
  <c r="JM18" i="5"/>
  <c r="JN18" i="5"/>
  <c r="JO18" i="5"/>
  <c r="JP18" i="5"/>
  <c r="JQ18" i="5"/>
  <c r="JR18" i="5"/>
  <c r="JS18" i="5"/>
  <c r="JT18" i="5"/>
  <c r="JU18" i="5"/>
  <c r="JV18" i="5"/>
  <c r="JW18" i="5"/>
  <c r="JX18" i="5"/>
  <c r="JY18" i="5"/>
  <c r="JZ18" i="5"/>
  <c r="KA18" i="5"/>
  <c r="KB18" i="5"/>
  <c r="KC18" i="5"/>
  <c r="KD18" i="5"/>
  <c r="KE18" i="5"/>
  <c r="KF18" i="5"/>
  <c r="KG18" i="5"/>
  <c r="KH18" i="5"/>
  <c r="KI18" i="5"/>
  <c r="KJ18" i="5"/>
  <c r="KK18" i="5"/>
  <c r="KL18" i="5"/>
  <c r="KM18" i="5"/>
  <c r="KN18" i="5"/>
  <c r="KO18" i="5"/>
  <c r="KP18" i="5"/>
  <c r="KQ18" i="5"/>
  <c r="KR18" i="5"/>
  <c r="KS18" i="5"/>
  <c r="KT18" i="5"/>
  <c r="KU18" i="5"/>
  <c r="KV18" i="5"/>
  <c r="KW18" i="5"/>
  <c r="KX18" i="5"/>
  <c r="KY18" i="5"/>
  <c r="KZ18" i="5"/>
  <c r="LA18" i="5"/>
  <c r="LB18" i="5"/>
  <c r="LC18" i="5"/>
  <c r="LD18" i="5"/>
  <c r="LE18" i="5"/>
  <c r="LF18" i="5"/>
  <c r="LG18" i="5"/>
  <c r="LH18" i="5"/>
  <c r="LI18" i="5"/>
  <c r="LJ18" i="5"/>
  <c r="LK18" i="5"/>
  <c r="LL18" i="5"/>
  <c r="LM18" i="5"/>
  <c r="LN18" i="5"/>
  <c r="LO18" i="5"/>
  <c r="LP18" i="5"/>
  <c r="LQ18" i="5"/>
  <c r="LR18" i="5"/>
  <c r="LS18" i="5"/>
  <c r="LT18" i="5"/>
  <c r="LU18" i="5"/>
  <c r="LV18" i="5"/>
  <c r="LW18" i="5"/>
  <c r="LX18" i="5"/>
  <c r="LY18" i="5"/>
  <c r="LZ18" i="5"/>
  <c r="MA18" i="5"/>
  <c r="MB18" i="5"/>
  <c r="MC18" i="5"/>
  <c r="MD18" i="5"/>
  <c r="ME18" i="5"/>
  <c r="MF18" i="5"/>
  <c r="MG18" i="5"/>
  <c r="MH18" i="5"/>
  <c r="MI18" i="5"/>
  <c r="MJ18" i="5"/>
  <c r="MK18" i="5"/>
  <c r="ML18" i="5"/>
  <c r="MM18" i="5"/>
  <c r="MN18" i="5"/>
  <c r="MO18" i="5"/>
  <c r="MP18" i="5"/>
  <c r="MQ18" i="5"/>
  <c r="MR18" i="5"/>
  <c r="MS18" i="5"/>
  <c r="MT18" i="5"/>
  <c r="MU18" i="5"/>
  <c r="MV18" i="5"/>
  <c r="MW18" i="5"/>
  <c r="MX18" i="5"/>
  <c r="MY18" i="5"/>
  <c r="MZ18" i="5"/>
  <c r="NA18" i="5"/>
  <c r="NB18" i="5"/>
  <c r="NC18" i="5"/>
  <c r="ND18" i="5"/>
  <c r="NE18" i="5"/>
  <c r="NF18" i="5"/>
  <c r="NG18" i="5"/>
  <c r="NH18" i="5"/>
  <c r="NI18" i="5"/>
  <c r="NJ18" i="5"/>
  <c r="NK18" i="5"/>
  <c r="NL18" i="5"/>
  <c r="NM18" i="5"/>
  <c r="NN18" i="5"/>
  <c r="NO18" i="5"/>
  <c r="NP18" i="5"/>
  <c r="NQ18" i="5"/>
  <c r="NR18" i="5"/>
  <c r="NS18" i="5"/>
  <c r="NT18" i="5"/>
  <c r="NU18" i="5"/>
  <c r="NV18" i="5"/>
  <c r="NW18" i="5"/>
  <c r="NX18" i="5"/>
  <c r="NY18" i="5"/>
  <c r="NZ18" i="5"/>
  <c r="OA18" i="5"/>
  <c r="OB18" i="5"/>
  <c r="OC18" i="5"/>
  <c r="OD18" i="5"/>
  <c r="OE18" i="5"/>
  <c r="OF18" i="5"/>
  <c r="OG18" i="5"/>
  <c r="OH18" i="5"/>
  <c r="OI18" i="5"/>
  <c r="OJ18" i="5"/>
  <c r="OK18" i="5"/>
  <c r="OL18" i="5"/>
  <c r="OM18" i="5"/>
  <c r="ON18" i="5"/>
  <c r="OO18" i="5"/>
  <c r="OP18" i="5"/>
  <c r="OQ18" i="5"/>
  <c r="OR18" i="5"/>
  <c r="OS18" i="5"/>
  <c r="OT18" i="5"/>
  <c r="OU18" i="5"/>
  <c r="OV18" i="5"/>
  <c r="OW18" i="5"/>
  <c r="OX18" i="5"/>
  <c r="OY18" i="5"/>
  <c r="OZ18" i="5"/>
  <c r="PA18" i="5"/>
  <c r="PB18" i="5"/>
  <c r="PC18" i="5"/>
  <c r="PD18" i="5"/>
  <c r="PE18" i="5"/>
  <c r="PF18" i="5"/>
  <c r="PG18" i="5"/>
  <c r="PH18" i="5"/>
  <c r="PI18" i="5"/>
  <c r="PJ18" i="5"/>
  <c r="PK18" i="5"/>
  <c r="PL18" i="5"/>
  <c r="PM18" i="5"/>
  <c r="PN18" i="5"/>
  <c r="PO18" i="5"/>
  <c r="PP18" i="5"/>
  <c r="PQ18" i="5"/>
  <c r="PR18" i="5"/>
  <c r="PS18" i="5"/>
  <c r="PT18" i="5"/>
  <c r="PU18" i="5"/>
  <c r="PV18" i="5"/>
  <c r="PW18" i="5"/>
  <c r="PX18" i="5"/>
  <c r="PY18" i="5"/>
  <c r="PZ18" i="5"/>
  <c r="QA18" i="5"/>
  <c r="QB18" i="5"/>
  <c r="QC18" i="5"/>
  <c r="QD18" i="5"/>
  <c r="QE18" i="5"/>
  <c r="QF18" i="5"/>
  <c r="QG18" i="5"/>
  <c r="QH18" i="5"/>
  <c r="QI18" i="5"/>
  <c r="QJ18" i="5"/>
  <c r="QK18" i="5"/>
  <c r="QL18" i="5"/>
  <c r="QM18" i="5"/>
  <c r="QN18" i="5"/>
  <c r="QO18" i="5"/>
  <c r="QP18" i="5"/>
  <c r="QQ18" i="5"/>
  <c r="QR18" i="5"/>
  <c r="QS18" i="5"/>
  <c r="QT18" i="5"/>
  <c r="QU18" i="5"/>
  <c r="QV18" i="5"/>
  <c r="QW18" i="5"/>
  <c r="QX18" i="5"/>
  <c r="QY18" i="5"/>
  <c r="QZ18" i="5"/>
  <c r="RA18" i="5"/>
  <c r="RB18" i="5"/>
  <c r="RC18" i="5"/>
  <c r="RD18" i="5"/>
  <c r="RE18" i="5"/>
  <c r="RF18" i="5"/>
  <c r="RG18" i="5"/>
  <c r="RH18" i="5"/>
  <c r="RI18" i="5"/>
  <c r="RJ18" i="5"/>
  <c r="RK18" i="5"/>
  <c r="RL18" i="5"/>
  <c r="RM18" i="5"/>
  <c r="RN18" i="5"/>
  <c r="RO18" i="5"/>
  <c r="RP18" i="5"/>
  <c r="RQ18" i="5"/>
  <c r="RR18" i="5"/>
  <c r="RS18" i="5"/>
  <c r="RT18" i="5"/>
  <c r="RU18" i="5"/>
  <c r="RV18" i="5"/>
  <c r="RW18" i="5"/>
  <c r="RX18" i="5"/>
  <c r="RY18" i="5"/>
  <c r="RZ18" i="5"/>
  <c r="SA18" i="5"/>
  <c r="SB18" i="5"/>
  <c r="SC18" i="5"/>
  <c r="SD18" i="5"/>
  <c r="SE18" i="5"/>
  <c r="SF18" i="5"/>
  <c r="SG18" i="5"/>
  <c r="SH18" i="5"/>
  <c r="SI18" i="5"/>
  <c r="SJ18" i="5"/>
  <c r="SK18" i="5"/>
  <c r="SL18" i="5"/>
  <c r="SM18" i="5"/>
  <c r="SN18" i="5"/>
  <c r="SO18" i="5"/>
  <c r="SP18" i="5"/>
  <c r="SQ18" i="5"/>
  <c r="SR18" i="5"/>
  <c r="SS18" i="5"/>
  <c r="ST18" i="5"/>
  <c r="SU18" i="5"/>
  <c r="SV18" i="5"/>
  <c r="SW18" i="5"/>
  <c r="SX18" i="5"/>
  <c r="SY18" i="5"/>
  <c r="SZ18" i="5"/>
  <c r="TA18" i="5"/>
  <c r="TB18" i="5"/>
  <c r="TC18" i="5"/>
  <c r="TD18" i="5"/>
  <c r="TE18" i="5"/>
  <c r="TF18" i="5"/>
  <c r="TG18" i="5"/>
  <c r="TH18" i="5"/>
  <c r="TI18" i="5"/>
  <c r="TJ18" i="5"/>
  <c r="TK18" i="5"/>
  <c r="TL18" i="5"/>
  <c r="TM18" i="5"/>
  <c r="TN18" i="5"/>
  <c r="TO18" i="5"/>
  <c r="TP18" i="5"/>
  <c r="TQ18" i="5"/>
  <c r="TR18" i="5"/>
  <c r="TS18" i="5"/>
  <c r="TT18" i="5"/>
  <c r="TU18" i="5"/>
  <c r="TV18" i="5"/>
  <c r="TW18" i="5"/>
  <c r="TX18" i="5"/>
  <c r="TY18" i="5"/>
  <c r="TZ18" i="5"/>
  <c r="UA18" i="5"/>
  <c r="UB18" i="5"/>
  <c r="UC18" i="5"/>
  <c r="UD18" i="5"/>
  <c r="UE18" i="5"/>
  <c r="UF18" i="5"/>
  <c r="UG18" i="5"/>
  <c r="UH18" i="5"/>
  <c r="UI18" i="5"/>
  <c r="UJ18" i="5"/>
  <c r="UK18" i="5"/>
  <c r="K19" i="5"/>
  <c r="L19" i="5"/>
  <c r="M19" i="5"/>
  <c r="N19" i="5"/>
  <c r="O19" i="5"/>
  <c r="P19" i="5"/>
  <c r="Q19" i="5"/>
  <c r="R19" i="5"/>
  <c r="S19" i="5"/>
  <c r="T19" i="5"/>
  <c r="U19" i="5"/>
  <c r="V19" i="5"/>
  <c r="W19" i="5"/>
  <c r="X19" i="5"/>
  <c r="Y19" i="5"/>
  <c r="Z19" i="5"/>
  <c r="AA19" i="5"/>
  <c r="AB19" i="5"/>
  <c r="AC19" i="5"/>
  <c r="AD19" i="5"/>
  <c r="AE19" i="5"/>
  <c r="AF19" i="5"/>
  <c r="AG19" i="5"/>
  <c r="AH19" i="5"/>
  <c r="AI19" i="5"/>
  <c r="AJ19" i="5"/>
  <c r="AK19" i="5"/>
  <c r="AL19" i="5"/>
  <c r="AM19" i="5"/>
  <c r="AN19" i="5"/>
  <c r="AO19" i="5"/>
  <c r="AP19" i="5"/>
  <c r="AQ19" i="5"/>
  <c r="AR19" i="5"/>
  <c r="AS19" i="5"/>
  <c r="AT19" i="5"/>
  <c r="AU19" i="5"/>
  <c r="AV19" i="5"/>
  <c r="AW19" i="5"/>
  <c r="AX19" i="5"/>
  <c r="AY19" i="5"/>
  <c r="AZ19" i="5"/>
  <c r="BA19" i="5"/>
  <c r="BB19" i="5"/>
  <c r="BC19" i="5"/>
  <c r="BD19" i="5"/>
  <c r="BE19" i="5"/>
  <c r="BF19" i="5"/>
  <c r="BG19" i="5"/>
  <c r="BH19" i="5"/>
  <c r="BI19" i="5"/>
  <c r="BJ19" i="5"/>
  <c r="BK19" i="5"/>
  <c r="BL19" i="5"/>
  <c r="BM19" i="5"/>
  <c r="BN19" i="5"/>
  <c r="BO19" i="5"/>
  <c r="BP19" i="5"/>
  <c r="BQ19" i="5"/>
  <c r="BR19" i="5"/>
  <c r="BS19" i="5"/>
  <c r="BT19" i="5"/>
  <c r="BU19" i="5"/>
  <c r="BV19" i="5"/>
  <c r="BW19" i="5"/>
  <c r="BX19" i="5"/>
  <c r="BY19" i="5"/>
  <c r="BZ19" i="5"/>
  <c r="CA19" i="5"/>
  <c r="CB19" i="5"/>
  <c r="CC19" i="5"/>
  <c r="CD19" i="5"/>
  <c r="CE19" i="5"/>
  <c r="CF19" i="5"/>
  <c r="CG19" i="5"/>
  <c r="CH19" i="5"/>
  <c r="CI19" i="5"/>
  <c r="CJ19" i="5"/>
  <c r="CK19" i="5"/>
  <c r="CL19" i="5"/>
  <c r="CM19" i="5"/>
  <c r="CN19" i="5"/>
  <c r="CO19" i="5"/>
  <c r="CP19" i="5"/>
  <c r="CQ19" i="5"/>
  <c r="CR19" i="5"/>
  <c r="CS19" i="5"/>
  <c r="CT19" i="5"/>
  <c r="CU19" i="5"/>
  <c r="CV19" i="5"/>
  <c r="CW19" i="5"/>
  <c r="CX19" i="5"/>
  <c r="CY19" i="5"/>
  <c r="CZ19" i="5"/>
  <c r="DA19" i="5"/>
  <c r="DB19" i="5"/>
  <c r="DC19" i="5"/>
  <c r="DD19" i="5"/>
  <c r="DE19" i="5"/>
  <c r="DF19" i="5"/>
  <c r="DG19" i="5"/>
  <c r="DH19" i="5"/>
  <c r="DI19" i="5"/>
  <c r="DJ19" i="5"/>
  <c r="DK19" i="5"/>
  <c r="DL19" i="5"/>
  <c r="DM19" i="5"/>
  <c r="DN19" i="5"/>
  <c r="DO19" i="5"/>
  <c r="DP19" i="5"/>
  <c r="DQ19" i="5"/>
  <c r="DR19" i="5"/>
  <c r="DS19" i="5"/>
  <c r="DT19" i="5"/>
  <c r="DU19" i="5"/>
  <c r="DV19" i="5"/>
  <c r="DW19" i="5"/>
  <c r="DX19" i="5"/>
  <c r="DY19" i="5"/>
  <c r="DZ19" i="5"/>
  <c r="EA19" i="5"/>
  <c r="EB19" i="5"/>
  <c r="EC19" i="5"/>
  <c r="ED19" i="5"/>
  <c r="EE19" i="5"/>
  <c r="EF19" i="5"/>
  <c r="EG19" i="5"/>
  <c r="EH19" i="5"/>
  <c r="EI19" i="5"/>
  <c r="EJ19" i="5"/>
  <c r="EK19" i="5"/>
  <c r="EL19" i="5"/>
  <c r="EM19" i="5"/>
  <c r="EN19" i="5"/>
  <c r="EO19" i="5"/>
  <c r="EP19" i="5"/>
  <c r="EQ19" i="5"/>
  <c r="ER19" i="5"/>
  <c r="ES19" i="5"/>
  <c r="ET19" i="5"/>
  <c r="EU19" i="5"/>
  <c r="EV19" i="5"/>
  <c r="EW19" i="5"/>
  <c r="EX19" i="5"/>
  <c r="EY19" i="5"/>
  <c r="EZ19" i="5"/>
  <c r="FA19" i="5"/>
  <c r="FB19" i="5"/>
  <c r="FC19" i="5"/>
  <c r="FD19" i="5"/>
  <c r="FE19" i="5"/>
  <c r="FF19" i="5"/>
  <c r="FG19" i="5"/>
  <c r="FH19" i="5"/>
  <c r="FI19" i="5"/>
  <c r="FJ19" i="5"/>
  <c r="FK19" i="5"/>
  <c r="FL19" i="5"/>
  <c r="FM19" i="5"/>
  <c r="FN19" i="5"/>
  <c r="FO19" i="5"/>
  <c r="FP19" i="5"/>
  <c r="FQ19" i="5"/>
  <c r="FR19" i="5"/>
  <c r="FS19" i="5"/>
  <c r="FT19" i="5"/>
  <c r="FU19" i="5"/>
  <c r="FV19" i="5"/>
  <c r="FW19" i="5"/>
  <c r="FX19" i="5"/>
  <c r="FY19" i="5"/>
  <c r="FZ19" i="5"/>
  <c r="GA19" i="5"/>
  <c r="GB19" i="5"/>
  <c r="GC19" i="5"/>
  <c r="GD19" i="5"/>
  <c r="GE19" i="5"/>
  <c r="GF19" i="5"/>
  <c r="GG19" i="5"/>
  <c r="GH19" i="5"/>
  <c r="GI19" i="5"/>
  <c r="GJ19" i="5"/>
  <c r="GK19" i="5"/>
  <c r="GL19" i="5"/>
  <c r="GM19" i="5"/>
  <c r="GN19" i="5"/>
  <c r="GO19" i="5"/>
  <c r="GP19" i="5"/>
  <c r="GQ19" i="5"/>
  <c r="GR19" i="5"/>
  <c r="GS19" i="5"/>
  <c r="GT19" i="5"/>
  <c r="GU19" i="5"/>
  <c r="GV19" i="5"/>
  <c r="GW19" i="5"/>
  <c r="GX19" i="5"/>
  <c r="GY19" i="5"/>
  <c r="GZ19" i="5"/>
  <c r="HA19" i="5"/>
  <c r="HB19" i="5"/>
  <c r="HC19" i="5"/>
  <c r="HD19" i="5"/>
  <c r="HE19" i="5"/>
  <c r="HF19" i="5"/>
  <c r="HG19" i="5"/>
  <c r="HH19" i="5"/>
  <c r="HI19" i="5"/>
  <c r="HJ19" i="5"/>
  <c r="HK19" i="5"/>
  <c r="HL19" i="5"/>
  <c r="HM19" i="5"/>
  <c r="HN19" i="5"/>
  <c r="HO19" i="5"/>
  <c r="HP19" i="5"/>
  <c r="HQ19" i="5"/>
  <c r="HR19" i="5"/>
  <c r="HS19" i="5"/>
  <c r="HT19" i="5"/>
  <c r="HU19" i="5"/>
  <c r="HV19" i="5"/>
  <c r="HW19" i="5"/>
  <c r="HX19" i="5"/>
  <c r="HY19" i="5"/>
  <c r="HZ19" i="5"/>
  <c r="IA19" i="5"/>
  <c r="IB19" i="5"/>
  <c r="IC19" i="5"/>
  <c r="ID19" i="5"/>
  <c r="IE19" i="5"/>
  <c r="IF19" i="5"/>
  <c r="IG19" i="5"/>
  <c r="IH19" i="5"/>
  <c r="II19" i="5"/>
  <c r="IJ19" i="5"/>
  <c r="IK19" i="5"/>
  <c r="IL19" i="5"/>
  <c r="IM19" i="5"/>
  <c r="IN19" i="5"/>
  <c r="IO19" i="5"/>
  <c r="IP19" i="5"/>
  <c r="IQ19" i="5"/>
  <c r="IR19" i="5"/>
  <c r="IS19" i="5"/>
  <c r="IT19" i="5"/>
  <c r="IU19" i="5"/>
  <c r="IV19" i="5"/>
  <c r="IW19" i="5"/>
  <c r="IX19" i="5"/>
  <c r="IY19" i="5"/>
  <c r="IZ19" i="5"/>
  <c r="JA19" i="5"/>
  <c r="JB19" i="5"/>
  <c r="JC19" i="5"/>
  <c r="JD19" i="5"/>
  <c r="JE19" i="5"/>
  <c r="JF19" i="5"/>
  <c r="JG19" i="5"/>
  <c r="JH19" i="5"/>
  <c r="JI19" i="5"/>
  <c r="JJ19" i="5"/>
  <c r="JK19" i="5"/>
  <c r="JL19" i="5"/>
  <c r="JM19" i="5"/>
  <c r="JN19" i="5"/>
  <c r="JO19" i="5"/>
  <c r="JP19" i="5"/>
  <c r="JQ19" i="5"/>
  <c r="JR19" i="5"/>
  <c r="JS19" i="5"/>
  <c r="JT19" i="5"/>
  <c r="JU19" i="5"/>
  <c r="JV19" i="5"/>
  <c r="JW19" i="5"/>
  <c r="JX19" i="5"/>
  <c r="JY19" i="5"/>
  <c r="JZ19" i="5"/>
  <c r="KA19" i="5"/>
  <c r="KB19" i="5"/>
  <c r="KC19" i="5"/>
  <c r="KD19" i="5"/>
  <c r="KE19" i="5"/>
  <c r="KF19" i="5"/>
  <c r="KG19" i="5"/>
  <c r="KH19" i="5"/>
  <c r="KI19" i="5"/>
  <c r="KJ19" i="5"/>
  <c r="KK19" i="5"/>
  <c r="KL19" i="5"/>
  <c r="KM19" i="5"/>
  <c r="KN19" i="5"/>
  <c r="KO19" i="5"/>
  <c r="KP19" i="5"/>
  <c r="KQ19" i="5"/>
  <c r="KR19" i="5"/>
  <c r="KS19" i="5"/>
  <c r="KT19" i="5"/>
  <c r="KU19" i="5"/>
  <c r="KV19" i="5"/>
  <c r="KW19" i="5"/>
  <c r="KX19" i="5"/>
  <c r="KY19" i="5"/>
  <c r="KZ19" i="5"/>
  <c r="LA19" i="5"/>
  <c r="LB19" i="5"/>
  <c r="LC19" i="5"/>
  <c r="LD19" i="5"/>
  <c r="LE19" i="5"/>
  <c r="LF19" i="5"/>
  <c r="LG19" i="5"/>
  <c r="LH19" i="5"/>
  <c r="LI19" i="5"/>
  <c r="LJ19" i="5"/>
  <c r="LK19" i="5"/>
  <c r="LL19" i="5"/>
  <c r="LM19" i="5"/>
  <c r="LN19" i="5"/>
  <c r="LO19" i="5"/>
  <c r="LP19" i="5"/>
  <c r="LQ19" i="5"/>
  <c r="LR19" i="5"/>
  <c r="LS19" i="5"/>
  <c r="LT19" i="5"/>
  <c r="LU19" i="5"/>
  <c r="LV19" i="5"/>
  <c r="LW19" i="5"/>
  <c r="LX19" i="5"/>
  <c r="LY19" i="5"/>
  <c r="LZ19" i="5"/>
  <c r="MA19" i="5"/>
  <c r="MB19" i="5"/>
  <c r="MC19" i="5"/>
  <c r="MD19" i="5"/>
  <c r="ME19" i="5"/>
  <c r="MF19" i="5"/>
  <c r="MG19" i="5"/>
  <c r="MH19" i="5"/>
  <c r="MI19" i="5"/>
  <c r="MJ19" i="5"/>
  <c r="MK19" i="5"/>
  <c r="ML19" i="5"/>
  <c r="MM19" i="5"/>
  <c r="MN19" i="5"/>
  <c r="MO19" i="5"/>
  <c r="MP19" i="5"/>
  <c r="MQ19" i="5"/>
  <c r="MR19" i="5"/>
  <c r="MS19" i="5"/>
  <c r="MT19" i="5"/>
  <c r="MU19" i="5"/>
  <c r="MV19" i="5"/>
  <c r="MW19" i="5"/>
  <c r="MX19" i="5"/>
  <c r="MY19" i="5"/>
  <c r="MZ19" i="5"/>
  <c r="NA19" i="5"/>
  <c r="NB19" i="5"/>
  <c r="NC19" i="5"/>
  <c r="ND19" i="5"/>
  <c r="NE19" i="5"/>
  <c r="NF19" i="5"/>
  <c r="NG19" i="5"/>
  <c r="NH19" i="5"/>
  <c r="NI19" i="5"/>
  <c r="NJ19" i="5"/>
  <c r="NK19" i="5"/>
  <c r="NL19" i="5"/>
  <c r="NM19" i="5"/>
  <c r="NN19" i="5"/>
  <c r="NO19" i="5"/>
  <c r="NP19" i="5"/>
  <c r="NQ19" i="5"/>
  <c r="NR19" i="5"/>
  <c r="NS19" i="5"/>
  <c r="NT19" i="5"/>
  <c r="NU19" i="5"/>
  <c r="NV19" i="5"/>
  <c r="NW19" i="5"/>
  <c r="NX19" i="5"/>
  <c r="NY19" i="5"/>
  <c r="NZ19" i="5"/>
  <c r="OA19" i="5"/>
  <c r="OB19" i="5"/>
  <c r="OC19" i="5"/>
  <c r="OD19" i="5"/>
  <c r="OE19" i="5"/>
  <c r="OF19" i="5"/>
  <c r="OG19" i="5"/>
  <c r="OH19" i="5"/>
  <c r="OI19" i="5"/>
  <c r="OJ19" i="5"/>
  <c r="OK19" i="5"/>
  <c r="OL19" i="5"/>
  <c r="OM19" i="5"/>
  <c r="ON19" i="5"/>
  <c r="OO19" i="5"/>
  <c r="OP19" i="5"/>
  <c r="OQ19" i="5"/>
  <c r="OR19" i="5"/>
  <c r="OS19" i="5"/>
  <c r="OT19" i="5"/>
  <c r="OU19" i="5"/>
  <c r="OV19" i="5"/>
  <c r="OW19" i="5"/>
  <c r="OX19" i="5"/>
  <c r="OY19" i="5"/>
  <c r="OZ19" i="5"/>
  <c r="PA19" i="5"/>
  <c r="PB19" i="5"/>
  <c r="PC19" i="5"/>
  <c r="PD19" i="5"/>
  <c r="PE19" i="5"/>
  <c r="PF19" i="5"/>
  <c r="PG19" i="5"/>
  <c r="PH19" i="5"/>
  <c r="PI19" i="5"/>
  <c r="PJ19" i="5"/>
  <c r="PK19" i="5"/>
  <c r="PL19" i="5"/>
  <c r="PM19" i="5"/>
  <c r="PN19" i="5"/>
  <c r="PO19" i="5"/>
  <c r="PP19" i="5"/>
  <c r="PQ19" i="5"/>
  <c r="PR19" i="5"/>
  <c r="PS19" i="5"/>
  <c r="PT19" i="5"/>
  <c r="PU19" i="5"/>
  <c r="PV19" i="5"/>
  <c r="PW19" i="5"/>
  <c r="PX19" i="5"/>
  <c r="PY19" i="5"/>
  <c r="PZ19" i="5"/>
  <c r="QA19" i="5"/>
  <c r="QB19" i="5"/>
  <c r="QC19" i="5"/>
  <c r="QD19" i="5"/>
  <c r="QE19" i="5"/>
  <c r="QF19" i="5"/>
  <c r="QG19" i="5"/>
  <c r="QH19" i="5"/>
  <c r="QI19" i="5"/>
  <c r="QJ19" i="5"/>
  <c r="QK19" i="5"/>
  <c r="QL19" i="5"/>
  <c r="QM19" i="5"/>
  <c r="QN19" i="5"/>
  <c r="QO19" i="5"/>
  <c r="QP19" i="5"/>
  <c r="QQ19" i="5"/>
  <c r="QR19" i="5"/>
  <c r="QS19" i="5"/>
  <c r="QT19" i="5"/>
  <c r="QU19" i="5"/>
  <c r="QV19" i="5"/>
  <c r="QW19" i="5"/>
  <c r="QX19" i="5"/>
  <c r="QY19" i="5"/>
  <c r="QZ19" i="5"/>
  <c r="RA19" i="5"/>
  <c r="RB19" i="5"/>
  <c r="RC19" i="5"/>
  <c r="RD19" i="5"/>
  <c r="RE19" i="5"/>
  <c r="RF19" i="5"/>
  <c r="RG19" i="5"/>
  <c r="RH19" i="5"/>
  <c r="RI19" i="5"/>
  <c r="RJ19" i="5"/>
  <c r="RK19" i="5"/>
  <c r="RL19" i="5"/>
  <c r="RM19" i="5"/>
  <c r="RN19" i="5"/>
  <c r="RO19" i="5"/>
  <c r="RP19" i="5"/>
  <c r="RQ19" i="5"/>
  <c r="RR19" i="5"/>
  <c r="RS19" i="5"/>
  <c r="RT19" i="5"/>
  <c r="RU19" i="5"/>
  <c r="RV19" i="5"/>
  <c r="RW19" i="5"/>
  <c r="RX19" i="5"/>
  <c r="RY19" i="5"/>
  <c r="RZ19" i="5"/>
  <c r="SA19" i="5"/>
  <c r="SB19" i="5"/>
  <c r="SC19" i="5"/>
  <c r="SD19" i="5"/>
  <c r="SE19" i="5"/>
  <c r="SF19" i="5"/>
  <c r="SG19" i="5"/>
  <c r="SH19" i="5"/>
  <c r="SI19" i="5"/>
  <c r="SJ19" i="5"/>
  <c r="SK19" i="5"/>
  <c r="SL19" i="5"/>
  <c r="SM19" i="5"/>
  <c r="SN19" i="5"/>
  <c r="SO19" i="5"/>
  <c r="SP19" i="5"/>
  <c r="SQ19" i="5"/>
  <c r="SR19" i="5"/>
  <c r="SS19" i="5"/>
  <c r="ST19" i="5"/>
  <c r="SU19" i="5"/>
  <c r="SV19" i="5"/>
  <c r="SW19" i="5"/>
  <c r="SX19" i="5"/>
  <c r="SY19" i="5"/>
  <c r="SZ19" i="5"/>
  <c r="TA19" i="5"/>
  <c r="TB19" i="5"/>
  <c r="TC19" i="5"/>
  <c r="TD19" i="5"/>
  <c r="TE19" i="5"/>
  <c r="TF19" i="5"/>
  <c r="TG19" i="5"/>
  <c r="TH19" i="5"/>
  <c r="TI19" i="5"/>
  <c r="TJ19" i="5"/>
  <c r="TK19" i="5"/>
  <c r="TL19" i="5"/>
  <c r="TM19" i="5"/>
  <c r="TN19" i="5"/>
  <c r="TO19" i="5"/>
  <c r="TP19" i="5"/>
  <c r="TQ19" i="5"/>
  <c r="TR19" i="5"/>
  <c r="TS19" i="5"/>
  <c r="TT19" i="5"/>
  <c r="TU19" i="5"/>
  <c r="TV19" i="5"/>
  <c r="TW19" i="5"/>
  <c r="TX19" i="5"/>
  <c r="TY19" i="5"/>
  <c r="TZ19" i="5"/>
  <c r="UA19" i="5"/>
  <c r="UB19" i="5"/>
  <c r="UC19" i="5"/>
  <c r="UD19" i="5"/>
  <c r="UE19" i="5"/>
  <c r="UF19" i="5"/>
  <c r="UG19" i="5"/>
  <c r="UH19" i="5"/>
  <c r="UI19" i="5"/>
  <c r="UJ19" i="5"/>
  <c r="UK19" i="5"/>
  <c r="K20" i="5"/>
  <c r="L20" i="5"/>
  <c r="M20" i="5"/>
  <c r="N20" i="5"/>
  <c r="O20" i="5"/>
  <c r="P20" i="5"/>
  <c r="Q20" i="5"/>
  <c r="R20" i="5"/>
  <c r="S20" i="5"/>
  <c r="T20" i="5"/>
  <c r="U20" i="5"/>
  <c r="V20" i="5"/>
  <c r="W20" i="5"/>
  <c r="X20" i="5"/>
  <c r="Y20" i="5"/>
  <c r="Z20" i="5"/>
  <c r="AA20" i="5"/>
  <c r="AB20" i="5"/>
  <c r="AC20" i="5"/>
  <c r="AD20" i="5"/>
  <c r="AE20" i="5"/>
  <c r="AF20" i="5"/>
  <c r="AG20" i="5"/>
  <c r="AH20" i="5"/>
  <c r="AI20" i="5"/>
  <c r="AJ20" i="5"/>
  <c r="AK20" i="5"/>
  <c r="AL20" i="5"/>
  <c r="AM20" i="5"/>
  <c r="AN20" i="5"/>
  <c r="AO20" i="5"/>
  <c r="AP20" i="5"/>
  <c r="AQ20" i="5"/>
  <c r="AR20" i="5"/>
  <c r="AS20" i="5"/>
  <c r="AT20" i="5"/>
  <c r="AU20" i="5"/>
  <c r="AV20" i="5"/>
  <c r="AW20" i="5"/>
  <c r="AX20" i="5"/>
  <c r="AY20" i="5"/>
  <c r="AZ20" i="5"/>
  <c r="BA20" i="5"/>
  <c r="BB20" i="5"/>
  <c r="BC20" i="5"/>
  <c r="BD20" i="5"/>
  <c r="BE20" i="5"/>
  <c r="BF20" i="5"/>
  <c r="BG20" i="5"/>
  <c r="BH20" i="5"/>
  <c r="BI20" i="5"/>
  <c r="BJ20" i="5"/>
  <c r="BK20" i="5"/>
  <c r="BL20" i="5"/>
  <c r="BM20" i="5"/>
  <c r="BN20" i="5"/>
  <c r="BO20" i="5"/>
  <c r="BP20" i="5"/>
  <c r="BQ20" i="5"/>
  <c r="BR20" i="5"/>
  <c r="BS20" i="5"/>
  <c r="BT20" i="5"/>
  <c r="BU20" i="5"/>
  <c r="BV20" i="5"/>
  <c r="BW20" i="5"/>
  <c r="BX20" i="5"/>
  <c r="BY20" i="5"/>
  <c r="BZ20" i="5"/>
  <c r="CA20" i="5"/>
  <c r="CB20" i="5"/>
  <c r="CC20" i="5"/>
  <c r="CD20" i="5"/>
  <c r="CE20" i="5"/>
  <c r="CF20" i="5"/>
  <c r="CG20" i="5"/>
  <c r="CH20" i="5"/>
  <c r="CI20" i="5"/>
  <c r="CJ20" i="5"/>
  <c r="CK20" i="5"/>
  <c r="CL20" i="5"/>
  <c r="CM20" i="5"/>
  <c r="CN20" i="5"/>
  <c r="CO20" i="5"/>
  <c r="CP20" i="5"/>
  <c r="CQ20" i="5"/>
  <c r="CR20" i="5"/>
  <c r="CS20" i="5"/>
  <c r="CT20" i="5"/>
  <c r="CU20" i="5"/>
  <c r="CV20" i="5"/>
  <c r="CW20" i="5"/>
  <c r="CX20" i="5"/>
  <c r="CY20" i="5"/>
  <c r="CZ20" i="5"/>
  <c r="DA20" i="5"/>
  <c r="DB20" i="5"/>
  <c r="DC20" i="5"/>
  <c r="DD20" i="5"/>
  <c r="DE20" i="5"/>
  <c r="DF20" i="5"/>
  <c r="DG20" i="5"/>
  <c r="DH20" i="5"/>
  <c r="DI20" i="5"/>
  <c r="DJ20" i="5"/>
  <c r="DK20" i="5"/>
  <c r="DL20" i="5"/>
  <c r="DM20" i="5"/>
  <c r="DN20" i="5"/>
  <c r="DO20" i="5"/>
  <c r="DP20" i="5"/>
  <c r="DQ20" i="5"/>
  <c r="DR20" i="5"/>
  <c r="DS20" i="5"/>
  <c r="DT20" i="5"/>
  <c r="DU20" i="5"/>
  <c r="DV20" i="5"/>
  <c r="DW20" i="5"/>
  <c r="DX20" i="5"/>
  <c r="DY20" i="5"/>
  <c r="DZ20" i="5"/>
  <c r="EA20" i="5"/>
  <c r="EB20" i="5"/>
  <c r="EC20" i="5"/>
  <c r="ED20" i="5"/>
  <c r="EE20" i="5"/>
  <c r="EF20" i="5"/>
  <c r="EG20" i="5"/>
  <c r="EH20" i="5"/>
  <c r="EI20" i="5"/>
  <c r="EJ20" i="5"/>
  <c r="EK20" i="5"/>
  <c r="EL20" i="5"/>
  <c r="EM20" i="5"/>
  <c r="EN20" i="5"/>
  <c r="EO20" i="5"/>
  <c r="EP20" i="5"/>
  <c r="EQ20" i="5"/>
  <c r="ER20" i="5"/>
  <c r="ES20" i="5"/>
  <c r="ET20" i="5"/>
  <c r="EU20" i="5"/>
  <c r="EV20" i="5"/>
  <c r="EW20" i="5"/>
  <c r="EX20" i="5"/>
  <c r="EY20" i="5"/>
  <c r="EZ20" i="5"/>
  <c r="FA20" i="5"/>
  <c r="FB20" i="5"/>
  <c r="FC20" i="5"/>
  <c r="FD20" i="5"/>
  <c r="FE20" i="5"/>
  <c r="FF20" i="5"/>
  <c r="FG20" i="5"/>
  <c r="FH20" i="5"/>
  <c r="FI20" i="5"/>
  <c r="FJ20" i="5"/>
  <c r="FK20" i="5"/>
  <c r="FL20" i="5"/>
  <c r="FM20" i="5"/>
  <c r="FN20" i="5"/>
  <c r="FO20" i="5"/>
  <c r="FP20" i="5"/>
  <c r="FQ20" i="5"/>
  <c r="FR20" i="5"/>
  <c r="FS20" i="5"/>
  <c r="FT20" i="5"/>
  <c r="FU20" i="5"/>
  <c r="FV20" i="5"/>
  <c r="FW20" i="5"/>
  <c r="FX20" i="5"/>
  <c r="FY20" i="5"/>
  <c r="FZ20" i="5"/>
  <c r="GA20" i="5"/>
  <c r="GB20" i="5"/>
  <c r="GC20" i="5"/>
  <c r="GD20" i="5"/>
  <c r="GE20" i="5"/>
  <c r="GF20" i="5"/>
  <c r="GG20" i="5"/>
  <c r="GH20" i="5"/>
  <c r="GI20" i="5"/>
  <c r="GJ20" i="5"/>
  <c r="GK20" i="5"/>
  <c r="GL20" i="5"/>
  <c r="GM20" i="5"/>
  <c r="GN20" i="5"/>
  <c r="GO20" i="5"/>
  <c r="GP20" i="5"/>
  <c r="GQ20" i="5"/>
  <c r="GR20" i="5"/>
  <c r="GS20" i="5"/>
  <c r="GT20" i="5"/>
  <c r="GU20" i="5"/>
  <c r="GV20" i="5"/>
  <c r="GW20" i="5"/>
  <c r="GX20" i="5"/>
  <c r="GY20" i="5"/>
  <c r="GZ20" i="5"/>
  <c r="HA20" i="5"/>
  <c r="HB20" i="5"/>
  <c r="HC20" i="5"/>
  <c r="HD20" i="5"/>
  <c r="HE20" i="5"/>
  <c r="HF20" i="5"/>
  <c r="HG20" i="5"/>
  <c r="HH20" i="5"/>
  <c r="HI20" i="5"/>
  <c r="HJ20" i="5"/>
  <c r="HK20" i="5"/>
  <c r="HL20" i="5"/>
  <c r="HM20" i="5"/>
  <c r="HN20" i="5"/>
  <c r="HO20" i="5"/>
  <c r="HP20" i="5"/>
  <c r="HQ20" i="5"/>
  <c r="HR20" i="5"/>
  <c r="HS20" i="5"/>
  <c r="HT20" i="5"/>
  <c r="HU20" i="5"/>
  <c r="HV20" i="5"/>
  <c r="HW20" i="5"/>
  <c r="HX20" i="5"/>
  <c r="HY20" i="5"/>
  <c r="HZ20" i="5"/>
  <c r="IA20" i="5"/>
  <c r="IB20" i="5"/>
  <c r="IC20" i="5"/>
  <c r="ID20" i="5"/>
  <c r="IE20" i="5"/>
  <c r="IF20" i="5"/>
  <c r="IG20" i="5"/>
  <c r="IH20" i="5"/>
  <c r="II20" i="5"/>
  <c r="IJ20" i="5"/>
  <c r="IK20" i="5"/>
  <c r="IL20" i="5"/>
  <c r="IM20" i="5"/>
  <c r="IN20" i="5"/>
  <c r="IO20" i="5"/>
  <c r="IP20" i="5"/>
  <c r="IQ20" i="5"/>
  <c r="IR20" i="5"/>
  <c r="IS20" i="5"/>
  <c r="IT20" i="5"/>
  <c r="IU20" i="5"/>
  <c r="IV20" i="5"/>
  <c r="IW20" i="5"/>
  <c r="IX20" i="5"/>
  <c r="IY20" i="5"/>
  <c r="IZ20" i="5"/>
  <c r="JA20" i="5"/>
  <c r="JB20" i="5"/>
  <c r="JC20" i="5"/>
  <c r="JD20" i="5"/>
  <c r="JE20" i="5"/>
  <c r="JF20" i="5"/>
  <c r="JG20" i="5"/>
  <c r="JH20" i="5"/>
  <c r="JI20" i="5"/>
  <c r="JJ20" i="5"/>
  <c r="JK20" i="5"/>
  <c r="JL20" i="5"/>
  <c r="JM20" i="5"/>
  <c r="JN20" i="5"/>
  <c r="JO20" i="5"/>
  <c r="JP20" i="5"/>
  <c r="JQ20" i="5"/>
  <c r="JR20" i="5"/>
  <c r="JS20" i="5"/>
  <c r="JT20" i="5"/>
  <c r="JU20" i="5"/>
  <c r="JV20" i="5"/>
  <c r="JW20" i="5"/>
  <c r="JX20" i="5"/>
  <c r="JY20" i="5"/>
  <c r="JZ20" i="5"/>
  <c r="KA20" i="5"/>
  <c r="KB20" i="5"/>
  <c r="KC20" i="5"/>
  <c r="KD20" i="5"/>
  <c r="KE20" i="5"/>
  <c r="KF20" i="5"/>
  <c r="KG20" i="5"/>
  <c r="KH20" i="5"/>
  <c r="KI20" i="5"/>
  <c r="KJ20" i="5"/>
  <c r="KK20" i="5"/>
  <c r="KL20" i="5"/>
  <c r="KM20" i="5"/>
  <c r="KN20" i="5"/>
  <c r="KO20" i="5"/>
  <c r="KP20" i="5"/>
  <c r="KQ20" i="5"/>
  <c r="KR20" i="5"/>
  <c r="KS20" i="5"/>
  <c r="KT20" i="5"/>
  <c r="KU20" i="5"/>
  <c r="KV20" i="5"/>
  <c r="KW20" i="5"/>
  <c r="KX20" i="5"/>
  <c r="KY20" i="5"/>
  <c r="KZ20" i="5"/>
  <c r="LA20" i="5"/>
  <c r="LB20" i="5"/>
  <c r="LC20" i="5"/>
  <c r="LD20" i="5"/>
  <c r="LE20" i="5"/>
  <c r="LF20" i="5"/>
  <c r="LG20" i="5"/>
  <c r="LH20" i="5"/>
  <c r="LI20" i="5"/>
  <c r="LJ20" i="5"/>
  <c r="LK20" i="5"/>
  <c r="LL20" i="5"/>
  <c r="LM20" i="5"/>
  <c r="LN20" i="5"/>
  <c r="LO20" i="5"/>
  <c r="LP20" i="5"/>
  <c r="LQ20" i="5"/>
  <c r="LR20" i="5"/>
  <c r="LS20" i="5"/>
  <c r="LT20" i="5"/>
  <c r="LU20" i="5"/>
  <c r="LV20" i="5"/>
  <c r="LW20" i="5"/>
  <c r="LX20" i="5"/>
  <c r="LY20" i="5"/>
  <c r="LZ20" i="5"/>
  <c r="MA20" i="5"/>
  <c r="MB20" i="5"/>
  <c r="MC20" i="5"/>
  <c r="MD20" i="5"/>
  <c r="ME20" i="5"/>
  <c r="MF20" i="5"/>
  <c r="MG20" i="5"/>
  <c r="MH20" i="5"/>
  <c r="MI20" i="5"/>
  <c r="MJ20" i="5"/>
  <c r="MK20" i="5"/>
  <c r="ML20" i="5"/>
  <c r="MM20" i="5"/>
  <c r="MN20" i="5"/>
  <c r="MO20" i="5"/>
  <c r="MP20" i="5"/>
  <c r="MQ20" i="5"/>
  <c r="MR20" i="5"/>
  <c r="MS20" i="5"/>
  <c r="MT20" i="5"/>
  <c r="MU20" i="5"/>
  <c r="MV20" i="5"/>
  <c r="MW20" i="5"/>
  <c r="MX20" i="5"/>
  <c r="MY20" i="5"/>
  <c r="MZ20" i="5"/>
  <c r="NA20" i="5"/>
  <c r="NB20" i="5"/>
  <c r="NC20" i="5"/>
  <c r="ND20" i="5"/>
  <c r="NE20" i="5"/>
  <c r="NF20" i="5"/>
  <c r="NG20" i="5"/>
  <c r="NH20" i="5"/>
  <c r="NI20" i="5"/>
  <c r="NJ20" i="5"/>
  <c r="NK20" i="5"/>
  <c r="NL20" i="5"/>
  <c r="NM20" i="5"/>
  <c r="NN20" i="5"/>
  <c r="NO20" i="5"/>
  <c r="NP20" i="5"/>
  <c r="NQ20" i="5"/>
  <c r="NR20" i="5"/>
  <c r="NS20" i="5"/>
  <c r="NT20" i="5"/>
  <c r="NU20" i="5"/>
  <c r="NV20" i="5"/>
  <c r="NW20" i="5"/>
  <c r="NX20" i="5"/>
  <c r="NY20" i="5"/>
  <c r="NZ20" i="5"/>
  <c r="OA20" i="5"/>
  <c r="OB20" i="5"/>
  <c r="OC20" i="5"/>
  <c r="OD20" i="5"/>
  <c r="OE20" i="5"/>
  <c r="OF20" i="5"/>
  <c r="OG20" i="5"/>
  <c r="OH20" i="5"/>
  <c r="OI20" i="5"/>
  <c r="OJ20" i="5"/>
  <c r="OK20" i="5"/>
  <c r="OL20" i="5"/>
  <c r="OM20" i="5"/>
  <c r="ON20" i="5"/>
  <c r="OO20" i="5"/>
  <c r="OP20" i="5"/>
  <c r="OQ20" i="5"/>
  <c r="OR20" i="5"/>
  <c r="OS20" i="5"/>
  <c r="OT20" i="5"/>
  <c r="OU20" i="5"/>
  <c r="OV20" i="5"/>
  <c r="OW20" i="5"/>
  <c r="OX20" i="5"/>
  <c r="OY20" i="5"/>
  <c r="OZ20" i="5"/>
  <c r="PA20" i="5"/>
  <c r="PB20" i="5"/>
  <c r="PC20" i="5"/>
  <c r="PD20" i="5"/>
  <c r="PE20" i="5"/>
  <c r="PF20" i="5"/>
  <c r="PG20" i="5"/>
  <c r="PH20" i="5"/>
  <c r="PI20" i="5"/>
  <c r="PJ20" i="5"/>
  <c r="PK20" i="5"/>
  <c r="PL20" i="5"/>
  <c r="PM20" i="5"/>
  <c r="PN20" i="5"/>
  <c r="PO20" i="5"/>
  <c r="PP20" i="5"/>
  <c r="PQ20" i="5"/>
  <c r="PR20" i="5"/>
  <c r="PS20" i="5"/>
  <c r="PT20" i="5"/>
  <c r="PU20" i="5"/>
  <c r="PV20" i="5"/>
  <c r="PW20" i="5"/>
  <c r="PX20" i="5"/>
  <c r="PY20" i="5"/>
  <c r="PZ20" i="5"/>
  <c r="QA20" i="5"/>
  <c r="QB20" i="5"/>
  <c r="QC20" i="5"/>
  <c r="QD20" i="5"/>
  <c r="QE20" i="5"/>
  <c r="QF20" i="5"/>
  <c r="QG20" i="5"/>
  <c r="QH20" i="5"/>
  <c r="QI20" i="5"/>
  <c r="QJ20" i="5"/>
  <c r="QK20" i="5"/>
  <c r="QL20" i="5"/>
  <c r="QM20" i="5"/>
  <c r="QN20" i="5"/>
  <c r="QO20" i="5"/>
  <c r="QP20" i="5"/>
  <c r="QQ20" i="5"/>
  <c r="QR20" i="5"/>
  <c r="QS20" i="5"/>
  <c r="QT20" i="5"/>
  <c r="QU20" i="5"/>
  <c r="QV20" i="5"/>
  <c r="QW20" i="5"/>
  <c r="QX20" i="5"/>
  <c r="QY20" i="5"/>
  <c r="QZ20" i="5"/>
  <c r="RA20" i="5"/>
  <c r="RB20" i="5"/>
  <c r="RC20" i="5"/>
  <c r="RD20" i="5"/>
  <c r="RE20" i="5"/>
  <c r="RF20" i="5"/>
  <c r="RG20" i="5"/>
  <c r="RH20" i="5"/>
  <c r="RI20" i="5"/>
  <c r="RJ20" i="5"/>
  <c r="RK20" i="5"/>
  <c r="RL20" i="5"/>
  <c r="RM20" i="5"/>
  <c r="RN20" i="5"/>
  <c r="RO20" i="5"/>
  <c r="RP20" i="5"/>
  <c r="RQ20" i="5"/>
  <c r="RR20" i="5"/>
  <c r="RS20" i="5"/>
  <c r="RT20" i="5"/>
  <c r="RU20" i="5"/>
  <c r="RV20" i="5"/>
  <c r="RW20" i="5"/>
  <c r="RX20" i="5"/>
  <c r="RY20" i="5"/>
  <c r="RZ20" i="5"/>
  <c r="SA20" i="5"/>
  <c r="SB20" i="5"/>
  <c r="SC20" i="5"/>
  <c r="SD20" i="5"/>
  <c r="SE20" i="5"/>
  <c r="SF20" i="5"/>
  <c r="SG20" i="5"/>
  <c r="SH20" i="5"/>
  <c r="SI20" i="5"/>
  <c r="SJ20" i="5"/>
  <c r="SK20" i="5"/>
  <c r="SL20" i="5"/>
  <c r="SM20" i="5"/>
  <c r="SN20" i="5"/>
  <c r="SO20" i="5"/>
  <c r="SP20" i="5"/>
  <c r="SQ20" i="5"/>
  <c r="SR20" i="5"/>
  <c r="SS20" i="5"/>
  <c r="ST20" i="5"/>
  <c r="SU20" i="5"/>
  <c r="SV20" i="5"/>
  <c r="SW20" i="5"/>
  <c r="SX20" i="5"/>
  <c r="SY20" i="5"/>
  <c r="SZ20" i="5"/>
  <c r="TA20" i="5"/>
  <c r="TB20" i="5"/>
  <c r="TC20" i="5"/>
  <c r="TD20" i="5"/>
  <c r="TE20" i="5"/>
  <c r="TF20" i="5"/>
  <c r="TG20" i="5"/>
  <c r="TH20" i="5"/>
  <c r="TI20" i="5"/>
  <c r="TJ20" i="5"/>
  <c r="TK20" i="5"/>
  <c r="TL20" i="5"/>
  <c r="TM20" i="5"/>
  <c r="TN20" i="5"/>
  <c r="TO20" i="5"/>
  <c r="TP20" i="5"/>
  <c r="TQ20" i="5"/>
  <c r="TR20" i="5"/>
  <c r="TS20" i="5"/>
  <c r="TT20" i="5"/>
  <c r="TU20" i="5"/>
  <c r="TV20" i="5"/>
  <c r="TW20" i="5"/>
  <c r="TX20" i="5"/>
  <c r="TY20" i="5"/>
  <c r="TZ20" i="5"/>
  <c r="UA20" i="5"/>
  <c r="UB20" i="5"/>
  <c r="UC20" i="5"/>
  <c r="UD20" i="5"/>
  <c r="UE20" i="5"/>
  <c r="UF20" i="5"/>
  <c r="UG20" i="5"/>
  <c r="UH20" i="5"/>
  <c r="UI20" i="5"/>
  <c r="UJ20" i="5"/>
  <c r="UK20" i="5"/>
  <c r="K21" i="5"/>
  <c r="L21" i="5"/>
  <c r="M21" i="5"/>
  <c r="N21" i="5"/>
  <c r="O21" i="5"/>
  <c r="P21" i="5"/>
  <c r="Q21" i="5"/>
  <c r="R21" i="5"/>
  <c r="S21" i="5"/>
  <c r="T21" i="5"/>
  <c r="U21" i="5"/>
  <c r="V21" i="5"/>
  <c r="W21" i="5"/>
  <c r="X21" i="5"/>
  <c r="Y21" i="5"/>
  <c r="Z21" i="5"/>
  <c r="AA21" i="5"/>
  <c r="AB21" i="5"/>
  <c r="AC21" i="5"/>
  <c r="AD21" i="5"/>
  <c r="AE21" i="5"/>
  <c r="AF21" i="5"/>
  <c r="AG21" i="5"/>
  <c r="AH21" i="5"/>
  <c r="AI21" i="5"/>
  <c r="AJ21" i="5"/>
  <c r="AK21" i="5"/>
  <c r="AL21" i="5"/>
  <c r="AM21" i="5"/>
  <c r="AN21" i="5"/>
  <c r="AO21" i="5"/>
  <c r="AP21" i="5"/>
  <c r="AQ21" i="5"/>
  <c r="AR21" i="5"/>
  <c r="AS21" i="5"/>
  <c r="AT21" i="5"/>
  <c r="AU21" i="5"/>
  <c r="AV21" i="5"/>
  <c r="AW21" i="5"/>
  <c r="AX21" i="5"/>
  <c r="AY21" i="5"/>
  <c r="AZ21" i="5"/>
  <c r="BA21" i="5"/>
  <c r="BB21" i="5"/>
  <c r="BC21" i="5"/>
  <c r="BD21" i="5"/>
  <c r="BE21" i="5"/>
  <c r="BF21" i="5"/>
  <c r="BG21" i="5"/>
  <c r="BH21" i="5"/>
  <c r="BI21" i="5"/>
  <c r="BJ21" i="5"/>
  <c r="BK21" i="5"/>
  <c r="BL21" i="5"/>
  <c r="BM21" i="5"/>
  <c r="BN21" i="5"/>
  <c r="BO21" i="5"/>
  <c r="BP21" i="5"/>
  <c r="BQ21" i="5"/>
  <c r="BR21" i="5"/>
  <c r="BS21" i="5"/>
  <c r="BT21" i="5"/>
  <c r="BU21" i="5"/>
  <c r="BV21" i="5"/>
  <c r="BW21" i="5"/>
  <c r="BX21" i="5"/>
  <c r="BY21" i="5"/>
  <c r="BZ21" i="5"/>
  <c r="CA21" i="5"/>
  <c r="CB21" i="5"/>
  <c r="CC21" i="5"/>
  <c r="CD21" i="5"/>
  <c r="CE21" i="5"/>
  <c r="CF21" i="5"/>
  <c r="CG21" i="5"/>
  <c r="CH21" i="5"/>
  <c r="CI21" i="5"/>
  <c r="CJ21" i="5"/>
  <c r="CK21" i="5"/>
  <c r="CL21" i="5"/>
  <c r="CM21" i="5"/>
  <c r="CN21" i="5"/>
  <c r="CO21" i="5"/>
  <c r="CP21" i="5"/>
  <c r="CQ21" i="5"/>
  <c r="CR21" i="5"/>
  <c r="CS21" i="5"/>
  <c r="CT21" i="5"/>
  <c r="CU21" i="5"/>
  <c r="CV21" i="5"/>
  <c r="CW21" i="5"/>
  <c r="CX21" i="5"/>
  <c r="CY21" i="5"/>
  <c r="CZ21" i="5"/>
  <c r="DA21" i="5"/>
  <c r="DB21" i="5"/>
  <c r="DC21" i="5"/>
  <c r="DD21" i="5"/>
  <c r="DE21" i="5"/>
  <c r="DF21" i="5"/>
  <c r="DG21" i="5"/>
  <c r="DH21" i="5"/>
  <c r="DI21" i="5"/>
  <c r="DJ21" i="5"/>
  <c r="DK21" i="5"/>
  <c r="DL21" i="5"/>
  <c r="DM21" i="5"/>
  <c r="DN21" i="5"/>
  <c r="DO21" i="5"/>
  <c r="DP21" i="5"/>
  <c r="DQ21" i="5"/>
  <c r="DR21" i="5"/>
  <c r="DS21" i="5"/>
  <c r="DT21" i="5"/>
  <c r="DU21" i="5"/>
  <c r="DV21" i="5"/>
  <c r="DW21" i="5"/>
  <c r="DX21" i="5"/>
  <c r="DY21" i="5"/>
  <c r="DZ21" i="5"/>
  <c r="EA21" i="5"/>
  <c r="EB21" i="5"/>
  <c r="EC21" i="5"/>
  <c r="ED21" i="5"/>
  <c r="EE21" i="5"/>
  <c r="EF21" i="5"/>
  <c r="EG21" i="5"/>
  <c r="EH21" i="5"/>
  <c r="EI21" i="5"/>
  <c r="EJ21" i="5"/>
  <c r="EK21" i="5"/>
  <c r="EL21" i="5"/>
  <c r="EM21" i="5"/>
  <c r="EN21" i="5"/>
  <c r="EO21" i="5"/>
  <c r="EP21" i="5"/>
  <c r="EQ21" i="5"/>
  <c r="ER21" i="5"/>
  <c r="ES21" i="5"/>
  <c r="ET21" i="5"/>
  <c r="EU21" i="5"/>
  <c r="EV21" i="5"/>
  <c r="EW21" i="5"/>
  <c r="EX21" i="5"/>
  <c r="EY21" i="5"/>
  <c r="EZ21" i="5"/>
  <c r="FA21" i="5"/>
  <c r="FB21" i="5"/>
  <c r="FC21" i="5"/>
  <c r="FD21" i="5"/>
  <c r="FE21" i="5"/>
  <c r="FF21" i="5"/>
  <c r="FG21" i="5"/>
  <c r="FH21" i="5"/>
  <c r="FI21" i="5"/>
  <c r="FJ21" i="5"/>
  <c r="FK21" i="5"/>
  <c r="FL21" i="5"/>
  <c r="FM21" i="5"/>
  <c r="FN21" i="5"/>
  <c r="FO21" i="5"/>
  <c r="FP21" i="5"/>
  <c r="FQ21" i="5"/>
  <c r="FR21" i="5"/>
  <c r="FS21" i="5"/>
  <c r="FT21" i="5"/>
  <c r="FU21" i="5"/>
  <c r="FV21" i="5"/>
  <c r="FW21" i="5"/>
  <c r="FX21" i="5"/>
  <c r="FY21" i="5"/>
  <c r="FZ21" i="5"/>
  <c r="GA21" i="5"/>
  <c r="GB21" i="5"/>
  <c r="GC21" i="5"/>
  <c r="GD21" i="5"/>
  <c r="GE21" i="5"/>
  <c r="GF21" i="5"/>
  <c r="GG21" i="5"/>
  <c r="GH21" i="5"/>
  <c r="GI21" i="5"/>
  <c r="GJ21" i="5"/>
  <c r="GK21" i="5"/>
  <c r="GL21" i="5"/>
  <c r="GM21" i="5"/>
  <c r="GN21" i="5"/>
  <c r="GO21" i="5"/>
  <c r="GP21" i="5"/>
  <c r="GQ21" i="5"/>
  <c r="GR21" i="5"/>
  <c r="GS21" i="5"/>
  <c r="GT21" i="5"/>
  <c r="GU21" i="5"/>
  <c r="GV21" i="5"/>
  <c r="GW21" i="5"/>
  <c r="GX21" i="5"/>
  <c r="GY21" i="5"/>
  <c r="GZ21" i="5"/>
  <c r="HA21" i="5"/>
  <c r="HB21" i="5"/>
  <c r="HC21" i="5"/>
  <c r="HD21" i="5"/>
  <c r="HE21" i="5"/>
  <c r="HF21" i="5"/>
  <c r="HG21" i="5"/>
  <c r="HH21" i="5"/>
  <c r="HI21" i="5"/>
  <c r="HJ21" i="5"/>
  <c r="HK21" i="5"/>
  <c r="HL21" i="5"/>
  <c r="HM21" i="5"/>
  <c r="HN21" i="5"/>
  <c r="HO21" i="5"/>
  <c r="HP21" i="5"/>
  <c r="HQ21" i="5"/>
  <c r="HR21" i="5"/>
  <c r="HS21" i="5"/>
  <c r="HT21" i="5"/>
  <c r="HU21" i="5"/>
  <c r="HV21" i="5"/>
  <c r="HW21" i="5"/>
  <c r="HX21" i="5"/>
  <c r="HY21" i="5"/>
  <c r="HZ21" i="5"/>
  <c r="IA21" i="5"/>
  <c r="IB21" i="5"/>
  <c r="IC21" i="5"/>
  <c r="ID21" i="5"/>
  <c r="IE21" i="5"/>
  <c r="IF21" i="5"/>
  <c r="IG21" i="5"/>
  <c r="IH21" i="5"/>
  <c r="II21" i="5"/>
  <c r="IJ21" i="5"/>
  <c r="IK21" i="5"/>
  <c r="IL21" i="5"/>
  <c r="IM21" i="5"/>
  <c r="IN21" i="5"/>
  <c r="IO21" i="5"/>
  <c r="IP21" i="5"/>
  <c r="IQ21" i="5"/>
  <c r="IR21" i="5"/>
  <c r="IS21" i="5"/>
  <c r="IT21" i="5"/>
  <c r="IU21" i="5"/>
  <c r="IV21" i="5"/>
  <c r="IW21" i="5"/>
  <c r="IX21" i="5"/>
  <c r="IY21" i="5"/>
  <c r="IZ21" i="5"/>
  <c r="JA21" i="5"/>
  <c r="JB21" i="5"/>
  <c r="JC21" i="5"/>
  <c r="JD21" i="5"/>
  <c r="JE21" i="5"/>
  <c r="JF21" i="5"/>
  <c r="JG21" i="5"/>
  <c r="JH21" i="5"/>
  <c r="JI21" i="5"/>
  <c r="JJ21" i="5"/>
  <c r="JK21" i="5"/>
  <c r="JL21" i="5"/>
  <c r="JM21" i="5"/>
  <c r="JN21" i="5"/>
  <c r="JO21" i="5"/>
  <c r="JP21" i="5"/>
  <c r="JQ21" i="5"/>
  <c r="JR21" i="5"/>
  <c r="JS21" i="5"/>
  <c r="JT21" i="5"/>
  <c r="JU21" i="5"/>
  <c r="JV21" i="5"/>
  <c r="JW21" i="5"/>
  <c r="JX21" i="5"/>
  <c r="JY21" i="5"/>
  <c r="JZ21" i="5"/>
  <c r="KA21" i="5"/>
  <c r="KB21" i="5"/>
  <c r="KC21" i="5"/>
  <c r="KD21" i="5"/>
  <c r="KE21" i="5"/>
  <c r="KF21" i="5"/>
  <c r="KG21" i="5"/>
  <c r="KH21" i="5"/>
  <c r="KI21" i="5"/>
  <c r="KJ21" i="5"/>
  <c r="KK21" i="5"/>
  <c r="KL21" i="5"/>
  <c r="KM21" i="5"/>
  <c r="KN21" i="5"/>
  <c r="KO21" i="5"/>
  <c r="KP21" i="5"/>
  <c r="KQ21" i="5"/>
  <c r="KR21" i="5"/>
  <c r="KS21" i="5"/>
  <c r="KT21" i="5"/>
  <c r="KU21" i="5"/>
  <c r="KV21" i="5"/>
  <c r="KW21" i="5"/>
  <c r="KX21" i="5"/>
  <c r="KY21" i="5"/>
  <c r="KZ21" i="5"/>
  <c r="LA21" i="5"/>
  <c r="LB21" i="5"/>
  <c r="LC21" i="5"/>
  <c r="LD21" i="5"/>
  <c r="LE21" i="5"/>
  <c r="LF21" i="5"/>
  <c r="LG21" i="5"/>
  <c r="LH21" i="5"/>
  <c r="LI21" i="5"/>
  <c r="LJ21" i="5"/>
  <c r="LK21" i="5"/>
  <c r="LL21" i="5"/>
  <c r="LM21" i="5"/>
  <c r="LN21" i="5"/>
  <c r="LO21" i="5"/>
  <c r="LP21" i="5"/>
  <c r="LQ21" i="5"/>
  <c r="LR21" i="5"/>
  <c r="LS21" i="5"/>
  <c r="LT21" i="5"/>
  <c r="LU21" i="5"/>
  <c r="LV21" i="5"/>
  <c r="LW21" i="5"/>
  <c r="LX21" i="5"/>
  <c r="LY21" i="5"/>
  <c r="LZ21" i="5"/>
  <c r="MA21" i="5"/>
  <c r="MB21" i="5"/>
  <c r="MC21" i="5"/>
  <c r="MD21" i="5"/>
  <c r="ME21" i="5"/>
  <c r="MF21" i="5"/>
  <c r="MG21" i="5"/>
  <c r="MH21" i="5"/>
  <c r="MI21" i="5"/>
  <c r="MJ21" i="5"/>
  <c r="MK21" i="5"/>
  <c r="ML21" i="5"/>
  <c r="MM21" i="5"/>
  <c r="MN21" i="5"/>
  <c r="MO21" i="5"/>
  <c r="MP21" i="5"/>
  <c r="MQ21" i="5"/>
  <c r="MR21" i="5"/>
  <c r="MS21" i="5"/>
  <c r="MT21" i="5"/>
  <c r="MU21" i="5"/>
  <c r="MV21" i="5"/>
  <c r="MW21" i="5"/>
  <c r="MX21" i="5"/>
  <c r="MY21" i="5"/>
  <c r="MZ21" i="5"/>
  <c r="NA21" i="5"/>
  <c r="NB21" i="5"/>
  <c r="NC21" i="5"/>
  <c r="ND21" i="5"/>
  <c r="NE21" i="5"/>
  <c r="NF21" i="5"/>
  <c r="NG21" i="5"/>
  <c r="NH21" i="5"/>
  <c r="NI21" i="5"/>
  <c r="NJ21" i="5"/>
  <c r="NK21" i="5"/>
  <c r="NL21" i="5"/>
  <c r="NM21" i="5"/>
  <c r="NN21" i="5"/>
  <c r="NO21" i="5"/>
  <c r="NP21" i="5"/>
  <c r="NQ21" i="5"/>
  <c r="NR21" i="5"/>
  <c r="NS21" i="5"/>
  <c r="NT21" i="5"/>
  <c r="NU21" i="5"/>
  <c r="NV21" i="5"/>
  <c r="NW21" i="5"/>
  <c r="NX21" i="5"/>
  <c r="NY21" i="5"/>
  <c r="NZ21" i="5"/>
  <c r="OA21" i="5"/>
  <c r="OB21" i="5"/>
  <c r="OC21" i="5"/>
  <c r="OD21" i="5"/>
  <c r="OE21" i="5"/>
  <c r="OF21" i="5"/>
  <c r="OG21" i="5"/>
  <c r="OH21" i="5"/>
  <c r="OI21" i="5"/>
  <c r="OJ21" i="5"/>
  <c r="OK21" i="5"/>
  <c r="OL21" i="5"/>
  <c r="OM21" i="5"/>
  <c r="ON21" i="5"/>
  <c r="OO21" i="5"/>
  <c r="OP21" i="5"/>
  <c r="OQ21" i="5"/>
  <c r="OR21" i="5"/>
  <c r="OS21" i="5"/>
  <c r="OT21" i="5"/>
  <c r="OU21" i="5"/>
  <c r="OV21" i="5"/>
  <c r="OW21" i="5"/>
  <c r="OX21" i="5"/>
  <c r="OY21" i="5"/>
  <c r="OZ21" i="5"/>
  <c r="PA21" i="5"/>
  <c r="PB21" i="5"/>
  <c r="PC21" i="5"/>
  <c r="PD21" i="5"/>
  <c r="PE21" i="5"/>
  <c r="PF21" i="5"/>
  <c r="PG21" i="5"/>
  <c r="PH21" i="5"/>
  <c r="PI21" i="5"/>
  <c r="PJ21" i="5"/>
  <c r="PK21" i="5"/>
  <c r="PL21" i="5"/>
  <c r="PM21" i="5"/>
  <c r="PN21" i="5"/>
  <c r="PO21" i="5"/>
  <c r="PP21" i="5"/>
  <c r="PQ21" i="5"/>
  <c r="PR21" i="5"/>
  <c r="PS21" i="5"/>
  <c r="PT21" i="5"/>
  <c r="PU21" i="5"/>
  <c r="PV21" i="5"/>
  <c r="PW21" i="5"/>
  <c r="PX21" i="5"/>
  <c r="PY21" i="5"/>
  <c r="PZ21" i="5"/>
  <c r="QA21" i="5"/>
  <c r="QB21" i="5"/>
  <c r="QC21" i="5"/>
  <c r="QD21" i="5"/>
  <c r="QE21" i="5"/>
  <c r="QF21" i="5"/>
  <c r="QG21" i="5"/>
  <c r="QH21" i="5"/>
  <c r="QI21" i="5"/>
  <c r="QJ21" i="5"/>
  <c r="QK21" i="5"/>
  <c r="QL21" i="5"/>
  <c r="QM21" i="5"/>
  <c r="QN21" i="5"/>
  <c r="QO21" i="5"/>
  <c r="QP21" i="5"/>
  <c r="QQ21" i="5"/>
  <c r="QR21" i="5"/>
  <c r="QS21" i="5"/>
  <c r="QT21" i="5"/>
  <c r="QU21" i="5"/>
  <c r="QV21" i="5"/>
  <c r="QW21" i="5"/>
  <c r="QX21" i="5"/>
  <c r="QY21" i="5"/>
  <c r="QZ21" i="5"/>
  <c r="RA21" i="5"/>
  <c r="RB21" i="5"/>
  <c r="RC21" i="5"/>
  <c r="RD21" i="5"/>
  <c r="RE21" i="5"/>
  <c r="RF21" i="5"/>
  <c r="RG21" i="5"/>
  <c r="RH21" i="5"/>
  <c r="RI21" i="5"/>
  <c r="RJ21" i="5"/>
  <c r="RK21" i="5"/>
  <c r="RL21" i="5"/>
  <c r="RM21" i="5"/>
  <c r="RN21" i="5"/>
  <c r="RO21" i="5"/>
  <c r="RP21" i="5"/>
  <c r="RQ21" i="5"/>
  <c r="RR21" i="5"/>
  <c r="RS21" i="5"/>
  <c r="RT21" i="5"/>
  <c r="RU21" i="5"/>
  <c r="RV21" i="5"/>
  <c r="RW21" i="5"/>
  <c r="RX21" i="5"/>
  <c r="RY21" i="5"/>
  <c r="RZ21" i="5"/>
  <c r="SA21" i="5"/>
  <c r="SB21" i="5"/>
  <c r="SC21" i="5"/>
  <c r="SD21" i="5"/>
  <c r="SE21" i="5"/>
  <c r="SF21" i="5"/>
  <c r="SG21" i="5"/>
  <c r="SH21" i="5"/>
  <c r="SI21" i="5"/>
  <c r="SJ21" i="5"/>
  <c r="SK21" i="5"/>
  <c r="SL21" i="5"/>
  <c r="SM21" i="5"/>
  <c r="SN21" i="5"/>
  <c r="SO21" i="5"/>
  <c r="SP21" i="5"/>
  <c r="SQ21" i="5"/>
  <c r="SR21" i="5"/>
  <c r="SS21" i="5"/>
  <c r="ST21" i="5"/>
  <c r="SU21" i="5"/>
  <c r="SV21" i="5"/>
  <c r="SW21" i="5"/>
  <c r="SX21" i="5"/>
  <c r="SY21" i="5"/>
  <c r="SZ21" i="5"/>
  <c r="TA21" i="5"/>
  <c r="TB21" i="5"/>
  <c r="TC21" i="5"/>
  <c r="TD21" i="5"/>
  <c r="TE21" i="5"/>
  <c r="TF21" i="5"/>
  <c r="TG21" i="5"/>
  <c r="TH21" i="5"/>
  <c r="TI21" i="5"/>
  <c r="TJ21" i="5"/>
  <c r="TK21" i="5"/>
  <c r="TL21" i="5"/>
  <c r="TM21" i="5"/>
  <c r="TN21" i="5"/>
  <c r="TO21" i="5"/>
  <c r="TP21" i="5"/>
  <c r="TQ21" i="5"/>
  <c r="TR21" i="5"/>
  <c r="TS21" i="5"/>
  <c r="TT21" i="5"/>
  <c r="TU21" i="5"/>
  <c r="TV21" i="5"/>
  <c r="TW21" i="5"/>
  <c r="TX21" i="5"/>
  <c r="TY21" i="5"/>
  <c r="TZ21" i="5"/>
  <c r="UA21" i="5"/>
  <c r="UB21" i="5"/>
  <c r="UC21" i="5"/>
  <c r="UD21" i="5"/>
  <c r="UE21" i="5"/>
  <c r="UF21" i="5"/>
  <c r="UG21" i="5"/>
  <c r="UH21" i="5"/>
  <c r="UI21" i="5"/>
  <c r="UJ21" i="5"/>
  <c r="UK21" i="5"/>
  <c r="K22" i="5"/>
  <c r="L22" i="5"/>
  <c r="M22" i="5"/>
  <c r="N22" i="5"/>
  <c r="O22" i="5"/>
  <c r="P22" i="5"/>
  <c r="Q22" i="5"/>
  <c r="R22" i="5"/>
  <c r="S22" i="5"/>
  <c r="T22" i="5"/>
  <c r="U22" i="5"/>
  <c r="V22" i="5"/>
  <c r="W22" i="5"/>
  <c r="X22" i="5"/>
  <c r="Y22" i="5"/>
  <c r="Z22" i="5"/>
  <c r="AA22" i="5"/>
  <c r="AB22" i="5"/>
  <c r="AC22" i="5"/>
  <c r="AD22" i="5"/>
  <c r="AE22" i="5"/>
  <c r="AF22" i="5"/>
  <c r="AG22" i="5"/>
  <c r="AH22" i="5"/>
  <c r="AI22" i="5"/>
  <c r="AJ22" i="5"/>
  <c r="AK22" i="5"/>
  <c r="AL22" i="5"/>
  <c r="AM22" i="5"/>
  <c r="AN22" i="5"/>
  <c r="AO22" i="5"/>
  <c r="AP22" i="5"/>
  <c r="AQ22" i="5"/>
  <c r="AR22" i="5"/>
  <c r="AS22" i="5"/>
  <c r="AT22" i="5"/>
  <c r="AU22" i="5"/>
  <c r="AV22" i="5"/>
  <c r="AW22" i="5"/>
  <c r="AX22" i="5"/>
  <c r="AY22" i="5"/>
  <c r="AZ22" i="5"/>
  <c r="BA22" i="5"/>
  <c r="BB22" i="5"/>
  <c r="BC22" i="5"/>
  <c r="BD22" i="5"/>
  <c r="BE22" i="5"/>
  <c r="BF22" i="5"/>
  <c r="BG22" i="5"/>
  <c r="BH22" i="5"/>
  <c r="BI22" i="5"/>
  <c r="BJ22" i="5"/>
  <c r="BK22" i="5"/>
  <c r="BL22" i="5"/>
  <c r="BM22" i="5"/>
  <c r="BN22" i="5"/>
  <c r="BO22" i="5"/>
  <c r="BP22" i="5"/>
  <c r="BQ22" i="5"/>
  <c r="BR22" i="5"/>
  <c r="BS22" i="5"/>
  <c r="BT22" i="5"/>
  <c r="BU22" i="5"/>
  <c r="BV22" i="5"/>
  <c r="BW22" i="5"/>
  <c r="BX22" i="5"/>
  <c r="BY22" i="5"/>
  <c r="BZ22" i="5"/>
  <c r="CA22" i="5"/>
  <c r="CB22" i="5"/>
  <c r="CC22" i="5"/>
  <c r="CD22" i="5"/>
  <c r="CE22" i="5"/>
  <c r="CF22" i="5"/>
  <c r="CG22" i="5"/>
  <c r="CH22" i="5"/>
  <c r="CI22" i="5"/>
  <c r="CJ22" i="5"/>
  <c r="CK22" i="5"/>
  <c r="CL22" i="5"/>
  <c r="CM22" i="5"/>
  <c r="CN22" i="5"/>
  <c r="CO22" i="5"/>
  <c r="CP22" i="5"/>
  <c r="CQ22" i="5"/>
  <c r="CR22" i="5"/>
  <c r="CS22" i="5"/>
  <c r="CT22" i="5"/>
  <c r="CU22" i="5"/>
  <c r="CV22" i="5"/>
  <c r="CW22" i="5"/>
  <c r="CX22" i="5"/>
  <c r="CY22" i="5"/>
  <c r="CZ22" i="5"/>
  <c r="DA22" i="5"/>
  <c r="DB22" i="5"/>
  <c r="DC22" i="5"/>
  <c r="DD22" i="5"/>
  <c r="DE22" i="5"/>
  <c r="DF22" i="5"/>
  <c r="DG22" i="5"/>
  <c r="DH22" i="5"/>
  <c r="DI22" i="5"/>
  <c r="DJ22" i="5"/>
  <c r="DK22" i="5"/>
  <c r="DL22" i="5"/>
  <c r="DM22" i="5"/>
  <c r="DN22" i="5"/>
  <c r="DO22" i="5"/>
  <c r="DP22" i="5"/>
  <c r="DQ22" i="5"/>
  <c r="DR22" i="5"/>
  <c r="DS22" i="5"/>
  <c r="DT22" i="5"/>
  <c r="DU22" i="5"/>
  <c r="DV22" i="5"/>
  <c r="DW22" i="5"/>
  <c r="DX22" i="5"/>
  <c r="DY22" i="5"/>
  <c r="DZ22" i="5"/>
  <c r="EA22" i="5"/>
  <c r="EB22" i="5"/>
  <c r="EC22" i="5"/>
  <c r="ED22" i="5"/>
  <c r="EE22" i="5"/>
  <c r="EF22" i="5"/>
  <c r="EG22" i="5"/>
  <c r="EH22" i="5"/>
  <c r="EI22" i="5"/>
  <c r="EJ22" i="5"/>
  <c r="EK22" i="5"/>
  <c r="EL22" i="5"/>
  <c r="EM22" i="5"/>
  <c r="EN22" i="5"/>
  <c r="EO22" i="5"/>
  <c r="EP22" i="5"/>
  <c r="EQ22" i="5"/>
  <c r="ER22" i="5"/>
  <c r="ES22" i="5"/>
  <c r="ET22" i="5"/>
  <c r="EU22" i="5"/>
  <c r="EV22" i="5"/>
  <c r="EW22" i="5"/>
  <c r="EX22" i="5"/>
  <c r="EY22" i="5"/>
  <c r="EZ22" i="5"/>
  <c r="FA22" i="5"/>
  <c r="FB22" i="5"/>
  <c r="FC22" i="5"/>
  <c r="FD22" i="5"/>
  <c r="FE22" i="5"/>
  <c r="FF22" i="5"/>
  <c r="FG22" i="5"/>
  <c r="FH22" i="5"/>
  <c r="FI22" i="5"/>
  <c r="FJ22" i="5"/>
  <c r="FK22" i="5"/>
  <c r="FL22" i="5"/>
  <c r="FM22" i="5"/>
  <c r="FN22" i="5"/>
  <c r="FO22" i="5"/>
  <c r="FP22" i="5"/>
  <c r="FQ22" i="5"/>
  <c r="FR22" i="5"/>
  <c r="FS22" i="5"/>
  <c r="FT22" i="5"/>
  <c r="FU22" i="5"/>
  <c r="FV22" i="5"/>
  <c r="FW22" i="5"/>
  <c r="FX22" i="5"/>
  <c r="FY22" i="5"/>
  <c r="FZ22" i="5"/>
  <c r="GA22" i="5"/>
  <c r="GB22" i="5"/>
  <c r="GC22" i="5"/>
  <c r="GD22" i="5"/>
  <c r="GE22" i="5"/>
  <c r="GF22" i="5"/>
  <c r="GG22" i="5"/>
  <c r="GH22" i="5"/>
  <c r="GI22" i="5"/>
  <c r="GJ22" i="5"/>
  <c r="GK22" i="5"/>
  <c r="GL22" i="5"/>
  <c r="GM22" i="5"/>
  <c r="GN22" i="5"/>
  <c r="GO22" i="5"/>
  <c r="GP22" i="5"/>
  <c r="GQ22" i="5"/>
  <c r="GR22" i="5"/>
  <c r="GS22" i="5"/>
  <c r="GT22" i="5"/>
  <c r="GU22" i="5"/>
  <c r="GV22" i="5"/>
  <c r="GW22" i="5"/>
  <c r="GX22" i="5"/>
  <c r="GY22" i="5"/>
  <c r="GZ22" i="5"/>
  <c r="HA22" i="5"/>
  <c r="HB22" i="5"/>
  <c r="HC22" i="5"/>
  <c r="HD22" i="5"/>
  <c r="HE22" i="5"/>
  <c r="HF22" i="5"/>
  <c r="HG22" i="5"/>
  <c r="HH22" i="5"/>
  <c r="HI22" i="5"/>
  <c r="HJ22" i="5"/>
  <c r="HK22" i="5"/>
  <c r="HL22" i="5"/>
  <c r="HM22" i="5"/>
  <c r="HN22" i="5"/>
  <c r="HO22" i="5"/>
  <c r="HP22" i="5"/>
  <c r="HQ22" i="5"/>
  <c r="HR22" i="5"/>
  <c r="HS22" i="5"/>
  <c r="HT22" i="5"/>
  <c r="HU22" i="5"/>
  <c r="HV22" i="5"/>
  <c r="HW22" i="5"/>
  <c r="HX22" i="5"/>
  <c r="HY22" i="5"/>
  <c r="HZ22" i="5"/>
  <c r="IA22" i="5"/>
  <c r="IB22" i="5"/>
  <c r="IC22" i="5"/>
  <c r="ID22" i="5"/>
  <c r="IE22" i="5"/>
  <c r="IF22" i="5"/>
  <c r="IG22" i="5"/>
  <c r="IH22" i="5"/>
  <c r="II22" i="5"/>
  <c r="IJ22" i="5"/>
  <c r="IK22" i="5"/>
  <c r="IL22" i="5"/>
  <c r="IM22" i="5"/>
  <c r="IN22" i="5"/>
  <c r="IO22" i="5"/>
  <c r="IP22" i="5"/>
  <c r="IQ22" i="5"/>
  <c r="IR22" i="5"/>
  <c r="IS22" i="5"/>
  <c r="IT22" i="5"/>
  <c r="IU22" i="5"/>
  <c r="IV22" i="5"/>
  <c r="IW22" i="5"/>
  <c r="IX22" i="5"/>
  <c r="IY22" i="5"/>
  <c r="IZ22" i="5"/>
  <c r="JA22" i="5"/>
  <c r="JB22" i="5"/>
  <c r="JC22" i="5"/>
  <c r="JD22" i="5"/>
  <c r="JE22" i="5"/>
  <c r="JF22" i="5"/>
  <c r="JG22" i="5"/>
  <c r="JH22" i="5"/>
  <c r="JI22" i="5"/>
  <c r="JJ22" i="5"/>
  <c r="JK22" i="5"/>
  <c r="JL22" i="5"/>
  <c r="JM22" i="5"/>
  <c r="JN22" i="5"/>
  <c r="JO22" i="5"/>
  <c r="JP22" i="5"/>
  <c r="JQ22" i="5"/>
  <c r="JR22" i="5"/>
  <c r="JS22" i="5"/>
  <c r="JT22" i="5"/>
  <c r="JU22" i="5"/>
  <c r="JV22" i="5"/>
  <c r="JW22" i="5"/>
  <c r="JX22" i="5"/>
  <c r="JY22" i="5"/>
  <c r="JZ22" i="5"/>
  <c r="KA22" i="5"/>
  <c r="KB22" i="5"/>
  <c r="KC22" i="5"/>
  <c r="KD22" i="5"/>
  <c r="KE22" i="5"/>
  <c r="KF22" i="5"/>
  <c r="KG22" i="5"/>
  <c r="KH22" i="5"/>
  <c r="KI22" i="5"/>
  <c r="KJ22" i="5"/>
  <c r="KK22" i="5"/>
  <c r="KL22" i="5"/>
  <c r="KM22" i="5"/>
  <c r="KN22" i="5"/>
  <c r="KO22" i="5"/>
  <c r="KP22" i="5"/>
  <c r="KQ22" i="5"/>
  <c r="KR22" i="5"/>
  <c r="KS22" i="5"/>
  <c r="KT22" i="5"/>
  <c r="KU22" i="5"/>
  <c r="KV22" i="5"/>
  <c r="KW22" i="5"/>
  <c r="KX22" i="5"/>
  <c r="KY22" i="5"/>
  <c r="KZ22" i="5"/>
  <c r="LA22" i="5"/>
  <c r="LB22" i="5"/>
  <c r="LC22" i="5"/>
  <c r="LD22" i="5"/>
  <c r="LE22" i="5"/>
  <c r="LF22" i="5"/>
  <c r="LG22" i="5"/>
  <c r="LH22" i="5"/>
  <c r="LI22" i="5"/>
  <c r="LJ22" i="5"/>
  <c r="LK22" i="5"/>
  <c r="LL22" i="5"/>
  <c r="LM22" i="5"/>
  <c r="LN22" i="5"/>
  <c r="LO22" i="5"/>
  <c r="LP22" i="5"/>
  <c r="LQ22" i="5"/>
  <c r="LR22" i="5"/>
  <c r="LS22" i="5"/>
  <c r="LT22" i="5"/>
  <c r="LU22" i="5"/>
  <c r="LV22" i="5"/>
  <c r="LW22" i="5"/>
  <c r="LX22" i="5"/>
  <c r="LY22" i="5"/>
  <c r="LZ22" i="5"/>
  <c r="MA22" i="5"/>
  <c r="MB22" i="5"/>
  <c r="MC22" i="5"/>
  <c r="MD22" i="5"/>
  <c r="ME22" i="5"/>
  <c r="MF22" i="5"/>
  <c r="MG22" i="5"/>
  <c r="MH22" i="5"/>
  <c r="MI22" i="5"/>
  <c r="MJ22" i="5"/>
  <c r="MK22" i="5"/>
  <c r="ML22" i="5"/>
  <c r="MM22" i="5"/>
  <c r="MN22" i="5"/>
  <c r="MO22" i="5"/>
  <c r="MP22" i="5"/>
  <c r="MQ22" i="5"/>
  <c r="MR22" i="5"/>
  <c r="MS22" i="5"/>
  <c r="MT22" i="5"/>
  <c r="MU22" i="5"/>
  <c r="MV22" i="5"/>
  <c r="MW22" i="5"/>
  <c r="MX22" i="5"/>
  <c r="MY22" i="5"/>
  <c r="MZ22" i="5"/>
  <c r="NA22" i="5"/>
  <c r="NB22" i="5"/>
  <c r="NC22" i="5"/>
  <c r="ND22" i="5"/>
  <c r="NE22" i="5"/>
  <c r="NF22" i="5"/>
  <c r="NG22" i="5"/>
  <c r="NH22" i="5"/>
  <c r="NI22" i="5"/>
  <c r="NJ22" i="5"/>
  <c r="NK22" i="5"/>
  <c r="NL22" i="5"/>
  <c r="NM22" i="5"/>
  <c r="NN22" i="5"/>
  <c r="NO22" i="5"/>
  <c r="NP22" i="5"/>
  <c r="NQ22" i="5"/>
  <c r="NR22" i="5"/>
  <c r="NS22" i="5"/>
  <c r="NT22" i="5"/>
  <c r="NU22" i="5"/>
  <c r="NV22" i="5"/>
  <c r="NW22" i="5"/>
  <c r="NX22" i="5"/>
  <c r="NY22" i="5"/>
  <c r="NZ22" i="5"/>
  <c r="OA22" i="5"/>
  <c r="OB22" i="5"/>
  <c r="OC22" i="5"/>
  <c r="OD22" i="5"/>
  <c r="OE22" i="5"/>
  <c r="OF22" i="5"/>
  <c r="OG22" i="5"/>
  <c r="OH22" i="5"/>
  <c r="OI22" i="5"/>
  <c r="OJ22" i="5"/>
  <c r="OK22" i="5"/>
  <c r="OL22" i="5"/>
  <c r="OM22" i="5"/>
  <c r="ON22" i="5"/>
  <c r="OO22" i="5"/>
  <c r="OP22" i="5"/>
  <c r="OQ22" i="5"/>
  <c r="OR22" i="5"/>
  <c r="OS22" i="5"/>
  <c r="OT22" i="5"/>
  <c r="OU22" i="5"/>
  <c r="OV22" i="5"/>
  <c r="OW22" i="5"/>
  <c r="OX22" i="5"/>
  <c r="OY22" i="5"/>
  <c r="OZ22" i="5"/>
  <c r="PA22" i="5"/>
  <c r="PB22" i="5"/>
  <c r="PC22" i="5"/>
  <c r="PD22" i="5"/>
  <c r="PE22" i="5"/>
  <c r="PF22" i="5"/>
  <c r="PG22" i="5"/>
  <c r="PH22" i="5"/>
  <c r="PI22" i="5"/>
  <c r="PJ22" i="5"/>
  <c r="PK22" i="5"/>
  <c r="PL22" i="5"/>
  <c r="PM22" i="5"/>
  <c r="PN22" i="5"/>
  <c r="PO22" i="5"/>
  <c r="PP22" i="5"/>
  <c r="PQ22" i="5"/>
  <c r="PR22" i="5"/>
  <c r="PS22" i="5"/>
  <c r="PT22" i="5"/>
  <c r="PU22" i="5"/>
  <c r="PV22" i="5"/>
  <c r="PW22" i="5"/>
  <c r="PX22" i="5"/>
  <c r="PY22" i="5"/>
  <c r="PZ22" i="5"/>
  <c r="QA22" i="5"/>
  <c r="QB22" i="5"/>
  <c r="QC22" i="5"/>
  <c r="QD22" i="5"/>
  <c r="QE22" i="5"/>
  <c r="QF22" i="5"/>
  <c r="QG22" i="5"/>
  <c r="QH22" i="5"/>
  <c r="QI22" i="5"/>
  <c r="QJ22" i="5"/>
  <c r="QK22" i="5"/>
  <c r="QL22" i="5"/>
  <c r="QM22" i="5"/>
  <c r="QN22" i="5"/>
  <c r="QO22" i="5"/>
  <c r="QP22" i="5"/>
  <c r="QQ22" i="5"/>
  <c r="QR22" i="5"/>
  <c r="QS22" i="5"/>
  <c r="QT22" i="5"/>
  <c r="QU22" i="5"/>
  <c r="QV22" i="5"/>
  <c r="QW22" i="5"/>
  <c r="QX22" i="5"/>
  <c r="QY22" i="5"/>
  <c r="QZ22" i="5"/>
  <c r="RA22" i="5"/>
  <c r="RB22" i="5"/>
  <c r="RC22" i="5"/>
  <c r="RD22" i="5"/>
  <c r="RE22" i="5"/>
  <c r="RF22" i="5"/>
  <c r="RG22" i="5"/>
  <c r="RH22" i="5"/>
  <c r="RI22" i="5"/>
  <c r="RJ22" i="5"/>
  <c r="RK22" i="5"/>
  <c r="RL22" i="5"/>
  <c r="RM22" i="5"/>
  <c r="RN22" i="5"/>
  <c r="RO22" i="5"/>
  <c r="RP22" i="5"/>
  <c r="RQ22" i="5"/>
  <c r="RR22" i="5"/>
  <c r="RS22" i="5"/>
  <c r="RT22" i="5"/>
  <c r="RU22" i="5"/>
  <c r="RV22" i="5"/>
  <c r="RW22" i="5"/>
  <c r="RX22" i="5"/>
  <c r="RY22" i="5"/>
  <c r="RZ22" i="5"/>
  <c r="SA22" i="5"/>
  <c r="SB22" i="5"/>
  <c r="SC22" i="5"/>
  <c r="SD22" i="5"/>
  <c r="SE22" i="5"/>
  <c r="SF22" i="5"/>
  <c r="SG22" i="5"/>
  <c r="SH22" i="5"/>
  <c r="SI22" i="5"/>
  <c r="SJ22" i="5"/>
  <c r="SK22" i="5"/>
  <c r="SL22" i="5"/>
  <c r="SM22" i="5"/>
  <c r="SN22" i="5"/>
  <c r="SO22" i="5"/>
  <c r="SP22" i="5"/>
  <c r="SQ22" i="5"/>
  <c r="SR22" i="5"/>
  <c r="SS22" i="5"/>
  <c r="ST22" i="5"/>
  <c r="SU22" i="5"/>
  <c r="SV22" i="5"/>
  <c r="SW22" i="5"/>
  <c r="SX22" i="5"/>
  <c r="SY22" i="5"/>
  <c r="SZ22" i="5"/>
  <c r="TA22" i="5"/>
  <c r="TB22" i="5"/>
  <c r="TC22" i="5"/>
  <c r="TD22" i="5"/>
  <c r="TE22" i="5"/>
  <c r="TF22" i="5"/>
  <c r="TG22" i="5"/>
  <c r="TH22" i="5"/>
  <c r="TI22" i="5"/>
  <c r="TJ22" i="5"/>
  <c r="TK22" i="5"/>
  <c r="TL22" i="5"/>
  <c r="TM22" i="5"/>
  <c r="TN22" i="5"/>
  <c r="TO22" i="5"/>
  <c r="TP22" i="5"/>
  <c r="TQ22" i="5"/>
  <c r="TR22" i="5"/>
  <c r="TS22" i="5"/>
  <c r="TT22" i="5"/>
  <c r="TU22" i="5"/>
  <c r="TV22" i="5"/>
  <c r="TW22" i="5"/>
  <c r="TX22" i="5"/>
  <c r="TY22" i="5"/>
  <c r="TZ22" i="5"/>
  <c r="UA22" i="5"/>
  <c r="UB22" i="5"/>
  <c r="UC22" i="5"/>
  <c r="UD22" i="5"/>
  <c r="UE22" i="5"/>
  <c r="UF22" i="5"/>
  <c r="UG22" i="5"/>
  <c r="UH22" i="5"/>
  <c r="UI22" i="5"/>
  <c r="UJ22" i="5"/>
  <c r="UK22" i="5"/>
  <c r="K23" i="5"/>
  <c r="L23" i="5"/>
  <c r="M23" i="5"/>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BB23" i="5"/>
  <c r="BC23" i="5"/>
  <c r="BD23" i="5"/>
  <c r="BE23" i="5"/>
  <c r="BF23" i="5"/>
  <c r="BG23" i="5"/>
  <c r="BH23" i="5"/>
  <c r="BI23" i="5"/>
  <c r="BJ23" i="5"/>
  <c r="BK23" i="5"/>
  <c r="BL23" i="5"/>
  <c r="BM23" i="5"/>
  <c r="BN23" i="5"/>
  <c r="BO23" i="5"/>
  <c r="BP23" i="5"/>
  <c r="BQ23" i="5"/>
  <c r="BR23" i="5"/>
  <c r="BS23" i="5"/>
  <c r="BT23" i="5"/>
  <c r="BU23" i="5"/>
  <c r="BV23" i="5"/>
  <c r="BW23" i="5"/>
  <c r="BX23" i="5"/>
  <c r="BY23" i="5"/>
  <c r="BZ23" i="5"/>
  <c r="CA23" i="5"/>
  <c r="CB23" i="5"/>
  <c r="CC23" i="5"/>
  <c r="CD23" i="5"/>
  <c r="CE23" i="5"/>
  <c r="CF23" i="5"/>
  <c r="CG23" i="5"/>
  <c r="CH23" i="5"/>
  <c r="CI23" i="5"/>
  <c r="CJ23" i="5"/>
  <c r="CK23" i="5"/>
  <c r="CL23" i="5"/>
  <c r="CM23" i="5"/>
  <c r="CN23" i="5"/>
  <c r="CO23" i="5"/>
  <c r="CP23" i="5"/>
  <c r="CQ23" i="5"/>
  <c r="CR23" i="5"/>
  <c r="CS23" i="5"/>
  <c r="CT23" i="5"/>
  <c r="CU23" i="5"/>
  <c r="CV23" i="5"/>
  <c r="CW23" i="5"/>
  <c r="CX23" i="5"/>
  <c r="CY23" i="5"/>
  <c r="CZ23" i="5"/>
  <c r="DA23" i="5"/>
  <c r="DB23" i="5"/>
  <c r="DC23" i="5"/>
  <c r="DD23" i="5"/>
  <c r="DE23" i="5"/>
  <c r="DF23" i="5"/>
  <c r="DG23" i="5"/>
  <c r="DH23" i="5"/>
  <c r="DI23" i="5"/>
  <c r="DJ23" i="5"/>
  <c r="DK23" i="5"/>
  <c r="DL23" i="5"/>
  <c r="DM23" i="5"/>
  <c r="DN23" i="5"/>
  <c r="DO23" i="5"/>
  <c r="DP23" i="5"/>
  <c r="DQ23" i="5"/>
  <c r="DR23" i="5"/>
  <c r="DS23" i="5"/>
  <c r="DT23" i="5"/>
  <c r="DU23" i="5"/>
  <c r="DV23" i="5"/>
  <c r="DW23" i="5"/>
  <c r="DX23" i="5"/>
  <c r="DY23" i="5"/>
  <c r="DZ23" i="5"/>
  <c r="EA23" i="5"/>
  <c r="EB23" i="5"/>
  <c r="EC23" i="5"/>
  <c r="ED23" i="5"/>
  <c r="EE23" i="5"/>
  <c r="EF23" i="5"/>
  <c r="EG23" i="5"/>
  <c r="EH23" i="5"/>
  <c r="EI23" i="5"/>
  <c r="EJ23" i="5"/>
  <c r="EK23" i="5"/>
  <c r="EL23" i="5"/>
  <c r="EM23" i="5"/>
  <c r="EN23" i="5"/>
  <c r="EO23" i="5"/>
  <c r="EP23" i="5"/>
  <c r="EQ23" i="5"/>
  <c r="ER23" i="5"/>
  <c r="ES23" i="5"/>
  <c r="ET23" i="5"/>
  <c r="EU23" i="5"/>
  <c r="EV23" i="5"/>
  <c r="EW23" i="5"/>
  <c r="EX23" i="5"/>
  <c r="EY23" i="5"/>
  <c r="EZ23" i="5"/>
  <c r="FA23" i="5"/>
  <c r="FB23" i="5"/>
  <c r="FC23" i="5"/>
  <c r="FD23" i="5"/>
  <c r="FE23" i="5"/>
  <c r="FF23" i="5"/>
  <c r="FG23" i="5"/>
  <c r="FH23" i="5"/>
  <c r="FI23" i="5"/>
  <c r="FJ23" i="5"/>
  <c r="FK23" i="5"/>
  <c r="FL23" i="5"/>
  <c r="FM23" i="5"/>
  <c r="FN23" i="5"/>
  <c r="FO23" i="5"/>
  <c r="FP23" i="5"/>
  <c r="FQ23" i="5"/>
  <c r="FR23" i="5"/>
  <c r="FS23" i="5"/>
  <c r="FT23" i="5"/>
  <c r="FU23" i="5"/>
  <c r="FV23" i="5"/>
  <c r="FW23" i="5"/>
  <c r="FX23" i="5"/>
  <c r="FY23" i="5"/>
  <c r="FZ23" i="5"/>
  <c r="GA23" i="5"/>
  <c r="GB23" i="5"/>
  <c r="GC23" i="5"/>
  <c r="GD23" i="5"/>
  <c r="GE23" i="5"/>
  <c r="GF23" i="5"/>
  <c r="GG23" i="5"/>
  <c r="GH23" i="5"/>
  <c r="GI23" i="5"/>
  <c r="GJ23" i="5"/>
  <c r="GK23" i="5"/>
  <c r="GL23" i="5"/>
  <c r="GM23" i="5"/>
  <c r="GN23" i="5"/>
  <c r="GO23" i="5"/>
  <c r="GP23" i="5"/>
  <c r="GQ23" i="5"/>
  <c r="GR23" i="5"/>
  <c r="GS23" i="5"/>
  <c r="GT23" i="5"/>
  <c r="GU23" i="5"/>
  <c r="GV23" i="5"/>
  <c r="GW23" i="5"/>
  <c r="GX23" i="5"/>
  <c r="GY23" i="5"/>
  <c r="GZ23" i="5"/>
  <c r="HA23" i="5"/>
  <c r="HB23" i="5"/>
  <c r="HC23" i="5"/>
  <c r="HD23" i="5"/>
  <c r="HE23" i="5"/>
  <c r="HF23" i="5"/>
  <c r="HG23" i="5"/>
  <c r="HH23" i="5"/>
  <c r="HI23" i="5"/>
  <c r="HJ23" i="5"/>
  <c r="HK23" i="5"/>
  <c r="HL23" i="5"/>
  <c r="HM23" i="5"/>
  <c r="HN23" i="5"/>
  <c r="HO23" i="5"/>
  <c r="HP23" i="5"/>
  <c r="HQ23" i="5"/>
  <c r="HR23" i="5"/>
  <c r="HS23" i="5"/>
  <c r="HT23" i="5"/>
  <c r="HU23" i="5"/>
  <c r="HV23" i="5"/>
  <c r="HW23" i="5"/>
  <c r="HX23" i="5"/>
  <c r="HY23" i="5"/>
  <c r="HZ23" i="5"/>
  <c r="IA23" i="5"/>
  <c r="IB23" i="5"/>
  <c r="IC23" i="5"/>
  <c r="ID23" i="5"/>
  <c r="IE23" i="5"/>
  <c r="IF23" i="5"/>
  <c r="IG23" i="5"/>
  <c r="IH23" i="5"/>
  <c r="II23" i="5"/>
  <c r="IJ23" i="5"/>
  <c r="IK23" i="5"/>
  <c r="IL23" i="5"/>
  <c r="IM23" i="5"/>
  <c r="IN23" i="5"/>
  <c r="IO23" i="5"/>
  <c r="IP23" i="5"/>
  <c r="IQ23" i="5"/>
  <c r="IR23" i="5"/>
  <c r="IS23" i="5"/>
  <c r="IT23" i="5"/>
  <c r="IU23" i="5"/>
  <c r="IV23" i="5"/>
  <c r="IW23" i="5"/>
  <c r="IX23" i="5"/>
  <c r="IY23" i="5"/>
  <c r="IZ23" i="5"/>
  <c r="JA23" i="5"/>
  <c r="JB23" i="5"/>
  <c r="JC23" i="5"/>
  <c r="JD23" i="5"/>
  <c r="JE23" i="5"/>
  <c r="JF23" i="5"/>
  <c r="JG23" i="5"/>
  <c r="JH23" i="5"/>
  <c r="JI23" i="5"/>
  <c r="JJ23" i="5"/>
  <c r="JK23" i="5"/>
  <c r="JL23" i="5"/>
  <c r="JM23" i="5"/>
  <c r="JN23" i="5"/>
  <c r="JO23" i="5"/>
  <c r="JP23" i="5"/>
  <c r="JQ23" i="5"/>
  <c r="JR23" i="5"/>
  <c r="JS23" i="5"/>
  <c r="JT23" i="5"/>
  <c r="JU23" i="5"/>
  <c r="JV23" i="5"/>
  <c r="JW23" i="5"/>
  <c r="JX23" i="5"/>
  <c r="JY23" i="5"/>
  <c r="JZ23" i="5"/>
  <c r="KA23" i="5"/>
  <c r="KB23" i="5"/>
  <c r="KC23" i="5"/>
  <c r="KD23" i="5"/>
  <c r="KE23" i="5"/>
  <c r="KF23" i="5"/>
  <c r="KG23" i="5"/>
  <c r="KH23" i="5"/>
  <c r="KI23" i="5"/>
  <c r="KJ23" i="5"/>
  <c r="KK23" i="5"/>
  <c r="KL23" i="5"/>
  <c r="KM23" i="5"/>
  <c r="KN23" i="5"/>
  <c r="KO23" i="5"/>
  <c r="KP23" i="5"/>
  <c r="KQ23" i="5"/>
  <c r="KR23" i="5"/>
  <c r="KS23" i="5"/>
  <c r="KT23" i="5"/>
  <c r="KU23" i="5"/>
  <c r="KV23" i="5"/>
  <c r="KW23" i="5"/>
  <c r="KX23" i="5"/>
  <c r="KY23" i="5"/>
  <c r="KZ23" i="5"/>
  <c r="LA23" i="5"/>
  <c r="LB23" i="5"/>
  <c r="LC23" i="5"/>
  <c r="LD23" i="5"/>
  <c r="LE23" i="5"/>
  <c r="LF23" i="5"/>
  <c r="LG23" i="5"/>
  <c r="LH23" i="5"/>
  <c r="LI23" i="5"/>
  <c r="LJ23" i="5"/>
  <c r="LK23" i="5"/>
  <c r="LL23" i="5"/>
  <c r="LM23" i="5"/>
  <c r="LN23" i="5"/>
  <c r="LO23" i="5"/>
  <c r="LP23" i="5"/>
  <c r="LQ23" i="5"/>
  <c r="LR23" i="5"/>
  <c r="LS23" i="5"/>
  <c r="LT23" i="5"/>
  <c r="LU23" i="5"/>
  <c r="LV23" i="5"/>
  <c r="LW23" i="5"/>
  <c r="LX23" i="5"/>
  <c r="LY23" i="5"/>
  <c r="LZ23" i="5"/>
  <c r="MA23" i="5"/>
  <c r="MB23" i="5"/>
  <c r="MC23" i="5"/>
  <c r="MD23" i="5"/>
  <c r="ME23" i="5"/>
  <c r="MF23" i="5"/>
  <c r="MG23" i="5"/>
  <c r="MH23" i="5"/>
  <c r="MI23" i="5"/>
  <c r="MJ23" i="5"/>
  <c r="MK23" i="5"/>
  <c r="ML23" i="5"/>
  <c r="MM23" i="5"/>
  <c r="MN23" i="5"/>
  <c r="MO23" i="5"/>
  <c r="MP23" i="5"/>
  <c r="MQ23" i="5"/>
  <c r="MR23" i="5"/>
  <c r="MS23" i="5"/>
  <c r="MT23" i="5"/>
  <c r="MU23" i="5"/>
  <c r="MV23" i="5"/>
  <c r="MW23" i="5"/>
  <c r="MX23" i="5"/>
  <c r="MY23" i="5"/>
  <c r="MZ23" i="5"/>
  <c r="NA23" i="5"/>
  <c r="NB23" i="5"/>
  <c r="NC23" i="5"/>
  <c r="ND23" i="5"/>
  <c r="NE23" i="5"/>
  <c r="NF23" i="5"/>
  <c r="NG23" i="5"/>
  <c r="NH23" i="5"/>
  <c r="NI23" i="5"/>
  <c r="NJ23" i="5"/>
  <c r="NK23" i="5"/>
  <c r="NL23" i="5"/>
  <c r="NM23" i="5"/>
  <c r="NN23" i="5"/>
  <c r="NO23" i="5"/>
  <c r="NP23" i="5"/>
  <c r="NQ23" i="5"/>
  <c r="NR23" i="5"/>
  <c r="NS23" i="5"/>
  <c r="NT23" i="5"/>
  <c r="NU23" i="5"/>
  <c r="NV23" i="5"/>
  <c r="NW23" i="5"/>
  <c r="NX23" i="5"/>
  <c r="NY23" i="5"/>
  <c r="NZ23" i="5"/>
  <c r="OA23" i="5"/>
  <c r="OB23" i="5"/>
  <c r="OC23" i="5"/>
  <c r="OD23" i="5"/>
  <c r="OE23" i="5"/>
  <c r="OF23" i="5"/>
  <c r="OG23" i="5"/>
  <c r="OH23" i="5"/>
  <c r="OI23" i="5"/>
  <c r="OJ23" i="5"/>
  <c r="OK23" i="5"/>
  <c r="OL23" i="5"/>
  <c r="OM23" i="5"/>
  <c r="ON23" i="5"/>
  <c r="OO23" i="5"/>
  <c r="OP23" i="5"/>
  <c r="OQ23" i="5"/>
  <c r="OR23" i="5"/>
  <c r="OS23" i="5"/>
  <c r="OT23" i="5"/>
  <c r="OU23" i="5"/>
  <c r="OV23" i="5"/>
  <c r="OW23" i="5"/>
  <c r="OX23" i="5"/>
  <c r="OY23" i="5"/>
  <c r="OZ23" i="5"/>
  <c r="PA23" i="5"/>
  <c r="PB23" i="5"/>
  <c r="PC23" i="5"/>
  <c r="PD23" i="5"/>
  <c r="PE23" i="5"/>
  <c r="PF23" i="5"/>
  <c r="PG23" i="5"/>
  <c r="PH23" i="5"/>
  <c r="PI23" i="5"/>
  <c r="PJ23" i="5"/>
  <c r="PK23" i="5"/>
  <c r="PL23" i="5"/>
  <c r="PM23" i="5"/>
  <c r="PN23" i="5"/>
  <c r="PO23" i="5"/>
  <c r="PP23" i="5"/>
  <c r="PQ23" i="5"/>
  <c r="PR23" i="5"/>
  <c r="PS23" i="5"/>
  <c r="PT23" i="5"/>
  <c r="PU23" i="5"/>
  <c r="PV23" i="5"/>
  <c r="PW23" i="5"/>
  <c r="PX23" i="5"/>
  <c r="PY23" i="5"/>
  <c r="PZ23" i="5"/>
  <c r="QA23" i="5"/>
  <c r="QB23" i="5"/>
  <c r="QC23" i="5"/>
  <c r="QD23" i="5"/>
  <c r="QE23" i="5"/>
  <c r="QF23" i="5"/>
  <c r="QG23" i="5"/>
  <c r="QH23" i="5"/>
  <c r="QI23" i="5"/>
  <c r="QJ23" i="5"/>
  <c r="QK23" i="5"/>
  <c r="QL23" i="5"/>
  <c r="QM23" i="5"/>
  <c r="QN23" i="5"/>
  <c r="QO23" i="5"/>
  <c r="QP23" i="5"/>
  <c r="QQ23" i="5"/>
  <c r="QR23" i="5"/>
  <c r="QS23" i="5"/>
  <c r="QT23" i="5"/>
  <c r="QU23" i="5"/>
  <c r="QV23" i="5"/>
  <c r="QW23" i="5"/>
  <c r="QX23" i="5"/>
  <c r="QY23" i="5"/>
  <c r="QZ23" i="5"/>
  <c r="RA23" i="5"/>
  <c r="RB23" i="5"/>
  <c r="RC23" i="5"/>
  <c r="RD23" i="5"/>
  <c r="RE23" i="5"/>
  <c r="RF23" i="5"/>
  <c r="RG23" i="5"/>
  <c r="RH23" i="5"/>
  <c r="RI23" i="5"/>
  <c r="RJ23" i="5"/>
  <c r="RK23" i="5"/>
  <c r="RL23" i="5"/>
  <c r="RM23" i="5"/>
  <c r="RN23" i="5"/>
  <c r="RO23" i="5"/>
  <c r="RP23" i="5"/>
  <c r="RQ23" i="5"/>
  <c r="RR23" i="5"/>
  <c r="RS23" i="5"/>
  <c r="RT23" i="5"/>
  <c r="RU23" i="5"/>
  <c r="RV23" i="5"/>
  <c r="RW23" i="5"/>
  <c r="RX23" i="5"/>
  <c r="RY23" i="5"/>
  <c r="RZ23" i="5"/>
  <c r="SA23" i="5"/>
  <c r="SB23" i="5"/>
  <c r="SC23" i="5"/>
  <c r="SD23" i="5"/>
  <c r="SE23" i="5"/>
  <c r="SF23" i="5"/>
  <c r="SG23" i="5"/>
  <c r="SH23" i="5"/>
  <c r="SI23" i="5"/>
  <c r="SJ23" i="5"/>
  <c r="SK23" i="5"/>
  <c r="SL23" i="5"/>
  <c r="SM23" i="5"/>
  <c r="SN23" i="5"/>
  <c r="SO23" i="5"/>
  <c r="SP23" i="5"/>
  <c r="SQ23" i="5"/>
  <c r="SR23" i="5"/>
  <c r="SS23" i="5"/>
  <c r="ST23" i="5"/>
  <c r="SU23" i="5"/>
  <c r="SV23" i="5"/>
  <c r="SW23" i="5"/>
  <c r="SX23" i="5"/>
  <c r="SY23" i="5"/>
  <c r="SZ23" i="5"/>
  <c r="TA23" i="5"/>
  <c r="TB23" i="5"/>
  <c r="TC23" i="5"/>
  <c r="TD23" i="5"/>
  <c r="TE23" i="5"/>
  <c r="TF23" i="5"/>
  <c r="TG23" i="5"/>
  <c r="TH23" i="5"/>
  <c r="TI23" i="5"/>
  <c r="TJ23" i="5"/>
  <c r="TK23" i="5"/>
  <c r="TL23" i="5"/>
  <c r="TM23" i="5"/>
  <c r="TN23" i="5"/>
  <c r="TO23" i="5"/>
  <c r="TP23" i="5"/>
  <c r="TQ23" i="5"/>
  <c r="TR23" i="5"/>
  <c r="TS23" i="5"/>
  <c r="TT23" i="5"/>
  <c r="TU23" i="5"/>
  <c r="TV23" i="5"/>
  <c r="TW23" i="5"/>
  <c r="TX23" i="5"/>
  <c r="TY23" i="5"/>
  <c r="TZ23" i="5"/>
  <c r="UA23" i="5"/>
  <c r="UB23" i="5"/>
  <c r="UC23" i="5"/>
  <c r="UD23" i="5"/>
  <c r="UE23" i="5"/>
  <c r="UF23" i="5"/>
  <c r="UG23" i="5"/>
  <c r="UH23" i="5"/>
  <c r="UI23" i="5"/>
  <c r="UJ23" i="5"/>
  <c r="UK23" i="5"/>
  <c r="K24" i="5"/>
  <c r="L24" i="5"/>
  <c r="M24" i="5"/>
  <c r="N24" i="5"/>
  <c r="O24" i="5"/>
  <c r="P24" i="5"/>
  <c r="Q24" i="5"/>
  <c r="R24" i="5"/>
  <c r="S24" i="5"/>
  <c r="T24" i="5"/>
  <c r="U24" i="5"/>
  <c r="V24" i="5"/>
  <c r="W24" i="5"/>
  <c r="X24" i="5"/>
  <c r="Y24" i="5"/>
  <c r="Z24" i="5"/>
  <c r="AA24" i="5"/>
  <c r="AB24" i="5"/>
  <c r="AC24" i="5"/>
  <c r="AD24" i="5"/>
  <c r="AE24" i="5"/>
  <c r="AF24" i="5"/>
  <c r="AG24" i="5"/>
  <c r="AH24" i="5"/>
  <c r="AI24" i="5"/>
  <c r="AJ24" i="5"/>
  <c r="AK24" i="5"/>
  <c r="AL24" i="5"/>
  <c r="AM24" i="5"/>
  <c r="AN24" i="5"/>
  <c r="AO24" i="5"/>
  <c r="AP24" i="5"/>
  <c r="AQ24" i="5"/>
  <c r="AR24" i="5"/>
  <c r="AS24" i="5"/>
  <c r="AT24" i="5"/>
  <c r="AU24" i="5"/>
  <c r="AV24" i="5"/>
  <c r="AW24" i="5"/>
  <c r="AX24" i="5"/>
  <c r="AY24" i="5"/>
  <c r="AZ24" i="5"/>
  <c r="BA24" i="5"/>
  <c r="BB24" i="5"/>
  <c r="BC24" i="5"/>
  <c r="BD24" i="5"/>
  <c r="BE24" i="5"/>
  <c r="BF24" i="5"/>
  <c r="BG24" i="5"/>
  <c r="BH24" i="5"/>
  <c r="BI24" i="5"/>
  <c r="BJ24" i="5"/>
  <c r="BK24" i="5"/>
  <c r="BL24" i="5"/>
  <c r="BM24" i="5"/>
  <c r="BN24" i="5"/>
  <c r="BO24" i="5"/>
  <c r="BP24" i="5"/>
  <c r="BQ24" i="5"/>
  <c r="BR24" i="5"/>
  <c r="BS24" i="5"/>
  <c r="BT24" i="5"/>
  <c r="BU24" i="5"/>
  <c r="BV24" i="5"/>
  <c r="BW24" i="5"/>
  <c r="BX24" i="5"/>
  <c r="BY24" i="5"/>
  <c r="BZ24" i="5"/>
  <c r="CA24" i="5"/>
  <c r="CB24" i="5"/>
  <c r="CC24" i="5"/>
  <c r="CD24" i="5"/>
  <c r="CE24" i="5"/>
  <c r="CF24" i="5"/>
  <c r="CG24" i="5"/>
  <c r="CH24" i="5"/>
  <c r="CI24" i="5"/>
  <c r="CJ24" i="5"/>
  <c r="CK24" i="5"/>
  <c r="CL24" i="5"/>
  <c r="CM24" i="5"/>
  <c r="CN24" i="5"/>
  <c r="CO24" i="5"/>
  <c r="CP24" i="5"/>
  <c r="CQ24" i="5"/>
  <c r="CR24" i="5"/>
  <c r="CS24" i="5"/>
  <c r="CT24" i="5"/>
  <c r="CU24" i="5"/>
  <c r="CV24" i="5"/>
  <c r="CW24" i="5"/>
  <c r="CX24" i="5"/>
  <c r="CY24" i="5"/>
  <c r="CZ24" i="5"/>
  <c r="DA24" i="5"/>
  <c r="DB24" i="5"/>
  <c r="DC24" i="5"/>
  <c r="DD24" i="5"/>
  <c r="DE24" i="5"/>
  <c r="DF24" i="5"/>
  <c r="DG24" i="5"/>
  <c r="DH24" i="5"/>
  <c r="DI24" i="5"/>
  <c r="DJ24" i="5"/>
  <c r="DK24" i="5"/>
  <c r="DL24" i="5"/>
  <c r="DM24" i="5"/>
  <c r="DN24" i="5"/>
  <c r="DO24" i="5"/>
  <c r="DP24" i="5"/>
  <c r="DQ24" i="5"/>
  <c r="DR24" i="5"/>
  <c r="DS24" i="5"/>
  <c r="DT24" i="5"/>
  <c r="DU24" i="5"/>
  <c r="DV24" i="5"/>
  <c r="DW24" i="5"/>
  <c r="DX24" i="5"/>
  <c r="DY24" i="5"/>
  <c r="DZ24" i="5"/>
  <c r="EA24" i="5"/>
  <c r="EB24" i="5"/>
  <c r="EC24" i="5"/>
  <c r="ED24" i="5"/>
  <c r="EE24" i="5"/>
  <c r="EF24" i="5"/>
  <c r="EG24" i="5"/>
  <c r="EH24" i="5"/>
  <c r="EI24" i="5"/>
  <c r="EJ24" i="5"/>
  <c r="EK24" i="5"/>
  <c r="EL24" i="5"/>
  <c r="EM24" i="5"/>
  <c r="EN24" i="5"/>
  <c r="EO24" i="5"/>
  <c r="EP24" i="5"/>
  <c r="EQ24" i="5"/>
  <c r="ER24" i="5"/>
  <c r="ES24" i="5"/>
  <c r="ET24" i="5"/>
  <c r="EU24" i="5"/>
  <c r="EV24" i="5"/>
  <c r="EW24" i="5"/>
  <c r="EX24" i="5"/>
  <c r="EY24" i="5"/>
  <c r="EZ24" i="5"/>
  <c r="FA24" i="5"/>
  <c r="FB24" i="5"/>
  <c r="FC24" i="5"/>
  <c r="FD24" i="5"/>
  <c r="FE24" i="5"/>
  <c r="FF24" i="5"/>
  <c r="FG24" i="5"/>
  <c r="FH24" i="5"/>
  <c r="FI24" i="5"/>
  <c r="FJ24" i="5"/>
  <c r="FK24" i="5"/>
  <c r="FL24" i="5"/>
  <c r="FM24" i="5"/>
  <c r="FN24" i="5"/>
  <c r="FO24" i="5"/>
  <c r="FP24" i="5"/>
  <c r="FQ24" i="5"/>
  <c r="FR24" i="5"/>
  <c r="FS24" i="5"/>
  <c r="FT24" i="5"/>
  <c r="FU24" i="5"/>
  <c r="FV24" i="5"/>
  <c r="FW24" i="5"/>
  <c r="FX24" i="5"/>
  <c r="FY24" i="5"/>
  <c r="FZ24" i="5"/>
  <c r="GA24" i="5"/>
  <c r="GB24" i="5"/>
  <c r="GC24" i="5"/>
  <c r="GD24" i="5"/>
  <c r="GE24" i="5"/>
  <c r="GF24" i="5"/>
  <c r="GG24" i="5"/>
  <c r="GH24" i="5"/>
  <c r="GI24" i="5"/>
  <c r="GJ24" i="5"/>
  <c r="GK24" i="5"/>
  <c r="GL24" i="5"/>
  <c r="GM24" i="5"/>
  <c r="GN24" i="5"/>
  <c r="GO24" i="5"/>
  <c r="GP24" i="5"/>
  <c r="GQ24" i="5"/>
  <c r="GR24" i="5"/>
  <c r="GS24" i="5"/>
  <c r="GT24" i="5"/>
  <c r="GU24" i="5"/>
  <c r="GV24" i="5"/>
  <c r="GW24" i="5"/>
  <c r="GX24" i="5"/>
  <c r="GY24" i="5"/>
  <c r="GZ24" i="5"/>
  <c r="HA24" i="5"/>
  <c r="HB24" i="5"/>
  <c r="HC24" i="5"/>
  <c r="HD24" i="5"/>
  <c r="HE24" i="5"/>
  <c r="HF24" i="5"/>
  <c r="HG24" i="5"/>
  <c r="HH24" i="5"/>
  <c r="HI24" i="5"/>
  <c r="HJ24" i="5"/>
  <c r="HK24" i="5"/>
  <c r="HL24" i="5"/>
  <c r="HM24" i="5"/>
  <c r="HN24" i="5"/>
  <c r="HO24" i="5"/>
  <c r="HP24" i="5"/>
  <c r="HQ24" i="5"/>
  <c r="HR24" i="5"/>
  <c r="HS24" i="5"/>
  <c r="HT24" i="5"/>
  <c r="HU24" i="5"/>
  <c r="HV24" i="5"/>
  <c r="HW24" i="5"/>
  <c r="HX24" i="5"/>
  <c r="HY24" i="5"/>
  <c r="HZ24" i="5"/>
  <c r="IA24" i="5"/>
  <c r="IB24" i="5"/>
  <c r="IC24" i="5"/>
  <c r="ID24" i="5"/>
  <c r="IE24" i="5"/>
  <c r="IF24" i="5"/>
  <c r="IG24" i="5"/>
  <c r="IH24" i="5"/>
  <c r="II24" i="5"/>
  <c r="IJ24" i="5"/>
  <c r="IK24" i="5"/>
  <c r="IL24" i="5"/>
  <c r="IM24" i="5"/>
  <c r="IN24" i="5"/>
  <c r="IO24" i="5"/>
  <c r="IP24" i="5"/>
  <c r="IQ24" i="5"/>
  <c r="IR24" i="5"/>
  <c r="IS24" i="5"/>
  <c r="IT24" i="5"/>
  <c r="IU24" i="5"/>
  <c r="IV24" i="5"/>
  <c r="IW24" i="5"/>
  <c r="IX24" i="5"/>
  <c r="IY24" i="5"/>
  <c r="IZ24" i="5"/>
  <c r="JA24" i="5"/>
  <c r="JB24" i="5"/>
  <c r="JC24" i="5"/>
  <c r="JD24" i="5"/>
  <c r="JE24" i="5"/>
  <c r="JF24" i="5"/>
  <c r="JG24" i="5"/>
  <c r="JH24" i="5"/>
  <c r="JI24" i="5"/>
  <c r="JJ24" i="5"/>
  <c r="JK24" i="5"/>
  <c r="JL24" i="5"/>
  <c r="JM24" i="5"/>
  <c r="JN24" i="5"/>
  <c r="JO24" i="5"/>
  <c r="JP24" i="5"/>
  <c r="JQ24" i="5"/>
  <c r="JR24" i="5"/>
  <c r="JS24" i="5"/>
  <c r="JT24" i="5"/>
  <c r="JU24" i="5"/>
  <c r="JV24" i="5"/>
  <c r="JW24" i="5"/>
  <c r="JX24" i="5"/>
  <c r="JY24" i="5"/>
  <c r="JZ24" i="5"/>
  <c r="KA24" i="5"/>
  <c r="KB24" i="5"/>
  <c r="KC24" i="5"/>
  <c r="KD24" i="5"/>
  <c r="KE24" i="5"/>
  <c r="KF24" i="5"/>
  <c r="KG24" i="5"/>
  <c r="KH24" i="5"/>
  <c r="KI24" i="5"/>
  <c r="KJ24" i="5"/>
  <c r="KK24" i="5"/>
  <c r="KL24" i="5"/>
  <c r="KM24" i="5"/>
  <c r="KN24" i="5"/>
  <c r="KO24" i="5"/>
  <c r="KP24" i="5"/>
  <c r="KQ24" i="5"/>
  <c r="KR24" i="5"/>
  <c r="KS24" i="5"/>
  <c r="KT24" i="5"/>
  <c r="KU24" i="5"/>
  <c r="KV24" i="5"/>
  <c r="KW24" i="5"/>
  <c r="KX24" i="5"/>
  <c r="KY24" i="5"/>
  <c r="KZ24" i="5"/>
  <c r="LA24" i="5"/>
  <c r="LB24" i="5"/>
  <c r="LC24" i="5"/>
  <c r="LD24" i="5"/>
  <c r="LE24" i="5"/>
  <c r="LF24" i="5"/>
  <c r="LG24" i="5"/>
  <c r="LH24" i="5"/>
  <c r="LI24" i="5"/>
  <c r="LJ24" i="5"/>
  <c r="LK24" i="5"/>
  <c r="LL24" i="5"/>
  <c r="LM24" i="5"/>
  <c r="LN24" i="5"/>
  <c r="LO24" i="5"/>
  <c r="LP24" i="5"/>
  <c r="LQ24" i="5"/>
  <c r="LR24" i="5"/>
  <c r="LS24" i="5"/>
  <c r="LT24" i="5"/>
  <c r="LU24" i="5"/>
  <c r="LV24" i="5"/>
  <c r="LW24" i="5"/>
  <c r="LX24" i="5"/>
  <c r="LY24" i="5"/>
  <c r="LZ24" i="5"/>
  <c r="MA24" i="5"/>
  <c r="MB24" i="5"/>
  <c r="MC24" i="5"/>
  <c r="MD24" i="5"/>
  <c r="ME24" i="5"/>
  <c r="MF24" i="5"/>
  <c r="MG24" i="5"/>
  <c r="MH24" i="5"/>
  <c r="MI24" i="5"/>
  <c r="MJ24" i="5"/>
  <c r="MK24" i="5"/>
  <c r="ML24" i="5"/>
  <c r="MM24" i="5"/>
  <c r="MN24" i="5"/>
  <c r="MO24" i="5"/>
  <c r="MP24" i="5"/>
  <c r="MQ24" i="5"/>
  <c r="MR24" i="5"/>
  <c r="MS24" i="5"/>
  <c r="MT24" i="5"/>
  <c r="MU24" i="5"/>
  <c r="MV24" i="5"/>
  <c r="MW24" i="5"/>
  <c r="MX24" i="5"/>
  <c r="MY24" i="5"/>
  <c r="MZ24" i="5"/>
  <c r="NA24" i="5"/>
  <c r="NB24" i="5"/>
  <c r="NC24" i="5"/>
  <c r="ND24" i="5"/>
  <c r="NE24" i="5"/>
  <c r="NF24" i="5"/>
  <c r="NG24" i="5"/>
  <c r="NH24" i="5"/>
  <c r="NI24" i="5"/>
  <c r="NJ24" i="5"/>
  <c r="NK24" i="5"/>
  <c r="NL24" i="5"/>
  <c r="NM24" i="5"/>
  <c r="NN24" i="5"/>
  <c r="NO24" i="5"/>
  <c r="NP24" i="5"/>
  <c r="NQ24" i="5"/>
  <c r="NR24" i="5"/>
  <c r="NS24" i="5"/>
  <c r="NT24" i="5"/>
  <c r="NU24" i="5"/>
  <c r="NV24" i="5"/>
  <c r="NW24" i="5"/>
  <c r="NX24" i="5"/>
  <c r="NY24" i="5"/>
  <c r="NZ24" i="5"/>
  <c r="OA24" i="5"/>
  <c r="OB24" i="5"/>
  <c r="OC24" i="5"/>
  <c r="OD24" i="5"/>
  <c r="OE24" i="5"/>
  <c r="OF24" i="5"/>
  <c r="OG24" i="5"/>
  <c r="OH24" i="5"/>
  <c r="OI24" i="5"/>
  <c r="OJ24" i="5"/>
  <c r="OK24" i="5"/>
  <c r="OL24" i="5"/>
  <c r="OM24" i="5"/>
  <c r="ON24" i="5"/>
  <c r="OO24" i="5"/>
  <c r="OP24" i="5"/>
  <c r="OQ24" i="5"/>
  <c r="OR24" i="5"/>
  <c r="OS24" i="5"/>
  <c r="OT24" i="5"/>
  <c r="OU24" i="5"/>
  <c r="OV24" i="5"/>
  <c r="OW24" i="5"/>
  <c r="OX24" i="5"/>
  <c r="OY24" i="5"/>
  <c r="OZ24" i="5"/>
  <c r="PA24" i="5"/>
  <c r="PB24" i="5"/>
  <c r="PC24" i="5"/>
  <c r="PD24" i="5"/>
  <c r="PE24" i="5"/>
  <c r="PF24" i="5"/>
  <c r="PG24" i="5"/>
  <c r="PH24" i="5"/>
  <c r="PI24" i="5"/>
  <c r="PJ24" i="5"/>
  <c r="PK24" i="5"/>
  <c r="PL24" i="5"/>
  <c r="PM24" i="5"/>
  <c r="PN24" i="5"/>
  <c r="PO24" i="5"/>
  <c r="PP24" i="5"/>
  <c r="PQ24" i="5"/>
  <c r="PR24" i="5"/>
  <c r="PS24" i="5"/>
  <c r="PT24" i="5"/>
  <c r="PU24" i="5"/>
  <c r="PV24" i="5"/>
  <c r="PW24" i="5"/>
  <c r="PX24" i="5"/>
  <c r="PY24" i="5"/>
  <c r="PZ24" i="5"/>
  <c r="QA24" i="5"/>
  <c r="QB24" i="5"/>
  <c r="QC24" i="5"/>
  <c r="QD24" i="5"/>
  <c r="QE24" i="5"/>
  <c r="QF24" i="5"/>
  <c r="QG24" i="5"/>
  <c r="QH24" i="5"/>
  <c r="QI24" i="5"/>
  <c r="QJ24" i="5"/>
  <c r="QK24" i="5"/>
  <c r="QL24" i="5"/>
  <c r="QM24" i="5"/>
  <c r="QN24" i="5"/>
  <c r="QO24" i="5"/>
  <c r="QP24" i="5"/>
  <c r="QQ24" i="5"/>
  <c r="QR24" i="5"/>
  <c r="QS24" i="5"/>
  <c r="QT24" i="5"/>
  <c r="QU24" i="5"/>
  <c r="QV24" i="5"/>
  <c r="QW24" i="5"/>
  <c r="QX24" i="5"/>
  <c r="QY24" i="5"/>
  <c r="QZ24" i="5"/>
  <c r="RA24" i="5"/>
  <c r="RB24" i="5"/>
  <c r="RC24" i="5"/>
  <c r="RD24" i="5"/>
  <c r="RE24" i="5"/>
  <c r="RF24" i="5"/>
  <c r="RG24" i="5"/>
  <c r="RH24" i="5"/>
  <c r="RI24" i="5"/>
  <c r="RJ24" i="5"/>
  <c r="RK24" i="5"/>
  <c r="RL24" i="5"/>
  <c r="RM24" i="5"/>
  <c r="RN24" i="5"/>
  <c r="RO24" i="5"/>
  <c r="RP24" i="5"/>
  <c r="RQ24" i="5"/>
  <c r="RR24" i="5"/>
  <c r="RS24" i="5"/>
  <c r="RT24" i="5"/>
  <c r="RU24" i="5"/>
  <c r="RV24" i="5"/>
  <c r="RW24" i="5"/>
  <c r="RX24" i="5"/>
  <c r="RY24" i="5"/>
  <c r="RZ24" i="5"/>
  <c r="SA24" i="5"/>
  <c r="SB24" i="5"/>
  <c r="SC24" i="5"/>
  <c r="SD24" i="5"/>
  <c r="SE24" i="5"/>
  <c r="SF24" i="5"/>
  <c r="SG24" i="5"/>
  <c r="SH24" i="5"/>
  <c r="SI24" i="5"/>
  <c r="SJ24" i="5"/>
  <c r="SK24" i="5"/>
  <c r="SL24" i="5"/>
  <c r="SM24" i="5"/>
  <c r="SN24" i="5"/>
  <c r="SO24" i="5"/>
  <c r="SP24" i="5"/>
  <c r="SQ24" i="5"/>
  <c r="SR24" i="5"/>
  <c r="SS24" i="5"/>
  <c r="ST24" i="5"/>
  <c r="SU24" i="5"/>
  <c r="SV24" i="5"/>
  <c r="SW24" i="5"/>
  <c r="SX24" i="5"/>
  <c r="SY24" i="5"/>
  <c r="SZ24" i="5"/>
  <c r="TA24" i="5"/>
  <c r="TB24" i="5"/>
  <c r="TC24" i="5"/>
  <c r="TD24" i="5"/>
  <c r="TE24" i="5"/>
  <c r="TF24" i="5"/>
  <c r="TG24" i="5"/>
  <c r="TH24" i="5"/>
  <c r="TI24" i="5"/>
  <c r="TJ24" i="5"/>
  <c r="TK24" i="5"/>
  <c r="TL24" i="5"/>
  <c r="TM24" i="5"/>
  <c r="TN24" i="5"/>
  <c r="TO24" i="5"/>
  <c r="TP24" i="5"/>
  <c r="TQ24" i="5"/>
  <c r="TR24" i="5"/>
  <c r="TS24" i="5"/>
  <c r="TT24" i="5"/>
  <c r="TU24" i="5"/>
  <c r="TV24" i="5"/>
  <c r="TW24" i="5"/>
  <c r="TX24" i="5"/>
  <c r="TY24" i="5"/>
  <c r="TZ24" i="5"/>
  <c r="UA24" i="5"/>
  <c r="UB24" i="5"/>
  <c r="UC24" i="5"/>
  <c r="UD24" i="5"/>
  <c r="UE24" i="5"/>
  <c r="UF24" i="5"/>
  <c r="UG24" i="5"/>
  <c r="UH24" i="5"/>
  <c r="UI24" i="5"/>
  <c r="UJ24" i="5"/>
  <c r="UK24" i="5"/>
  <c r="K25" i="5"/>
  <c r="L25" i="5"/>
  <c r="M25" i="5"/>
  <c r="N25" i="5"/>
  <c r="O25" i="5"/>
  <c r="P25" i="5"/>
  <c r="Q25" i="5"/>
  <c r="R25" i="5"/>
  <c r="S25" i="5"/>
  <c r="T25" i="5"/>
  <c r="U25" i="5"/>
  <c r="V25" i="5"/>
  <c r="W25" i="5"/>
  <c r="X25" i="5"/>
  <c r="Y25" i="5"/>
  <c r="Z25" i="5"/>
  <c r="AA25" i="5"/>
  <c r="AB25" i="5"/>
  <c r="AC25" i="5"/>
  <c r="AD25" i="5"/>
  <c r="AE25" i="5"/>
  <c r="AF25" i="5"/>
  <c r="AG25" i="5"/>
  <c r="AH25" i="5"/>
  <c r="AI25" i="5"/>
  <c r="AJ25" i="5"/>
  <c r="AK25" i="5"/>
  <c r="AL25" i="5"/>
  <c r="AM25" i="5"/>
  <c r="AN25" i="5"/>
  <c r="AO25" i="5"/>
  <c r="AP25" i="5"/>
  <c r="AQ25" i="5"/>
  <c r="AR25" i="5"/>
  <c r="AS25" i="5"/>
  <c r="AT25" i="5"/>
  <c r="AU25" i="5"/>
  <c r="AV25" i="5"/>
  <c r="AW25" i="5"/>
  <c r="AX25" i="5"/>
  <c r="AY25" i="5"/>
  <c r="AZ25" i="5"/>
  <c r="BA25" i="5"/>
  <c r="BB25" i="5"/>
  <c r="BC25" i="5"/>
  <c r="BD25" i="5"/>
  <c r="BE25" i="5"/>
  <c r="BF25" i="5"/>
  <c r="BG25" i="5"/>
  <c r="BH25" i="5"/>
  <c r="BI25" i="5"/>
  <c r="BJ25" i="5"/>
  <c r="BK25" i="5"/>
  <c r="BL25" i="5"/>
  <c r="BM25" i="5"/>
  <c r="BN25" i="5"/>
  <c r="BO25" i="5"/>
  <c r="BP25" i="5"/>
  <c r="BQ25" i="5"/>
  <c r="BR25" i="5"/>
  <c r="BS25" i="5"/>
  <c r="BT25" i="5"/>
  <c r="BU25" i="5"/>
  <c r="BV25" i="5"/>
  <c r="BW25" i="5"/>
  <c r="BX25" i="5"/>
  <c r="BY25" i="5"/>
  <c r="BZ25" i="5"/>
  <c r="CA25" i="5"/>
  <c r="CB25" i="5"/>
  <c r="CC25" i="5"/>
  <c r="CD25" i="5"/>
  <c r="CE25" i="5"/>
  <c r="CF25" i="5"/>
  <c r="CG25" i="5"/>
  <c r="CH25" i="5"/>
  <c r="CI25" i="5"/>
  <c r="CJ25" i="5"/>
  <c r="CK25" i="5"/>
  <c r="CL25" i="5"/>
  <c r="CM25" i="5"/>
  <c r="CN25" i="5"/>
  <c r="CO25" i="5"/>
  <c r="CP25" i="5"/>
  <c r="CQ25" i="5"/>
  <c r="CR25" i="5"/>
  <c r="CS25" i="5"/>
  <c r="CT25" i="5"/>
  <c r="CU25" i="5"/>
  <c r="CV25" i="5"/>
  <c r="CW25" i="5"/>
  <c r="CX25" i="5"/>
  <c r="CY25" i="5"/>
  <c r="CZ25" i="5"/>
  <c r="DA25" i="5"/>
  <c r="DB25" i="5"/>
  <c r="DC25" i="5"/>
  <c r="DD25" i="5"/>
  <c r="DE25" i="5"/>
  <c r="DF25" i="5"/>
  <c r="DG25" i="5"/>
  <c r="DH25" i="5"/>
  <c r="DI25" i="5"/>
  <c r="DJ25" i="5"/>
  <c r="DK25" i="5"/>
  <c r="DL25" i="5"/>
  <c r="DM25" i="5"/>
  <c r="DN25" i="5"/>
  <c r="DO25" i="5"/>
  <c r="DP25" i="5"/>
  <c r="DQ25" i="5"/>
  <c r="DR25" i="5"/>
  <c r="DS25" i="5"/>
  <c r="DT25" i="5"/>
  <c r="DU25" i="5"/>
  <c r="DV25" i="5"/>
  <c r="DW25" i="5"/>
  <c r="DX25" i="5"/>
  <c r="DY25" i="5"/>
  <c r="DZ25" i="5"/>
  <c r="EA25" i="5"/>
  <c r="EB25" i="5"/>
  <c r="EC25" i="5"/>
  <c r="ED25" i="5"/>
  <c r="EE25" i="5"/>
  <c r="EF25" i="5"/>
  <c r="EG25" i="5"/>
  <c r="EH25" i="5"/>
  <c r="EI25" i="5"/>
  <c r="EJ25" i="5"/>
  <c r="EK25" i="5"/>
  <c r="EL25" i="5"/>
  <c r="EM25" i="5"/>
  <c r="EN25" i="5"/>
  <c r="EO25" i="5"/>
  <c r="EP25" i="5"/>
  <c r="EQ25" i="5"/>
  <c r="ER25" i="5"/>
  <c r="ES25" i="5"/>
  <c r="ET25" i="5"/>
  <c r="EU25" i="5"/>
  <c r="EV25" i="5"/>
  <c r="EW25" i="5"/>
  <c r="EX25" i="5"/>
  <c r="EY25" i="5"/>
  <c r="EZ25" i="5"/>
  <c r="FA25" i="5"/>
  <c r="FB25" i="5"/>
  <c r="FC25" i="5"/>
  <c r="FD25" i="5"/>
  <c r="FE25" i="5"/>
  <c r="FF25" i="5"/>
  <c r="FG25" i="5"/>
  <c r="FH25" i="5"/>
  <c r="FI25" i="5"/>
  <c r="FJ25" i="5"/>
  <c r="FK25" i="5"/>
  <c r="FL25" i="5"/>
  <c r="FM25" i="5"/>
  <c r="FN25" i="5"/>
  <c r="FO25" i="5"/>
  <c r="FP25" i="5"/>
  <c r="FQ25" i="5"/>
  <c r="FR25" i="5"/>
  <c r="FS25" i="5"/>
  <c r="FT25" i="5"/>
  <c r="FU25" i="5"/>
  <c r="FV25" i="5"/>
  <c r="FW25" i="5"/>
  <c r="FX25" i="5"/>
  <c r="FY25" i="5"/>
  <c r="FZ25" i="5"/>
  <c r="GA25" i="5"/>
  <c r="GB25" i="5"/>
  <c r="GC25" i="5"/>
  <c r="GD25" i="5"/>
  <c r="GE25" i="5"/>
  <c r="GF25" i="5"/>
  <c r="GG25" i="5"/>
  <c r="GH25" i="5"/>
  <c r="GI25" i="5"/>
  <c r="GJ25" i="5"/>
  <c r="GK25" i="5"/>
  <c r="GL25" i="5"/>
  <c r="GM25" i="5"/>
  <c r="GN25" i="5"/>
  <c r="GO25" i="5"/>
  <c r="GP25" i="5"/>
  <c r="GQ25" i="5"/>
  <c r="GR25" i="5"/>
  <c r="GS25" i="5"/>
  <c r="GT25" i="5"/>
  <c r="GU25" i="5"/>
  <c r="GV25" i="5"/>
  <c r="GW25" i="5"/>
  <c r="GX25" i="5"/>
  <c r="GY25" i="5"/>
  <c r="GZ25" i="5"/>
  <c r="HA25" i="5"/>
  <c r="HB25" i="5"/>
  <c r="HC25" i="5"/>
  <c r="HD25" i="5"/>
  <c r="HE25" i="5"/>
  <c r="HF25" i="5"/>
  <c r="HG25" i="5"/>
  <c r="HH25" i="5"/>
  <c r="HI25" i="5"/>
  <c r="HJ25" i="5"/>
  <c r="HK25" i="5"/>
  <c r="HL25" i="5"/>
  <c r="HM25" i="5"/>
  <c r="HN25" i="5"/>
  <c r="HO25" i="5"/>
  <c r="HP25" i="5"/>
  <c r="HQ25" i="5"/>
  <c r="HR25" i="5"/>
  <c r="HS25" i="5"/>
  <c r="HT25" i="5"/>
  <c r="HU25" i="5"/>
  <c r="HV25" i="5"/>
  <c r="HW25" i="5"/>
  <c r="HX25" i="5"/>
  <c r="HY25" i="5"/>
  <c r="HZ25" i="5"/>
  <c r="IA25" i="5"/>
  <c r="IB25" i="5"/>
  <c r="IC25" i="5"/>
  <c r="ID25" i="5"/>
  <c r="IE25" i="5"/>
  <c r="IF25" i="5"/>
  <c r="IG25" i="5"/>
  <c r="IH25" i="5"/>
  <c r="II25" i="5"/>
  <c r="IJ25" i="5"/>
  <c r="IK25" i="5"/>
  <c r="IL25" i="5"/>
  <c r="IM25" i="5"/>
  <c r="IN25" i="5"/>
  <c r="IO25" i="5"/>
  <c r="IP25" i="5"/>
  <c r="IQ25" i="5"/>
  <c r="IR25" i="5"/>
  <c r="IS25" i="5"/>
  <c r="IT25" i="5"/>
  <c r="IU25" i="5"/>
  <c r="IV25" i="5"/>
  <c r="IW25" i="5"/>
  <c r="IX25" i="5"/>
  <c r="IY25" i="5"/>
  <c r="IZ25" i="5"/>
  <c r="JA25" i="5"/>
  <c r="JB25" i="5"/>
  <c r="JC25" i="5"/>
  <c r="JD25" i="5"/>
  <c r="JE25" i="5"/>
  <c r="JF25" i="5"/>
  <c r="JG25" i="5"/>
  <c r="JH25" i="5"/>
  <c r="JI25" i="5"/>
  <c r="JJ25" i="5"/>
  <c r="JK25" i="5"/>
  <c r="JL25" i="5"/>
  <c r="JM25" i="5"/>
  <c r="JN25" i="5"/>
  <c r="JO25" i="5"/>
  <c r="JP25" i="5"/>
  <c r="JQ25" i="5"/>
  <c r="JR25" i="5"/>
  <c r="JS25" i="5"/>
  <c r="JT25" i="5"/>
  <c r="JU25" i="5"/>
  <c r="JV25" i="5"/>
  <c r="JW25" i="5"/>
  <c r="JX25" i="5"/>
  <c r="JY25" i="5"/>
  <c r="JZ25" i="5"/>
  <c r="KA25" i="5"/>
  <c r="KB25" i="5"/>
  <c r="KC25" i="5"/>
  <c r="KD25" i="5"/>
  <c r="KE25" i="5"/>
  <c r="KF25" i="5"/>
  <c r="KG25" i="5"/>
  <c r="KH25" i="5"/>
  <c r="KI25" i="5"/>
  <c r="KJ25" i="5"/>
  <c r="KK25" i="5"/>
  <c r="KL25" i="5"/>
  <c r="KM25" i="5"/>
  <c r="KN25" i="5"/>
  <c r="KO25" i="5"/>
  <c r="KP25" i="5"/>
  <c r="KQ25" i="5"/>
  <c r="KR25" i="5"/>
  <c r="KS25" i="5"/>
  <c r="KT25" i="5"/>
  <c r="KU25" i="5"/>
  <c r="KV25" i="5"/>
  <c r="KW25" i="5"/>
  <c r="KX25" i="5"/>
  <c r="KY25" i="5"/>
  <c r="KZ25" i="5"/>
  <c r="LA25" i="5"/>
  <c r="LB25" i="5"/>
  <c r="LC25" i="5"/>
  <c r="LD25" i="5"/>
  <c r="LE25" i="5"/>
  <c r="LF25" i="5"/>
  <c r="LG25" i="5"/>
  <c r="LH25" i="5"/>
  <c r="LI25" i="5"/>
  <c r="LJ25" i="5"/>
  <c r="LK25" i="5"/>
  <c r="LL25" i="5"/>
  <c r="LM25" i="5"/>
  <c r="LN25" i="5"/>
  <c r="LO25" i="5"/>
  <c r="LP25" i="5"/>
  <c r="LQ25" i="5"/>
  <c r="LR25" i="5"/>
  <c r="LS25" i="5"/>
  <c r="LT25" i="5"/>
  <c r="LU25" i="5"/>
  <c r="LV25" i="5"/>
  <c r="LW25" i="5"/>
  <c r="LX25" i="5"/>
  <c r="LY25" i="5"/>
  <c r="LZ25" i="5"/>
  <c r="MA25" i="5"/>
  <c r="MB25" i="5"/>
  <c r="MC25" i="5"/>
  <c r="MD25" i="5"/>
  <c r="ME25" i="5"/>
  <c r="MF25" i="5"/>
  <c r="MG25" i="5"/>
  <c r="MH25" i="5"/>
  <c r="MI25" i="5"/>
  <c r="MJ25" i="5"/>
  <c r="MK25" i="5"/>
  <c r="ML25" i="5"/>
  <c r="MM25" i="5"/>
  <c r="MN25" i="5"/>
  <c r="MO25" i="5"/>
  <c r="MP25" i="5"/>
  <c r="MQ25" i="5"/>
  <c r="MR25" i="5"/>
  <c r="MS25" i="5"/>
  <c r="MT25" i="5"/>
  <c r="MU25" i="5"/>
  <c r="MV25" i="5"/>
  <c r="MW25" i="5"/>
  <c r="MX25" i="5"/>
  <c r="MY25" i="5"/>
  <c r="MZ25" i="5"/>
  <c r="NA25" i="5"/>
  <c r="NB25" i="5"/>
  <c r="NC25" i="5"/>
  <c r="ND25" i="5"/>
  <c r="NE25" i="5"/>
  <c r="NF25" i="5"/>
  <c r="NG25" i="5"/>
  <c r="NH25" i="5"/>
  <c r="NI25" i="5"/>
  <c r="NJ25" i="5"/>
  <c r="NK25" i="5"/>
  <c r="NL25" i="5"/>
  <c r="NM25" i="5"/>
  <c r="NN25" i="5"/>
  <c r="NO25" i="5"/>
  <c r="NP25" i="5"/>
  <c r="NQ25" i="5"/>
  <c r="NR25" i="5"/>
  <c r="NS25" i="5"/>
  <c r="NT25" i="5"/>
  <c r="NU25" i="5"/>
  <c r="NV25" i="5"/>
  <c r="NW25" i="5"/>
  <c r="NX25" i="5"/>
  <c r="NY25" i="5"/>
  <c r="NZ25" i="5"/>
  <c r="OA25" i="5"/>
  <c r="OB25" i="5"/>
  <c r="OC25" i="5"/>
  <c r="OD25" i="5"/>
  <c r="OE25" i="5"/>
  <c r="OF25" i="5"/>
  <c r="OG25" i="5"/>
  <c r="OH25" i="5"/>
  <c r="OI25" i="5"/>
  <c r="OJ25" i="5"/>
  <c r="OK25" i="5"/>
  <c r="OL25" i="5"/>
  <c r="OM25" i="5"/>
  <c r="ON25" i="5"/>
  <c r="OO25" i="5"/>
  <c r="OP25" i="5"/>
  <c r="OQ25" i="5"/>
  <c r="OR25" i="5"/>
  <c r="OS25" i="5"/>
  <c r="OT25" i="5"/>
  <c r="OU25" i="5"/>
  <c r="OV25" i="5"/>
  <c r="OW25" i="5"/>
  <c r="OX25" i="5"/>
  <c r="OY25" i="5"/>
  <c r="OZ25" i="5"/>
  <c r="PA25" i="5"/>
  <c r="PB25" i="5"/>
  <c r="PC25" i="5"/>
  <c r="PD25" i="5"/>
  <c r="PE25" i="5"/>
  <c r="PF25" i="5"/>
  <c r="PG25" i="5"/>
  <c r="PH25" i="5"/>
  <c r="PI25" i="5"/>
  <c r="PJ25" i="5"/>
  <c r="PK25" i="5"/>
  <c r="PL25" i="5"/>
  <c r="PM25" i="5"/>
  <c r="PN25" i="5"/>
  <c r="PO25" i="5"/>
  <c r="PP25" i="5"/>
  <c r="PQ25" i="5"/>
  <c r="PR25" i="5"/>
  <c r="PS25" i="5"/>
  <c r="PT25" i="5"/>
  <c r="PU25" i="5"/>
  <c r="PV25" i="5"/>
  <c r="PW25" i="5"/>
  <c r="PX25" i="5"/>
  <c r="PY25" i="5"/>
  <c r="PZ25" i="5"/>
  <c r="QA25" i="5"/>
  <c r="QB25" i="5"/>
  <c r="QC25" i="5"/>
  <c r="QD25" i="5"/>
  <c r="QE25" i="5"/>
  <c r="QF25" i="5"/>
  <c r="QG25" i="5"/>
  <c r="QH25" i="5"/>
  <c r="QI25" i="5"/>
  <c r="QJ25" i="5"/>
  <c r="QK25" i="5"/>
  <c r="QL25" i="5"/>
  <c r="QM25" i="5"/>
  <c r="QN25" i="5"/>
  <c r="QO25" i="5"/>
  <c r="QP25" i="5"/>
  <c r="QQ25" i="5"/>
  <c r="QR25" i="5"/>
  <c r="QS25" i="5"/>
  <c r="QT25" i="5"/>
  <c r="QU25" i="5"/>
  <c r="QV25" i="5"/>
  <c r="QW25" i="5"/>
  <c r="QX25" i="5"/>
  <c r="QY25" i="5"/>
  <c r="QZ25" i="5"/>
  <c r="RA25" i="5"/>
  <c r="RB25" i="5"/>
  <c r="RC25" i="5"/>
  <c r="RD25" i="5"/>
  <c r="RE25" i="5"/>
  <c r="RF25" i="5"/>
  <c r="RG25" i="5"/>
  <c r="RH25" i="5"/>
  <c r="RI25" i="5"/>
  <c r="RJ25" i="5"/>
  <c r="RK25" i="5"/>
  <c r="RL25" i="5"/>
  <c r="RM25" i="5"/>
  <c r="RN25" i="5"/>
  <c r="RO25" i="5"/>
  <c r="RP25" i="5"/>
  <c r="RQ25" i="5"/>
  <c r="RR25" i="5"/>
  <c r="RS25" i="5"/>
  <c r="RT25" i="5"/>
  <c r="RU25" i="5"/>
  <c r="RV25" i="5"/>
  <c r="RW25" i="5"/>
  <c r="RX25" i="5"/>
  <c r="RY25" i="5"/>
  <c r="RZ25" i="5"/>
  <c r="SA25" i="5"/>
  <c r="SB25" i="5"/>
  <c r="SC25" i="5"/>
  <c r="SD25" i="5"/>
  <c r="SE25" i="5"/>
  <c r="SF25" i="5"/>
  <c r="SG25" i="5"/>
  <c r="SH25" i="5"/>
  <c r="SI25" i="5"/>
  <c r="SJ25" i="5"/>
  <c r="SK25" i="5"/>
  <c r="SL25" i="5"/>
  <c r="SM25" i="5"/>
  <c r="SN25" i="5"/>
  <c r="SO25" i="5"/>
  <c r="SP25" i="5"/>
  <c r="SQ25" i="5"/>
  <c r="SR25" i="5"/>
  <c r="SS25" i="5"/>
  <c r="ST25" i="5"/>
  <c r="SU25" i="5"/>
  <c r="SV25" i="5"/>
  <c r="SW25" i="5"/>
  <c r="SX25" i="5"/>
  <c r="SY25" i="5"/>
  <c r="SZ25" i="5"/>
  <c r="TA25" i="5"/>
  <c r="TB25" i="5"/>
  <c r="TC25" i="5"/>
  <c r="TD25" i="5"/>
  <c r="TE25" i="5"/>
  <c r="TF25" i="5"/>
  <c r="TG25" i="5"/>
  <c r="TH25" i="5"/>
  <c r="TI25" i="5"/>
  <c r="TJ25" i="5"/>
  <c r="TK25" i="5"/>
  <c r="TL25" i="5"/>
  <c r="TM25" i="5"/>
  <c r="TN25" i="5"/>
  <c r="TO25" i="5"/>
  <c r="TP25" i="5"/>
  <c r="TQ25" i="5"/>
  <c r="TR25" i="5"/>
  <c r="TS25" i="5"/>
  <c r="TT25" i="5"/>
  <c r="TU25" i="5"/>
  <c r="TV25" i="5"/>
  <c r="TW25" i="5"/>
  <c r="TX25" i="5"/>
  <c r="TY25" i="5"/>
  <c r="TZ25" i="5"/>
  <c r="UA25" i="5"/>
  <c r="UB25" i="5"/>
  <c r="UC25" i="5"/>
  <c r="UD25" i="5"/>
  <c r="UE25" i="5"/>
  <c r="UF25" i="5"/>
  <c r="UG25" i="5"/>
  <c r="UH25" i="5"/>
  <c r="UI25" i="5"/>
  <c r="UJ25" i="5"/>
  <c r="UK25" i="5"/>
  <c r="K26" i="5"/>
  <c r="L26" i="5"/>
  <c r="M26" i="5"/>
  <c r="N26" i="5"/>
  <c r="O26" i="5"/>
  <c r="P26" i="5"/>
  <c r="Q26" i="5"/>
  <c r="R26" i="5"/>
  <c r="S26" i="5"/>
  <c r="T26" i="5"/>
  <c r="U26" i="5"/>
  <c r="V26" i="5"/>
  <c r="W26" i="5"/>
  <c r="X26" i="5"/>
  <c r="Y26" i="5"/>
  <c r="Z26" i="5"/>
  <c r="AA26" i="5"/>
  <c r="AB26" i="5"/>
  <c r="AC26" i="5"/>
  <c r="AD26" i="5"/>
  <c r="AE26" i="5"/>
  <c r="AF26" i="5"/>
  <c r="AG26" i="5"/>
  <c r="AH26" i="5"/>
  <c r="AI26" i="5"/>
  <c r="AJ26" i="5"/>
  <c r="AK26" i="5"/>
  <c r="AL26" i="5"/>
  <c r="AM26" i="5"/>
  <c r="AN26" i="5"/>
  <c r="AO26" i="5"/>
  <c r="AP26" i="5"/>
  <c r="AQ26" i="5"/>
  <c r="AR26" i="5"/>
  <c r="AS26" i="5"/>
  <c r="AT26" i="5"/>
  <c r="AU26" i="5"/>
  <c r="AV26" i="5"/>
  <c r="AW26" i="5"/>
  <c r="AX26" i="5"/>
  <c r="AY26" i="5"/>
  <c r="AZ26" i="5"/>
  <c r="BA26" i="5"/>
  <c r="BB26" i="5"/>
  <c r="BC26" i="5"/>
  <c r="BD26" i="5"/>
  <c r="BE26" i="5"/>
  <c r="BF26" i="5"/>
  <c r="BG26" i="5"/>
  <c r="BH26" i="5"/>
  <c r="BI26" i="5"/>
  <c r="BJ26" i="5"/>
  <c r="BK26" i="5"/>
  <c r="BL26" i="5"/>
  <c r="BM26" i="5"/>
  <c r="BN26" i="5"/>
  <c r="BO26" i="5"/>
  <c r="BP26" i="5"/>
  <c r="BQ26" i="5"/>
  <c r="BR26" i="5"/>
  <c r="BS26" i="5"/>
  <c r="BT26" i="5"/>
  <c r="BU26" i="5"/>
  <c r="BV26" i="5"/>
  <c r="BW26" i="5"/>
  <c r="BX26" i="5"/>
  <c r="BY26" i="5"/>
  <c r="BZ26" i="5"/>
  <c r="CA26" i="5"/>
  <c r="CB26" i="5"/>
  <c r="CC26" i="5"/>
  <c r="CD26" i="5"/>
  <c r="CE26" i="5"/>
  <c r="CF26" i="5"/>
  <c r="CG26" i="5"/>
  <c r="CH26" i="5"/>
  <c r="CI26" i="5"/>
  <c r="CJ26" i="5"/>
  <c r="CK26" i="5"/>
  <c r="CL26" i="5"/>
  <c r="CM26" i="5"/>
  <c r="CN26" i="5"/>
  <c r="CO26" i="5"/>
  <c r="CP26" i="5"/>
  <c r="CQ26" i="5"/>
  <c r="CR26" i="5"/>
  <c r="CS26" i="5"/>
  <c r="CT26" i="5"/>
  <c r="CU26" i="5"/>
  <c r="CV26" i="5"/>
  <c r="CW26" i="5"/>
  <c r="CX26" i="5"/>
  <c r="CY26" i="5"/>
  <c r="CZ26" i="5"/>
  <c r="DA26" i="5"/>
  <c r="DB26" i="5"/>
  <c r="DC26" i="5"/>
  <c r="DD26" i="5"/>
  <c r="DE26" i="5"/>
  <c r="DF26" i="5"/>
  <c r="DG26" i="5"/>
  <c r="DH26" i="5"/>
  <c r="DI26" i="5"/>
  <c r="DJ26" i="5"/>
  <c r="DK26" i="5"/>
  <c r="DL26" i="5"/>
  <c r="DM26" i="5"/>
  <c r="DN26" i="5"/>
  <c r="DO26" i="5"/>
  <c r="DP26" i="5"/>
  <c r="DQ26" i="5"/>
  <c r="DR26" i="5"/>
  <c r="DS26" i="5"/>
  <c r="DT26" i="5"/>
  <c r="DU26" i="5"/>
  <c r="DV26" i="5"/>
  <c r="DW26" i="5"/>
  <c r="DX26" i="5"/>
  <c r="DY26" i="5"/>
  <c r="DZ26" i="5"/>
  <c r="EA26" i="5"/>
  <c r="EB26" i="5"/>
  <c r="EC26" i="5"/>
  <c r="ED26" i="5"/>
  <c r="EE26" i="5"/>
  <c r="EF26" i="5"/>
  <c r="EG26" i="5"/>
  <c r="EH26" i="5"/>
  <c r="EI26" i="5"/>
  <c r="EJ26" i="5"/>
  <c r="EK26" i="5"/>
  <c r="EL26" i="5"/>
  <c r="EM26" i="5"/>
  <c r="EN26" i="5"/>
  <c r="EO26" i="5"/>
  <c r="EP26" i="5"/>
  <c r="EQ26" i="5"/>
  <c r="ER26" i="5"/>
  <c r="ES26" i="5"/>
  <c r="ET26" i="5"/>
  <c r="EU26" i="5"/>
  <c r="EV26" i="5"/>
  <c r="EW26" i="5"/>
  <c r="EX26" i="5"/>
  <c r="EY26" i="5"/>
  <c r="EZ26" i="5"/>
  <c r="FA26" i="5"/>
  <c r="FB26" i="5"/>
  <c r="FC26" i="5"/>
  <c r="FD26" i="5"/>
  <c r="FE26" i="5"/>
  <c r="FF26" i="5"/>
  <c r="FG26" i="5"/>
  <c r="FH26" i="5"/>
  <c r="FI26" i="5"/>
  <c r="FJ26" i="5"/>
  <c r="FK26" i="5"/>
  <c r="FL26" i="5"/>
  <c r="FM26" i="5"/>
  <c r="FN26" i="5"/>
  <c r="FO26" i="5"/>
  <c r="FP26" i="5"/>
  <c r="FQ26" i="5"/>
  <c r="FR26" i="5"/>
  <c r="FS26" i="5"/>
  <c r="FT26" i="5"/>
  <c r="FU26" i="5"/>
  <c r="FV26" i="5"/>
  <c r="FW26" i="5"/>
  <c r="FX26" i="5"/>
  <c r="FY26" i="5"/>
  <c r="FZ26" i="5"/>
  <c r="GA26" i="5"/>
  <c r="GB26" i="5"/>
  <c r="GC26" i="5"/>
  <c r="GD26" i="5"/>
  <c r="GE26" i="5"/>
  <c r="GF26" i="5"/>
  <c r="GG26" i="5"/>
  <c r="GH26" i="5"/>
  <c r="GI26" i="5"/>
  <c r="GJ26" i="5"/>
  <c r="GK26" i="5"/>
  <c r="GL26" i="5"/>
  <c r="GM26" i="5"/>
  <c r="GN26" i="5"/>
  <c r="GO26" i="5"/>
  <c r="GP26" i="5"/>
  <c r="GQ26" i="5"/>
  <c r="GR26" i="5"/>
  <c r="GS26" i="5"/>
  <c r="GT26" i="5"/>
  <c r="GU26" i="5"/>
  <c r="GV26" i="5"/>
  <c r="GW26" i="5"/>
  <c r="GX26" i="5"/>
  <c r="GY26" i="5"/>
  <c r="GZ26" i="5"/>
  <c r="HA26" i="5"/>
  <c r="HB26" i="5"/>
  <c r="HC26" i="5"/>
  <c r="HD26" i="5"/>
  <c r="HE26" i="5"/>
  <c r="HF26" i="5"/>
  <c r="HG26" i="5"/>
  <c r="HH26" i="5"/>
  <c r="HI26" i="5"/>
  <c r="HJ26" i="5"/>
  <c r="HK26" i="5"/>
  <c r="HL26" i="5"/>
  <c r="HM26" i="5"/>
  <c r="HN26" i="5"/>
  <c r="HO26" i="5"/>
  <c r="HP26" i="5"/>
  <c r="HQ26" i="5"/>
  <c r="HR26" i="5"/>
  <c r="HS26" i="5"/>
  <c r="HT26" i="5"/>
  <c r="HU26" i="5"/>
  <c r="HV26" i="5"/>
  <c r="HW26" i="5"/>
  <c r="HX26" i="5"/>
  <c r="HY26" i="5"/>
  <c r="HZ26" i="5"/>
  <c r="IA26" i="5"/>
  <c r="IB26" i="5"/>
  <c r="IC26" i="5"/>
  <c r="ID26" i="5"/>
  <c r="IE26" i="5"/>
  <c r="IF26" i="5"/>
  <c r="IG26" i="5"/>
  <c r="IH26" i="5"/>
  <c r="II26" i="5"/>
  <c r="IJ26" i="5"/>
  <c r="IK26" i="5"/>
  <c r="IL26" i="5"/>
  <c r="IM26" i="5"/>
  <c r="IN26" i="5"/>
  <c r="IO26" i="5"/>
  <c r="IP26" i="5"/>
  <c r="IQ26" i="5"/>
  <c r="IR26" i="5"/>
  <c r="IS26" i="5"/>
  <c r="IT26" i="5"/>
  <c r="IU26" i="5"/>
  <c r="IV26" i="5"/>
  <c r="IW26" i="5"/>
  <c r="IX26" i="5"/>
  <c r="IY26" i="5"/>
  <c r="IZ26" i="5"/>
  <c r="JA26" i="5"/>
  <c r="JB26" i="5"/>
  <c r="JC26" i="5"/>
  <c r="JD26" i="5"/>
  <c r="JE26" i="5"/>
  <c r="JF26" i="5"/>
  <c r="JG26" i="5"/>
  <c r="JH26" i="5"/>
  <c r="JI26" i="5"/>
  <c r="JJ26" i="5"/>
  <c r="JK26" i="5"/>
  <c r="JL26" i="5"/>
  <c r="JM26" i="5"/>
  <c r="JN26" i="5"/>
  <c r="JO26" i="5"/>
  <c r="JP26" i="5"/>
  <c r="JQ26" i="5"/>
  <c r="JR26" i="5"/>
  <c r="JS26" i="5"/>
  <c r="JT26" i="5"/>
  <c r="JU26" i="5"/>
  <c r="JV26" i="5"/>
  <c r="JW26" i="5"/>
  <c r="JX26" i="5"/>
  <c r="JY26" i="5"/>
  <c r="JZ26" i="5"/>
  <c r="KA26" i="5"/>
  <c r="KB26" i="5"/>
  <c r="KC26" i="5"/>
  <c r="KD26" i="5"/>
  <c r="KE26" i="5"/>
  <c r="KF26" i="5"/>
  <c r="KG26" i="5"/>
  <c r="KH26" i="5"/>
  <c r="KI26" i="5"/>
  <c r="KJ26" i="5"/>
  <c r="KK26" i="5"/>
  <c r="KL26" i="5"/>
  <c r="KM26" i="5"/>
  <c r="KN26" i="5"/>
  <c r="KO26" i="5"/>
  <c r="KP26" i="5"/>
  <c r="KQ26" i="5"/>
  <c r="KR26" i="5"/>
  <c r="KS26" i="5"/>
  <c r="KT26" i="5"/>
  <c r="KU26" i="5"/>
  <c r="KV26" i="5"/>
  <c r="KW26" i="5"/>
  <c r="KX26" i="5"/>
  <c r="KY26" i="5"/>
  <c r="KZ26" i="5"/>
  <c r="LA26" i="5"/>
  <c r="LB26" i="5"/>
  <c r="LC26" i="5"/>
  <c r="LD26" i="5"/>
  <c r="LE26" i="5"/>
  <c r="LF26" i="5"/>
  <c r="LG26" i="5"/>
  <c r="LH26" i="5"/>
  <c r="LI26" i="5"/>
  <c r="LJ26" i="5"/>
  <c r="LK26" i="5"/>
  <c r="LL26" i="5"/>
  <c r="LM26" i="5"/>
  <c r="LN26" i="5"/>
  <c r="LO26" i="5"/>
  <c r="LP26" i="5"/>
  <c r="LQ26" i="5"/>
  <c r="LR26" i="5"/>
  <c r="LS26" i="5"/>
  <c r="LT26" i="5"/>
  <c r="LU26" i="5"/>
  <c r="LV26" i="5"/>
  <c r="LW26" i="5"/>
  <c r="LX26" i="5"/>
  <c r="LY26" i="5"/>
  <c r="LZ26" i="5"/>
  <c r="MA26" i="5"/>
  <c r="MB26" i="5"/>
  <c r="MC26" i="5"/>
  <c r="MD26" i="5"/>
  <c r="ME26" i="5"/>
  <c r="MF26" i="5"/>
  <c r="MG26" i="5"/>
  <c r="MH26" i="5"/>
  <c r="MI26" i="5"/>
  <c r="MJ26" i="5"/>
  <c r="MK26" i="5"/>
  <c r="ML26" i="5"/>
  <c r="MM26" i="5"/>
  <c r="MN26" i="5"/>
  <c r="MO26" i="5"/>
  <c r="MP26" i="5"/>
  <c r="MQ26" i="5"/>
  <c r="MR26" i="5"/>
  <c r="MS26" i="5"/>
  <c r="MT26" i="5"/>
  <c r="MU26" i="5"/>
  <c r="MV26" i="5"/>
  <c r="MW26" i="5"/>
  <c r="MX26" i="5"/>
  <c r="MY26" i="5"/>
  <c r="MZ26" i="5"/>
  <c r="NA26" i="5"/>
  <c r="NB26" i="5"/>
  <c r="NC26" i="5"/>
  <c r="ND26" i="5"/>
  <c r="NE26" i="5"/>
  <c r="NF26" i="5"/>
  <c r="NG26" i="5"/>
  <c r="NH26" i="5"/>
  <c r="NI26" i="5"/>
  <c r="NJ26" i="5"/>
  <c r="NK26" i="5"/>
  <c r="NL26" i="5"/>
  <c r="NM26" i="5"/>
  <c r="NN26" i="5"/>
  <c r="NO26" i="5"/>
  <c r="NP26" i="5"/>
  <c r="NQ26" i="5"/>
  <c r="NR26" i="5"/>
  <c r="NS26" i="5"/>
  <c r="NT26" i="5"/>
  <c r="NU26" i="5"/>
  <c r="NV26" i="5"/>
  <c r="NW26" i="5"/>
  <c r="NX26" i="5"/>
  <c r="NY26" i="5"/>
  <c r="NZ26" i="5"/>
  <c r="OA26" i="5"/>
  <c r="OB26" i="5"/>
  <c r="OC26" i="5"/>
  <c r="OD26" i="5"/>
  <c r="OE26" i="5"/>
  <c r="OF26" i="5"/>
  <c r="OG26" i="5"/>
  <c r="OH26" i="5"/>
  <c r="OI26" i="5"/>
  <c r="OJ26" i="5"/>
  <c r="OK26" i="5"/>
  <c r="OL26" i="5"/>
  <c r="OM26" i="5"/>
  <c r="ON26" i="5"/>
  <c r="OO26" i="5"/>
  <c r="OP26" i="5"/>
  <c r="OQ26" i="5"/>
  <c r="OR26" i="5"/>
  <c r="OS26" i="5"/>
  <c r="OT26" i="5"/>
  <c r="OU26" i="5"/>
  <c r="OV26" i="5"/>
  <c r="OW26" i="5"/>
  <c r="OX26" i="5"/>
  <c r="OY26" i="5"/>
  <c r="OZ26" i="5"/>
  <c r="PA26" i="5"/>
  <c r="PB26" i="5"/>
  <c r="PC26" i="5"/>
  <c r="PD26" i="5"/>
  <c r="PE26" i="5"/>
  <c r="PF26" i="5"/>
  <c r="PG26" i="5"/>
  <c r="PH26" i="5"/>
  <c r="PI26" i="5"/>
  <c r="PJ26" i="5"/>
  <c r="PK26" i="5"/>
  <c r="PL26" i="5"/>
  <c r="PM26" i="5"/>
  <c r="PN26" i="5"/>
  <c r="PO26" i="5"/>
  <c r="PP26" i="5"/>
  <c r="PQ26" i="5"/>
  <c r="PR26" i="5"/>
  <c r="PS26" i="5"/>
  <c r="PT26" i="5"/>
  <c r="PU26" i="5"/>
  <c r="PV26" i="5"/>
  <c r="PW26" i="5"/>
  <c r="PX26" i="5"/>
  <c r="PY26" i="5"/>
  <c r="PZ26" i="5"/>
  <c r="QA26" i="5"/>
  <c r="QB26" i="5"/>
  <c r="QC26" i="5"/>
  <c r="QD26" i="5"/>
  <c r="QE26" i="5"/>
  <c r="QF26" i="5"/>
  <c r="QG26" i="5"/>
  <c r="QH26" i="5"/>
  <c r="QI26" i="5"/>
  <c r="QJ26" i="5"/>
  <c r="QK26" i="5"/>
  <c r="QL26" i="5"/>
  <c r="QM26" i="5"/>
  <c r="QN26" i="5"/>
  <c r="QO26" i="5"/>
  <c r="QP26" i="5"/>
  <c r="QQ26" i="5"/>
  <c r="QR26" i="5"/>
  <c r="QS26" i="5"/>
  <c r="QT26" i="5"/>
  <c r="QU26" i="5"/>
  <c r="QV26" i="5"/>
  <c r="QW26" i="5"/>
  <c r="QX26" i="5"/>
  <c r="QY26" i="5"/>
  <c r="QZ26" i="5"/>
  <c r="RA26" i="5"/>
  <c r="RB26" i="5"/>
  <c r="RC26" i="5"/>
  <c r="RD26" i="5"/>
  <c r="RE26" i="5"/>
  <c r="RF26" i="5"/>
  <c r="RG26" i="5"/>
  <c r="RH26" i="5"/>
  <c r="RI26" i="5"/>
  <c r="RJ26" i="5"/>
  <c r="RK26" i="5"/>
  <c r="RL26" i="5"/>
  <c r="RM26" i="5"/>
  <c r="RN26" i="5"/>
  <c r="RO26" i="5"/>
  <c r="RP26" i="5"/>
  <c r="RQ26" i="5"/>
  <c r="RR26" i="5"/>
  <c r="RS26" i="5"/>
  <c r="RT26" i="5"/>
  <c r="RU26" i="5"/>
  <c r="RV26" i="5"/>
  <c r="RW26" i="5"/>
  <c r="RX26" i="5"/>
  <c r="RY26" i="5"/>
  <c r="RZ26" i="5"/>
  <c r="SA26" i="5"/>
  <c r="SB26" i="5"/>
  <c r="SC26" i="5"/>
  <c r="SD26" i="5"/>
  <c r="SE26" i="5"/>
  <c r="SF26" i="5"/>
  <c r="SG26" i="5"/>
  <c r="SH26" i="5"/>
  <c r="SI26" i="5"/>
  <c r="SJ26" i="5"/>
  <c r="SK26" i="5"/>
  <c r="SL26" i="5"/>
  <c r="SM26" i="5"/>
  <c r="SN26" i="5"/>
  <c r="SO26" i="5"/>
  <c r="SP26" i="5"/>
  <c r="SQ26" i="5"/>
  <c r="SR26" i="5"/>
  <c r="SS26" i="5"/>
  <c r="ST26" i="5"/>
  <c r="SU26" i="5"/>
  <c r="SV26" i="5"/>
  <c r="SW26" i="5"/>
  <c r="SX26" i="5"/>
  <c r="SY26" i="5"/>
  <c r="SZ26" i="5"/>
  <c r="TA26" i="5"/>
  <c r="TB26" i="5"/>
  <c r="TC26" i="5"/>
  <c r="TD26" i="5"/>
  <c r="TE26" i="5"/>
  <c r="TF26" i="5"/>
  <c r="TG26" i="5"/>
  <c r="TH26" i="5"/>
  <c r="TI26" i="5"/>
  <c r="TJ26" i="5"/>
  <c r="TK26" i="5"/>
  <c r="TL26" i="5"/>
  <c r="TM26" i="5"/>
  <c r="TN26" i="5"/>
  <c r="TO26" i="5"/>
  <c r="TP26" i="5"/>
  <c r="TQ26" i="5"/>
  <c r="TR26" i="5"/>
  <c r="TS26" i="5"/>
  <c r="TT26" i="5"/>
  <c r="TU26" i="5"/>
  <c r="TV26" i="5"/>
  <c r="TW26" i="5"/>
  <c r="TX26" i="5"/>
  <c r="TY26" i="5"/>
  <c r="TZ26" i="5"/>
  <c r="UA26" i="5"/>
  <c r="UB26" i="5"/>
  <c r="UC26" i="5"/>
  <c r="UD26" i="5"/>
  <c r="UE26" i="5"/>
  <c r="UF26" i="5"/>
  <c r="UG26" i="5"/>
  <c r="UH26" i="5"/>
  <c r="UI26" i="5"/>
  <c r="UJ26" i="5"/>
  <c r="UK26" i="5"/>
  <c r="K27" i="5"/>
  <c r="L27" i="5"/>
  <c r="M27" i="5"/>
  <c r="N27" i="5"/>
  <c r="O27" i="5"/>
  <c r="P27" i="5"/>
  <c r="Q27" i="5"/>
  <c r="R27" i="5"/>
  <c r="S27" i="5"/>
  <c r="T27" i="5"/>
  <c r="U27" i="5"/>
  <c r="V27" i="5"/>
  <c r="W27" i="5"/>
  <c r="X27" i="5"/>
  <c r="Y27" i="5"/>
  <c r="Z27" i="5"/>
  <c r="AA27" i="5"/>
  <c r="AB27" i="5"/>
  <c r="AC27" i="5"/>
  <c r="AD27" i="5"/>
  <c r="AE27" i="5"/>
  <c r="AF27" i="5"/>
  <c r="AG27" i="5"/>
  <c r="AH27" i="5"/>
  <c r="AI27" i="5"/>
  <c r="AJ27" i="5"/>
  <c r="AK27" i="5"/>
  <c r="AL27" i="5"/>
  <c r="AM27" i="5"/>
  <c r="AN27" i="5"/>
  <c r="AO27" i="5"/>
  <c r="AP27" i="5"/>
  <c r="AQ27" i="5"/>
  <c r="AR27" i="5"/>
  <c r="AS27" i="5"/>
  <c r="AT27" i="5"/>
  <c r="AU27" i="5"/>
  <c r="AV27" i="5"/>
  <c r="AW27" i="5"/>
  <c r="AX27" i="5"/>
  <c r="AY27" i="5"/>
  <c r="AZ27" i="5"/>
  <c r="BA27" i="5"/>
  <c r="BB27" i="5"/>
  <c r="BC27" i="5"/>
  <c r="BD27" i="5"/>
  <c r="BE27" i="5"/>
  <c r="BF27" i="5"/>
  <c r="BG27" i="5"/>
  <c r="BH27" i="5"/>
  <c r="BI27" i="5"/>
  <c r="BJ27" i="5"/>
  <c r="BK27" i="5"/>
  <c r="BL27" i="5"/>
  <c r="BM27" i="5"/>
  <c r="BN27" i="5"/>
  <c r="BO27" i="5"/>
  <c r="BP27" i="5"/>
  <c r="BQ27" i="5"/>
  <c r="BR27" i="5"/>
  <c r="BS27" i="5"/>
  <c r="BT27" i="5"/>
  <c r="BU27" i="5"/>
  <c r="BV27" i="5"/>
  <c r="BW27" i="5"/>
  <c r="BX27" i="5"/>
  <c r="BY27" i="5"/>
  <c r="BZ27" i="5"/>
  <c r="CA27" i="5"/>
  <c r="CB27" i="5"/>
  <c r="CC27" i="5"/>
  <c r="CD27" i="5"/>
  <c r="CE27" i="5"/>
  <c r="CF27" i="5"/>
  <c r="CG27" i="5"/>
  <c r="CH27" i="5"/>
  <c r="CI27" i="5"/>
  <c r="CJ27" i="5"/>
  <c r="CK27" i="5"/>
  <c r="CL27" i="5"/>
  <c r="CM27" i="5"/>
  <c r="CN27" i="5"/>
  <c r="CO27" i="5"/>
  <c r="CP27" i="5"/>
  <c r="CQ27" i="5"/>
  <c r="CR27" i="5"/>
  <c r="CS27" i="5"/>
  <c r="CT27" i="5"/>
  <c r="CU27" i="5"/>
  <c r="CV27" i="5"/>
  <c r="CW27" i="5"/>
  <c r="CX27" i="5"/>
  <c r="CY27" i="5"/>
  <c r="CZ27" i="5"/>
  <c r="DA27" i="5"/>
  <c r="DB27" i="5"/>
  <c r="DC27" i="5"/>
  <c r="DD27" i="5"/>
  <c r="DE27" i="5"/>
  <c r="DF27" i="5"/>
  <c r="DG27" i="5"/>
  <c r="DH27" i="5"/>
  <c r="DI27" i="5"/>
  <c r="DJ27" i="5"/>
  <c r="DK27" i="5"/>
  <c r="DL27" i="5"/>
  <c r="DM27" i="5"/>
  <c r="DN27" i="5"/>
  <c r="DO27" i="5"/>
  <c r="DP27" i="5"/>
  <c r="DQ27" i="5"/>
  <c r="DR27" i="5"/>
  <c r="DS27" i="5"/>
  <c r="DT27" i="5"/>
  <c r="DU27" i="5"/>
  <c r="DV27" i="5"/>
  <c r="DW27" i="5"/>
  <c r="DX27" i="5"/>
  <c r="DY27" i="5"/>
  <c r="DZ27" i="5"/>
  <c r="EA27" i="5"/>
  <c r="EB27" i="5"/>
  <c r="EC27" i="5"/>
  <c r="ED27" i="5"/>
  <c r="EE27" i="5"/>
  <c r="EF27" i="5"/>
  <c r="EG27" i="5"/>
  <c r="EH27" i="5"/>
  <c r="EI27" i="5"/>
  <c r="EJ27" i="5"/>
  <c r="EK27" i="5"/>
  <c r="EL27" i="5"/>
  <c r="EM27" i="5"/>
  <c r="EN27" i="5"/>
  <c r="EO27" i="5"/>
  <c r="EP27" i="5"/>
  <c r="EQ27" i="5"/>
  <c r="ER27" i="5"/>
  <c r="ES27" i="5"/>
  <c r="ET27" i="5"/>
  <c r="EU27" i="5"/>
  <c r="EV27" i="5"/>
  <c r="EW27" i="5"/>
  <c r="EX27" i="5"/>
  <c r="EY27" i="5"/>
  <c r="EZ27" i="5"/>
  <c r="FA27" i="5"/>
  <c r="FB27" i="5"/>
  <c r="FC27" i="5"/>
  <c r="FD27" i="5"/>
  <c r="FE27" i="5"/>
  <c r="FF27" i="5"/>
  <c r="FG27" i="5"/>
  <c r="FH27" i="5"/>
  <c r="FI27" i="5"/>
  <c r="FJ27" i="5"/>
  <c r="FK27" i="5"/>
  <c r="FL27" i="5"/>
  <c r="FM27" i="5"/>
  <c r="FN27" i="5"/>
  <c r="FO27" i="5"/>
  <c r="FP27" i="5"/>
  <c r="FQ27" i="5"/>
  <c r="FR27" i="5"/>
  <c r="FS27" i="5"/>
  <c r="FT27" i="5"/>
  <c r="FU27" i="5"/>
  <c r="FV27" i="5"/>
  <c r="FW27" i="5"/>
  <c r="FX27" i="5"/>
  <c r="FY27" i="5"/>
  <c r="FZ27" i="5"/>
  <c r="GA27" i="5"/>
  <c r="GB27" i="5"/>
  <c r="GC27" i="5"/>
  <c r="GD27" i="5"/>
  <c r="GE27" i="5"/>
  <c r="GF27" i="5"/>
  <c r="GG27" i="5"/>
  <c r="GH27" i="5"/>
  <c r="GI27" i="5"/>
  <c r="GJ27" i="5"/>
  <c r="GK27" i="5"/>
  <c r="GL27" i="5"/>
  <c r="GM27" i="5"/>
  <c r="GN27" i="5"/>
  <c r="GO27" i="5"/>
  <c r="GP27" i="5"/>
  <c r="GQ27" i="5"/>
  <c r="GR27" i="5"/>
  <c r="GS27" i="5"/>
  <c r="GT27" i="5"/>
  <c r="GU27" i="5"/>
  <c r="GV27" i="5"/>
  <c r="GW27" i="5"/>
  <c r="GX27" i="5"/>
  <c r="GY27" i="5"/>
  <c r="GZ27" i="5"/>
  <c r="HA27" i="5"/>
  <c r="HB27" i="5"/>
  <c r="HC27" i="5"/>
  <c r="HD27" i="5"/>
  <c r="HE27" i="5"/>
  <c r="HF27" i="5"/>
  <c r="HG27" i="5"/>
  <c r="HH27" i="5"/>
  <c r="HI27" i="5"/>
  <c r="HJ27" i="5"/>
  <c r="HK27" i="5"/>
  <c r="HL27" i="5"/>
  <c r="HM27" i="5"/>
  <c r="HN27" i="5"/>
  <c r="HO27" i="5"/>
  <c r="HP27" i="5"/>
  <c r="HQ27" i="5"/>
  <c r="HR27" i="5"/>
  <c r="HS27" i="5"/>
  <c r="HT27" i="5"/>
  <c r="HU27" i="5"/>
  <c r="HV27" i="5"/>
  <c r="HW27" i="5"/>
  <c r="HX27" i="5"/>
  <c r="HY27" i="5"/>
  <c r="HZ27" i="5"/>
  <c r="IA27" i="5"/>
  <c r="IB27" i="5"/>
  <c r="IC27" i="5"/>
  <c r="ID27" i="5"/>
  <c r="IE27" i="5"/>
  <c r="IF27" i="5"/>
  <c r="IG27" i="5"/>
  <c r="IH27" i="5"/>
  <c r="II27" i="5"/>
  <c r="IJ27" i="5"/>
  <c r="IK27" i="5"/>
  <c r="IL27" i="5"/>
  <c r="IM27" i="5"/>
  <c r="IN27" i="5"/>
  <c r="IO27" i="5"/>
  <c r="IP27" i="5"/>
  <c r="IQ27" i="5"/>
  <c r="IR27" i="5"/>
  <c r="IS27" i="5"/>
  <c r="IT27" i="5"/>
  <c r="IU27" i="5"/>
  <c r="IV27" i="5"/>
  <c r="IW27" i="5"/>
  <c r="IX27" i="5"/>
  <c r="IY27" i="5"/>
  <c r="IZ27" i="5"/>
  <c r="JA27" i="5"/>
  <c r="JB27" i="5"/>
  <c r="JC27" i="5"/>
  <c r="JD27" i="5"/>
  <c r="JE27" i="5"/>
  <c r="JF27" i="5"/>
  <c r="JG27" i="5"/>
  <c r="JH27" i="5"/>
  <c r="JI27" i="5"/>
  <c r="JJ27" i="5"/>
  <c r="JK27" i="5"/>
  <c r="JL27" i="5"/>
  <c r="JM27" i="5"/>
  <c r="JN27" i="5"/>
  <c r="JO27" i="5"/>
  <c r="JP27" i="5"/>
  <c r="JQ27" i="5"/>
  <c r="JR27" i="5"/>
  <c r="JS27" i="5"/>
  <c r="JT27" i="5"/>
  <c r="JU27" i="5"/>
  <c r="JV27" i="5"/>
  <c r="JW27" i="5"/>
  <c r="JX27" i="5"/>
  <c r="JY27" i="5"/>
  <c r="JZ27" i="5"/>
  <c r="KA27" i="5"/>
  <c r="KB27" i="5"/>
  <c r="KC27" i="5"/>
  <c r="KD27" i="5"/>
  <c r="KE27" i="5"/>
  <c r="KF27" i="5"/>
  <c r="KG27" i="5"/>
  <c r="KH27" i="5"/>
  <c r="KI27" i="5"/>
  <c r="KJ27" i="5"/>
  <c r="KK27" i="5"/>
  <c r="KL27" i="5"/>
  <c r="KM27" i="5"/>
  <c r="KN27" i="5"/>
  <c r="KO27" i="5"/>
  <c r="KP27" i="5"/>
  <c r="KQ27" i="5"/>
  <c r="KR27" i="5"/>
  <c r="KS27" i="5"/>
  <c r="KT27" i="5"/>
  <c r="KU27" i="5"/>
  <c r="KV27" i="5"/>
  <c r="KW27" i="5"/>
  <c r="KX27" i="5"/>
  <c r="KY27" i="5"/>
  <c r="KZ27" i="5"/>
  <c r="LA27" i="5"/>
  <c r="LB27" i="5"/>
  <c r="LC27" i="5"/>
  <c r="LD27" i="5"/>
  <c r="LE27" i="5"/>
  <c r="LF27" i="5"/>
  <c r="LG27" i="5"/>
  <c r="LH27" i="5"/>
  <c r="LI27" i="5"/>
  <c r="LJ27" i="5"/>
  <c r="LK27" i="5"/>
  <c r="LL27" i="5"/>
  <c r="LM27" i="5"/>
  <c r="LN27" i="5"/>
  <c r="LO27" i="5"/>
  <c r="LP27" i="5"/>
  <c r="LQ27" i="5"/>
  <c r="LR27" i="5"/>
  <c r="LS27" i="5"/>
  <c r="LT27" i="5"/>
  <c r="LU27" i="5"/>
  <c r="LV27" i="5"/>
  <c r="LW27" i="5"/>
  <c r="LX27" i="5"/>
  <c r="LY27" i="5"/>
  <c r="LZ27" i="5"/>
  <c r="MA27" i="5"/>
  <c r="MB27" i="5"/>
  <c r="MC27" i="5"/>
  <c r="MD27" i="5"/>
  <c r="ME27" i="5"/>
  <c r="MF27" i="5"/>
  <c r="MG27" i="5"/>
  <c r="MH27" i="5"/>
  <c r="MI27" i="5"/>
  <c r="MJ27" i="5"/>
  <c r="MK27" i="5"/>
  <c r="ML27" i="5"/>
  <c r="MM27" i="5"/>
  <c r="MN27" i="5"/>
  <c r="MO27" i="5"/>
  <c r="MP27" i="5"/>
  <c r="MQ27" i="5"/>
  <c r="MR27" i="5"/>
  <c r="MS27" i="5"/>
  <c r="MT27" i="5"/>
  <c r="MU27" i="5"/>
  <c r="MV27" i="5"/>
  <c r="MW27" i="5"/>
  <c r="MX27" i="5"/>
  <c r="MY27" i="5"/>
  <c r="MZ27" i="5"/>
  <c r="NA27" i="5"/>
  <c r="NB27" i="5"/>
  <c r="NC27" i="5"/>
  <c r="ND27" i="5"/>
  <c r="NE27" i="5"/>
  <c r="NF27" i="5"/>
  <c r="NG27" i="5"/>
  <c r="NH27" i="5"/>
  <c r="NI27" i="5"/>
  <c r="NJ27" i="5"/>
  <c r="NK27" i="5"/>
  <c r="NL27" i="5"/>
  <c r="NM27" i="5"/>
  <c r="NN27" i="5"/>
  <c r="NO27" i="5"/>
  <c r="NP27" i="5"/>
  <c r="NQ27" i="5"/>
  <c r="NR27" i="5"/>
  <c r="NS27" i="5"/>
  <c r="NT27" i="5"/>
  <c r="NU27" i="5"/>
  <c r="NV27" i="5"/>
  <c r="NW27" i="5"/>
  <c r="NX27" i="5"/>
  <c r="NY27" i="5"/>
  <c r="NZ27" i="5"/>
  <c r="OA27" i="5"/>
  <c r="OB27" i="5"/>
  <c r="OC27" i="5"/>
  <c r="OD27" i="5"/>
  <c r="OE27" i="5"/>
  <c r="OF27" i="5"/>
  <c r="OG27" i="5"/>
  <c r="OH27" i="5"/>
  <c r="OI27" i="5"/>
  <c r="OJ27" i="5"/>
  <c r="OK27" i="5"/>
  <c r="OL27" i="5"/>
  <c r="OM27" i="5"/>
  <c r="ON27" i="5"/>
  <c r="OO27" i="5"/>
  <c r="OP27" i="5"/>
  <c r="OQ27" i="5"/>
  <c r="OR27" i="5"/>
  <c r="OS27" i="5"/>
  <c r="OT27" i="5"/>
  <c r="OU27" i="5"/>
  <c r="OV27" i="5"/>
  <c r="OW27" i="5"/>
  <c r="OX27" i="5"/>
  <c r="OY27" i="5"/>
  <c r="OZ27" i="5"/>
  <c r="PA27" i="5"/>
  <c r="PB27" i="5"/>
  <c r="PC27" i="5"/>
  <c r="PD27" i="5"/>
  <c r="PE27" i="5"/>
  <c r="PF27" i="5"/>
  <c r="PG27" i="5"/>
  <c r="PH27" i="5"/>
  <c r="PI27" i="5"/>
  <c r="PJ27" i="5"/>
  <c r="PK27" i="5"/>
  <c r="PL27" i="5"/>
  <c r="PM27" i="5"/>
  <c r="PN27" i="5"/>
  <c r="PO27" i="5"/>
  <c r="PP27" i="5"/>
  <c r="PQ27" i="5"/>
  <c r="PR27" i="5"/>
  <c r="PS27" i="5"/>
  <c r="PT27" i="5"/>
  <c r="PU27" i="5"/>
  <c r="PV27" i="5"/>
  <c r="PW27" i="5"/>
  <c r="PX27" i="5"/>
  <c r="PY27" i="5"/>
  <c r="PZ27" i="5"/>
  <c r="QA27" i="5"/>
  <c r="QB27" i="5"/>
  <c r="QC27" i="5"/>
  <c r="QD27" i="5"/>
  <c r="QE27" i="5"/>
  <c r="QF27" i="5"/>
  <c r="QG27" i="5"/>
  <c r="QH27" i="5"/>
  <c r="QI27" i="5"/>
  <c r="QJ27" i="5"/>
  <c r="QK27" i="5"/>
  <c r="QL27" i="5"/>
  <c r="QM27" i="5"/>
  <c r="QN27" i="5"/>
  <c r="QO27" i="5"/>
  <c r="QP27" i="5"/>
  <c r="QQ27" i="5"/>
  <c r="QR27" i="5"/>
  <c r="QS27" i="5"/>
  <c r="QT27" i="5"/>
  <c r="QU27" i="5"/>
  <c r="QV27" i="5"/>
  <c r="QW27" i="5"/>
  <c r="QX27" i="5"/>
  <c r="QY27" i="5"/>
  <c r="QZ27" i="5"/>
  <c r="RA27" i="5"/>
  <c r="RB27" i="5"/>
  <c r="RC27" i="5"/>
  <c r="RD27" i="5"/>
  <c r="RE27" i="5"/>
  <c r="RF27" i="5"/>
  <c r="RG27" i="5"/>
  <c r="RH27" i="5"/>
  <c r="RI27" i="5"/>
  <c r="RJ27" i="5"/>
  <c r="RK27" i="5"/>
  <c r="RL27" i="5"/>
  <c r="RM27" i="5"/>
  <c r="RN27" i="5"/>
  <c r="RO27" i="5"/>
  <c r="RP27" i="5"/>
  <c r="RQ27" i="5"/>
  <c r="RR27" i="5"/>
  <c r="RS27" i="5"/>
  <c r="RT27" i="5"/>
  <c r="RU27" i="5"/>
  <c r="RV27" i="5"/>
  <c r="RW27" i="5"/>
  <c r="RX27" i="5"/>
  <c r="RY27" i="5"/>
  <c r="RZ27" i="5"/>
  <c r="SA27" i="5"/>
  <c r="SB27" i="5"/>
  <c r="SC27" i="5"/>
  <c r="SD27" i="5"/>
  <c r="SE27" i="5"/>
  <c r="SF27" i="5"/>
  <c r="SG27" i="5"/>
  <c r="SH27" i="5"/>
  <c r="SI27" i="5"/>
  <c r="SJ27" i="5"/>
  <c r="SK27" i="5"/>
  <c r="SL27" i="5"/>
  <c r="SM27" i="5"/>
  <c r="SN27" i="5"/>
  <c r="SO27" i="5"/>
  <c r="SP27" i="5"/>
  <c r="SQ27" i="5"/>
  <c r="SR27" i="5"/>
  <c r="SS27" i="5"/>
  <c r="ST27" i="5"/>
  <c r="SU27" i="5"/>
  <c r="SV27" i="5"/>
  <c r="SW27" i="5"/>
  <c r="SX27" i="5"/>
  <c r="SY27" i="5"/>
  <c r="SZ27" i="5"/>
  <c r="TA27" i="5"/>
  <c r="TB27" i="5"/>
  <c r="TC27" i="5"/>
  <c r="TD27" i="5"/>
  <c r="TE27" i="5"/>
  <c r="TF27" i="5"/>
  <c r="TG27" i="5"/>
  <c r="TH27" i="5"/>
  <c r="TI27" i="5"/>
  <c r="TJ27" i="5"/>
  <c r="TK27" i="5"/>
  <c r="TL27" i="5"/>
  <c r="TM27" i="5"/>
  <c r="TN27" i="5"/>
  <c r="TO27" i="5"/>
  <c r="TP27" i="5"/>
  <c r="TQ27" i="5"/>
  <c r="TR27" i="5"/>
  <c r="TS27" i="5"/>
  <c r="TT27" i="5"/>
  <c r="TU27" i="5"/>
  <c r="TV27" i="5"/>
  <c r="TW27" i="5"/>
  <c r="TX27" i="5"/>
  <c r="TY27" i="5"/>
  <c r="TZ27" i="5"/>
  <c r="UA27" i="5"/>
  <c r="UB27" i="5"/>
  <c r="UC27" i="5"/>
  <c r="UD27" i="5"/>
  <c r="UE27" i="5"/>
  <c r="UF27" i="5"/>
  <c r="UG27" i="5"/>
  <c r="UH27" i="5"/>
  <c r="UI27" i="5"/>
  <c r="UJ27" i="5"/>
  <c r="UK27" i="5"/>
  <c r="K28" i="5"/>
  <c r="L28" i="5"/>
  <c r="M28" i="5"/>
  <c r="N28" i="5"/>
  <c r="O28" i="5"/>
  <c r="P28" i="5"/>
  <c r="Q28" i="5"/>
  <c r="R28" i="5"/>
  <c r="S28" i="5"/>
  <c r="T28" i="5"/>
  <c r="U28" i="5"/>
  <c r="V28" i="5"/>
  <c r="W28" i="5"/>
  <c r="X28" i="5"/>
  <c r="Y28" i="5"/>
  <c r="Z28" i="5"/>
  <c r="AA28" i="5"/>
  <c r="AB28" i="5"/>
  <c r="AC28" i="5"/>
  <c r="AD28" i="5"/>
  <c r="AE28" i="5"/>
  <c r="AF28" i="5"/>
  <c r="AG28" i="5"/>
  <c r="AH28" i="5"/>
  <c r="AI28" i="5"/>
  <c r="AJ28" i="5"/>
  <c r="AK28" i="5"/>
  <c r="AL28" i="5"/>
  <c r="AM28" i="5"/>
  <c r="AN28" i="5"/>
  <c r="AO28" i="5"/>
  <c r="AP28" i="5"/>
  <c r="AQ28" i="5"/>
  <c r="AR28" i="5"/>
  <c r="AS28" i="5"/>
  <c r="AT28" i="5"/>
  <c r="AU28" i="5"/>
  <c r="AV28" i="5"/>
  <c r="AW28" i="5"/>
  <c r="AX28" i="5"/>
  <c r="AY28" i="5"/>
  <c r="AZ28" i="5"/>
  <c r="BA28" i="5"/>
  <c r="BB28" i="5"/>
  <c r="BC28" i="5"/>
  <c r="BD28" i="5"/>
  <c r="BE28" i="5"/>
  <c r="BF28" i="5"/>
  <c r="BG28" i="5"/>
  <c r="BH28" i="5"/>
  <c r="BI28" i="5"/>
  <c r="BJ28" i="5"/>
  <c r="BK28" i="5"/>
  <c r="BL28" i="5"/>
  <c r="BM28" i="5"/>
  <c r="BN28" i="5"/>
  <c r="BO28" i="5"/>
  <c r="BP28" i="5"/>
  <c r="BQ28" i="5"/>
  <c r="BR28" i="5"/>
  <c r="BS28" i="5"/>
  <c r="BT28" i="5"/>
  <c r="BU28" i="5"/>
  <c r="BV28" i="5"/>
  <c r="BW28" i="5"/>
  <c r="BX28" i="5"/>
  <c r="BY28" i="5"/>
  <c r="BZ28" i="5"/>
  <c r="CA28" i="5"/>
  <c r="CB28" i="5"/>
  <c r="CC28" i="5"/>
  <c r="CD28" i="5"/>
  <c r="CE28" i="5"/>
  <c r="CF28" i="5"/>
  <c r="CG28" i="5"/>
  <c r="CH28" i="5"/>
  <c r="CI28" i="5"/>
  <c r="CJ28" i="5"/>
  <c r="CK28" i="5"/>
  <c r="CL28" i="5"/>
  <c r="CM28" i="5"/>
  <c r="CN28" i="5"/>
  <c r="CO28" i="5"/>
  <c r="CP28" i="5"/>
  <c r="CQ28" i="5"/>
  <c r="CR28" i="5"/>
  <c r="CS28" i="5"/>
  <c r="CT28" i="5"/>
  <c r="CU28" i="5"/>
  <c r="CV28" i="5"/>
  <c r="CW28" i="5"/>
  <c r="CX28" i="5"/>
  <c r="CY28" i="5"/>
  <c r="CZ28" i="5"/>
  <c r="DA28" i="5"/>
  <c r="DB28" i="5"/>
  <c r="DC28" i="5"/>
  <c r="DD28" i="5"/>
  <c r="DE28" i="5"/>
  <c r="DF28" i="5"/>
  <c r="DG28" i="5"/>
  <c r="DH28" i="5"/>
  <c r="DI28" i="5"/>
  <c r="DJ28" i="5"/>
  <c r="DK28" i="5"/>
  <c r="DL28" i="5"/>
  <c r="DM28" i="5"/>
  <c r="DN28" i="5"/>
  <c r="DO28" i="5"/>
  <c r="DP28" i="5"/>
  <c r="DQ28" i="5"/>
  <c r="DR28" i="5"/>
  <c r="DS28" i="5"/>
  <c r="DT28" i="5"/>
  <c r="DU28" i="5"/>
  <c r="DV28" i="5"/>
  <c r="DW28" i="5"/>
  <c r="DX28" i="5"/>
  <c r="DY28" i="5"/>
  <c r="DZ28" i="5"/>
  <c r="EA28" i="5"/>
  <c r="EB28" i="5"/>
  <c r="EC28" i="5"/>
  <c r="ED28" i="5"/>
  <c r="EE28" i="5"/>
  <c r="EF28" i="5"/>
  <c r="EG28" i="5"/>
  <c r="EH28" i="5"/>
  <c r="EI28" i="5"/>
  <c r="EJ28" i="5"/>
  <c r="EK28" i="5"/>
  <c r="EL28" i="5"/>
  <c r="EM28" i="5"/>
  <c r="EN28" i="5"/>
  <c r="EO28" i="5"/>
  <c r="EP28" i="5"/>
  <c r="EQ28" i="5"/>
  <c r="ER28" i="5"/>
  <c r="ES28" i="5"/>
  <c r="ET28" i="5"/>
  <c r="EU28" i="5"/>
  <c r="EV28" i="5"/>
  <c r="EW28" i="5"/>
  <c r="EX28" i="5"/>
  <c r="EY28" i="5"/>
  <c r="EZ28" i="5"/>
  <c r="FA28" i="5"/>
  <c r="FB28" i="5"/>
  <c r="FC28" i="5"/>
  <c r="FD28" i="5"/>
  <c r="FE28" i="5"/>
  <c r="FF28" i="5"/>
  <c r="FG28" i="5"/>
  <c r="FH28" i="5"/>
  <c r="FI28" i="5"/>
  <c r="FJ28" i="5"/>
  <c r="FK28" i="5"/>
  <c r="FL28" i="5"/>
  <c r="FM28" i="5"/>
  <c r="FN28" i="5"/>
  <c r="FO28" i="5"/>
  <c r="FP28" i="5"/>
  <c r="FQ28" i="5"/>
  <c r="FR28" i="5"/>
  <c r="FS28" i="5"/>
  <c r="FT28" i="5"/>
  <c r="FU28" i="5"/>
  <c r="FV28" i="5"/>
  <c r="FW28" i="5"/>
  <c r="FX28" i="5"/>
  <c r="FY28" i="5"/>
  <c r="FZ28" i="5"/>
  <c r="GA28" i="5"/>
  <c r="GB28" i="5"/>
  <c r="GC28" i="5"/>
  <c r="GD28" i="5"/>
  <c r="GE28" i="5"/>
  <c r="GF28" i="5"/>
  <c r="GG28" i="5"/>
  <c r="GH28" i="5"/>
  <c r="GI28" i="5"/>
  <c r="GJ28" i="5"/>
  <c r="GK28" i="5"/>
  <c r="GL28" i="5"/>
  <c r="GM28" i="5"/>
  <c r="GN28" i="5"/>
  <c r="GO28" i="5"/>
  <c r="GP28" i="5"/>
  <c r="GQ28" i="5"/>
  <c r="GR28" i="5"/>
  <c r="GS28" i="5"/>
  <c r="GT28" i="5"/>
  <c r="GU28" i="5"/>
  <c r="GV28" i="5"/>
  <c r="GW28" i="5"/>
  <c r="GX28" i="5"/>
  <c r="GY28" i="5"/>
  <c r="GZ28" i="5"/>
  <c r="HA28" i="5"/>
  <c r="HB28" i="5"/>
  <c r="HC28" i="5"/>
  <c r="HD28" i="5"/>
  <c r="HE28" i="5"/>
  <c r="HF28" i="5"/>
  <c r="HG28" i="5"/>
  <c r="HH28" i="5"/>
  <c r="HI28" i="5"/>
  <c r="HJ28" i="5"/>
  <c r="HK28" i="5"/>
  <c r="HL28" i="5"/>
  <c r="HM28" i="5"/>
  <c r="HN28" i="5"/>
  <c r="HO28" i="5"/>
  <c r="HP28" i="5"/>
  <c r="HQ28" i="5"/>
  <c r="HR28" i="5"/>
  <c r="HS28" i="5"/>
  <c r="HT28" i="5"/>
  <c r="HU28" i="5"/>
  <c r="HV28" i="5"/>
  <c r="HW28" i="5"/>
  <c r="HX28" i="5"/>
  <c r="HY28" i="5"/>
  <c r="HZ28" i="5"/>
  <c r="IA28" i="5"/>
  <c r="IB28" i="5"/>
  <c r="IC28" i="5"/>
  <c r="ID28" i="5"/>
  <c r="IE28" i="5"/>
  <c r="IF28" i="5"/>
  <c r="IG28" i="5"/>
  <c r="IH28" i="5"/>
  <c r="II28" i="5"/>
  <c r="IJ28" i="5"/>
  <c r="IK28" i="5"/>
  <c r="IL28" i="5"/>
  <c r="IM28" i="5"/>
  <c r="IN28" i="5"/>
  <c r="IO28" i="5"/>
  <c r="IP28" i="5"/>
  <c r="IQ28" i="5"/>
  <c r="IR28" i="5"/>
  <c r="IS28" i="5"/>
  <c r="IT28" i="5"/>
  <c r="IU28" i="5"/>
  <c r="IV28" i="5"/>
  <c r="IW28" i="5"/>
  <c r="IX28" i="5"/>
  <c r="IY28" i="5"/>
  <c r="IZ28" i="5"/>
  <c r="JA28" i="5"/>
  <c r="JB28" i="5"/>
  <c r="JC28" i="5"/>
  <c r="JD28" i="5"/>
  <c r="JE28" i="5"/>
  <c r="JF28" i="5"/>
  <c r="JG28" i="5"/>
  <c r="JH28" i="5"/>
  <c r="JI28" i="5"/>
  <c r="JJ28" i="5"/>
  <c r="JK28" i="5"/>
  <c r="JL28" i="5"/>
  <c r="JM28" i="5"/>
  <c r="JN28" i="5"/>
  <c r="JO28" i="5"/>
  <c r="JP28" i="5"/>
  <c r="JQ28" i="5"/>
  <c r="JR28" i="5"/>
  <c r="JS28" i="5"/>
  <c r="JT28" i="5"/>
  <c r="JU28" i="5"/>
  <c r="JV28" i="5"/>
  <c r="JW28" i="5"/>
  <c r="JX28" i="5"/>
  <c r="JY28" i="5"/>
  <c r="JZ28" i="5"/>
  <c r="KA28" i="5"/>
  <c r="KB28" i="5"/>
  <c r="KC28" i="5"/>
  <c r="KD28" i="5"/>
  <c r="KE28" i="5"/>
  <c r="KF28" i="5"/>
  <c r="KG28" i="5"/>
  <c r="KH28" i="5"/>
  <c r="KI28" i="5"/>
  <c r="KJ28" i="5"/>
  <c r="KK28" i="5"/>
  <c r="KL28" i="5"/>
  <c r="KM28" i="5"/>
  <c r="KN28" i="5"/>
  <c r="KO28" i="5"/>
  <c r="KP28" i="5"/>
  <c r="KQ28" i="5"/>
  <c r="KR28" i="5"/>
  <c r="KS28" i="5"/>
  <c r="KT28" i="5"/>
  <c r="KU28" i="5"/>
  <c r="KV28" i="5"/>
  <c r="KW28" i="5"/>
  <c r="KX28" i="5"/>
  <c r="KY28" i="5"/>
  <c r="KZ28" i="5"/>
  <c r="LA28" i="5"/>
  <c r="LB28" i="5"/>
  <c r="LC28" i="5"/>
  <c r="LD28" i="5"/>
  <c r="LE28" i="5"/>
  <c r="LF28" i="5"/>
  <c r="LG28" i="5"/>
  <c r="LH28" i="5"/>
  <c r="LI28" i="5"/>
  <c r="LJ28" i="5"/>
  <c r="LK28" i="5"/>
  <c r="LL28" i="5"/>
  <c r="LM28" i="5"/>
  <c r="LN28" i="5"/>
  <c r="LO28" i="5"/>
  <c r="LP28" i="5"/>
  <c r="LQ28" i="5"/>
  <c r="LR28" i="5"/>
  <c r="LS28" i="5"/>
  <c r="LT28" i="5"/>
  <c r="LU28" i="5"/>
  <c r="LV28" i="5"/>
  <c r="LW28" i="5"/>
  <c r="LX28" i="5"/>
  <c r="LY28" i="5"/>
  <c r="LZ28" i="5"/>
  <c r="MA28" i="5"/>
  <c r="MB28" i="5"/>
  <c r="MC28" i="5"/>
  <c r="MD28" i="5"/>
  <c r="ME28" i="5"/>
  <c r="MF28" i="5"/>
  <c r="MG28" i="5"/>
  <c r="MH28" i="5"/>
  <c r="MI28" i="5"/>
  <c r="MJ28" i="5"/>
  <c r="MK28" i="5"/>
  <c r="ML28" i="5"/>
  <c r="MM28" i="5"/>
  <c r="MN28" i="5"/>
  <c r="MO28" i="5"/>
  <c r="MP28" i="5"/>
  <c r="MQ28" i="5"/>
  <c r="MR28" i="5"/>
  <c r="MS28" i="5"/>
  <c r="MT28" i="5"/>
  <c r="MU28" i="5"/>
  <c r="MV28" i="5"/>
  <c r="MW28" i="5"/>
  <c r="MX28" i="5"/>
  <c r="MY28" i="5"/>
  <c r="MZ28" i="5"/>
  <c r="NA28" i="5"/>
  <c r="NB28" i="5"/>
  <c r="NC28" i="5"/>
  <c r="ND28" i="5"/>
  <c r="NE28" i="5"/>
  <c r="NF28" i="5"/>
  <c r="NG28" i="5"/>
  <c r="NH28" i="5"/>
  <c r="NI28" i="5"/>
  <c r="NJ28" i="5"/>
  <c r="NK28" i="5"/>
  <c r="NL28" i="5"/>
  <c r="NM28" i="5"/>
  <c r="NN28" i="5"/>
  <c r="NO28" i="5"/>
  <c r="NP28" i="5"/>
  <c r="NQ28" i="5"/>
  <c r="NR28" i="5"/>
  <c r="NS28" i="5"/>
  <c r="NT28" i="5"/>
  <c r="NU28" i="5"/>
  <c r="NV28" i="5"/>
  <c r="NW28" i="5"/>
  <c r="NX28" i="5"/>
  <c r="NY28" i="5"/>
  <c r="NZ28" i="5"/>
  <c r="OA28" i="5"/>
  <c r="OB28" i="5"/>
  <c r="OC28" i="5"/>
  <c r="OD28" i="5"/>
  <c r="OE28" i="5"/>
  <c r="OF28" i="5"/>
  <c r="OG28" i="5"/>
  <c r="OH28" i="5"/>
  <c r="OI28" i="5"/>
  <c r="OJ28" i="5"/>
  <c r="OK28" i="5"/>
  <c r="OL28" i="5"/>
  <c r="OM28" i="5"/>
  <c r="ON28" i="5"/>
  <c r="OO28" i="5"/>
  <c r="OP28" i="5"/>
  <c r="OQ28" i="5"/>
  <c r="OR28" i="5"/>
  <c r="OS28" i="5"/>
  <c r="OT28" i="5"/>
  <c r="OU28" i="5"/>
  <c r="OV28" i="5"/>
  <c r="OW28" i="5"/>
  <c r="OX28" i="5"/>
  <c r="OY28" i="5"/>
  <c r="OZ28" i="5"/>
  <c r="PA28" i="5"/>
  <c r="PB28" i="5"/>
  <c r="PC28" i="5"/>
  <c r="PD28" i="5"/>
  <c r="PE28" i="5"/>
  <c r="PF28" i="5"/>
  <c r="PG28" i="5"/>
  <c r="PH28" i="5"/>
  <c r="PI28" i="5"/>
  <c r="PJ28" i="5"/>
  <c r="PK28" i="5"/>
  <c r="PL28" i="5"/>
  <c r="PM28" i="5"/>
  <c r="PN28" i="5"/>
  <c r="PO28" i="5"/>
  <c r="PP28" i="5"/>
  <c r="PQ28" i="5"/>
  <c r="PR28" i="5"/>
  <c r="PS28" i="5"/>
  <c r="PT28" i="5"/>
  <c r="PU28" i="5"/>
  <c r="PV28" i="5"/>
  <c r="PW28" i="5"/>
  <c r="PX28" i="5"/>
  <c r="PY28" i="5"/>
  <c r="PZ28" i="5"/>
  <c r="QA28" i="5"/>
  <c r="QB28" i="5"/>
  <c r="QC28" i="5"/>
  <c r="QD28" i="5"/>
  <c r="QE28" i="5"/>
  <c r="QF28" i="5"/>
  <c r="QG28" i="5"/>
  <c r="QH28" i="5"/>
  <c r="QI28" i="5"/>
  <c r="QJ28" i="5"/>
  <c r="QK28" i="5"/>
  <c r="QL28" i="5"/>
  <c r="QM28" i="5"/>
  <c r="QN28" i="5"/>
  <c r="QO28" i="5"/>
  <c r="QP28" i="5"/>
  <c r="QQ28" i="5"/>
  <c r="QR28" i="5"/>
  <c r="QS28" i="5"/>
  <c r="QT28" i="5"/>
  <c r="QU28" i="5"/>
  <c r="QV28" i="5"/>
  <c r="QW28" i="5"/>
  <c r="QX28" i="5"/>
  <c r="QY28" i="5"/>
  <c r="QZ28" i="5"/>
  <c r="RA28" i="5"/>
  <c r="RB28" i="5"/>
  <c r="RC28" i="5"/>
  <c r="RD28" i="5"/>
  <c r="RE28" i="5"/>
  <c r="RF28" i="5"/>
  <c r="RG28" i="5"/>
  <c r="RH28" i="5"/>
  <c r="RI28" i="5"/>
  <c r="RJ28" i="5"/>
  <c r="RK28" i="5"/>
  <c r="RL28" i="5"/>
  <c r="RM28" i="5"/>
  <c r="RN28" i="5"/>
  <c r="RO28" i="5"/>
  <c r="RP28" i="5"/>
  <c r="RQ28" i="5"/>
  <c r="RR28" i="5"/>
  <c r="RS28" i="5"/>
  <c r="RT28" i="5"/>
  <c r="RU28" i="5"/>
  <c r="RV28" i="5"/>
  <c r="RW28" i="5"/>
  <c r="RX28" i="5"/>
  <c r="RY28" i="5"/>
  <c r="RZ28" i="5"/>
  <c r="SA28" i="5"/>
  <c r="SB28" i="5"/>
  <c r="SC28" i="5"/>
  <c r="SD28" i="5"/>
  <c r="SE28" i="5"/>
  <c r="SF28" i="5"/>
  <c r="SG28" i="5"/>
  <c r="SH28" i="5"/>
  <c r="SI28" i="5"/>
  <c r="SJ28" i="5"/>
  <c r="SK28" i="5"/>
  <c r="SL28" i="5"/>
  <c r="SM28" i="5"/>
  <c r="SN28" i="5"/>
  <c r="SO28" i="5"/>
  <c r="SP28" i="5"/>
  <c r="SQ28" i="5"/>
  <c r="SR28" i="5"/>
  <c r="SS28" i="5"/>
  <c r="ST28" i="5"/>
  <c r="SU28" i="5"/>
  <c r="SV28" i="5"/>
  <c r="SW28" i="5"/>
  <c r="SX28" i="5"/>
  <c r="SY28" i="5"/>
  <c r="SZ28" i="5"/>
  <c r="TA28" i="5"/>
  <c r="TB28" i="5"/>
  <c r="TC28" i="5"/>
  <c r="TD28" i="5"/>
  <c r="TE28" i="5"/>
  <c r="TF28" i="5"/>
  <c r="TG28" i="5"/>
  <c r="TH28" i="5"/>
  <c r="TI28" i="5"/>
  <c r="TJ28" i="5"/>
  <c r="TK28" i="5"/>
  <c r="TL28" i="5"/>
  <c r="TM28" i="5"/>
  <c r="TN28" i="5"/>
  <c r="TO28" i="5"/>
  <c r="TP28" i="5"/>
  <c r="TQ28" i="5"/>
  <c r="TR28" i="5"/>
  <c r="TS28" i="5"/>
  <c r="TT28" i="5"/>
  <c r="TU28" i="5"/>
  <c r="TV28" i="5"/>
  <c r="TW28" i="5"/>
  <c r="TX28" i="5"/>
  <c r="TY28" i="5"/>
  <c r="TZ28" i="5"/>
  <c r="UA28" i="5"/>
  <c r="UB28" i="5"/>
  <c r="UC28" i="5"/>
  <c r="UD28" i="5"/>
  <c r="UE28" i="5"/>
  <c r="UF28" i="5"/>
  <c r="UG28" i="5"/>
  <c r="UH28" i="5"/>
  <c r="UI28" i="5"/>
  <c r="UJ28" i="5"/>
  <c r="UK28" i="5"/>
  <c r="K29" i="5"/>
  <c r="L29" i="5"/>
  <c r="M29" i="5"/>
  <c r="N29" i="5"/>
  <c r="O29" i="5"/>
  <c r="P29" i="5"/>
  <c r="Q29" i="5"/>
  <c r="R29" i="5"/>
  <c r="S29" i="5"/>
  <c r="T29" i="5"/>
  <c r="U29" i="5"/>
  <c r="V29" i="5"/>
  <c r="W29" i="5"/>
  <c r="X29" i="5"/>
  <c r="Y29" i="5"/>
  <c r="Z29" i="5"/>
  <c r="AA29" i="5"/>
  <c r="AB29" i="5"/>
  <c r="AC29" i="5"/>
  <c r="AD29" i="5"/>
  <c r="AE29" i="5"/>
  <c r="AF29" i="5"/>
  <c r="AG29" i="5"/>
  <c r="AH29" i="5"/>
  <c r="AI29" i="5"/>
  <c r="AJ29" i="5"/>
  <c r="AK29" i="5"/>
  <c r="AL29" i="5"/>
  <c r="AM29" i="5"/>
  <c r="AN29" i="5"/>
  <c r="AO29" i="5"/>
  <c r="AP29" i="5"/>
  <c r="AQ29" i="5"/>
  <c r="AR29" i="5"/>
  <c r="AS29" i="5"/>
  <c r="AT29" i="5"/>
  <c r="AU29" i="5"/>
  <c r="AV29" i="5"/>
  <c r="AW29" i="5"/>
  <c r="AX29" i="5"/>
  <c r="AY29" i="5"/>
  <c r="AZ29" i="5"/>
  <c r="BA29" i="5"/>
  <c r="BB29" i="5"/>
  <c r="BC29" i="5"/>
  <c r="BD29" i="5"/>
  <c r="BE29" i="5"/>
  <c r="BF29" i="5"/>
  <c r="BG29" i="5"/>
  <c r="BH29" i="5"/>
  <c r="BI29" i="5"/>
  <c r="BJ29" i="5"/>
  <c r="BK29" i="5"/>
  <c r="BL29" i="5"/>
  <c r="BM29" i="5"/>
  <c r="BN29" i="5"/>
  <c r="BO29" i="5"/>
  <c r="BP29" i="5"/>
  <c r="BQ29" i="5"/>
  <c r="BR29" i="5"/>
  <c r="BS29" i="5"/>
  <c r="BT29" i="5"/>
  <c r="BU29" i="5"/>
  <c r="BV29" i="5"/>
  <c r="BW29" i="5"/>
  <c r="BX29" i="5"/>
  <c r="BY29" i="5"/>
  <c r="BZ29" i="5"/>
  <c r="CA29" i="5"/>
  <c r="CB29" i="5"/>
  <c r="CC29" i="5"/>
  <c r="CD29" i="5"/>
  <c r="CE29" i="5"/>
  <c r="CF29" i="5"/>
  <c r="CG29" i="5"/>
  <c r="CH29" i="5"/>
  <c r="CI29" i="5"/>
  <c r="CJ29" i="5"/>
  <c r="CK29" i="5"/>
  <c r="CL29" i="5"/>
  <c r="CM29" i="5"/>
  <c r="CN29" i="5"/>
  <c r="CO29" i="5"/>
  <c r="CP29" i="5"/>
  <c r="CQ29" i="5"/>
  <c r="CR29" i="5"/>
  <c r="CS29" i="5"/>
  <c r="CT29" i="5"/>
  <c r="CU29" i="5"/>
  <c r="CV29" i="5"/>
  <c r="CW29" i="5"/>
  <c r="CX29" i="5"/>
  <c r="CY29" i="5"/>
  <c r="CZ29" i="5"/>
  <c r="DA29" i="5"/>
  <c r="DB29" i="5"/>
  <c r="DC29" i="5"/>
  <c r="DD29" i="5"/>
  <c r="DE29" i="5"/>
  <c r="DF29" i="5"/>
  <c r="DG29" i="5"/>
  <c r="DH29" i="5"/>
  <c r="DI29" i="5"/>
  <c r="DJ29" i="5"/>
  <c r="DK29" i="5"/>
  <c r="DL29" i="5"/>
  <c r="DM29" i="5"/>
  <c r="DN29" i="5"/>
  <c r="DO29" i="5"/>
  <c r="DP29" i="5"/>
  <c r="DQ29" i="5"/>
  <c r="DR29" i="5"/>
  <c r="DS29" i="5"/>
  <c r="DT29" i="5"/>
  <c r="DU29" i="5"/>
  <c r="DV29" i="5"/>
  <c r="DW29" i="5"/>
  <c r="DX29" i="5"/>
  <c r="DY29" i="5"/>
  <c r="DZ29" i="5"/>
  <c r="EA29" i="5"/>
  <c r="EB29" i="5"/>
  <c r="EC29" i="5"/>
  <c r="ED29" i="5"/>
  <c r="EE29" i="5"/>
  <c r="EF29" i="5"/>
  <c r="EG29" i="5"/>
  <c r="EH29" i="5"/>
  <c r="EI29" i="5"/>
  <c r="EJ29" i="5"/>
  <c r="EK29" i="5"/>
  <c r="EL29" i="5"/>
  <c r="EM29" i="5"/>
  <c r="EN29" i="5"/>
  <c r="EO29" i="5"/>
  <c r="EP29" i="5"/>
  <c r="EQ29" i="5"/>
  <c r="ER29" i="5"/>
  <c r="ES29" i="5"/>
  <c r="ET29" i="5"/>
  <c r="EU29" i="5"/>
  <c r="EV29" i="5"/>
  <c r="EW29" i="5"/>
  <c r="EX29" i="5"/>
  <c r="EY29" i="5"/>
  <c r="EZ29" i="5"/>
  <c r="FA29" i="5"/>
  <c r="FB29" i="5"/>
  <c r="FC29" i="5"/>
  <c r="FD29" i="5"/>
  <c r="FE29" i="5"/>
  <c r="FF29" i="5"/>
  <c r="FG29" i="5"/>
  <c r="FH29" i="5"/>
  <c r="FI29" i="5"/>
  <c r="FJ29" i="5"/>
  <c r="FK29" i="5"/>
  <c r="FL29" i="5"/>
  <c r="FM29" i="5"/>
  <c r="FN29" i="5"/>
  <c r="FO29" i="5"/>
  <c r="FP29" i="5"/>
  <c r="FQ29" i="5"/>
  <c r="FR29" i="5"/>
  <c r="FS29" i="5"/>
  <c r="FT29" i="5"/>
  <c r="FU29" i="5"/>
  <c r="FV29" i="5"/>
  <c r="FW29" i="5"/>
  <c r="FX29" i="5"/>
  <c r="FY29" i="5"/>
  <c r="FZ29" i="5"/>
  <c r="GA29" i="5"/>
  <c r="GB29" i="5"/>
  <c r="GC29" i="5"/>
  <c r="GD29" i="5"/>
  <c r="GE29" i="5"/>
  <c r="GF29" i="5"/>
  <c r="GG29" i="5"/>
  <c r="GH29" i="5"/>
  <c r="GI29" i="5"/>
  <c r="GJ29" i="5"/>
  <c r="GK29" i="5"/>
  <c r="GL29" i="5"/>
  <c r="GM29" i="5"/>
  <c r="GN29" i="5"/>
  <c r="GO29" i="5"/>
  <c r="GP29" i="5"/>
  <c r="GQ29" i="5"/>
  <c r="GR29" i="5"/>
  <c r="GS29" i="5"/>
  <c r="GT29" i="5"/>
  <c r="GU29" i="5"/>
  <c r="GV29" i="5"/>
  <c r="GW29" i="5"/>
  <c r="GX29" i="5"/>
  <c r="GY29" i="5"/>
  <c r="GZ29" i="5"/>
  <c r="HA29" i="5"/>
  <c r="HB29" i="5"/>
  <c r="HC29" i="5"/>
  <c r="HD29" i="5"/>
  <c r="HE29" i="5"/>
  <c r="HF29" i="5"/>
  <c r="HG29" i="5"/>
  <c r="HH29" i="5"/>
  <c r="HI29" i="5"/>
  <c r="HJ29" i="5"/>
  <c r="HK29" i="5"/>
  <c r="HL29" i="5"/>
  <c r="HM29" i="5"/>
  <c r="HN29" i="5"/>
  <c r="HO29" i="5"/>
  <c r="HP29" i="5"/>
  <c r="HQ29" i="5"/>
  <c r="HR29" i="5"/>
  <c r="HS29" i="5"/>
  <c r="HT29" i="5"/>
  <c r="HU29" i="5"/>
  <c r="HV29" i="5"/>
  <c r="HW29" i="5"/>
  <c r="HX29" i="5"/>
  <c r="HY29" i="5"/>
  <c r="HZ29" i="5"/>
  <c r="IA29" i="5"/>
  <c r="IB29" i="5"/>
  <c r="IC29" i="5"/>
  <c r="ID29" i="5"/>
  <c r="IE29" i="5"/>
  <c r="IF29" i="5"/>
  <c r="IG29" i="5"/>
  <c r="IH29" i="5"/>
  <c r="II29" i="5"/>
  <c r="IJ29" i="5"/>
  <c r="IK29" i="5"/>
  <c r="IL29" i="5"/>
  <c r="IM29" i="5"/>
  <c r="IN29" i="5"/>
  <c r="IO29" i="5"/>
  <c r="IP29" i="5"/>
  <c r="IQ29" i="5"/>
  <c r="IR29" i="5"/>
  <c r="IS29" i="5"/>
  <c r="IT29" i="5"/>
  <c r="IU29" i="5"/>
  <c r="IV29" i="5"/>
  <c r="IW29" i="5"/>
  <c r="IX29" i="5"/>
  <c r="IY29" i="5"/>
  <c r="IZ29" i="5"/>
  <c r="JA29" i="5"/>
  <c r="JB29" i="5"/>
  <c r="JC29" i="5"/>
  <c r="JD29" i="5"/>
  <c r="JE29" i="5"/>
  <c r="JF29" i="5"/>
  <c r="JG29" i="5"/>
  <c r="JH29" i="5"/>
  <c r="JI29" i="5"/>
  <c r="JJ29" i="5"/>
  <c r="JK29" i="5"/>
  <c r="JL29" i="5"/>
  <c r="JM29" i="5"/>
  <c r="JN29" i="5"/>
  <c r="JO29" i="5"/>
  <c r="JP29" i="5"/>
  <c r="JQ29" i="5"/>
  <c r="JR29" i="5"/>
  <c r="JS29" i="5"/>
  <c r="JT29" i="5"/>
  <c r="JU29" i="5"/>
  <c r="JV29" i="5"/>
  <c r="JW29" i="5"/>
  <c r="JX29" i="5"/>
  <c r="JY29" i="5"/>
  <c r="JZ29" i="5"/>
  <c r="KA29" i="5"/>
  <c r="KB29" i="5"/>
  <c r="KC29" i="5"/>
  <c r="KD29" i="5"/>
  <c r="KE29" i="5"/>
  <c r="KF29" i="5"/>
  <c r="KG29" i="5"/>
  <c r="KH29" i="5"/>
  <c r="KI29" i="5"/>
  <c r="KJ29" i="5"/>
  <c r="KK29" i="5"/>
  <c r="KL29" i="5"/>
  <c r="KM29" i="5"/>
  <c r="KN29" i="5"/>
  <c r="KO29" i="5"/>
  <c r="KP29" i="5"/>
  <c r="KQ29" i="5"/>
  <c r="KR29" i="5"/>
  <c r="KS29" i="5"/>
  <c r="KT29" i="5"/>
  <c r="KU29" i="5"/>
  <c r="KV29" i="5"/>
  <c r="KW29" i="5"/>
  <c r="KX29" i="5"/>
  <c r="KY29" i="5"/>
  <c r="KZ29" i="5"/>
  <c r="LA29" i="5"/>
  <c r="LB29" i="5"/>
  <c r="LC29" i="5"/>
  <c r="LD29" i="5"/>
  <c r="LE29" i="5"/>
  <c r="LF29" i="5"/>
  <c r="LG29" i="5"/>
  <c r="LH29" i="5"/>
  <c r="LI29" i="5"/>
  <c r="LJ29" i="5"/>
  <c r="LK29" i="5"/>
  <c r="LL29" i="5"/>
  <c r="LM29" i="5"/>
  <c r="LN29" i="5"/>
  <c r="LO29" i="5"/>
  <c r="LP29" i="5"/>
  <c r="LQ29" i="5"/>
  <c r="LR29" i="5"/>
  <c r="LS29" i="5"/>
  <c r="LT29" i="5"/>
  <c r="LU29" i="5"/>
  <c r="LV29" i="5"/>
  <c r="LW29" i="5"/>
  <c r="LX29" i="5"/>
  <c r="LY29" i="5"/>
  <c r="LZ29" i="5"/>
  <c r="MA29" i="5"/>
  <c r="MB29" i="5"/>
  <c r="MC29" i="5"/>
  <c r="MD29" i="5"/>
  <c r="ME29" i="5"/>
  <c r="MF29" i="5"/>
  <c r="MG29" i="5"/>
  <c r="MH29" i="5"/>
  <c r="MI29" i="5"/>
  <c r="MJ29" i="5"/>
  <c r="MK29" i="5"/>
  <c r="ML29" i="5"/>
  <c r="MM29" i="5"/>
  <c r="MN29" i="5"/>
  <c r="MO29" i="5"/>
  <c r="MP29" i="5"/>
  <c r="MQ29" i="5"/>
  <c r="MR29" i="5"/>
  <c r="MS29" i="5"/>
  <c r="MT29" i="5"/>
  <c r="MU29" i="5"/>
  <c r="MV29" i="5"/>
  <c r="MW29" i="5"/>
  <c r="MX29" i="5"/>
  <c r="MY29" i="5"/>
  <c r="MZ29" i="5"/>
  <c r="NA29" i="5"/>
  <c r="NB29" i="5"/>
  <c r="NC29" i="5"/>
  <c r="ND29" i="5"/>
  <c r="NE29" i="5"/>
  <c r="NF29" i="5"/>
  <c r="NG29" i="5"/>
  <c r="NH29" i="5"/>
  <c r="NI29" i="5"/>
  <c r="NJ29" i="5"/>
  <c r="NK29" i="5"/>
  <c r="NL29" i="5"/>
  <c r="NM29" i="5"/>
  <c r="NN29" i="5"/>
  <c r="NO29" i="5"/>
  <c r="NP29" i="5"/>
  <c r="NQ29" i="5"/>
  <c r="NR29" i="5"/>
  <c r="NS29" i="5"/>
  <c r="NT29" i="5"/>
  <c r="NU29" i="5"/>
  <c r="NV29" i="5"/>
  <c r="NW29" i="5"/>
  <c r="NX29" i="5"/>
  <c r="NY29" i="5"/>
  <c r="NZ29" i="5"/>
  <c r="OA29" i="5"/>
  <c r="OB29" i="5"/>
  <c r="OC29" i="5"/>
  <c r="OD29" i="5"/>
  <c r="OE29" i="5"/>
  <c r="OF29" i="5"/>
  <c r="OG29" i="5"/>
  <c r="OH29" i="5"/>
  <c r="OI29" i="5"/>
  <c r="OJ29" i="5"/>
  <c r="OK29" i="5"/>
  <c r="OL29" i="5"/>
  <c r="OM29" i="5"/>
  <c r="ON29" i="5"/>
  <c r="OO29" i="5"/>
  <c r="OP29" i="5"/>
  <c r="OQ29" i="5"/>
  <c r="OR29" i="5"/>
  <c r="OS29" i="5"/>
  <c r="OT29" i="5"/>
  <c r="OU29" i="5"/>
  <c r="OV29" i="5"/>
  <c r="OW29" i="5"/>
  <c r="OX29" i="5"/>
  <c r="OY29" i="5"/>
  <c r="OZ29" i="5"/>
  <c r="PA29" i="5"/>
  <c r="PB29" i="5"/>
  <c r="PC29" i="5"/>
  <c r="PD29" i="5"/>
  <c r="PE29" i="5"/>
  <c r="PF29" i="5"/>
  <c r="PG29" i="5"/>
  <c r="PH29" i="5"/>
  <c r="PI29" i="5"/>
  <c r="PJ29" i="5"/>
  <c r="PK29" i="5"/>
  <c r="PL29" i="5"/>
  <c r="PM29" i="5"/>
  <c r="PN29" i="5"/>
  <c r="PO29" i="5"/>
  <c r="PP29" i="5"/>
  <c r="PQ29" i="5"/>
  <c r="PR29" i="5"/>
  <c r="PS29" i="5"/>
  <c r="PT29" i="5"/>
  <c r="PU29" i="5"/>
  <c r="PV29" i="5"/>
  <c r="PW29" i="5"/>
  <c r="PX29" i="5"/>
  <c r="PY29" i="5"/>
  <c r="PZ29" i="5"/>
  <c r="QA29" i="5"/>
  <c r="QB29" i="5"/>
  <c r="QC29" i="5"/>
  <c r="QD29" i="5"/>
  <c r="QE29" i="5"/>
  <c r="QF29" i="5"/>
  <c r="QG29" i="5"/>
  <c r="QH29" i="5"/>
  <c r="QI29" i="5"/>
  <c r="QJ29" i="5"/>
  <c r="QK29" i="5"/>
  <c r="QL29" i="5"/>
  <c r="QM29" i="5"/>
  <c r="QN29" i="5"/>
  <c r="QO29" i="5"/>
  <c r="QP29" i="5"/>
  <c r="QQ29" i="5"/>
  <c r="QR29" i="5"/>
  <c r="QS29" i="5"/>
  <c r="QT29" i="5"/>
  <c r="QU29" i="5"/>
  <c r="QV29" i="5"/>
  <c r="QW29" i="5"/>
  <c r="QX29" i="5"/>
  <c r="QY29" i="5"/>
  <c r="QZ29" i="5"/>
  <c r="RA29" i="5"/>
  <c r="RB29" i="5"/>
  <c r="RC29" i="5"/>
  <c r="RD29" i="5"/>
  <c r="RE29" i="5"/>
  <c r="RF29" i="5"/>
  <c r="RG29" i="5"/>
  <c r="RH29" i="5"/>
  <c r="RI29" i="5"/>
  <c r="RJ29" i="5"/>
  <c r="RK29" i="5"/>
  <c r="RL29" i="5"/>
  <c r="RM29" i="5"/>
  <c r="RN29" i="5"/>
  <c r="RO29" i="5"/>
  <c r="RP29" i="5"/>
  <c r="RQ29" i="5"/>
  <c r="RR29" i="5"/>
  <c r="RS29" i="5"/>
  <c r="RT29" i="5"/>
  <c r="RU29" i="5"/>
  <c r="RV29" i="5"/>
  <c r="RW29" i="5"/>
  <c r="RX29" i="5"/>
  <c r="RY29" i="5"/>
  <c r="RZ29" i="5"/>
  <c r="SA29" i="5"/>
  <c r="SB29" i="5"/>
  <c r="SC29" i="5"/>
  <c r="SD29" i="5"/>
  <c r="SE29" i="5"/>
  <c r="SF29" i="5"/>
  <c r="SG29" i="5"/>
  <c r="SH29" i="5"/>
  <c r="SI29" i="5"/>
  <c r="SJ29" i="5"/>
  <c r="SK29" i="5"/>
  <c r="SL29" i="5"/>
  <c r="SM29" i="5"/>
  <c r="SN29" i="5"/>
  <c r="SO29" i="5"/>
  <c r="SP29" i="5"/>
  <c r="SQ29" i="5"/>
  <c r="SR29" i="5"/>
  <c r="SS29" i="5"/>
  <c r="ST29" i="5"/>
  <c r="SU29" i="5"/>
  <c r="SV29" i="5"/>
  <c r="SW29" i="5"/>
  <c r="SX29" i="5"/>
  <c r="SY29" i="5"/>
  <c r="SZ29" i="5"/>
  <c r="TA29" i="5"/>
  <c r="TB29" i="5"/>
  <c r="TC29" i="5"/>
  <c r="TD29" i="5"/>
  <c r="TE29" i="5"/>
  <c r="TF29" i="5"/>
  <c r="TG29" i="5"/>
  <c r="TH29" i="5"/>
  <c r="TI29" i="5"/>
  <c r="TJ29" i="5"/>
  <c r="TK29" i="5"/>
  <c r="TL29" i="5"/>
  <c r="TM29" i="5"/>
  <c r="TN29" i="5"/>
  <c r="TO29" i="5"/>
  <c r="TP29" i="5"/>
  <c r="TQ29" i="5"/>
  <c r="TR29" i="5"/>
  <c r="TS29" i="5"/>
  <c r="TT29" i="5"/>
  <c r="TU29" i="5"/>
  <c r="TV29" i="5"/>
  <c r="TW29" i="5"/>
  <c r="TX29" i="5"/>
  <c r="TY29" i="5"/>
  <c r="TZ29" i="5"/>
  <c r="UA29" i="5"/>
  <c r="UB29" i="5"/>
  <c r="UC29" i="5"/>
  <c r="UD29" i="5"/>
  <c r="UE29" i="5"/>
  <c r="UF29" i="5"/>
  <c r="UG29" i="5"/>
  <c r="UH29" i="5"/>
  <c r="UI29" i="5"/>
  <c r="UJ29" i="5"/>
  <c r="UK29" i="5"/>
  <c r="J4" i="5"/>
  <c r="J5" i="5"/>
  <c r="J6" i="5"/>
  <c r="J7" i="5"/>
  <c r="J8" i="5"/>
  <c r="J9" i="5"/>
  <c r="J10" i="5"/>
  <c r="J11" i="5"/>
  <c r="J12" i="5"/>
  <c r="J13" i="5"/>
  <c r="J14" i="5"/>
  <c r="J15" i="5"/>
  <c r="J16" i="5"/>
  <c r="J17" i="5"/>
  <c r="J18" i="5"/>
  <c r="J19" i="5"/>
  <c r="J20" i="5"/>
  <c r="J21" i="5"/>
  <c r="J22" i="5"/>
  <c r="J23" i="5"/>
  <c r="J24" i="5"/>
  <c r="J25" i="5"/>
  <c r="J26" i="5"/>
  <c r="J27" i="5"/>
  <c r="J28" i="5"/>
  <c r="J29" i="5"/>
  <c r="D2" i="5"/>
  <c r="E2" i="5"/>
  <c r="F2" i="5"/>
  <c r="G2" i="5"/>
  <c r="I2" i="5"/>
  <c r="U3" i="5"/>
  <c r="B2" i="5"/>
  <c r="TQ2" i="5" l="1"/>
  <c r="BP2" i="5"/>
  <c r="OO2" i="5"/>
  <c r="PQ2" i="5"/>
  <c r="DD2" i="5"/>
  <c r="NQ2" i="5"/>
  <c r="NP2" i="5"/>
  <c r="MM2" i="5"/>
  <c r="GY2" i="5"/>
  <c r="GX2" i="5"/>
  <c r="FT2" i="5"/>
  <c r="EO2" i="5"/>
  <c r="EN2" i="5"/>
  <c r="CS3" i="5"/>
  <c r="QL2" i="5"/>
  <c r="JB2" i="5"/>
  <c r="PR2" i="5"/>
  <c r="HY2" i="5"/>
  <c r="DN2" i="5"/>
  <c r="SO2" i="5"/>
  <c r="LG2" i="5"/>
  <c r="AT2" i="5"/>
  <c r="RQ2" i="5"/>
  <c r="KI2" i="5"/>
  <c r="CC2" i="5"/>
  <c r="TP2" i="5"/>
  <c r="RO2" i="5"/>
  <c r="KH2" i="5"/>
  <c r="CB2" i="5"/>
  <c r="LN2" i="5"/>
  <c r="QN2" i="5"/>
  <c r="JD2" i="5"/>
  <c r="AV2" i="5"/>
  <c r="SM2" i="5"/>
  <c r="ML2" i="5"/>
  <c r="FS2" i="5"/>
  <c r="ON2" i="5"/>
  <c r="HW2" i="5"/>
  <c r="BT3" i="5"/>
  <c r="UK2" i="5"/>
  <c r="SL2" i="5"/>
  <c r="QK2" i="5"/>
  <c r="OM2" i="5"/>
  <c r="MK2" i="5"/>
  <c r="KG2" i="5"/>
  <c r="HV2" i="5"/>
  <c r="FR2" i="5"/>
  <c r="DB2" i="5"/>
  <c r="AS2" i="5"/>
  <c r="UI2" i="5"/>
  <c r="TN2" i="5"/>
  <c r="SK2" i="5"/>
  <c r="RM2" i="5"/>
  <c r="QJ2" i="5"/>
  <c r="PL2" i="5"/>
  <c r="OI2" i="5"/>
  <c r="NN2" i="5"/>
  <c r="MJ2" i="5"/>
  <c r="LE2" i="5"/>
  <c r="JW2" i="5"/>
  <c r="IZ2" i="5"/>
  <c r="HR2" i="5"/>
  <c r="GM2" i="5"/>
  <c r="FQ2" i="5"/>
  <c r="EI2" i="5"/>
  <c r="DA2" i="5"/>
  <c r="AR2" i="5"/>
  <c r="K2" i="5"/>
  <c r="L2" i="5"/>
  <c r="Z2" i="5"/>
  <c r="AO2" i="5"/>
  <c r="BC2" i="5"/>
  <c r="BQ2" i="5"/>
  <c r="CF2" i="5"/>
  <c r="CT2" i="5"/>
  <c r="DI2" i="5"/>
  <c r="DW2" i="5"/>
  <c r="EK2" i="5"/>
  <c r="EZ2" i="5"/>
  <c r="FN2" i="5"/>
  <c r="GC2" i="5"/>
  <c r="GQ2" i="5"/>
  <c r="HE2" i="5"/>
  <c r="HT2" i="5"/>
  <c r="IH2" i="5"/>
  <c r="IW2" i="5"/>
  <c r="JK2" i="5"/>
  <c r="JY2" i="5"/>
  <c r="KN2" i="5"/>
  <c r="LB2" i="5"/>
  <c r="LQ2" i="5"/>
  <c r="ME2" i="5"/>
  <c r="MS2" i="5"/>
  <c r="NH2" i="5"/>
  <c r="NV2" i="5"/>
  <c r="OK2" i="5"/>
  <c r="OY2" i="5"/>
  <c r="PM2" i="5"/>
  <c r="QB2" i="5"/>
  <c r="QP2" i="5"/>
  <c r="RE2" i="5"/>
  <c r="RS2" i="5"/>
  <c r="SG2" i="5"/>
  <c r="SV2" i="5"/>
  <c r="TJ2" i="5"/>
  <c r="TY2" i="5"/>
  <c r="M2" i="5"/>
  <c r="AA2" i="5"/>
  <c r="AP2" i="5"/>
  <c r="BD2" i="5"/>
  <c r="BR2" i="5"/>
  <c r="CG2" i="5"/>
  <c r="CU2" i="5"/>
  <c r="DJ2" i="5"/>
  <c r="DX2" i="5"/>
  <c r="EL2" i="5"/>
  <c r="FA2" i="5"/>
  <c r="FO2" i="5"/>
  <c r="GD2" i="5"/>
  <c r="GR2" i="5"/>
  <c r="HF2" i="5"/>
  <c r="HU2" i="5"/>
  <c r="II2" i="5"/>
  <c r="IX2" i="5"/>
  <c r="JL2" i="5"/>
  <c r="JZ2" i="5"/>
  <c r="KO2" i="5"/>
  <c r="LC2" i="5"/>
  <c r="LR2" i="5"/>
  <c r="MF2" i="5"/>
  <c r="MT2" i="5"/>
  <c r="NI2" i="5"/>
  <c r="NW2" i="5"/>
  <c r="OL2" i="5"/>
  <c r="OZ2" i="5"/>
  <c r="PN2" i="5"/>
  <c r="QC2" i="5"/>
  <c r="QQ2" i="5"/>
  <c r="RF2" i="5"/>
  <c r="RT2" i="5"/>
  <c r="SH2" i="5"/>
  <c r="SW2" i="5"/>
  <c r="TK2" i="5"/>
  <c r="TZ2" i="5"/>
  <c r="N2" i="5"/>
  <c r="AC2" i="5"/>
  <c r="AQ2" i="5"/>
  <c r="BE2" i="5"/>
  <c r="BT2" i="5"/>
  <c r="CH2" i="5"/>
  <c r="CW2" i="5"/>
  <c r="DK2" i="5"/>
  <c r="DY2" i="5"/>
  <c r="O2" i="5"/>
  <c r="AG2" i="5"/>
  <c r="AY2" i="5"/>
  <c r="BU2" i="5"/>
  <c r="CM2" i="5"/>
  <c r="DE2" i="5"/>
  <c r="DZ2" i="5"/>
  <c r="EQ2" i="5"/>
  <c r="FH2" i="5"/>
  <c r="FY2" i="5"/>
  <c r="GP2" i="5"/>
  <c r="HI2" i="5"/>
  <c r="HZ2" i="5"/>
  <c r="IP2" i="5"/>
  <c r="JG2" i="5"/>
  <c r="JX2" i="5"/>
  <c r="KQ2" i="5"/>
  <c r="LH2" i="5"/>
  <c r="LY2" i="5"/>
  <c r="MP2" i="5"/>
  <c r="NF2" i="5"/>
  <c r="NZ2" i="5"/>
  <c r="OP2" i="5"/>
  <c r="PG2" i="5"/>
  <c r="PX2" i="5"/>
  <c r="QO2" i="5"/>
  <c r="RH2" i="5"/>
  <c r="RY2" i="5"/>
  <c r="SP2" i="5"/>
  <c r="TF2" i="5"/>
  <c r="TW2" i="5"/>
  <c r="AJ2" i="5"/>
  <c r="EC2" i="5"/>
  <c r="GA2" i="5"/>
  <c r="HK2" i="5"/>
  <c r="IS2" i="5"/>
  <c r="KC2" i="5"/>
  <c r="LJ2" i="5"/>
  <c r="MR2" i="5"/>
  <c r="OB2" i="5"/>
  <c r="PJ2" i="5"/>
  <c r="QT2" i="5"/>
  <c r="SA2" i="5"/>
  <c r="TI2" i="5"/>
  <c r="UB2" i="5"/>
  <c r="AK2" i="5"/>
  <c r="EU2" i="5"/>
  <c r="GV2" i="5"/>
  <c r="IT2" i="5"/>
  <c r="KD2" i="5"/>
  <c r="LL2" i="5"/>
  <c r="NM2" i="5"/>
  <c r="OT2" i="5"/>
  <c r="QD2" i="5"/>
  <c r="RL2" i="5"/>
  <c r="TM2" i="5"/>
  <c r="T2" i="5"/>
  <c r="IU2" i="5"/>
  <c r="MD2" i="5"/>
  <c r="Q2" i="5"/>
  <c r="AH2" i="5"/>
  <c r="BA2" i="5"/>
  <c r="BV2" i="5"/>
  <c r="CN2" i="5"/>
  <c r="DF2" i="5"/>
  <c r="EB2" i="5"/>
  <c r="ES2" i="5"/>
  <c r="FI2" i="5"/>
  <c r="FZ2" i="5"/>
  <c r="GS2" i="5"/>
  <c r="HJ2" i="5"/>
  <c r="IA2" i="5"/>
  <c r="IR2" i="5"/>
  <c r="JI2" i="5"/>
  <c r="KB2" i="5"/>
  <c r="KS2" i="5"/>
  <c r="LI2" i="5"/>
  <c r="LZ2" i="5"/>
  <c r="MQ2" i="5"/>
  <c r="NJ2" i="5"/>
  <c r="OA2" i="5"/>
  <c r="OR2" i="5"/>
  <c r="PI2" i="5"/>
  <c r="PY2" i="5"/>
  <c r="QS2" i="5"/>
  <c r="RI2" i="5"/>
  <c r="RZ2" i="5"/>
  <c r="SQ2" i="5"/>
  <c r="TH2" i="5"/>
  <c r="UA2" i="5"/>
  <c r="R2" i="5"/>
  <c r="BB2" i="5"/>
  <c r="BW2" i="5"/>
  <c r="CO2" i="5"/>
  <c r="DG2" i="5"/>
  <c r="ET2" i="5"/>
  <c r="FJ2" i="5"/>
  <c r="GT2" i="5"/>
  <c r="IB2" i="5"/>
  <c r="JJ2" i="5"/>
  <c r="KT2" i="5"/>
  <c r="MA2" i="5"/>
  <c r="NK2" i="5"/>
  <c r="OS2" i="5"/>
  <c r="PZ2" i="5"/>
  <c r="RJ2" i="5"/>
  <c r="SR2" i="5"/>
  <c r="S2" i="5"/>
  <c r="BF2" i="5"/>
  <c r="BY2" i="5"/>
  <c r="CP2" i="5"/>
  <c r="DL2" i="5"/>
  <c r="ED2" i="5"/>
  <c r="FL2" i="5"/>
  <c r="GE2" i="5"/>
  <c r="HM2" i="5"/>
  <c r="IC2" i="5"/>
  <c r="JM2" i="5"/>
  <c r="KU2" i="5"/>
  <c r="MC2" i="5"/>
  <c r="MV2" i="5"/>
  <c r="OC2" i="5"/>
  <c r="PK2" i="5"/>
  <c r="QU2" i="5"/>
  <c r="SC2" i="5"/>
  <c r="SS2" i="5"/>
  <c r="UC2" i="5"/>
  <c r="AL2" i="5"/>
  <c r="BH2" i="5"/>
  <c r="BZ2" i="5"/>
  <c r="CR2" i="5"/>
  <c r="DM2" i="5"/>
  <c r="EE2" i="5"/>
  <c r="EV2" i="5"/>
  <c r="FM2" i="5"/>
  <c r="GF2" i="5"/>
  <c r="GW2" i="5"/>
  <c r="HN2" i="5"/>
  <c r="ID2" i="5"/>
  <c r="JN2" i="5"/>
  <c r="KE2" i="5"/>
  <c r="KV2" i="5"/>
  <c r="LM2" i="5"/>
  <c r="MW2" i="5"/>
  <c r="UH2" i="5"/>
  <c r="TE2" i="5"/>
  <c r="SJ2" i="5"/>
  <c r="RG2" i="5"/>
  <c r="QI2" i="5"/>
  <c r="PF2" i="5"/>
  <c r="OH2" i="5"/>
  <c r="NE2" i="5"/>
  <c r="MH2" i="5"/>
  <c r="LA2" i="5"/>
  <c r="JV2" i="5"/>
  <c r="IY2" i="5"/>
  <c r="HQ2" i="5"/>
  <c r="GL2" i="5"/>
  <c r="FG2" i="5"/>
  <c r="EH2" i="5"/>
  <c r="CZ2" i="5"/>
  <c r="BO2" i="5"/>
  <c r="UG2" i="5"/>
  <c r="TD2" i="5"/>
  <c r="SF2" i="5"/>
  <c r="RC2" i="5"/>
  <c r="QH2" i="5"/>
  <c r="PE2" i="5"/>
  <c r="OG2" i="5"/>
  <c r="ND2" i="5"/>
  <c r="MG2" i="5"/>
  <c r="KZ2" i="5"/>
  <c r="JU2" i="5"/>
  <c r="IO2" i="5"/>
  <c r="HP2" i="5"/>
  <c r="GK2" i="5"/>
  <c r="FF2" i="5"/>
  <c r="EG2" i="5"/>
  <c r="CY2" i="5"/>
  <c r="AF2" i="5"/>
  <c r="UF2" i="5"/>
  <c r="TC2" i="5"/>
  <c r="SE2" i="5"/>
  <c r="RB2" i="5"/>
  <c r="QG2" i="5"/>
  <c r="PD2" i="5"/>
  <c r="OF2" i="5"/>
  <c r="NC2" i="5"/>
  <c r="LX2" i="5"/>
  <c r="KX2" i="5"/>
  <c r="JS2" i="5"/>
  <c r="IN2" i="5"/>
  <c r="HO2" i="5"/>
  <c r="GJ2" i="5"/>
  <c r="FE2" i="5"/>
  <c r="DV2" i="5"/>
  <c r="CX2" i="5"/>
  <c r="AE2" i="5"/>
  <c r="UD2" i="5"/>
  <c r="TB2" i="5"/>
  <c r="SD2" i="5"/>
  <c r="RA2" i="5"/>
  <c r="QE2" i="5"/>
  <c r="PB2" i="5"/>
  <c r="OD2" i="5"/>
  <c r="NB2" i="5"/>
  <c r="LV2" i="5"/>
  <c r="KW2" i="5"/>
  <c r="JR2" i="5"/>
  <c r="IM2" i="5"/>
  <c r="HH2" i="5"/>
  <c r="GH2" i="5"/>
  <c r="FC2" i="5"/>
  <c r="DU2" i="5"/>
  <c r="CS2" i="5"/>
  <c r="AD2" i="5"/>
  <c r="TV2" i="5"/>
  <c r="TA2" i="5"/>
  <c r="RX2" i="5"/>
  <c r="QZ2" i="5"/>
  <c r="PW2" i="5"/>
  <c r="PA2" i="5"/>
  <c r="NY2" i="5"/>
  <c r="NA2" i="5"/>
  <c r="LU2" i="5"/>
  <c r="KP2" i="5"/>
  <c r="JQ2" i="5"/>
  <c r="IL2" i="5"/>
  <c r="HD2" i="5"/>
  <c r="GG2" i="5"/>
  <c r="FB2" i="5"/>
  <c r="DS2" i="5"/>
  <c r="CL2" i="5"/>
  <c r="BJ2" i="5"/>
  <c r="Y2" i="5"/>
  <c r="TU2" i="5"/>
  <c r="SY2" i="5"/>
  <c r="RV2" i="5"/>
  <c r="QX2" i="5"/>
  <c r="PV2" i="5"/>
  <c r="OX2" i="5"/>
  <c r="NU2" i="5"/>
  <c r="MY2" i="5"/>
  <c r="LT2" i="5"/>
  <c r="KL2" i="5"/>
  <c r="JP2" i="5"/>
  <c r="IK2" i="5"/>
  <c r="HC2" i="5"/>
  <c r="FX2" i="5"/>
  <c r="EX2" i="5"/>
  <c r="DR2" i="5"/>
  <c r="CK2" i="5"/>
  <c r="X2" i="5"/>
  <c r="TT2" i="5"/>
  <c r="SX2" i="5"/>
  <c r="RU2" i="5"/>
  <c r="QW2" i="5"/>
  <c r="PU2" i="5"/>
  <c r="OW2" i="5"/>
  <c r="NT2" i="5"/>
  <c r="MX2" i="5"/>
  <c r="LS2" i="5"/>
  <c r="KK2" i="5"/>
  <c r="JF2" i="5"/>
  <c r="IG2" i="5"/>
  <c r="HB2" i="5"/>
  <c r="FV2" i="5"/>
  <c r="EW2" i="5"/>
  <c r="DQ2" i="5"/>
  <c r="CI2" i="5"/>
  <c r="AX2" i="5"/>
  <c r="V2" i="5"/>
  <c r="TO2" i="5"/>
  <c r="RN2" i="5"/>
  <c r="PP2" i="5"/>
  <c r="NO2" i="5"/>
  <c r="LF2" i="5"/>
  <c r="JA2" i="5"/>
  <c r="GO2" i="5"/>
  <c r="EJ2" i="5"/>
  <c r="CA2" i="5"/>
  <c r="AM2" i="5"/>
  <c r="BN2" i="5"/>
  <c r="BM2" i="5"/>
  <c r="BK2" i="5"/>
  <c r="BI2" i="5"/>
  <c r="TR2" i="5"/>
  <c r="ST2" i="5"/>
  <c r="RR2" i="5"/>
  <c r="QV2" i="5"/>
  <c r="PS2" i="5"/>
  <c r="OU2" i="5"/>
  <c r="NR2" i="5"/>
  <c r="MO2" i="5"/>
  <c r="LO2" i="5"/>
  <c r="KJ2" i="5"/>
  <c r="JE2" i="5"/>
  <c r="IF2" i="5"/>
  <c r="HA2" i="5"/>
  <c r="FU2" i="5"/>
  <c r="EP2" i="5"/>
  <c r="DP2" i="5"/>
  <c r="CD2" i="5"/>
  <c r="AW2" i="5"/>
  <c r="U2" i="5"/>
  <c r="UJ2" i="5"/>
  <c r="TX2" i="5"/>
  <c r="TL2" i="5"/>
  <c r="SZ2" i="5"/>
  <c r="SN2" i="5"/>
  <c r="SB2" i="5"/>
  <c r="RP2" i="5"/>
  <c r="RD2" i="5"/>
  <c r="QR2" i="5"/>
  <c r="QF2" i="5"/>
  <c r="PT2" i="5"/>
  <c r="PH2" i="5"/>
  <c r="OV2" i="5"/>
  <c r="OJ2" i="5"/>
  <c r="NX2" i="5"/>
  <c r="NL2" i="5"/>
  <c r="MZ2" i="5"/>
  <c r="MN2" i="5"/>
  <c r="MB2" i="5"/>
  <c r="LP2" i="5"/>
  <c r="LD2" i="5"/>
  <c r="KR2" i="5"/>
  <c r="KF2" i="5"/>
  <c r="JT2" i="5"/>
  <c r="JH2" i="5"/>
  <c r="IV2" i="5"/>
  <c r="IJ2" i="5"/>
  <c r="HX2" i="5"/>
  <c r="HL2" i="5"/>
  <c r="GZ2" i="5"/>
  <c r="GN2" i="5"/>
  <c r="GB2" i="5"/>
  <c r="FP2" i="5"/>
  <c r="FD2" i="5"/>
  <c r="ER2" i="5"/>
  <c r="EF2" i="5"/>
  <c r="DT2" i="5"/>
  <c r="DH2" i="5"/>
  <c r="CV2" i="5"/>
  <c r="CJ2" i="5"/>
  <c r="BX2" i="5"/>
  <c r="BL2" i="5"/>
  <c r="AZ2" i="5"/>
  <c r="AN2" i="5"/>
  <c r="AB2" i="5"/>
  <c r="P2" i="5"/>
  <c r="J2" i="5"/>
  <c r="UE2" i="5"/>
  <c r="TS2" i="5"/>
  <c r="TG2" i="5"/>
  <c r="SU2" i="5"/>
  <c r="SI2" i="5"/>
  <c r="RW2" i="5"/>
  <c r="RK2" i="5"/>
  <c r="QY2" i="5"/>
  <c r="QM2" i="5"/>
  <c r="QA2" i="5"/>
  <c r="PO2" i="5"/>
  <c r="PC2" i="5"/>
  <c r="OQ2" i="5"/>
  <c r="OE2" i="5"/>
  <c r="NS2" i="5"/>
  <c r="NG2" i="5"/>
  <c r="MU2" i="5"/>
  <c r="MI2" i="5"/>
  <c r="LW2" i="5"/>
  <c r="LK2" i="5"/>
  <c r="KY2" i="5"/>
  <c r="KM2" i="5"/>
  <c r="KA2" i="5"/>
  <c r="JO2" i="5"/>
  <c r="JC2" i="5"/>
  <c r="IQ2" i="5"/>
  <c r="IE2" i="5"/>
  <c r="HS2" i="5"/>
  <c r="HG2" i="5"/>
  <c r="GU2" i="5"/>
  <c r="GI2" i="5"/>
  <c r="FW2" i="5"/>
  <c r="FK2" i="5"/>
  <c r="EY2" i="5"/>
  <c r="EM2" i="5"/>
  <c r="EA2" i="5"/>
  <c r="DO2" i="5"/>
  <c r="DC2" i="5"/>
  <c r="CQ2" i="5"/>
  <c r="CE2" i="5"/>
  <c r="BS2" i="5"/>
  <c r="BG2" i="5"/>
  <c r="AU2" i="5"/>
  <c r="AI2" i="5"/>
  <c r="W2" i="5"/>
  <c r="QC3" i="5"/>
  <c r="HH3" i="5"/>
  <c r="UC3" i="5"/>
  <c r="QB3" i="5"/>
  <c r="LU3" i="5"/>
  <c r="GG3" i="5"/>
  <c r="AS3" i="5"/>
  <c r="BR3" i="5"/>
  <c r="TF3" i="5"/>
  <c r="OC3" i="5"/>
  <c r="IO3" i="5"/>
  <c r="AT3" i="5"/>
  <c r="TE3" i="5"/>
  <c r="PB3" i="5"/>
  <c r="KN3" i="5"/>
  <c r="EZ3" i="5"/>
  <c r="BS3" i="5"/>
  <c r="SY3" i="5"/>
  <c r="RA3" i="5"/>
  <c r="PA3" i="5"/>
  <c r="MT3" i="5"/>
  <c r="KM3" i="5"/>
  <c r="IF3" i="5"/>
  <c r="FY3" i="5"/>
  <c r="DY3" i="5"/>
  <c r="AK3" i="5"/>
  <c r="RY3" i="5"/>
  <c r="BQ3" i="5"/>
  <c r="UF3" i="5"/>
  <c r="TH3" i="5"/>
  <c r="SJ3" i="5"/>
  <c r="RL3" i="5"/>
  <c r="QL3" i="5"/>
  <c r="PE3" i="5"/>
  <c r="OE3" i="5"/>
  <c r="NE3" i="5"/>
  <c r="LX3" i="5"/>
  <c r="KX3" i="5"/>
  <c r="JQ3" i="5"/>
  <c r="IQ3" i="5"/>
  <c r="HQ3" i="5"/>
  <c r="GJ3" i="5"/>
  <c r="FJ3" i="5"/>
  <c r="EC3" i="5"/>
  <c r="DC3" i="5"/>
  <c r="CC3" i="5"/>
  <c r="AV3" i="5"/>
  <c r="V3" i="5"/>
  <c r="UE3" i="5"/>
  <c r="TG3" i="5"/>
  <c r="SI3" i="5"/>
  <c r="RK3" i="5"/>
  <c r="QK3" i="5"/>
  <c r="PD3" i="5"/>
  <c r="OD3" i="5"/>
  <c r="MW3" i="5"/>
  <c r="LW3" i="5"/>
  <c r="KW3" i="5"/>
  <c r="JP3" i="5"/>
  <c r="IP3" i="5"/>
  <c r="HI3" i="5"/>
  <c r="GI3" i="5"/>
  <c r="FI3" i="5"/>
  <c r="EB3" i="5"/>
  <c r="DB3" i="5"/>
  <c r="BU3" i="5"/>
  <c r="AU3" i="5"/>
  <c r="UD3" i="5"/>
  <c r="RI3" i="5"/>
  <c r="MU3" i="5"/>
  <c r="HG3" i="5"/>
  <c r="L3" i="5"/>
  <c r="P3" i="5"/>
  <c r="AB3" i="5"/>
  <c r="AN3" i="5"/>
  <c r="AZ3" i="5"/>
  <c r="BL3" i="5"/>
  <c r="BX3" i="5"/>
  <c r="CJ3" i="5"/>
  <c r="CV3" i="5"/>
  <c r="DH3" i="5"/>
  <c r="DT3" i="5"/>
  <c r="EF3" i="5"/>
  <c r="ER3" i="5"/>
  <c r="FD3" i="5"/>
  <c r="FP3" i="5"/>
  <c r="GB3" i="5"/>
  <c r="GN3" i="5"/>
  <c r="GZ3" i="5"/>
  <c r="HL3" i="5"/>
  <c r="HX3" i="5"/>
  <c r="IJ3" i="5"/>
  <c r="IV3" i="5"/>
  <c r="JH3" i="5"/>
  <c r="JT3" i="5"/>
  <c r="KF3" i="5"/>
  <c r="KR3" i="5"/>
  <c r="LD3" i="5"/>
  <c r="LP3" i="5"/>
  <c r="MB3" i="5"/>
  <c r="MN3" i="5"/>
  <c r="MZ3" i="5"/>
  <c r="NL3" i="5"/>
  <c r="NX3" i="5"/>
  <c r="OJ3" i="5"/>
  <c r="OV3" i="5"/>
  <c r="PH3" i="5"/>
  <c r="PT3" i="5"/>
  <c r="QF3" i="5"/>
  <c r="QR3" i="5"/>
  <c r="RD3" i="5"/>
  <c r="RP3" i="5"/>
  <c r="SB3" i="5"/>
  <c r="SN3" i="5"/>
  <c r="SZ3" i="5"/>
  <c r="TL3" i="5"/>
  <c r="TX3" i="5"/>
  <c r="UJ3" i="5"/>
  <c r="MF3" i="5"/>
  <c r="Q3" i="5"/>
  <c r="AC3" i="5"/>
  <c r="AO3" i="5"/>
  <c r="BA3" i="5"/>
  <c r="BM3" i="5"/>
  <c r="BY3" i="5"/>
  <c r="CK3" i="5"/>
  <c r="CW3" i="5"/>
  <c r="DI3" i="5"/>
  <c r="DU3" i="5"/>
  <c r="EG3" i="5"/>
  <c r="ES3" i="5"/>
  <c r="FE3" i="5"/>
  <c r="FQ3" i="5"/>
  <c r="GC3" i="5"/>
  <c r="GO3" i="5"/>
  <c r="HA3" i="5"/>
  <c r="HM3" i="5"/>
  <c r="HY3" i="5"/>
  <c r="IK3" i="5"/>
  <c r="IW3" i="5"/>
  <c r="JI3" i="5"/>
  <c r="JU3" i="5"/>
  <c r="KG3" i="5"/>
  <c r="KS3" i="5"/>
  <c r="LE3" i="5"/>
  <c r="LQ3" i="5"/>
  <c r="MC3" i="5"/>
  <c r="MO3" i="5"/>
  <c r="NA3" i="5"/>
  <c r="NM3" i="5"/>
  <c r="NY3" i="5"/>
  <c r="OK3" i="5"/>
  <c r="OW3" i="5"/>
  <c r="PI3" i="5"/>
  <c r="PU3" i="5"/>
  <c r="QG3" i="5"/>
  <c r="QS3" i="5"/>
  <c r="RE3" i="5"/>
  <c r="RQ3" i="5"/>
  <c r="SC3" i="5"/>
  <c r="SO3" i="5"/>
  <c r="TA3" i="5"/>
  <c r="TM3" i="5"/>
  <c r="TY3" i="5"/>
  <c r="UK3" i="5"/>
  <c r="AF3" i="5"/>
  <c r="BP3" i="5"/>
  <c r="CN3" i="5"/>
  <c r="DL3" i="5"/>
  <c r="EV3" i="5"/>
  <c r="GF3" i="5"/>
  <c r="HP3" i="5"/>
  <c r="IZ3" i="5"/>
  <c r="KJ3" i="5"/>
  <c r="MR3" i="5"/>
  <c r="OB3" i="5"/>
  <c r="PL3" i="5"/>
  <c r="RH3" i="5"/>
  <c r="SR3" i="5"/>
  <c r="R3" i="5"/>
  <c r="AD3" i="5"/>
  <c r="AP3" i="5"/>
  <c r="BB3" i="5"/>
  <c r="BN3" i="5"/>
  <c r="BZ3" i="5"/>
  <c r="CL3" i="5"/>
  <c r="CX3" i="5"/>
  <c r="DJ3" i="5"/>
  <c r="DV3" i="5"/>
  <c r="EH3" i="5"/>
  <c r="ET3" i="5"/>
  <c r="FF3" i="5"/>
  <c r="FR3" i="5"/>
  <c r="GD3" i="5"/>
  <c r="GP3" i="5"/>
  <c r="HB3" i="5"/>
  <c r="HN3" i="5"/>
  <c r="HZ3" i="5"/>
  <c r="IL3" i="5"/>
  <c r="IX3" i="5"/>
  <c r="JJ3" i="5"/>
  <c r="JV3" i="5"/>
  <c r="KH3" i="5"/>
  <c r="KT3" i="5"/>
  <c r="LF3" i="5"/>
  <c r="LR3" i="5"/>
  <c r="MD3" i="5"/>
  <c r="MP3" i="5"/>
  <c r="NB3" i="5"/>
  <c r="NN3" i="5"/>
  <c r="NZ3" i="5"/>
  <c r="OL3" i="5"/>
  <c r="OX3" i="5"/>
  <c r="PJ3" i="5"/>
  <c r="PV3" i="5"/>
  <c r="QH3" i="5"/>
  <c r="QT3" i="5"/>
  <c r="RF3" i="5"/>
  <c r="RR3" i="5"/>
  <c r="SD3" i="5"/>
  <c r="SP3" i="5"/>
  <c r="TB3" i="5"/>
  <c r="TN3" i="5"/>
  <c r="TZ3" i="5"/>
  <c r="T3" i="5"/>
  <c r="BD3" i="5"/>
  <c r="CB3" i="5"/>
  <c r="CZ3" i="5"/>
  <c r="EJ3" i="5"/>
  <c r="FH3" i="5"/>
  <c r="GR3" i="5"/>
  <c r="IB3" i="5"/>
  <c r="JL3" i="5"/>
  <c r="LH3" i="5"/>
  <c r="ND3" i="5"/>
  <c r="OZ3" i="5"/>
  <c r="QJ3" i="5"/>
  <c r="SF3" i="5"/>
  <c r="TP3" i="5"/>
  <c r="S3" i="5"/>
  <c r="AE3" i="5"/>
  <c r="AQ3" i="5"/>
  <c r="BC3" i="5"/>
  <c r="BO3" i="5"/>
  <c r="CA3" i="5"/>
  <c r="CM3" i="5"/>
  <c r="CY3" i="5"/>
  <c r="DK3" i="5"/>
  <c r="DW3" i="5"/>
  <c r="EI3" i="5"/>
  <c r="EU3" i="5"/>
  <c r="FG3" i="5"/>
  <c r="FS3" i="5"/>
  <c r="GE3" i="5"/>
  <c r="GQ3" i="5"/>
  <c r="HC3" i="5"/>
  <c r="HO3" i="5"/>
  <c r="IA3" i="5"/>
  <c r="IM3" i="5"/>
  <c r="IY3" i="5"/>
  <c r="JK3" i="5"/>
  <c r="JW3" i="5"/>
  <c r="KI3" i="5"/>
  <c r="KU3" i="5"/>
  <c r="LG3" i="5"/>
  <c r="LS3" i="5"/>
  <c r="ME3" i="5"/>
  <c r="MQ3" i="5"/>
  <c r="NC3" i="5"/>
  <c r="NO3" i="5"/>
  <c r="OA3" i="5"/>
  <c r="OM3" i="5"/>
  <c r="OY3" i="5"/>
  <c r="PK3" i="5"/>
  <c r="PW3" i="5"/>
  <c r="QI3" i="5"/>
  <c r="QU3" i="5"/>
  <c r="RG3" i="5"/>
  <c r="RS3" i="5"/>
  <c r="SE3" i="5"/>
  <c r="SQ3" i="5"/>
  <c r="TC3" i="5"/>
  <c r="TO3" i="5"/>
  <c r="UA3" i="5"/>
  <c r="AR3" i="5"/>
  <c r="DX3" i="5"/>
  <c r="FT3" i="5"/>
  <c r="HD3" i="5"/>
  <c r="IN3" i="5"/>
  <c r="JX3" i="5"/>
  <c r="KV3" i="5"/>
  <c r="LT3" i="5"/>
  <c r="NP3" i="5"/>
  <c r="ON3" i="5"/>
  <c r="PX3" i="5"/>
  <c r="QV3" i="5"/>
  <c r="RT3" i="5"/>
  <c r="TD3" i="5"/>
  <c r="UB3" i="5"/>
  <c r="N3" i="5"/>
  <c r="Z3" i="5"/>
  <c r="AL3" i="5"/>
  <c r="AX3" i="5"/>
  <c r="BJ3" i="5"/>
  <c r="BV3" i="5"/>
  <c r="CH3" i="5"/>
  <c r="CT3" i="5"/>
  <c r="DF3" i="5"/>
  <c r="DR3" i="5"/>
  <c r="ED3" i="5"/>
  <c r="EP3" i="5"/>
  <c r="FB3" i="5"/>
  <c r="FN3" i="5"/>
  <c r="FZ3" i="5"/>
  <c r="GL3" i="5"/>
  <c r="GX3" i="5"/>
  <c r="HJ3" i="5"/>
  <c r="HV3" i="5"/>
  <c r="IH3" i="5"/>
  <c r="IT3" i="5"/>
  <c r="JF3" i="5"/>
  <c r="JR3" i="5"/>
  <c r="KD3" i="5"/>
  <c r="KP3" i="5"/>
  <c r="LB3" i="5"/>
  <c r="LN3" i="5"/>
  <c r="LZ3" i="5"/>
  <c r="ML3" i="5"/>
  <c r="MX3" i="5"/>
  <c r="NJ3" i="5"/>
  <c r="NV3" i="5"/>
  <c r="OH3" i="5"/>
  <c r="OT3" i="5"/>
  <c r="PF3" i="5"/>
  <c r="PR3" i="5"/>
  <c r="QD3" i="5"/>
  <c r="QP3" i="5"/>
  <c r="RB3" i="5"/>
  <c r="RN3" i="5"/>
  <c r="RZ3" i="5"/>
  <c r="SL3" i="5"/>
  <c r="SX3" i="5"/>
  <c r="TJ3" i="5"/>
  <c r="TV3" i="5"/>
  <c r="UH3" i="5"/>
  <c r="O3" i="5"/>
  <c r="AA3" i="5"/>
  <c r="AM3" i="5"/>
  <c r="AY3" i="5"/>
  <c r="BK3" i="5"/>
  <c r="BW3" i="5"/>
  <c r="CI3" i="5"/>
  <c r="CU3" i="5"/>
  <c r="DG3" i="5"/>
  <c r="DS3" i="5"/>
  <c r="EE3" i="5"/>
  <c r="EQ3" i="5"/>
  <c r="FC3" i="5"/>
  <c r="FO3" i="5"/>
  <c r="GA3" i="5"/>
  <c r="GM3" i="5"/>
  <c r="GY3" i="5"/>
  <c r="HK3" i="5"/>
  <c r="HW3" i="5"/>
  <c r="II3" i="5"/>
  <c r="IU3" i="5"/>
  <c r="JG3" i="5"/>
  <c r="JS3" i="5"/>
  <c r="KE3" i="5"/>
  <c r="KQ3" i="5"/>
  <c r="LC3" i="5"/>
  <c r="LO3" i="5"/>
  <c r="MA3" i="5"/>
  <c r="MM3" i="5"/>
  <c r="MY3" i="5"/>
  <c r="NK3" i="5"/>
  <c r="NW3" i="5"/>
  <c r="OI3" i="5"/>
  <c r="OU3" i="5"/>
  <c r="PG3" i="5"/>
  <c r="PS3" i="5"/>
  <c r="QE3" i="5"/>
  <c r="QQ3" i="5"/>
  <c r="RC3" i="5"/>
  <c r="TU3" i="5"/>
  <c r="QZ3" i="5"/>
  <c r="PZ3" i="5"/>
  <c r="NS3" i="5"/>
  <c r="MS3" i="5"/>
  <c r="LL3" i="5"/>
  <c r="KL3" i="5"/>
  <c r="JE3" i="5"/>
  <c r="IE3" i="5"/>
  <c r="FX3" i="5"/>
  <c r="EX3" i="5"/>
  <c r="DQ3" i="5"/>
  <c r="CQ3" i="5"/>
  <c r="AJ3" i="5"/>
  <c r="TT3" i="5"/>
  <c r="RX3" i="5"/>
  <c r="PY3" i="5"/>
  <c r="NR3" i="5"/>
  <c r="LK3" i="5"/>
  <c r="JD3" i="5"/>
  <c r="GW3" i="5"/>
  <c r="EW3" i="5"/>
  <c r="CP3" i="5"/>
  <c r="AI3" i="5"/>
  <c r="J3" i="5"/>
  <c r="TS3" i="5"/>
  <c r="SU3" i="5"/>
  <c r="RW3" i="5"/>
  <c r="QX3" i="5"/>
  <c r="PQ3" i="5"/>
  <c r="OQ3" i="5"/>
  <c r="NQ3" i="5"/>
  <c r="MJ3" i="5"/>
  <c r="LJ3" i="5"/>
  <c r="KC3" i="5"/>
  <c r="JC3" i="5"/>
  <c r="IC3" i="5"/>
  <c r="GV3" i="5"/>
  <c r="FV3" i="5"/>
  <c r="EO3" i="5"/>
  <c r="DO3" i="5"/>
  <c r="CO3" i="5"/>
  <c r="BH3" i="5"/>
  <c r="AH3" i="5"/>
  <c r="RV3" i="5"/>
  <c r="OP3" i="5"/>
  <c r="MI3" i="5"/>
  <c r="KB3" i="5"/>
  <c r="JB3" i="5"/>
  <c r="HU3" i="5"/>
  <c r="FU3" i="5"/>
  <c r="EN3" i="5"/>
  <c r="DN3" i="5"/>
  <c r="CG3" i="5"/>
  <c r="BG3" i="5"/>
  <c r="AG3" i="5"/>
  <c r="TQ3" i="5"/>
  <c r="SS3" i="5"/>
  <c r="RU3" i="5"/>
  <c r="QO3" i="5"/>
  <c r="PO3" i="5"/>
  <c r="OO3" i="5"/>
  <c r="NH3" i="5"/>
  <c r="MH3" i="5"/>
  <c r="LA3" i="5"/>
  <c r="KA3" i="5"/>
  <c r="JA3" i="5"/>
  <c r="HT3" i="5"/>
  <c r="GT3" i="5"/>
  <c r="FM3" i="5"/>
  <c r="EM3" i="5"/>
  <c r="DM3" i="5"/>
  <c r="CF3" i="5"/>
  <c r="BF3" i="5"/>
  <c r="Y3" i="5"/>
  <c r="SH3" i="5"/>
  <c r="PC3" i="5"/>
  <c r="MV3" i="5"/>
  <c r="KO3" i="5"/>
  <c r="JO3" i="5"/>
  <c r="FA3" i="5"/>
  <c r="EA3" i="5"/>
  <c r="M3" i="5"/>
  <c r="IG3" i="5"/>
  <c r="TR3" i="5"/>
  <c r="ST3" i="5"/>
  <c r="QW3" i="5"/>
  <c r="PP3" i="5"/>
  <c r="NI3" i="5"/>
  <c r="LI3" i="5"/>
  <c r="GU3" i="5"/>
  <c r="UI3" i="5"/>
  <c r="TK3" i="5"/>
  <c r="SM3" i="5"/>
  <c r="RO3" i="5"/>
  <c r="QN3" i="5"/>
  <c r="PN3" i="5"/>
  <c r="OG3" i="5"/>
  <c r="NG3" i="5"/>
  <c r="MG3" i="5"/>
  <c r="KZ3" i="5"/>
  <c r="JZ3" i="5"/>
  <c r="IS3" i="5"/>
  <c r="HS3" i="5"/>
  <c r="GS3" i="5"/>
  <c r="FL3" i="5"/>
  <c r="EL3" i="5"/>
  <c r="DE3" i="5"/>
  <c r="CE3" i="5"/>
  <c r="BE3" i="5"/>
  <c r="X3" i="5"/>
  <c r="RJ3" i="5"/>
  <c r="LV3" i="5"/>
  <c r="GH3" i="5"/>
  <c r="DA3" i="5"/>
  <c r="SG3" i="5"/>
  <c r="NU3" i="5"/>
  <c r="JN3" i="5"/>
  <c r="DZ3" i="5"/>
  <c r="TW3" i="5"/>
  <c r="SA3" i="5"/>
  <c r="QA3" i="5"/>
  <c r="NT3" i="5"/>
  <c r="LM3" i="5"/>
  <c r="JM3" i="5"/>
  <c r="HF3" i="5"/>
  <c r="EY3" i="5"/>
  <c r="CR3" i="5"/>
  <c r="K3" i="5"/>
  <c r="SW3" i="5"/>
  <c r="OS3" i="5"/>
  <c r="HE3" i="5"/>
  <c r="SV3" i="5"/>
  <c r="QY3" i="5"/>
  <c r="OR3" i="5"/>
  <c r="MK3" i="5"/>
  <c r="KK3" i="5"/>
  <c r="ID3" i="5"/>
  <c r="FW3" i="5"/>
  <c r="DP3" i="5"/>
  <c r="BI3" i="5"/>
  <c r="UG3" i="5"/>
  <c r="TI3" i="5"/>
  <c r="SK3" i="5"/>
  <c r="RM3" i="5"/>
  <c r="QM3" i="5"/>
  <c r="PM3" i="5"/>
  <c r="OF3" i="5"/>
  <c r="NF3" i="5"/>
  <c r="LY3" i="5"/>
  <c r="KY3" i="5"/>
  <c r="JY3" i="5"/>
  <c r="IR3" i="5"/>
  <c r="HR3" i="5"/>
  <c r="GK3" i="5"/>
  <c r="FK3" i="5"/>
  <c r="EK3" i="5"/>
  <c r="DD3" i="5"/>
  <c r="CD3" i="5"/>
  <c r="AW3" i="5"/>
  <c r="W3" i="5"/>
  <c r="AN104" i="3" l="1" a="1"/>
  <c r="AN104" i="3" s="1"/>
  <c r="AP104" i="3" a="1"/>
  <c r="AP104" i="3" s="1"/>
  <c r="AT104" i="3" a="1"/>
  <c r="AT104" i="3" s="1"/>
  <c r="AO104" i="3" a="1"/>
  <c r="AO104" i="3" s="1"/>
  <c r="AF104" i="3" a="1"/>
  <c r="AF104" i="3" s="1"/>
  <c r="AR104" i="3" a="1"/>
  <c r="AR104" i="3" s="1"/>
  <c r="AQ104" i="3" a="1"/>
  <c r="AQ104" i="3" s="1"/>
  <c r="AG104" i="3" a="1"/>
  <c r="AG104" i="3" s="1"/>
  <c r="AK104" i="3" a="1"/>
  <c r="AK104" i="3" s="1"/>
  <c r="AM104" i="3" a="1"/>
  <c r="AM104" i="3" s="1"/>
  <c r="AE104" i="3" a="1"/>
  <c r="AE104" i="3" s="1"/>
  <c r="AH104" i="3" a="1"/>
  <c r="AH104" i="3" s="1"/>
  <c r="AI104" i="3" a="1"/>
  <c r="AI104" i="3" s="1"/>
  <c r="AU104" i="3" a="1"/>
  <c r="AU104" i="3" s="1"/>
  <c r="AS104" i="3" a="1"/>
  <c r="AS104" i="3" s="1"/>
  <c r="AJ104" i="3" a="1"/>
  <c r="AJ104" i="3" s="1"/>
  <c r="AL104" i="3" a="1"/>
  <c r="AL104" i="3" s="1"/>
  <c r="J43" i="3"/>
  <c r="L43" i="3" s="1" a="1"/>
  <c r="L43" i="3" s="1"/>
  <c r="D44" i="3"/>
  <c r="G44" i="3" s="1"/>
  <c r="J45" i="3"/>
  <c r="D46" i="3"/>
  <c r="G46" i="3" s="1"/>
  <c r="J46" i="3"/>
  <c r="D47" i="3"/>
  <c r="G47" i="3" s="1"/>
  <c r="J47" i="3"/>
  <c r="D48" i="3"/>
  <c r="G48" i="3" s="1"/>
  <c r="J48" i="3"/>
  <c r="D100" i="3"/>
  <c r="G100" i="3" s="1"/>
  <c r="D99" i="3"/>
  <c r="G99" i="3" s="1"/>
  <c r="D98" i="3"/>
  <c r="G98" i="3" s="1"/>
  <c r="D97" i="3"/>
  <c r="G97" i="3" s="1"/>
  <c r="D96" i="3"/>
  <c r="G96" i="3" s="1"/>
  <c r="D95" i="3"/>
  <c r="G95" i="3" s="1"/>
  <c r="D94" i="3"/>
  <c r="G94" i="3" s="1"/>
  <c r="D93" i="3"/>
  <c r="G93" i="3" s="1"/>
  <c r="D92" i="3"/>
  <c r="G92" i="3" s="1"/>
  <c r="D91" i="3"/>
  <c r="G91" i="3" s="1"/>
  <c r="D90" i="3"/>
  <c r="G90" i="3" s="1"/>
  <c r="D89" i="3"/>
  <c r="G89" i="3" s="1"/>
  <c r="D88" i="3"/>
  <c r="G88" i="3" s="1"/>
  <c r="D87" i="3"/>
  <c r="G87" i="3" s="1"/>
  <c r="D86" i="3"/>
  <c r="G86" i="3" s="1"/>
  <c r="D85" i="3"/>
  <c r="G85" i="3" s="1"/>
  <c r="D84" i="3"/>
  <c r="G84" i="3" s="1"/>
  <c r="D83" i="3"/>
  <c r="G83" i="3" s="1"/>
  <c r="D82" i="3"/>
  <c r="G82" i="3" s="1"/>
  <c r="D81" i="3"/>
  <c r="G81" i="3" s="1"/>
  <c r="D80" i="3"/>
  <c r="G80" i="3" s="1"/>
  <c r="D79" i="3"/>
  <c r="G79" i="3" s="1"/>
  <c r="D78" i="3"/>
  <c r="G78" i="3" s="1"/>
  <c r="D77" i="3"/>
  <c r="G77" i="3" s="1"/>
  <c r="D76" i="3"/>
  <c r="G76" i="3" s="1"/>
  <c r="D75" i="3"/>
  <c r="G75" i="3" s="1"/>
  <c r="D74" i="3"/>
  <c r="G74" i="3" s="1"/>
  <c r="D73" i="3"/>
  <c r="G73" i="3" s="1"/>
  <c r="D72" i="3"/>
  <c r="G72" i="3" s="1"/>
  <c r="D71" i="3"/>
  <c r="G71" i="3" s="1"/>
  <c r="D70" i="3"/>
  <c r="G70" i="3" s="1"/>
  <c r="D69" i="3"/>
  <c r="G69" i="3" s="1"/>
  <c r="D68" i="3"/>
  <c r="G68" i="3" s="1"/>
  <c r="D67" i="3"/>
  <c r="G67" i="3" s="1"/>
  <c r="D66" i="3"/>
  <c r="G66" i="3" s="1"/>
  <c r="D65" i="3"/>
  <c r="G65" i="3" s="1"/>
  <c r="D64" i="3"/>
  <c r="G64" i="3" s="1"/>
  <c r="D63" i="3"/>
  <c r="G63" i="3" s="1"/>
  <c r="D62" i="3"/>
  <c r="G62" i="3" s="1"/>
  <c r="D61" i="3"/>
  <c r="G61" i="3" s="1"/>
  <c r="D60" i="3"/>
  <c r="G60" i="3" s="1"/>
  <c r="D59" i="3"/>
  <c r="G59" i="3" s="1"/>
  <c r="D58" i="3"/>
  <c r="G58" i="3" s="1"/>
  <c r="D57" i="3"/>
  <c r="G57" i="3" s="1"/>
  <c r="D56" i="3"/>
  <c r="G56" i="3" s="1"/>
  <c r="D55" i="3"/>
  <c r="G55" i="3" s="1"/>
  <c r="D54" i="3"/>
  <c r="G54" i="3" s="1"/>
  <c r="D53" i="3"/>
  <c r="G53" i="3" s="1"/>
  <c r="D52" i="3"/>
  <c r="G52" i="3" s="1"/>
  <c r="D51" i="3"/>
  <c r="G51" i="3" s="1"/>
  <c r="D50" i="3"/>
  <c r="G50" i="3" s="1"/>
  <c r="D49" i="3"/>
  <c r="G49" i="3" s="1"/>
  <c r="AD106" i="3" a="1"/>
  <c r="AD106" i="3" s="1"/>
  <c r="AC106" i="3" a="1"/>
  <c r="AC106" i="3" s="1"/>
  <c r="AB106" i="3" a="1"/>
  <c r="AB106" i="3" s="1"/>
  <c r="AA106" i="3" a="1"/>
  <c r="AA106" i="3" s="1"/>
  <c r="Z106" i="3" a="1"/>
  <c r="Z106" i="3" s="1"/>
  <c r="Y106" i="3" a="1"/>
  <c r="Y106" i="3" s="1"/>
  <c r="X106" i="3" a="1"/>
  <c r="X106" i="3" s="1"/>
  <c r="W106" i="3" a="1"/>
  <c r="W106" i="3" s="1"/>
  <c r="V106" i="3" a="1"/>
  <c r="V106" i="3" s="1"/>
  <c r="U106" i="3" a="1"/>
  <c r="U106" i="3" s="1"/>
  <c r="T106" i="3" a="1"/>
  <c r="T106" i="3" s="1"/>
  <c r="S106" i="3" a="1"/>
  <c r="S106" i="3" s="1"/>
  <c r="R106" i="3" a="1"/>
  <c r="R106" i="3" s="1"/>
  <c r="Q106" i="3" a="1"/>
  <c r="Q106" i="3" s="1"/>
  <c r="P106" i="3" a="1"/>
  <c r="P106" i="3" s="1"/>
  <c r="O106" i="3" a="1"/>
  <c r="O106" i="3" s="1"/>
  <c r="N106" i="3" a="1"/>
  <c r="N106" i="3" s="1"/>
  <c r="M106" i="3" a="1"/>
  <c r="M106" i="3" s="1"/>
  <c r="L106" i="3" a="1"/>
  <c r="L106" i="3" s="1"/>
  <c r="L105" i="3" a="1"/>
  <c r="L105" i="3" s="1"/>
  <c r="M105" i="3" a="1"/>
  <c r="M105" i="3" s="1"/>
  <c r="N105" i="3" a="1"/>
  <c r="N105" i="3" s="1"/>
  <c r="O105" i="3" a="1"/>
  <c r="O105" i="3" s="1"/>
  <c r="P105" i="3" a="1"/>
  <c r="P105" i="3" s="1"/>
  <c r="Q105" i="3" a="1"/>
  <c r="Q105" i="3" s="1"/>
  <c r="R105" i="3" a="1"/>
  <c r="R105" i="3" s="1"/>
  <c r="S105" i="3" a="1"/>
  <c r="S105" i="3" s="1"/>
  <c r="T105" i="3" a="1"/>
  <c r="T105" i="3" s="1"/>
  <c r="U105" i="3" a="1"/>
  <c r="U105" i="3" s="1"/>
  <c r="V105" i="3" a="1"/>
  <c r="V105" i="3" s="1"/>
  <c r="W105" i="3" a="1"/>
  <c r="W105" i="3" s="1"/>
  <c r="X105" i="3" a="1"/>
  <c r="X105" i="3" s="1"/>
  <c r="Y105" i="3" a="1"/>
  <c r="Y105" i="3" s="1"/>
  <c r="Z105" i="3" a="1"/>
  <c r="Z105" i="3" s="1"/>
  <c r="AA105" i="3" a="1"/>
  <c r="AA105" i="3" s="1"/>
  <c r="AB105" i="3" a="1"/>
  <c r="AB105" i="3" s="1"/>
  <c r="AC105" i="3" a="1"/>
  <c r="AC105" i="3" s="1"/>
  <c r="AD105" i="3" a="1"/>
  <c r="AD105" i="3" s="1"/>
  <c r="L107" i="3" a="1"/>
  <c r="L107" i="3" s="1"/>
  <c r="M107" i="3" a="1"/>
  <c r="M107" i="3" s="1"/>
  <c r="N107" i="3" a="1"/>
  <c r="N107" i="3" s="1"/>
  <c r="O107" i="3" a="1"/>
  <c r="O107" i="3" s="1"/>
  <c r="P107" i="3" a="1"/>
  <c r="P107" i="3" s="1"/>
  <c r="Q107" i="3" a="1"/>
  <c r="Q107" i="3" s="1"/>
  <c r="R107" i="3" a="1"/>
  <c r="R107" i="3" s="1"/>
  <c r="S107" i="3" a="1"/>
  <c r="S107" i="3" s="1"/>
  <c r="T107" i="3" a="1"/>
  <c r="T107" i="3" s="1"/>
  <c r="U107" i="3" a="1"/>
  <c r="U107" i="3" s="1"/>
  <c r="V107" i="3" a="1"/>
  <c r="V107" i="3" s="1"/>
  <c r="W107" i="3" a="1"/>
  <c r="W107" i="3" s="1"/>
  <c r="X107" i="3" a="1"/>
  <c r="X107" i="3" s="1"/>
  <c r="Y107" i="3" a="1"/>
  <c r="Y107" i="3" s="1"/>
  <c r="Z107" i="3" a="1"/>
  <c r="Z107" i="3" s="1"/>
  <c r="AA107" i="3" a="1"/>
  <c r="AA107" i="3" s="1"/>
  <c r="AB107" i="3" a="1"/>
  <c r="AB107" i="3" s="1"/>
  <c r="AC107" i="3" a="1"/>
  <c r="AC107" i="3" s="1"/>
  <c r="AD107" i="3" a="1"/>
  <c r="AD107" i="3" s="1"/>
  <c r="L108" i="3" a="1"/>
  <c r="L108" i="3" s="1"/>
  <c r="M108" i="3" a="1"/>
  <c r="M108" i="3" s="1"/>
  <c r="N108" i="3" a="1"/>
  <c r="N108" i="3" s="1"/>
  <c r="O108" i="3" a="1"/>
  <c r="O108" i="3" s="1"/>
  <c r="P108" i="3" a="1"/>
  <c r="P108" i="3" s="1"/>
  <c r="Q108" i="3" a="1"/>
  <c r="Q108" i="3" s="1"/>
  <c r="R108" i="3" a="1"/>
  <c r="R108" i="3" s="1"/>
  <c r="S108" i="3" a="1"/>
  <c r="S108" i="3" s="1"/>
  <c r="T108" i="3" a="1"/>
  <c r="T108" i="3" s="1"/>
  <c r="U108" i="3" a="1"/>
  <c r="U108" i="3" s="1"/>
  <c r="V108" i="3" a="1"/>
  <c r="V108" i="3" s="1"/>
  <c r="W108" i="3" a="1"/>
  <c r="W108" i="3" s="1"/>
  <c r="X108" i="3" a="1"/>
  <c r="X108" i="3" s="1"/>
  <c r="Y108" i="3" a="1"/>
  <c r="Y108" i="3" s="1"/>
  <c r="Z108" i="3" a="1"/>
  <c r="Z108" i="3" s="1"/>
  <c r="AA108" i="3" a="1"/>
  <c r="AA108" i="3" s="1"/>
  <c r="AB108" i="3" a="1"/>
  <c r="AB108" i="3" s="1"/>
  <c r="AC108" i="3" a="1"/>
  <c r="AC108" i="3" s="1"/>
  <c r="AD108" i="3" a="1"/>
  <c r="AD108" i="3" s="1"/>
  <c r="L109" i="3" a="1"/>
  <c r="L109" i="3" s="1"/>
  <c r="M109" i="3" a="1"/>
  <c r="M109" i="3" s="1"/>
  <c r="N109" i="3" a="1"/>
  <c r="N109" i="3" s="1"/>
  <c r="O109" i="3" a="1"/>
  <c r="O109" i="3" s="1"/>
  <c r="P109" i="3" a="1"/>
  <c r="P109" i="3" s="1"/>
  <c r="Q109" i="3" a="1"/>
  <c r="Q109" i="3" s="1"/>
  <c r="R109" i="3" a="1"/>
  <c r="R109" i="3" s="1"/>
  <c r="S109" i="3" a="1"/>
  <c r="S109" i="3" s="1"/>
  <c r="T109" i="3" a="1"/>
  <c r="T109" i="3" s="1"/>
  <c r="U109" i="3" a="1"/>
  <c r="U109" i="3" s="1"/>
  <c r="V109" i="3" a="1"/>
  <c r="V109" i="3" s="1"/>
  <c r="W109" i="3" a="1"/>
  <c r="W109" i="3" s="1"/>
  <c r="X109" i="3" a="1"/>
  <c r="X109" i="3" s="1"/>
  <c r="Y109" i="3" a="1"/>
  <c r="Y109" i="3" s="1"/>
  <c r="Z109" i="3" a="1"/>
  <c r="Z109" i="3" s="1"/>
  <c r="AA109" i="3" a="1"/>
  <c r="AA109" i="3" s="1"/>
  <c r="AB109" i="3" a="1"/>
  <c r="AB109" i="3" s="1"/>
  <c r="AC109" i="3" a="1"/>
  <c r="AC109" i="3" s="1"/>
  <c r="AD109" i="3" a="1"/>
  <c r="AD109" i="3" s="1"/>
  <c r="L110" i="3" a="1"/>
  <c r="L110" i="3" s="1"/>
  <c r="M110" i="3" a="1"/>
  <c r="M110" i="3" s="1"/>
  <c r="N110" i="3" a="1"/>
  <c r="N110" i="3" s="1"/>
  <c r="O110" i="3" a="1"/>
  <c r="O110" i="3" s="1"/>
  <c r="P110" i="3" a="1"/>
  <c r="P110" i="3" s="1"/>
  <c r="Q110" i="3" a="1"/>
  <c r="Q110" i="3" s="1"/>
  <c r="R110" i="3" a="1"/>
  <c r="R110" i="3" s="1"/>
  <c r="S110" i="3" a="1"/>
  <c r="S110" i="3" s="1"/>
  <c r="T110" i="3" a="1"/>
  <c r="T110" i="3" s="1"/>
  <c r="U110" i="3" a="1"/>
  <c r="U110" i="3" s="1"/>
  <c r="V110" i="3" a="1"/>
  <c r="V110" i="3" s="1"/>
  <c r="W110" i="3" a="1"/>
  <c r="W110" i="3" s="1"/>
  <c r="X110" i="3" a="1"/>
  <c r="X110" i="3" s="1"/>
  <c r="Y110" i="3" a="1"/>
  <c r="Y110" i="3" s="1"/>
  <c r="Z110" i="3" a="1"/>
  <c r="Z110" i="3" s="1"/>
  <c r="AA110" i="3" a="1"/>
  <c r="AA110" i="3" s="1"/>
  <c r="AB110" i="3" a="1"/>
  <c r="AB110" i="3" s="1"/>
  <c r="AC110" i="3" a="1"/>
  <c r="AC110" i="3" s="1"/>
  <c r="AD110" i="3" a="1"/>
  <c r="AD110" i="3" s="1"/>
  <c r="L111" i="3" a="1"/>
  <c r="L111" i="3" s="1"/>
  <c r="M111" i="3" a="1"/>
  <c r="M111" i="3" s="1"/>
  <c r="N111" i="3" a="1"/>
  <c r="N111" i="3" s="1"/>
  <c r="O111" i="3" a="1"/>
  <c r="O111" i="3" s="1"/>
  <c r="P111" i="3" a="1"/>
  <c r="P111" i="3" s="1"/>
  <c r="Q111" i="3" a="1"/>
  <c r="Q111" i="3" s="1"/>
  <c r="R111" i="3" a="1"/>
  <c r="R111" i="3" s="1"/>
  <c r="S111" i="3" a="1"/>
  <c r="S111" i="3" s="1"/>
  <c r="T111" i="3" a="1"/>
  <c r="T111" i="3" s="1"/>
  <c r="U111" i="3" a="1"/>
  <c r="U111" i="3" s="1"/>
  <c r="V111" i="3" a="1"/>
  <c r="V111" i="3" s="1"/>
  <c r="W111" i="3" a="1"/>
  <c r="W111" i="3" s="1"/>
  <c r="X111" i="3" a="1"/>
  <c r="X111" i="3" s="1"/>
  <c r="Y111" i="3" a="1"/>
  <c r="Y111" i="3" s="1"/>
  <c r="Z111" i="3" a="1"/>
  <c r="Z111" i="3" s="1"/>
  <c r="AA111" i="3" a="1"/>
  <c r="AA111" i="3" s="1"/>
  <c r="AB111" i="3" a="1"/>
  <c r="AB111" i="3" s="1"/>
  <c r="AC111" i="3" a="1"/>
  <c r="AC111" i="3" s="1"/>
  <c r="AD111" i="3" a="1"/>
  <c r="AD111" i="3" s="1"/>
  <c r="L112" i="3" a="1"/>
  <c r="L112" i="3" s="1"/>
  <c r="M112" i="3" a="1"/>
  <c r="M112" i="3" s="1"/>
  <c r="N112" i="3" a="1"/>
  <c r="N112" i="3" s="1"/>
  <c r="O112" i="3" a="1"/>
  <c r="O112" i="3" s="1"/>
  <c r="P112" i="3" a="1"/>
  <c r="P112" i="3" s="1"/>
  <c r="Q112" i="3" a="1"/>
  <c r="Q112" i="3" s="1"/>
  <c r="R112" i="3" a="1"/>
  <c r="R112" i="3" s="1"/>
  <c r="S112" i="3" a="1"/>
  <c r="S112" i="3" s="1"/>
  <c r="T112" i="3" a="1"/>
  <c r="T112" i="3" s="1"/>
  <c r="U112" i="3" a="1"/>
  <c r="U112" i="3" s="1"/>
  <c r="V112" i="3" a="1"/>
  <c r="V112" i="3" s="1"/>
  <c r="W112" i="3" a="1"/>
  <c r="W112" i="3" s="1"/>
  <c r="X112" i="3" a="1"/>
  <c r="X112" i="3" s="1"/>
  <c r="Y112" i="3" a="1"/>
  <c r="Y112" i="3" s="1"/>
  <c r="Z112" i="3" a="1"/>
  <c r="Z112" i="3" s="1"/>
  <c r="AA112" i="3" a="1"/>
  <c r="AA112" i="3" s="1"/>
  <c r="AB112" i="3" a="1"/>
  <c r="AB112" i="3" s="1"/>
  <c r="AC112" i="3" a="1"/>
  <c r="AC112" i="3" s="1"/>
  <c r="AD112" i="3" a="1"/>
  <c r="AD112" i="3" s="1"/>
  <c r="L113" i="3" a="1"/>
  <c r="L113" i="3" s="1"/>
  <c r="M113" i="3" a="1"/>
  <c r="M113" i="3" s="1"/>
  <c r="N113" i="3" a="1"/>
  <c r="N113" i="3" s="1"/>
  <c r="O113" i="3" a="1"/>
  <c r="O113" i="3" s="1"/>
  <c r="P113" i="3" a="1"/>
  <c r="P113" i="3" s="1"/>
  <c r="Q113" i="3" a="1"/>
  <c r="Q113" i="3" s="1"/>
  <c r="R113" i="3" a="1"/>
  <c r="R113" i="3" s="1"/>
  <c r="S113" i="3" a="1"/>
  <c r="S113" i="3" s="1"/>
  <c r="T113" i="3" a="1"/>
  <c r="T113" i="3" s="1"/>
  <c r="U113" i="3" a="1"/>
  <c r="U113" i="3" s="1"/>
  <c r="V113" i="3" a="1"/>
  <c r="V113" i="3" s="1"/>
  <c r="W113" i="3" a="1"/>
  <c r="W113" i="3" s="1"/>
  <c r="X113" i="3" a="1"/>
  <c r="X113" i="3" s="1"/>
  <c r="Y113" i="3" a="1"/>
  <c r="Y113" i="3" s="1"/>
  <c r="Z113" i="3" a="1"/>
  <c r="Z113" i="3" s="1"/>
  <c r="AA113" i="3" a="1"/>
  <c r="AA113" i="3" s="1"/>
  <c r="AB113" i="3" a="1"/>
  <c r="AB113" i="3" s="1"/>
  <c r="AC113" i="3" a="1"/>
  <c r="AC113" i="3" s="1"/>
  <c r="AD113" i="3" a="1"/>
  <c r="AD113" i="3" s="1"/>
  <c r="L114" i="3" a="1"/>
  <c r="L114" i="3" s="1"/>
  <c r="M114" i="3" a="1"/>
  <c r="M114" i="3" s="1"/>
  <c r="N114" i="3" a="1"/>
  <c r="N114" i="3" s="1"/>
  <c r="O114" i="3" a="1"/>
  <c r="O114" i="3" s="1"/>
  <c r="P114" i="3" a="1"/>
  <c r="P114" i="3" s="1"/>
  <c r="Q114" i="3" a="1"/>
  <c r="Q114" i="3" s="1"/>
  <c r="R114" i="3" a="1"/>
  <c r="R114" i="3" s="1"/>
  <c r="S114" i="3" a="1"/>
  <c r="S114" i="3" s="1"/>
  <c r="T114" i="3" a="1"/>
  <c r="T114" i="3" s="1"/>
  <c r="U114" i="3" a="1"/>
  <c r="U114" i="3" s="1"/>
  <c r="V114" i="3" a="1"/>
  <c r="V114" i="3" s="1"/>
  <c r="W114" i="3" a="1"/>
  <c r="W114" i="3" s="1"/>
  <c r="X114" i="3" a="1"/>
  <c r="X114" i="3" s="1"/>
  <c r="Y114" i="3" a="1"/>
  <c r="Y114" i="3" s="1"/>
  <c r="Z114" i="3" a="1"/>
  <c r="Z114" i="3" s="1"/>
  <c r="AA114" i="3" a="1"/>
  <c r="AA114" i="3" s="1"/>
  <c r="AB114" i="3" a="1"/>
  <c r="AB114" i="3" s="1"/>
  <c r="AC114" i="3" a="1"/>
  <c r="AC114" i="3" s="1"/>
  <c r="AD114" i="3" a="1"/>
  <c r="AD114" i="3" s="1"/>
  <c r="L115" i="3" a="1"/>
  <c r="L115" i="3" s="1"/>
  <c r="M115" i="3" a="1"/>
  <c r="M115" i="3" s="1"/>
  <c r="N115" i="3" a="1"/>
  <c r="N115" i="3" s="1"/>
  <c r="O115" i="3" a="1"/>
  <c r="O115" i="3" s="1"/>
  <c r="P115" i="3" a="1"/>
  <c r="P115" i="3" s="1"/>
  <c r="Q115" i="3" a="1"/>
  <c r="Q115" i="3" s="1"/>
  <c r="R115" i="3" a="1"/>
  <c r="R115" i="3" s="1"/>
  <c r="S115" i="3" a="1"/>
  <c r="S115" i="3" s="1"/>
  <c r="T115" i="3" a="1"/>
  <c r="T115" i="3" s="1"/>
  <c r="U115" i="3" a="1"/>
  <c r="U115" i="3" s="1"/>
  <c r="V115" i="3" a="1"/>
  <c r="V115" i="3" s="1"/>
  <c r="W115" i="3" a="1"/>
  <c r="W115" i="3" s="1"/>
  <c r="X115" i="3" a="1"/>
  <c r="X115" i="3" s="1"/>
  <c r="Y115" i="3" a="1"/>
  <c r="Y115" i="3" s="1"/>
  <c r="Z115" i="3" a="1"/>
  <c r="Z115" i="3" s="1"/>
  <c r="AA115" i="3" a="1"/>
  <c r="AA115" i="3" s="1"/>
  <c r="AB115" i="3" a="1"/>
  <c r="AB115" i="3" s="1"/>
  <c r="AC115" i="3" a="1"/>
  <c r="AC115" i="3" s="1"/>
  <c r="AD115" i="3" a="1"/>
  <c r="AD115" i="3" s="1"/>
  <c r="L116" i="3" a="1"/>
  <c r="L116" i="3" s="1"/>
  <c r="M116" i="3" a="1"/>
  <c r="M116" i="3" s="1"/>
  <c r="N116" i="3" a="1"/>
  <c r="N116" i="3" s="1"/>
  <c r="O116" i="3" a="1"/>
  <c r="O116" i="3" s="1"/>
  <c r="P116" i="3" a="1"/>
  <c r="P116" i="3" s="1"/>
  <c r="Q116" i="3" a="1"/>
  <c r="Q116" i="3" s="1"/>
  <c r="R116" i="3" a="1"/>
  <c r="R116" i="3" s="1"/>
  <c r="S116" i="3" a="1"/>
  <c r="S116" i="3" s="1"/>
  <c r="T116" i="3" a="1"/>
  <c r="T116" i="3" s="1"/>
  <c r="U116" i="3" a="1"/>
  <c r="U116" i="3" s="1"/>
  <c r="V116" i="3" a="1"/>
  <c r="V116" i="3" s="1"/>
  <c r="W116" i="3" a="1"/>
  <c r="W116" i="3" s="1"/>
  <c r="X116" i="3" a="1"/>
  <c r="X116" i="3" s="1"/>
  <c r="Y116" i="3" a="1"/>
  <c r="Y116" i="3" s="1"/>
  <c r="Z116" i="3" a="1"/>
  <c r="Z116" i="3" s="1"/>
  <c r="AA116" i="3" a="1"/>
  <c r="AA116" i="3" s="1"/>
  <c r="AB116" i="3" a="1"/>
  <c r="AB116" i="3" s="1"/>
  <c r="AC116" i="3" a="1"/>
  <c r="AC116" i="3" s="1"/>
  <c r="AD116" i="3" a="1"/>
  <c r="AD116" i="3" s="1"/>
  <c r="L117" i="3" a="1"/>
  <c r="L117" i="3" s="1"/>
  <c r="M117" i="3" a="1"/>
  <c r="M117" i="3" s="1"/>
  <c r="N117" i="3" a="1"/>
  <c r="N117" i="3" s="1"/>
  <c r="O117" i="3" a="1"/>
  <c r="O117" i="3" s="1"/>
  <c r="P117" i="3" a="1"/>
  <c r="P117" i="3" s="1"/>
  <c r="Q117" i="3" a="1"/>
  <c r="Q117" i="3" s="1"/>
  <c r="R117" i="3" a="1"/>
  <c r="R117" i="3" s="1"/>
  <c r="S117" i="3" a="1"/>
  <c r="S117" i="3" s="1"/>
  <c r="T117" i="3" a="1"/>
  <c r="T117" i="3" s="1"/>
  <c r="U117" i="3" a="1"/>
  <c r="U117" i="3" s="1"/>
  <c r="V117" i="3" a="1"/>
  <c r="V117" i="3" s="1"/>
  <c r="W117" i="3" a="1"/>
  <c r="W117" i="3" s="1"/>
  <c r="X117" i="3" a="1"/>
  <c r="X117" i="3" s="1"/>
  <c r="Y117" i="3" a="1"/>
  <c r="Y117" i="3" s="1"/>
  <c r="Z117" i="3" a="1"/>
  <c r="Z117" i="3" s="1"/>
  <c r="AA117" i="3" a="1"/>
  <c r="AA117" i="3" s="1"/>
  <c r="AB117" i="3" a="1"/>
  <c r="AB117" i="3" s="1"/>
  <c r="AC117" i="3" a="1"/>
  <c r="AC117" i="3" s="1"/>
  <c r="AD117" i="3" a="1"/>
  <c r="AD117" i="3" s="1"/>
  <c r="L118" i="3" a="1"/>
  <c r="L118" i="3" s="1"/>
  <c r="M118" i="3" a="1"/>
  <c r="M118" i="3" s="1"/>
  <c r="N118" i="3" a="1"/>
  <c r="N118" i="3" s="1"/>
  <c r="O118" i="3" a="1"/>
  <c r="O118" i="3" s="1"/>
  <c r="P118" i="3" a="1"/>
  <c r="P118" i="3" s="1"/>
  <c r="Q118" i="3" a="1"/>
  <c r="Q118" i="3" s="1"/>
  <c r="R118" i="3" a="1"/>
  <c r="R118" i="3" s="1"/>
  <c r="S118" i="3" a="1"/>
  <c r="S118" i="3" s="1"/>
  <c r="T118" i="3" a="1"/>
  <c r="T118" i="3" s="1"/>
  <c r="U118" i="3" a="1"/>
  <c r="U118" i="3" s="1"/>
  <c r="V118" i="3" a="1"/>
  <c r="V118" i="3" s="1"/>
  <c r="W118" i="3" a="1"/>
  <c r="W118" i="3" s="1"/>
  <c r="X118" i="3" a="1"/>
  <c r="X118" i="3" s="1"/>
  <c r="Y118" i="3" a="1"/>
  <c r="Y118" i="3" s="1"/>
  <c r="Z118" i="3" a="1"/>
  <c r="Z118" i="3" s="1"/>
  <c r="AA118" i="3" a="1"/>
  <c r="AA118" i="3" s="1"/>
  <c r="AB118" i="3" a="1"/>
  <c r="AB118" i="3" s="1"/>
  <c r="AC118" i="3" a="1"/>
  <c r="AC118" i="3" s="1"/>
  <c r="AD118" i="3" a="1"/>
  <c r="AD118" i="3" s="1"/>
  <c r="L119" i="3" a="1"/>
  <c r="L119" i="3" s="1"/>
  <c r="M119" i="3" a="1"/>
  <c r="M119" i="3" s="1"/>
  <c r="N119" i="3" a="1"/>
  <c r="N119" i="3" s="1"/>
  <c r="O119" i="3" a="1"/>
  <c r="O119" i="3" s="1"/>
  <c r="P119" i="3" a="1"/>
  <c r="P119" i="3" s="1"/>
  <c r="Q119" i="3" a="1"/>
  <c r="Q119" i="3" s="1"/>
  <c r="R119" i="3" a="1"/>
  <c r="R119" i="3" s="1"/>
  <c r="S119" i="3" a="1"/>
  <c r="S119" i="3" s="1"/>
  <c r="T119" i="3" a="1"/>
  <c r="T119" i="3" s="1"/>
  <c r="U119" i="3" a="1"/>
  <c r="U119" i="3" s="1"/>
  <c r="V119" i="3" a="1"/>
  <c r="V119" i="3" s="1"/>
  <c r="W119" i="3" a="1"/>
  <c r="W119" i="3" s="1"/>
  <c r="X119" i="3" a="1"/>
  <c r="X119" i="3" s="1"/>
  <c r="Y119" i="3" a="1"/>
  <c r="Y119" i="3" s="1"/>
  <c r="Z119" i="3" a="1"/>
  <c r="Z119" i="3" s="1"/>
  <c r="AA119" i="3" a="1"/>
  <c r="AA119" i="3" s="1"/>
  <c r="AB119" i="3" a="1"/>
  <c r="AB119" i="3" s="1"/>
  <c r="AC119" i="3" a="1"/>
  <c r="AC119" i="3" s="1"/>
  <c r="AD119" i="3" a="1"/>
  <c r="AD119" i="3" s="1"/>
  <c r="L120" i="3" a="1"/>
  <c r="L120" i="3" s="1"/>
  <c r="M120" i="3" a="1"/>
  <c r="M120" i="3" s="1"/>
  <c r="N120" i="3" a="1"/>
  <c r="N120" i="3" s="1"/>
  <c r="O120" i="3" a="1"/>
  <c r="O120" i="3" s="1"/>
  <c r="P120" i="3" a="1"/>
  <c r="P120" i="3" s="1"/>
  <c r="Q120" i="3" a="1"/>
  <c r="Q120" i="3" s="1"/>
  <c r="R120" i="3" a="1"/>
  <c r="R120" i="3" s="1"/>
  <c r="S120" i="3" a="1"/>
  <c r="S120" i="3" s="1"/>
  <c r="T120" i="3" a="1"/>
  <c r="T120" i="3" s="1"/>
  <c r="U120" i="3" a="1"/>
  <c r="U120" i="3" s="1"/>
  <c r="V120" i="3" a="1"/>
  <c r="V120" i="3" s="1"/>
  <c r="W120" i="3" a="1"/>
  <c r="W120" i="3" s="1"/>
  <c r="X120" i="3" a="1"/>
  <c r="X120" i="3" s="1"/>
  <c r="Y120" i="3" a="1"/>
  <c r="Y120" i="3" s="1"/>
  <c r="Z120" i="3" a="1"/>
  <c r="Z120" i="3" s="1"/>
  <c r="AA120" i="3" a="1"/>
  <c r="AA120" i="3" s="1"/>
  <c r="AB120" i="3" a="1"/>
  <c r="AB120" i="3" s="1"/>
  <c r="AC120" i="3" a="1"/>
  <c r="AC120" i="3" s="1"/>
  <c r="AD120" i="3" a="1"/>
  <c r="AD120" i="3" s="1"/>
  <c r="L121" i="3" a="1"/>
  <c r="L121" i="3" s="1"/>
  <c r="M121" i="3" a="1"/>
  <c r="M121" i="3" s="1"/>
  <c r="N121" i="3" a="1"/>
  <c r="N121" i="3" s="1"/>
  <c r="O121" i="3" a="1"/>
  <c r="O121" i="3" s="1"/>
  <c r="P121" i="3" a="1"/>
  <c r="P121" i="3" s="1"/>
  <c r="Q121" i="3" a="1"/>
  <c r="Q121" i="3" s="1"/>
  <c r="R121" i="3" a="1"/>
  <c r="R121" i="3" s="1"/>
  <c r="S121" i="3" a="1"/>
  <c r="S121" i="3" s="1"/>
  <c r="T121" i="3" a="1"/>
  <c r="T121" i="3" s="1"/>
  <c r="U121" i="3" a="1"/>
  <c r="U121" i="3" s="1"/>
  <c r="V121" i="3" a="1"/>
  <c r="V121" i="3" s="1"/>
  <c r="W121" i="3" a="1"/>
  <c r="W121" i="3" s="1"/>
  <c r="X121" i="3" a="1"/>
  <c r="X121" i="3" s="1"/>
  <c r="Y121" i="3" a="1"/>
  <c r="Y121" i="3" s="1"/>
  <c r="Z121" i="3" a="1"/>
  <c r="Z121" i="3" s="1"/>
  <c r="AA121" i="3" a="1"/>
  <c r="AA121" i="3" s="1"/>
  <c r="AB121" i="3" a="1"/>
  <c r="AB121" i="3" s="1"/>
  <c r="AC121" i="3" a="1"/>
  <c r="AC121" i="3" s="1"/>
  <c r="AD121" i="3" a="1"/>
  <c r="AD121" i="3" s="1"/>
  <c r="L122" i="3" a="1"/>
  <c r="L122" i="3" s="1"/>
  <c r="M122" i="3" a="1"/>
  <c r="M122" i="3" s="1"/>
  <c r="N122" i="3" a="1"/>
  <c r="N122" i="3" s="1"/>
  <c r="O122" i="3" a="1"/>
  <c r="O122" i="3" s="1"/>
  <c r="P122" i="3" a="1"/>
  <c r="P122" i="3" s="1"/>
  <c r="Q122" i="3" a="1"/>
  <c r="Q122" i="3" s="1"/>
  <c r="R122" i="3" a="1"/>
  <c r="R122" i="3" s="1"/>
  <c r="S122" i="3" a="1"/>
  <c r="S122" i="3" s="1"/>
  <c r="T122" i="3" a="1"/>
  <c r="T122" i="3" s="1"/>
  <c r="U122" i="3" a="1"/>
  <c r="U122" i="3" s="1"/>
  <c r="V122" i="3" a="1"/>
  <c r="V122" i="3" s="1"/>
  <c r="W122" i="3" a="1"/>
  <c r="W122" i="3" s="1"/>
  <c r="X122" i="3" a="1"/>
  <c r="X122" i="3" s="1"/>
  <c r="Y122" i="3" a="1"/>
  <c r="Y122" i="3" s="1"/>
  <c r="Z122" i="3" a="1"/>
  <c r="Z122" i="3" s="1"/>
  <c r="AA122" i="3" a="1"/>
  <c r="AA122" i="3" s="1"/>
  <c r="AB122" i="3" a="1"/>
  <c r="AB122" i="3" s="1"/>
  <c r="AC122" i="3" a="1"/>
  <c r="AC122" i="3" s="1"/>
  <c r="AD122" i="3" a="1"/>
  <c r="AD122" i="3" s="1"/>
  <c r="L123" i="3" a="1"/>
  <c r="L123" i="3" s="1"/>
  <c r="M123" i="3" a="1"/>
  <c r="M123" i="3" s="1"/>
  <c r="N123" i="3" a="1"/>
  <c r="N123" i="3" s="1"/>
  <c r="O123" i="3" a="1"/>
  <c r="O123" i="3" s="1"/>
  <c r="P123" i="3" a="1"/>
  <c r="P123" i="3" s="1"/>
  <c r="Q123" i="3" a="1"/>
  <c r="Q123" i="3" s="1"/>
  <c r="R123" i="3" a="1"/>
  <c r="R123" i="3" s="1"/>
  <c r="S123" i="3" a="1"/>
  <c r="S123" i="3" s="1"/>
  <c r="T123" i="3" a="1"/>
  <c r="T123" i="3" s="1"/>
  <c r="U123" i="3" a="1"/>
  <c r="U123" i="3" s="1"/>
  <c r="V123" i="3" a="1"/>
  <c r="V123" i="3" s="1"/>
  <c r="W123" i="3" a="1"/>
  <c r="W123" i="3" s="1"/>
  <c r="X123" i="3" a="1"/>
  <c r="X123" i="3" s="1"/>
  <c r="Y123" i="3" a="1"/>
  <c r="Y123" i="3" s="1"/>
  <c r="Z123" i="3" a="1"/>
  <c r="Z123" i="3" s="1"/>
  <c r="AA123" i="3" a="1"/>
  <c r="AA123" i="3" s="1"/>
  <c r="AB123" i="3" a="1"/>
  <c r="AB123" i="3" s="1"/>
  <c r="AC123" i="3" a="1"/>
  <c r="AC123" i="3" s="1"/>
  <c r="AD123" i="3" a="1"/>
  <c r="AD123" i="3" s="1"/>
  <c r="L124" i="3" a="1"/>
  <c r="L124" i="3" s="1"/>
  <c r="M124" i="3" a="1"/>
  <c r="M124" i="3" s="1"/>
  <c r="N124" i="3" a="1"/>
  <c r="N124" i="3" s="1"/>
  <c r="O124" i="3" a="1"/>
  <c r="O124" i="3" s="1"/>
  <c r="P124" i="3" a="1"/>
  <c r="P124" i="3" s="1"/>
  <c r="Q124" i="3" a="1"/>
  <c r="Q124" i="3" s="1"/>
  <c r="R124" i="3" a="1"/>
  <c r="R124" i="3" s="1"/>
  <c r="S124" i="3" a="1"/>
  <c r="S124" i="3" s="1"/>
  <c r="T124" i="3" a="1"/>
  <c r="T124" i="3" s="1"/>
  <c r="U124" i="3" a="1"/>
  <c r="U124" i="3" s="1"/>
  <c r="V124" i="3" a="1"/>
  <c r="V124" i="3" s="1"/>
  <c r="W124" i="3" a="1"/>
  <c r="W124" i="3" s="1"/>
  <c r="X124" i="3" a="1"/>
  <c r="X124" i="3" s="1"/>
  <c r="Y124" i="3" a="1"/>
  <c r="Y124" i="3" s="1"/>
  <c r="Z124" i="3" a="1"/>
  <c r="Z124" i="3" s="1"/>
  <c r="AA124" i="3" a="1"/>
  <c r="AA124" i="3" s="1"/>
  <c r="AB124" i="3" a="1"/>
  <c r="AB124" i="3" s="1"/>
  <c r="AC124" i="3" a="1"/>
  <c r="AC124" i="3" s="1"/>
  <c r="AD124" i="3" a="1"/>
  <c r="AD124" i="3" s="1"/>
  <c r="L125" i="3" a="1"/>
  <c r="L125" i="3" s="1"/>
  <c r="M125" i="3" a="1"/>
  <c r="M125" i="3" s="1"/>
  <c r="N125" i="3" a="1"/>
  <c r="N125" i="3" s="1"/>
  <c r="O125" i="3" a="1"/>
  <c r="O125" i="3" s="1"/>
  <c r="P125" i="3" a="1"/>
  <c r="P125" i="3" s="1"/>
  <c r="Q125" i="3" a="1"/>
  <c r="Q125" i="3" s="1"/>
  <c r="R125" i="3" a="1"/>
  <c r="R125" i="3" s="1"/>
  <c r="S125" i="3" a="1"/>
  <c r="S125" i="3" s="1"/>
  <c r="T125" i="3" a="1"/>
  <c r="T125" i="3" s="1"/>
  <c r="U125" i="3" a="1"/>
  <c r="U125" i="3" s="1"/>
  <c r="V125" i="3" a="1"/>
  <c r="V125" i="3" s="1"/>
  <c r="W125" i="3" a="1"/>
  <c r="W125" i="3" s="1"/>
  <c r="X125" i="3" a="1"/>
  <c r="X125" i="3" s="1"/>
  <c r="Y125" i="3" a="1"/>
  <c r="Y125" i="3" s="1"/>
  <c r="Z125" i="3" a="1"/>
  <c r="Z125" i="3" s="1"/>
  <c r="AA125" i="3" a="1"/>
  <c r="AA125" i="3" s="1"/>
  <c r="AB125" i="3" a="1"/>
  <c r="AB125" i="3" s="1"/>
  <c r="AC125" i="3" a="1"/>
  <c r="AC125" i="3" s="1"/>
  <c r="AD125" i="3" a="1"/>
  <c r="AD125" i="3" s="1"/>
  <c r="L126" i="3" a="1"/>
  <c r="L126" i="3" s="1"/>
  <c r="M126" i="3" a="1"/>
  <c r="M126" i="3" s="1"/>
  <c r="N126" i="3" a="1"/>
  <c r="N126" i="3" s="1"/>
  <c r="O126" i="3" a="1"/>
  <c r="O126" i="3" s="1"/>
  <c r="P126" i="3" a="1"/>
  <c r="P126" i="3" s="1"/>
  <c r="Q126" i="3" a="1"/>
  <c r="Q126" i="3" s="1"/>
  <c r="R126" i="3" a="1"/>
  <c r="R126" i="3" s="1"/>
  <c r="S126" i="3" a="1"/>
  <c r="S126" i="3" s="1"/>
  <c r="T126" i="3" a="1"/>
  <c r="T126" i="3" s="1"/>
  <c r="U126" i="3" a="1"/>
  <c r="U126" i="3" s="1"/>
  <c r="V126" i="3" a="1"/>
  <c r="V126" i="3" s="1"/>
  <c r="W126" i="3" a="1"/>
  <c r="W126" i="3" s="1"/>
  <c r="X126" i="3" a="1"/>
  <c r="X126" i="3" s="1"/>
  <c r="Y126" i="3" a="1"/>
  <c r="Y126" i="3" s="1"/>
  <c r="Z126" i="3" a="1"/>
  <c r="Z126" i="3" s="1"/>
  <c r="AA126" i="3" a="1"/>
  <c r="AA126" i="3" s="1"/>
  <c r="AB126" i="3" a="1"/>
  <c r="AB126" i="3" s="1"/>
  <c r="AC126" i="3" a="1"/>
  <c r="AC126" i="3" s="1"/>
  <c r="AD126" i="3" a="1"/>
  <c r="AD126" i="3" s="1"/>
  <c r="L127" i="3" a="1"/>
  <c r="L127" i="3" s="1"/>
  <c r="M127" i="3" a="1"/>
  <c r="M127" i="3" s="1"/>
  <c r="N127" i="3" a="1"/>
  <c r="N127" i="3" s="1"/>
  <c r="O127" i="3" a="1"/>
  <c r="O127" i="3" s="1"/>
  <c r="P127" i="3" a="1"/>
  <c r="P127" i="3" s="1"/>
  <c r="Q127" i="3" a="1"/>
  <c r="Q127" i="3" s="1"/>
  <c r="R127" i="3" a="1"/>
  <c r="R127" i="3" s="1"/>
  <c r="S127" i="3" a="1"/>
  <c r="S127" i="3" s="1"/>
  <c r="T127" i="3" a="1"/>
  <c r="T127" i="3" s="1"/>
  <c r="U127" i="3" a="1"/>
  <c r="U127" i="3" s="1"/>
  <c r="V127" i="3" a="1"/>
  <c r="V127" i="3" s="1"/>
  <c r="W127" i="3" a="1"/>
  <c r="W127" i="3" s="1"/>
  <c r="X127" i="3" a="1"/>
  <c r="X127" i="3" s="1"/>
  <c r="Y127" i="3" a="1"/>
  <c r="Y127" i="3" s="1"/>
  <c r="Z127" i="3" a="1"/>
  <c r="Z127" i="3" s="1"/>
  <c r="AA127" i="3" a="1"/>
  <c r="AA127" i="3" s="1"/>
  <c r="AB127" i="3" a="1"/>
  <c r="AB127" i="3" s="1"/>
  <c r="AC127" i="3" a="1"/>
  <c r="AC127" i="3" s="1"/>
  <c r="AD127" i="3" a="1"/>
  <c r="AD127" i="3" s="1"/>
  <c r="L128" i="3" a="1"/>
  <c r="L128" i="3" s="1"/>
  <c r="M128" i="3" a="1"/>
  <c r="M128" i="3" s="1"/>
  <c r="N128" i="3" a="1"/>
  <c r="N128" i="3" s="1"/>
  <c r="O128" i="3" a="1"/>
  <c r="O128" i="3" s="1"/>
  <c r="P128" i="3" a="1"/>
  <c r="P128" i="3" s="1"/>
  <c r="Q128" i="3" a="1"/>
  <c r="Q128" i="3" s="1"/>
  <c r="R128" i="3" a="1"/>
  <c r="R128" i="3" s="1"/>
  <c r="S128" i="3" a="1"/>
  <c r="S128" i="3" s="1"/>
  <c r="T128" i="3" a="1"/>
  <c r="T128" i="3" s="1"/>
  <c r="U128" i="3" a="1"/>
  <c r="U128" i="3" s="1"/>
  <c r="V128" i="3" a="1"/>
  <c r="V128" i="3" s="1"/>
  <c r="W128" i="3" a="1"/>
  <c r="W128" i="3" s="1"/>
  <c r="X128" i="3" a="1"/>
  <c r="X128" i="3" s="1"/>
  <c r="Y128" i="3" a="1"/>
  <c r="Y128" i="3" s="1"/>
  <c r="Z128" i="3" a="1"/>
  <c r="Z128" i="3" s="1"/>
  <c r="AA128" i="3" a="1"/>
  <c r="AA128" i="3" s="1"/>
  <c r="AB128" i="3" a="1"/>
  <c r="AB128" i="3" s="1"/>
  <c r="AC128" i="3" a="1"/>
  <c r="AC128" i="3" s="1"/>
  <c r="AD128" i="3" a="1"/>
  <c r="AD128" i="3" s="1"/>
  <c r="L129" i="3" a="1"/>
  <c r="L129" i="3" s="1"/>
  <c r="M129" i="3" a="1"/>
  <c r="M129" i="3" s="1"/>
  <c r="N129" i="3" a="1"/>
  <c r="N129" i="3" s="1"/>
  <c r="O129" i="3" a="1"/>
  <c r="O129" i="3" s="1"/>
  <c r="P129" i="3" a="1"/>
  <c r="P129" i="3" s="1"/>
  <c r="Q129" i="3" a="1"/>
  <c r="Q129" i="3" s="1"/>
  <c r="R129" i="3" a="1"/>
  <c r="R129" i="3" s="1"/>
  <c r="S129" i="3" a="1"/>
  <c r="S129" i="3" s="1"/>
  <c r="T129" i="3" a="1"/>
  <c r="T129" i="3" s="1"/>
  <c r="U129" i="3" a="1"/>
  <c r="U129" i="3" s="1"/>
  <c r="V129" i="3" a="1"/>
  <c r="V129" i="3" s="1"/>
  <c r="W129" i="3" a="1"/>
  <c r="W129" i="3" s="1"/>
  <c r="X129" i="3" a="1"/>
  <c r="X129" i="3" s="1"/>
  <c r="Y129" i="3" a="1"/>
  <c r="Y129" i="3" s="1"/>
  <c r="Z129" i="3" a="1"/>
  <c r="Z129" i="3" s="1"/>
  <c r="AA129" i="3" a="1"/>
  <c r="AA129" i="3" s="1"/>
  <c r="AB129" i="3" a="1"/>
  <c r="AB129" i="3" s="1"/>
  <c r="AC129" i="3" a="1"/>
  <c r="AC129" i="3" s="1"/>
  <c r="AD129" i="3" a="1"/>
  <c r="AD129" i="3" s="1"/>
  <c r="L130" i="3" a="1"/>
  <c r="L130" i="3" s="1"/>
  <c r="M130" i="3" a="1"/>
  <c r="M130" i="3" s="1"/>
  <c r="N130" i="3" a="1"/>
  <c r="N130" i="3" s="1"/>
  <c r="O130" i="3" a="1"/>
  <c r="O130" i="3" s="1"/>
  <c r="P130" i="3" a="1"/>
  <c r="P130" i="3" s="1"/>
  <c r="Q130" i="3" a="1"/>
  <c r="Q130" i="3" s="1"/>
  <c r="R130" i="3" a="1"/>
  <c r="R130" i="3" s="1"/>
  <c r="S130" i="3" a="1"/>
  <c r="S130" i="3" s="1"/>
  <c r="T130" i="3" a="1"/>
  <c r="T130" i="3" s="1"/>
  <c r="U130" i="3" a="1"/>
  <c r="U130" i="3" s="1"/>
  <c r="V130" i="3" a="1"/>
  <c r="V130" i="3" s="1"/>
  <c r="W130" i="3" a="1"/>
  <c r="W130" i="3" s="1"/>
  <c r="X130" i="3" a="1"/>
  <c r="X130" i="3" s="1"/>
  <c r="Y130" i="3" a="1"/>
  <c r="Y130" i="3" s="1"/>
  <c r="Z130" i="3" a="1"/>
  <c r="Z130" i="3" s="1"/>
  <c r="AA130" i="3" a="1"/>
  <c r="AA130" i="3" s="1"/>
  <c r="AB130" i="3" a="1"/>
  <c r="AB130" i="3" s="1"/>
  <c r="AC130" i="3" a="1"/>
  <c r="AC130" i="3" s="1"/>
  <c r="AD130" i="3" a="1"/>
  <c r="AD130" i="3" s="1"/>
  <c r="J103" i="3"/>
  <c r="J104" i="3"/>
  <c r="J105" i="3"/>
  <c r="D105" i="3" s="1"/>
  <c r="J106" i="3"/>
  <c r="J107" i="3"/>
  <c r="J108" i="3"/>
  <c r="J109" i="3"/>
  <c r="J110" i="3"/>
  <c r="J111" i="3"/>
  <c r="D104" i="3" l="1"/>
  <c r="C3" i="5" s="1"/>
  <c r="H3" i="5"/>
  <c r="L48" i="3" a="1"/>
  <c r="L48" i="3" s="1"/>
  <c r="L47" i="3" a="1"/>
  <c r="L47" i="3" s="1"/>
  <c r="L46" i="3" a="1"/>
  <c r="L46" i="3" s="1"/>
  <c r="L45" i="3" a="1"/>
  <c r="L45" i="3" s="1"/>
  <c r="L44" i="3" a="1"/>
  <c r="L44" i="3" s="1"/>
  <c r="D103" i="3"/>
  <c r="C2" i="5" s="1"/>
  <c r="H2" i="5"/>
  <c r="L103" i="3" l="1" a="1"/>
  <c r="L103" i="3" s="1"/>
  <c r="V104" i="3" a="1"/>
  <c r="V104" i="3" s="1"/>
  <c r="L104" i="3" a="1"/>
  <c r="L104" i="3" s="1"/>
  <c r="X104" i="3" a="1"/>
  <c r="X104" i="3" s="1"/>
  <c r="AD104" i="3" a="1"/>
  <c r="AD104" i="3" s="1"/>
  <c r="M104" i="3" a="1"/>
  <c r="M104" i="3" s="1"/>
  <c r="T104" i="3" a="1"/>
  <c r="T104" i="3" s="1"/>
  <c r="S104" i="3" a="1"/>
  <c r="S104" i="3" s="1"/>
  <c r="R104" i="3" a="1"/>
  <c r="R104" i="3" s="1"/>
  <c r="AA104" i="3" a="1"/>
  <c r="AA104" i="3" s="1"/>
  <c r="AC104" i="3" a="1"/>
  <c r="AC104" i="3" s="1"/>
  <c r="Z104" i="3" a="1"/>
  <c r="Z104" i="3" s="1"/>
  <c r="AB104" i="3" a="1"/>
  <c r="AB104" i="3" s="1"/>
  <c r="Y104" i="3" a="1"/>
  <c r="Y104" i="3" s="1"/>
  <c r="Q104" i="3" a="1"/>
  <c r="Q104" i="3" s="1"/>
  <c r="O104" i="3" a="1"/>
  <c r="O104" i="3" s="1"/>
  <c r="P104" i="3" a="1"/>
  <c r="P104" i="3" s="1"/>
  <c r="N104" i="3" a="1"/>
  <c r="N104" i="3" s="1"/>
  <c r="U104" i="3" a="1"/>
  <c r="U104" i="3" s="1"/>
  <c r="W104" i="3" a="1"/>
  <c r="W104" i="3" s="1"/>
  <c r="J112" i="3" l="1"/>
  <c r="J113" i="3"/>
  <c r="J114" i="3"/>
  <c r="J115" i="3"/>
  <c r="J116" i="3"/>
  <c r="J117" i="3"/>
  <c r="J118" i="3"/>
  <c r="J119" i="3"/>
  <c r="J120" i="3"/>
  <c r="J121" i="3"/>
  <c r="J122" i="3"/>
  <c r="J123" i="3"/>
  <c r="J124" i="3"/>
  <c r="J125" i="3"/>
  <c r="J126" i="3"/>
  <c r="J127" i="3"/>
  <c r="J128" i="3"/>
  <c r="J129" i="3"/>
  <c r="J130" i="3"/>
  <c r="J67" i="3"/>
  <c r="J68" i="3"/>
  <c r="J69" i="3"/>
  <c r="J70" i="3"/>
  <c r="J71" i="3"/>
  <c r="J72" i="3"/>
  <c r="J73" i="3"/>
  <c r="J74" i="3"/>
  <c r="J75" i="3"/>
  <c r="J76" i="3"/>
  <c r="J77" i="3"/>
  <c r="J78" i="3"/>
  <c r="J49" i="3"/>
  <c r="L49" i="3" s="1" a="1"/>
  <c r="L49" i="3" s="1"/>
  <c r="J50" i="3"/>
  <c r="L50" i="3" s="1" a="1"/>
  <c r="L50" i="3" s="1"/>
  <c r="J51" i="3"/>
  <c r="J52" i="3"/>
  <c r="J53" i="3"/>
  <c r="J54" i="3"/>
  <c r="J55" i="3"/>
  <c r="J56" i="3"/>
  <c r="J57" i="3"/>
  <c r="J58" i="3"/>
  <c r="J59" i="3"/>
  <c r="J60" i="3"/>
  <c r="J61" i="3"/>
  <c r="J62" i="3"/>
  <c r="J63" i="3"/>
  <c r="J64" i="3"/>
  <c r="J65" i="3"/>
  <c r="J66" i="3"/>
  <c r="J79" i="3"/>
  <c r="J80" i="3"/>
  <c r="J81" i="3"/>
  <c r="J82" i="3"/>
  <c r="J83" i="3"/>
  <c r="J84" i="3"/>
  <c r="J85" i="3"/>
  <c r="J86" i="3"/>
  <c r="J87" i="3"/>
  <c r="J88" i="3"/>
  <c r="J89" i="3"/>
  <c r="J90" i="3"/>
  <c r="J91" i="3"/>
  <c r="J92" i="3"/>
  <c r="J93" i="3"/>
  <c r="J94" i="3"/>
  <c r="J95" i="3"/>
  <c r="J96" i="3"/>
  <c r="J97" i="3"/>
  <c r="J98" i="3"/>
  <c r="J99" i="3"/>
  <c r="J100" i="3"/>
  <c r="L69" i="3" l="1" a="1"/>
  <c r="L69" i="3" s="1"/>
  <c r="L67" i="3" a="1"/>
  <c r="L67" i="3" s="1"/>
  <c r="L89" i="3" a="1"/>
  <c r="L89" i="3" s="1"/>
  <c r="L82" i="3" a="1"/>
  <c r="L82" i="3" s="1"/>
  <c r="L76" i="3" a="1"/>
  <c r="L76" i="3" s="1"/>
  <c r="L93" i="3" a="1"/>
  <c r="L93" i="3" s="1"/>
  <c r="L75" i="3" a="1"/>
  <c r="L75" i="3" s="1"/>
  <c r="L92" i="3" a="1"/>
  <c r="L92" i="3" s="1"/>
  <c r="L85" i="3" a="1"/>
  <c r="L85" i="3" s="1"/>
  <c r="L72" i="3" a="1"/>
  <c r="L72" i="3" s="1"/>
  <c r="L95" i="3" a="1"/>
  <c r="L95" i="3" s="1"/>
  <c r="L94" i="3" a="1"/>
  <c r="L94" i="3" s="1"/>
  <c r="L91" i="3" a="1"/>
  <c r="L91" i="3" s="1"/>
  <c r="L81" i="3" a="1"/>
  <c r="L81" i="3" s="1"/>
  <c r="L80" i="3" a="1"/>
  <c r="L80" i="3" s="1"/>
  <c r="L100" i="3" a="1"/>
  <c r="L100" i="3" s="1"/>
  <c r="L97" i="3" a="1"/>
  <c r="L97" i="3" s="1"/>
  <c r="L71" i="3" a="1"/>
  <c r="L71" i="3" s="1"/>
  <c r="L68" i="3" a="1"/>
  <c r="L68" i="3" s="1"/>
  <c r="L90" i="3" a="1"/>
  <c r="L90" i="3" s="1"/>
  <c r="L88" i="3" a="1"/>
  <c r="L88" i="3" s="1"/>
  <c r="L87" i="3" a="1"/>
  <c r="L87" i="3" s="1"/>
  <c r="L86" i="3" a="1"/>
  <c r="L86" i="3" s="1"/>
  <c r="L84" i="3" a="1"/>
  <c r="L84" i="3" s="1"/>
  <c r="L83" i="3" a="1"/>
  <c r="L83" i="3" s="1"/>
  <c r="L78" i="3" a="1"/>
  <c r="L78" i="3" s="1"/>
  <c r="L77" i="3" a="1"/>
  <c r="L77" i="3" s="1"/>
  <c r="L79" i="3" a="1"/>
  <c r="L79" i="3" s="1"/>
  <c r="L74" i="3" a="1"/>
  <c r="L74" i="3" s="1"/>
  <c r="L99" i="3" a="1"/>
  <c r="L99" i="3" s="1"/>
  <c r="L73" i="3" a="1"/>
  <c r="L73" i="3" s="1"/>
  <c r="L98" i="3" a="1"/>
  <c r="L98" i="3" s="1"/>
  <c r="L96" i="3" a="1"/>
  <c r="L96" i="3" s="1"/>
  <c r="L70" i="3" a="1"/>
  <c r="L70" i="3" s="1"/>
  <c r="L131" i="3"/>
  <c r="K139" i="3" l="1"/>
  <c r="F143" i="3" l="1"/>
  <c r="C143" i="3"/>
  <c r="F146" i="3"/>
  <c r="F145" i="3"/>
  <c r="C145" i="3"/>
  <c r="F144" i="3"/>
  <c r="C144" i="3"/>
  <c r="C142" i="3"/>
  <c r="M41" i="3" l="1"/>
  <c r="M43" i="3" l="1" a="1"/>
  <c r="M43" i="3" s="1"/>
  <c r="M103" i="3" a="1"/>
  <c r="M103" i="3" s="1"/>
  <c r="M131" i="3" s="1"/>
  <c r="M51" i="3" a="1"/>
  <c r="M51" i="3" s="1"/>
  <c r="M55" i="3" a="1"/>
  <c r="M55" i="3" s="1"/>
  <c r="M63" i="3" a="1"/>
  <c r="M63" i="3" s="1"/>
  <c r="M64" i="3" a="1"/>
  <c r="M64" i="3" s="1"/>
  <c r="M45" i="3" a="1"/>
  <c r="M45" i="3" s="1"/>
  <c r="M48" i="3" a="1"/>
  <c r="M48" i="3" s="1"/>
  <c r="M52" i="3" a="1"/>
  <c r="M52" i="3" s="1"/>
  <c r="M58" i="3" a="1"/>
  <c r="M58" i="3" s="1"/>
  <c r="M65" i="3" a="1"/>
  <c r="M65" i="3" s="1"/>
  <c r="M46" i="3" a="1"/>
  <c r="M46" i="3" s="1"/>
  <c r="M59" i="3" a="1"/>
  <c r="M59" i="3" s="1"/>
  <c r="M54" i="3" a="1"/>
  <c r="M54" i="3" s="1"/>
  <c r="M49" i="3" a="1"/>
  <c r="M49" i="3" s="1"/>
  <c r="M60" i="3" a="1"/>
  <c r="M60" i="3" s="1"/>
  <c r="M66" i="3" a="1"/>
  <c r="M66" i="3" s="1"/>
  <c r="M56" i="3" a="1"/>
  <c r="M56" i="3" s="1"/>
  <c r="M57" i="3" a="1"/>
  <c r="M57" i="3" s="1"/>
  <c r="M50" i="3" a="1"/>
  <c r="M50" i="3" s="1"/>
  <c r="M53" i="3" a="1"/>
  <c r="M53" i="3" s="1"/>
  <c r="M62" i="3" a="1"/>
  <c r="M62" i="3" s="1"/>
  <c r="M47" i="3" a="1"/>
  <c r="M47" i="3" s="1"/>
  <c r="M61" i="3" a="1"/>
  <c r="M61" i="3" s="1"/>
  <c r="M44" i="3" a="1"/>
  <c r="M44" i="3" s="1"/>
  <c r="M83" i="3" a="1"/>
  <c r="M83" i="3" s="1"/>
  <c r="M79" i="3" a="1"/>
  <c r="M79" i="3" s="1"/>
  <c r="M73" i="3" a="1"/>
  <c r="M73" i="3" s="1"/>
  <c r="M100" i="3" a="1"/>
  <c r="M100" i="3" s="1"/>
  <c r="M81" i="3" a="1"/>
  <c r="M81" i="3" s="1"/>
  <c r="M69" i="3" a="1"/>
  <c r="M69" i="3" s="1"/>
  <c r="M74" i="3" a="1"/>
  <c r="M74" i="3" s="1"/>
  <c r="M98" i="3" a="1"/>
  <c r="M98" i="3" s="1"/>
  <c r="M89" i="3" a="1"/>
  <c r="M89" i="3" s="1"/>
  <c r="M88" i="3" a="1"/>
  <c r="M88" i="3" s="1"/>
  <c r="M82" i="3" a="1"/>
  <c r="M82" i="3" s="1"/>
  <c r="M85" i="3" a="1"/>
  <c r="M85" i="3" s="1"/>
  <c r="M67" i="3" a="1"/>
  <c r="M67" i="3" s="1"/>
  <c r="M76" i="3" a="1"/>
  <c r="M76" i="3" s="1"/>
  <c r="M80" i="3" a="1"/>
  <c r="M80" i="3" s="1"/>
  <c r="M91" i="3" a="1"/>
  <c r="M91" i="3" s="1"/>
  <c r="M90" i="3" a="1"/>
  <c r="M90" i="3" s="1"/>
  <c r="M94" i="3" a="1"/>
  <c r="M94" i="3" s="1"/>
  <c r="M70" i="3" a="1"/>
  <c r="M70" i="3" s="1"/>
  <c r="M72" i="3" a="1"/>
  <c r="M72" i="3" s="1"/>
  <c r="M71" i="3" a="1"/>
  <c r="M71" i="3" s="1"/>
  <c r="M95" i="3" a="1"/>
  <c r="M95" i="3" s="1"/>
  <c r="M86" i="3" a="1"/>
  <c r="M86" i="3" s="1"/>
  <c r="M78" i="3" a="1"/>
  <c r="M78" i="3" s="1"/>
  <c r="M77" i="3" a="1"/>
  <c r="M77" i="3" s="1"/>
  <c r="M84" i="3" a="1"/>
  <c r="M84" i="3" s="1"/>
  <c r="M92" i="3" a="1"/>
  <c r="M92" i="3" s="1"/>
  <c r="M75" i="3" a="1"/>
  <c r="M75" i="3" s="1"/>
  <c r="M87" i="3" a="1"/>
  <c r="M87" i="3" s="1"/>
  <c r="M99" i="3" a="1"/>
  <c r="M99" i="3" s="1"/>
  <c r="M68" i="3" a="1"/>
  <c r="M68" i="3" s="1"/>
  <c r="M96" i="3" a="1"/>
  <c r="M96" i="3" s="1"/>
  <c r="M93" i="3" a="1"/>
  <c r="M93" i="3" s="1"/>
  <c r="M97" i="3" a="1"/>
  <c r="M97" i="3" s="1"/>
  <c r="P139" i="3"/>
  <c r="O139" i="3"/>
  <c r="N139" i="3"/>
  <c r="M139" i="3"/>
  <c r="L139" i="3"/>
  <c r="F142" i="3" l="1"/>
  <c r="N41" i="3"/>
  <c r="N43" i="3" l="1" a="1"/>
  <c r="N43" i="3" s="1"/>
  <c r="N103" i="3" a="1"/>
  <c r="N103" i="3" s="1"/>
  <c r="N57" i="3" a="1"/>
  <c r="N57" i="3" s="1"/>
  <c r="N61" i="3" a="1"/>
  <c r="N61" i="3" s="1"/>
  <c r="N64" i="3" a="1"/>
  <c r="N64" i="3" s="1"/>
  <c r="N48" i="3" a="1"/>
  <c r="N48" i="3" s="1"/>
  <c r="N47" i="3" a="1"/>
  <c r="N47" i="3" s="1"/>
  <c r="N66" i="3" a="1"/>
  <c r="N66" i="3" s="1"/>
  <c r="N56" i="3" a="1"/>
  <c r="N56" i="3" s="1"/>
  <c r="N45" i="3" a="1"/>
  <c r="N45" i="3" s="1"/>
  <c r="N52" i="3" a="1"/>
  <c r="N52" i="3" s="1"/>
  <c r="N53" i="3" a="1"/>
  <c r="N53" i="3" s="1"/>
  <c r="N62" i="3" a="1"/>
  <c r="N62" i="3" s="1"/>
  <c r="N46" i="3" a="1"/>
  <c r="N46" i="3" s="1"/>
  <c r="N54" i="3" a="1"/>
  <c r="N54" i="3" s="1"/>
  <c r="N55" i="3" a="1"/>
  <c r="N55" i="3" s="1"/>
  <c r="N63" i="3" a="1"/>
  <c r="N63" i="3" s="1"/>
  <c r="N49" i="3" a="1"/>
  <c r="N49" i="3" s="1"/>
  <c r="N60" i="3" a="1"/>
  <c r="N60" i="3" s="1"/>
  <c r="N58" i="3" a="1"/>
  <c r="N58" i="3" s="1"/>
  <c r="N50" i="3" a="1"/>
  <c r="N50" i="3" s="1"/>
  <c r="N65" i="3" a="1"/>
  <c r="N65" i="3" s="1"/>
  <c r="N59" i="3" a="1"/>
  <c r="N59" i="3" s="1"/>
  <c r="N44" i="3" a="1"/>
  <c r="N44" i="3" s="1"/>
  <c r="N69" i="3" a="1"/>
  <c r="N69" i="3" s="1"/>
  <c r="N100" i="3" a="1"/>
  <c r="N100" i="3" s="1"/>
  <c r="N99" i="3" a="1"/>
  <c r="N99" i="3" s="1"/>
  <c r="N94" i="3" a="1"/>
  <c r="N94" i="3" s="1"/>
  <c r="N78" i="3" a="1"/>
  <c r="N78" i="3" s="1"/>
  <c r="N68" i="3" a="1"/>
  <c r="N68" i="3" s="1"/>
  <c r="N51" i="3" a="1"/>
  <c r="N51" i="3" s="1"/>
  <c r="N75" i="3" a="1"/>
  <c r="N75" i="3" s="1"/>
  <c r="N85" i="3" a="1"/>
  <c r="N85" i="3" s="1"/>
  <c r="N81" i="3" a="1"/>
  <c r="N81" i="3" s="1"/>
  <c r="N91" i="3" a="1"/>
  <c r="N91" i="3" s="1"/>
  <c r="N80" i="3" a="1"/>
  <c r="N80" i="3" s="1"/>
  <c r="N71" i="3" a="1"/>
  <c r="N71" i="3" s="1"/>
  <c r="N89" i="3" a="1"/>
  <c r="N89" i="3" s="1"/>
  <c r="N90" i="3" a="1"/>
  <c r="N90" i="3" s="1"/>
  <c r="N76" i="3" a="1"/>
  <c r="N76" i="3" s="1"/>
  <c r="N82" i="3" a="1"/>
  <c r="N82" i="3" s="1"/>
  <c r="N86" i="3" a="1"/>
  <c r="N86" i="3" s="1"/>
  <c r="N95" i="3" a="1"/>
  <c r="N95" i="3" s="1"/>
  <c r="N93" i="3" a="1"/>
  <c r="N93" i="3" s="1"/>
  <c r="N72" i="3" a="1"/>
  <c r="N72" i="3" s="1"/>
  <c r="N83" i="3" a="1"/>
  <c r="N83" i="3" s="1"/>
  <c r="N73" i="3" a="1"/>
  <c r="N73" i="3" s="1"/>
  <c r="N92" i="3" a="1"/>
  <c r="N92" i="3" s="1"/>
  <c r="N79" i="3" a="1"/>
  <c r="N79" i="3" s="1"/>
  <c r="N70" i="3" a="1"/>
  <c r="N70" i="3" s="1"/>
  <c r="N67" i="3" a="1"/>
  <c r="N67" i="3" s="1"/>
  <c r="N77" i="3" a="1"/>
  <c r="N77" i="3" s="1"/>
  <c r="N87" i="3" a="1"/>
  <c r="N87" i="3" s="1"/>
  <c r="N74" i="3" a="1"/>
  <c r="N74" i="3" s="1"/>
  <c r="N96" i="3" a="1"/>
  <c r="N96" i="3" s="1"/>
  <c r="N88" i="3" a="1"/>
  <c r="N88" i="3" s="1"/>
  <c r="N98" i="3" a="1"/>
  <c r="N98" i="3" s="1"/>
  <c r="N97" i="3" a="1"/>
  <c r="N97" i="3" s="1"/>
  <c r="N84" i="3" a="1"/>
  <c r="N84" i="3" s="1"/>
  <c r="O41" i="3"/>
  <c r="O43" i="3" l="1" a="1"/>
  <c r="O43" i="3" s="1"/>
  <c r="O103" i="3" a="1"/>
  <c r="O103" i="3" s="1"/>
  <c r="O61" i="3" a="1"/>
  <c r="O61" i="3" s="1"/>
  <c r="O62" i="3" a="1"/>
  <c r="O62" i="3" s="1"/>
  <c r="O57" i="3" a="1"/>
  <c r="O57" i="3" s="1"/>
  <c r="O64" i="3" a="1"/>
  <c r="O64" i="3" s="1"/>
  <c r="O65" i="3" a="1"/>
  <c r="O65" i="3" s="1"/>
  <c r="O46" i="3" a="1"/>
  <c r="O46" i="3" s="1"/>
  <c r="O59" i="3" a="1"/>
  <c r="O59" i="3" s="1"/>
  <c r="O55" i="3" a="1"/>
  <c r="O55" i="3" s="1"/>
  <c r="O66" i="3" a="1"/>
  <c r="O66" i="3" s="1"/>
  <c r="O56" i="3" a="1"/>
  <c r="O56" i="3" s="1"/>
  <c r="O45" i="3" a="1"/>
  <c r="O45" i="3" s="1"/>
  <c r="O48" i="3" a="1"/>
  <c r="O48" i="3" s="1"/>
  <c r="O58" i="3" a="1"/>
  <c r="O58" i="3" s="1"/>
  <c r="O50" i="3" a="1"/>
  <c r="O50" i="3" s="1"/>
  <c r="O49" i="3" a="1"/>
  <c r="O49" i="3" s="1"/>
  <c r="O63" i="3" a="1"/>
  <c r="O63" i="3" s="1"/>
  <c r="O47" i="3" a="1"/>
  <c r="O47" i="3" s="1"/>
  <c r="O60" i="3" a="1"/>
  <c r="O60" i="3" s="1"/>
  <c r="O44" i="3" a="1"/>
  <c r="O44" i="3" s="1"/>
  <c r="O67" i="3" a="1"/>
  <c r="O67" i="3" s="1"/>
  <c r="O51" i="3" a="1"/>
  <c r="O51" i="3" s="1"/>
  <c r="O74" i="3" a="1"/>
  <c r="O74" i="3" s="1"/>
  <c r="O89" i="3" a="1"/>
  <c r="O89" i="3" s="1"/>
  <c r="O85" i="3" a="1"/>
  <c r="O85" i="3" s="1"/>
  <c r="O84" i="3" a="1"/>
  <c r="O84" i="3" s="1"/>
  <c r="O93" i="3" a="1"/>
  <c r="O93" i="3" s="1"/>
  <c r="O70" i="3" a="1"/>
  <c r="O70" i="3" s="1"/>
  <c r="O82" i="3" a="1"/>
  <c r="O82" i="3" s="1"/>
  <c r="O86" i="3" a="1"/>
  <c r="O86" i="3" s="1"/>
  <c r="O52" i="3" a="1"/>
  <c r="O52" i="3" s="1"/>
  <c r="O97" i="3" a="1"/>
  <c r="O97" i="3" s="1"/>
  <c r="O90" i="3" a="1"/>
  <c r="O90" i="3" s="1"/>
  <c r="O92" i="3" a="1"/>
  <c r="O92" i="3" s="1"/>
  <c r="O72" i="3" a="1"/>
  <c r="O72" i="3" s="1"/>
  <c r="O54" i="3" a="1"/>
  <c r="O54" i="3" s="1"/>
  <c r="O78" i="3" a="1"/>
  <c r="O78" i="3" s="1"/>
  <c r="O73" i="3" a="1"/>
  <c r="O73" i="3" s="1"/>
  <c r="O91" i="3" a="1"/>
  <c r="O91" i="3" s="1"/>
  <c r="O83" i="3" a="1"/>
  <c r="O83" i="3" s="1"/>
  <c r="O69" i="3" a="1"/>
  <c r="O69" i="3" s="1"/>
  <c r="O100" i="3" a="1"/>
  <c r="O100" i="3" s="1"/>
  <c r="O77" i="3" a="1"/>
  <c r="O77" i="3" s="1"/>
  <c r="O87" i="3" a="1"/>
  <c r="O87" i="3" s="1"/>
  <c r="O99" i="3" a="1"/>
  <c r="O99" i="3" s="1"/>
  <c r="O80" i="3" a="1"/>
  <c r="O80" i="3" s="1"/>
  <c r="O68" i="3" a="1"/>
  <c r="O68" i="3" s="1"/>
  <c r="O76" i="3" a="1"/>
  <c r="O76" i="3" s="1"/>
  <c r="O94" i="3" a="1"/>
  <c r="O94" i="3" s="1"/>
  <c r="O98" i="3" a="1"/>
  <c r="O98" i="3" s="1"/>
  <c r="O75" i="3" a="1"/>
  <c r="O75" i="3" s="1"/>
  <c r="O79" i="3" a="1"/>
  <c r="O79" i="3" s="1"/>
  <c r="O53" i="3" a="1"/>
  <c r="O53" i="3" s="1"/>
  <c r="O88" i="3" a="1"/>
  <c r="O88" i="3" s="1"/>
  <c r="O95" i="3" a="1"/>
  <c r="O95" i="3" s="1"/>
  <c r="O96" i="3" a="1"/>
  <c r="O96" i="3" s="1"/>
  <c r="O81" i="3" a="1"/>
  <c r="O81" i="3" s="1"/>
  <c r="O71" i="3" a="1"/>
  <c r="O71" i="3" s="1"/>
  <c r="N131" i="3"/>
  <c r="P41" i="3"/>
  <c r="P43" i="3" l="1" a="1"/>
  <c r="P43" i="3" s="1"/>
  <c r="P103" i="3" a="1"/>
  <c r="P103" i="3" s="1"/>
  <c r="P64" i="3" a="1"/>
  <c r="P64" i="3" s="1"/>
  <c r="P65" i="3" a="1"/>
  <c r="P65" i="3" s="1"/>
  <c r="P49" i="3" a="1"/>
  <c r="P49" i="3" s="1"/>
  <c r="P63" i="3" a="1"/>
  <c r="P63" i="3" s="1"/>
  <c r="P61" i="3" a="1"/>
  <c r="P61" i="3" s="1"/>
  <c r="P58" i="3" a="1"/>
  <c r="P58" i="3" s="1"/>
  <c r="P62" i="3" a="1"/>
  <c r="P62" i="3" s="1"/>
  <c r="P46" i="3" a="1"/>
  <c r="P46" i="3" s="1"/>
  <c r="P59" i="3" a="1"/>
  <c r="P59" i="3" s="1"/>
  <c r="P47" i="3" a="1"/>
  <c r="P47" i="3" s="1"/>
  <c r="P60" i="3" a="1"/>
  <c r="P60" i="3" s="1"/>
  <c r="P45" i="3" a="1"/>
  <c r="P45" i="3" s="1"/>
  <c r="P48" i="3" a="1"/>
  <c r="P48" i="3" s="1"/>
  <c r="P50" i="3" a="1"/>
  <c r="P50" i="3" s="1"/>
  <c r="P66" i="3" a="1"/>
  <c r="P66" i="3" s="1"/>
  <c r="P44" i="3" a="1"/>
  <c r="P44" i="3" s="1"/>
  <c r="P80" i="3" a="1"/>
  <c r="P80" i="3" s="1"/>
  <c r="P71" i="3" a="1"/>
  <c r="P71" i="3" s="1"/>
  <c r="P70" i="3" a="1"/>
  <c r="P70" i="3" s="1"/>
  <c r="P79" i="3" a="1"/>
  <c r="P79" i="3" s="1"/>
  <c r="P83" i="3" a="1"/>
  <c r="P83" i="3" s="1"/>
  <c r="P85" i="3" a="1"/>
  <c r="P85" i="3" s="1"/>
  <c r="P100" i="3" a="1"/>
  <c r="P100" i="3" s="1"/>
  <c r="P90" i="3" a="1"/>
  <c r="P90" i="3" s="1"/>
  <c r="P84" i="3" a="1"/>
  <c r="P84" i="3" s="1"/>
  <c r="P74" i="3" a="1"/>
  <c r="P74" i="3" s="1"/>
  <c r="P99" i="3" a="1"/>
  <c r="P99" i="3" s="1"/>
  <c r="P69" i="3" a="1"/>
  <c r="P69" i="3" s="1"/>
  <c r="P67" i="3" a="1"/>
  <c r="P67" i="3" s="1"/>
  <c r="P57" i="3" a="1"/>
  <c r="P57" i="3" s="1"/>
  <c r="P75" i="3" a="1"/>
  <c r="P75" i="3" s="1"/>
  <c r="P92" i="3" a="1"/>
  <c r="P92" i="3" s="1"/>
  <c r="P94" i="3" a="1"/>
  <c r="P94" i="3" s="1"/>
  <c r="P56" i="3" a="1"/>
  <c r="P56" i="3" s="1"/>
  <c r="P95" i="3" a="1"/>
  <c r="P95" i="3" s="1"/>
  <c r="P73" i="3" a="1"/>
  <c r="P73" i="3" s="1"/>
  <c r="P55" i="3" a="1"/>
  <c r="P55" i="3" s="1"/>
  <c r="P97" i="3" a="1"/>
  <c r="P97" i="3" s="1"/>
  <c r="P98" i="3" a="1"/>
  <c r="P98" i="3" s="1"/>
  <c r="P52" i="3" a="1"/>
  <c r="P52" i="3" s="1"/>
  <c r="P86" i="3" a="1"/>
  <c r="P86" i="3" s="1"/>
  <c r="P78" i="3" a="1"/>
  <c r="P78" i="3" s="1"/>
  <c r="P72" i="3" a="1"/>
  <c r="P72" i="3" s="1"/>
  <c r="P82" i="3" a="1"/>
  <c r="P82" i="3" s="1"/>
  <c r="P96" i="3" a="1"/>
  <c r="P96" i="3" s="1"/>
  <c r="P89" i="3" a="1"/>
  <c r="P89" i="3" s="1"/>
  <c r="P77" i="3" a="1"/>
  <c r="P77" i="3" s="1"/>
  <c r="P93" i="3" a="1"/>
  <c r="P93" i="3" s="1"/>
  <c r="P81" i="3" a="1"/>
  <c r="P81" i="3" s="1"/>
  <c r="P51" i="3" a="1"/>
  <c r="P51" i="3" s="1"/>
  <c r="P87" i="3" a="1"/>
  <c r="P87" i="3" s="1"/>
  <c r="P76" i="3" a="1"/>
  <c r="P76" i="3" s="1"/>
  <c r="P53" i="3" a="1"/>
  <c r="P53" i="3" s="1"/>
  <c r="P68" i="3" a="1"/>
  <c r="P68" i="3" s="1"/>
  <c r="P91" i="3" a="1"/>
  <c r="P91" i="3" s="1"/>
  <c r="P54" i="3" a="1"/>
  <c r="P54" i="3" s="1"/>
  <c r="P88" i="3" a="1"/>
  <c r="P88" i="3" s="1"/>
  <c r="O131" i="3"/>
  <c r="Q41" i="3"/>
  <c r="Q43" i="3" l="1" a="1"/>
  <c r="Q43" i="3" s="1"/>
  <c r="Q103" i="3" a="1"/>
  <c r="Q103" i="3" s="1"/>
  <c r="Q63" i="3" a="1"/>
  <c r="Q63" i="3" s="1"/>
  <c r="Q47" i="3" a="1"/>
  <c r="Q47" i="3" s="1"/>
  <c r="Q48" i="3" a="1"/>
  <c r="Q48" i="3" s="1"/>
  <c r="Q62" i="3" a="1"/>
  <c r="Q62" i="3" s="1"/>
  <c r="Q46" i="3" a="1"/>
  <c r="Q46" i="3" s="1"/>
  <c r="Q66" i="3" a="1"/>
  <c r="Q66" i="3" s="1"/>
  <c r="Q61" i="3" a="1"/>
  <c r="Q61" i="3" s="1"/>
  <c r="Q64" i="3" a="1"/>
  <c r="Q64" i="3" s="1"/>
  <c r="Q50" i="3" a="1"/>
  <c r="Q50" i="3" s="1"/>
  <c r="Q65" i="3" a="1"/>
  <c r="Q65" i="3" s="1"/>
  <c r="Q49" i="3" a="1"/>
  <c r="Q49" i="3" s="1"/>
  <c r="Q45" i="3" a="1"/>
  <c r="Q45" i="3" s="1"/>
  <c r="Q44" i="3" a="1"/>
  <c r="Q44" i="3" s="1"/>
  <c r="Q67" i="3" a="1"/>
  <c r="Q67" i="3" s="1"/>
  <c r="Q87" i="3" a="1"/>
  <c r="Q87" i="3" s="1"/>
  <c r="Q98" i="3" a="1"/>
  <c r="Q98" i="3" s="1"/>
  <c r="Q96" i="3" a="1"/>
  <c r="Q96" i="3" s="1"/>
  <c r="Q76" i="3" a="1"/>
  <c r="Q76" i="3" s="1"/>
  <c r="Q69" i="3" a="1"/>
  <c r="Q69" i="3" s="1"/>
  <c r="Q57" i="3" a="1"/>
  <c r="Q57" i="3" s="1"/>
  <c r="Q56" i="3" a="1"/>
  <c r="Q56" i="3" s="1"/>
  <c r="Q75" i="3" a="1"/>
  <c r="Q75" i="3" s="1"/>
  <c r="Q100" i="3" a="1"/>
  <c r="Q100" i="3" s="1"/>
  <c r="Q95" i="3" a="1"/>
  <c r="Q95" i="3" s="1"/>
  <c r="Q72" i="3" a="1"/>
  <c r="Q72" i="3" s="1"/>
  <c r="Q68" i="3" a="1"/>
  <c r="Q68" i="3" s="1"/>
  <c r="Q81" i="3" a="1"/>
  <c r="Q81" i="3" s="1"/>
  <c r="Q92" i="3" a="1"/>
  <c r="Q92" i="3" s="1"/>
  <c r="Q52" i="3" a="1"/>
  <c r="Q52" i="3" s="1"/>
  <c r="Q58" i="3" a="1"/>
  <c r="Q58" i="3" s="1"/>
  <c r="Q54" i="3" a="1"/>
  <c r="Q54" i="3" s="1"/>
  <c r="Q86" i="3" a="1"/>
  <c r="Q86" i="3" s="1"/>
  <c r="Q59" i="3" a="1"/>
  <c r="Q59" i="3" s="1"/>
  <c r="Q79" i="3" a="1"/>
  <c r="Q79" i="3" s="1"/>
  <c r="Q53" i="3" a="1"/>
  <c r="Q53" i="3" s="1"/>
  <c r="Q60" i="3" a="1"/>
  <c r="Q60" i="3" s="1"/>
  <c r="Q71" i="3" a="1"/>
  <c r="Q71" i="3" s="1"/>
  <c r="Q88" i="3" a="1"/>
  <c r="Q88" i="3" s="1"/>
  <c r="Q89" i="3" a="1"/>
  <c r="Q89" i="3" s="1"/>
  <c r="Q99" i="3" a="1"/>
  <c r="Q99" i="3" s="1"/>
  <c r="Q93" i="3" a="1"/>
  <c r="Q93" i="3" s="1"/>
  <c r="Q55" i="3" a="1"/>
  <c r="Q55" i="3" s="1"/>
  <c r="Q77" i="3" a="1"/>
  <c r="Q77" i="3" s="1"/>
  <c r="Q83" i="3" a="1"/>
  <c r="Q83" i="3" s="1"/>
  <c r="Q78" i="3" a="1"/>
  <c r="Q78" i="3" s="1"/>
  <c r="Q51" i="3" a="1"/>
  <c r="Q51" i="3" s="1"/>
  <c r="Q74" i="3" a="1"/>
  <c r="Q74" i="3" s="1"/>
  <c r="Q80" i="3" a="1"/>
  <c r="Q80" i="3" s="1"/>
  <c r="Q82" i="3" a="1"/>
  <c r="Q82" i="3" s="1"/>
  <c r="Q84" i="3" a="1"/>
  <c r="Q84" i="3" s="1"/>
  <c r="Q90" i="3" a="1"/>
  <c r="Q90" i="3" s="1"/>
  <c r="Q97" i="3" a="1"/>
  <c r="Q97" i="3" s="1"/>
  <c r="Q73" i="3" a="1"/>
  <c r="Q73" i="3" s="1"/>
  <c r="Q91" i="3" a="1"/>
  <c r="Q91" i="3" s="1"/>
  <c r="Q85" i="3" a="1"/>
  <c r="Q85" i="3" s="1"/>
  <c r="Q70" i="3" a="1"/>
  <c r="Q70" i="3" s="1"/>
  <c r="Q94" i="3" a="1"/>
  <c r="Q94" i="3" s="1"/>
  <c r="P131" i="3"/>
  <c r="R41" i="3"/>
  <c r="R43" i="3" l="1" a="1"/>
  <c r="R43" i="3" s="1"/>
  <c r="R103" i="3" a="1"/>
  <c r="R103" i="3" s="1"/>
  <c r="R46" i="3" a="1"/>
  <c r="R46" i="3" s="1"/>
  <c r="R50" i="3" a="1"/>
  <c r="R50" i="3" s="1"/>
  <c r="R65" i="3" a="1"/>
  <c r="R65" i="3" s="1"/>
  <c r="R47" i="3" a="1"/>
  <c r="R47" i="3" s="1"/>
  <c r="R66" i="3" a="1"/>
  <c r="R66" i="3" s="1"/>
  <c r="R64" i="3" a="1"/>
  <c r="R64" i="3" s="1"/>
  <c r="R48" i="3" a="1"/>
  <c r="R48" i="3" s="1"/>
  <c r="R49" i="3" a="1"/>
  <c r="R49" i="3" s="1"/>
  <c r="R44" i="3" a="1"/>
  <c r="R44" i="3" s="1"/>
  <c r="R45" i="3" a="1"/>
  <c r="R45" i="3" s="1"/>
  <c r="R69" i="3" a="1"/>
  <c r="R69" i="3" s="1"/>
  <c r="R89" i="3" a="1"/>
  <c r="R89" i="3" s="1"/>
  <c r="R95" i="3" a="1"/>
  <c r="R95" i="3" s="1"/>
  <c r="R67" i="3" a="1"/>
  <c r="R67" i="3" s="1"/>
  <c r="R85" i="3" a="1"/>
  <c r="R85" i="3" s="1"/>
  <c r="R54" i="3" a="1"/>
  <c r="R54" i="3" s="1"/>
  <c r="R88" i="3" a="1"/>
  <c r="R88" i="3" s="1"/>
  <c r="R61" i="3" a="1"/>
  <c r="R61" i="3" s="1"/>
  <c r="R82" i="3" a="1"/>
  <c r="R82" i="3" s="1"/>
  <c r="R92" i="3" a="1"/>
  <c r="R92" i="3" s="1"/>
  <c r="R63" i="3" a="1"/>
  <c r="R63" i="3" s="1"/>
  <c r="R60" i="3" a="1"/>
  <c r="R60" i="3" s="1"/>
  <c r="R91" i="3" a="1"/>
  <c r="R91" i="3" s="1"/>
  <c r="R58" i="3" a="1"/>
  <c r="R58" i="3" s="1"/>
  <c r="R83" i="3" a="1"/>
  <c r="R83" i="3" s="1"/>
  <c r="R98" i="3" a="1"/>
  <c r="R98" i="3" s="1"/>
  <c r="R68" i="3" a="1"/>
  <c r="R68" i="3" s="1"/>
  <c r="R90" i="3" a="1"/>
  <c r="R90" i="3" s="1"/>
  <c r="R84" i="3" a="1"/>
  <c r="R84" i="3" s="1"/>
  <c r="R75" i="3" a="1"/>
  <c r="R75" i="3" s="1"/>
  <c r="R81" i="3" a="1"/>
  <c r="R81" i="3" s="1"/>
  <c r="R56" i="3" a="1"/>
  <c r="R56" i="3" s="1"/>
  <c r="R53" i="3" a="1"/>
  <c r="R53" i="3" s="1"/>
  <c r="R55" i="3" a="1"/>
  <c r="R55" i="3" s="1"/>
  <c r="R57" i="3" a="1"/>
  <c r="R57" i="3" s="1"/>
  <c r="R87" i="3" a="1"/>
  <c r="R87" i="3" s="1"/>
  <c r="R74" i="3" a="1"/>
  <c r="R74" i="3" s="1"/>
  <c r="R73" i="3" a="1"/>
  <c r="R73" i="3" s="1"/>
  <c r="R52" i="3" a="1"/>
  <c r="R52" i="3" s="1"/>
  <c r="R100" i="3" a="1"/>
  <c r="R100" i="3" s="1"/>
  <c r="R71" i="3" a="1"/>
  <c r="R71" i="3" s="1"/>
  <c r="R76" i="3" a="1"/>
  <c r="R76" i="3" s="1"/>
  <c r="R97" i="3" a="1"/>
  <c r="R97" i="3" s="1"/>
  <c r="R94" i="3" a="1"/>
  <c r="R94" i="3" s="1"/>
  <c r="R96" i="3" a="1"/>
  <c r="R96" i="3" s="1"/>
  <c r="R78" i="3" a="1"/>
  <c r="R78" i="3" s="1"/>
  <c r="R86" i="3" a="1"/>
  <c r="R86" i="3" s="1"/>
  <c r="R79" i="3" a="1"/>
  <c r="R79" i="3" s="1"/>
  <c r="R70" i="3" a="1"/>
  <c r="R70" i="3" s="1"/>
  <c r="R59" i="3" a="1"/>
  <c r="R59" i="3" s="1"/>
  <c r="R80" i="3" a="1"/>
  <c r="R80" i="3" s="1"/>
  <c r="R99" i="3" a="1"/>
  <c r="R99" i="3" s="1"/>
  <c r="R93" i="3" a="1"/>
  <c r="R93" i="3" s="1"/>
  <c r="R62" i="3" a="1"/>
  <c r="R62" i="3" s="1"/>
  <c r="R72" i="3" a="1"/>
  <c r="R72" i="3" s="1"/>
  <c r="R77" i="3" a="1"/>
  <c r="R77" i="3" s="1"/>
  <c r="R51" i="3" a="1"/>
  <c r="R51" i="3" s="1"/>
  <c r="Q131" i="3"/>
  <c r="S41" i="3"/>
  <c r="S43" i="3" l="1" a="1"/>
  <c r="S43" i="3" s="1"/>
  <c r="S103" i="3" a="1"/>
  <c r="S103" i="3" s="1"/>
  <c r="S47" i="3" a="1"/>
  <c r="S47" i="3" s="1"/>
  <c r="S48" i="3" a="1"/>
  <c r="S48" i="3" s="1"/>
  <c r="S50" i="3" a="1"/>
  <c r="S50" i="3" s="1"/>
  <c r="S49" i="3" a="1"/>
  <c r="S49" i="3" s="1"/>
  <c r="S46" i="3" a="1"/>
  <c r="S46" i="3" s="1"/>
  <c r="S45" i="3" a="1"/>
  <c r="S45" i="3" s="1"/>
  <c r="S44" i="3" a="1"/>
  <c r="S44" i="3" s="1"/>
  <c r="S92" i="3" a="1"/>
  <c r="S92" i="3" s="1"/>
  <c r="S81" i="3" a="1"/>
  <c r="S81" i="3" s="1"/>
  <c r="S99" i="3" a="1"/>
  <c r="S99" i="3" s="1"/>
  <c r="S70" i="3" a="1"/>
  <c r="S70" i="3" s="1"/>
  <c r="S91" i="3" a="1"/>
  <c r="S91" i="3" s="1"/>
  <c r="S74" i="3" a="1"/>
  <c r="S74" i="3" s="1"/>
  <c r="S69" i="3" a="1"/>
  <c r="S69" i="3" s="1"/>
  <c r="S53" i="3" a="1"/>
  <c r="S53" i="3" s="1"/>
  <c r="S71" i="3" a="1"/>
  <c r="S71" i="3" s="1"/>
  <c r="S82" i="3" a="1"/>
  <c r="S82" i="3" s="1"/>
  <c r="S76" i="3" a="1"/>
  <c r="S76" i="3" s="1"/>
  <c r="S100" i="3" a="1"/>
  <c r="S100" i="3" s="1"/>
  <c r="S65" i="3" a="1"/>
  <c r="S65" i="3" s="1"/>
  <c r="S56" i="3" a="1"/>
  <c r="S56" i="3" s="1"/>
  <c r="S93" i="3" a="1"/>
  <c r="S93" i="3" s="1"/>
  <c r="S87" i="3" a="1"/>
  <c r="S87" i="3" s="1"/>
  <c r="S75" i="3" a="1"/>
  <c r="S75" i="3" s="1"/>
  <c r="S54" i="3" a="1"/>
  <c r="S54" i="3" s="1"/>
  <c r="S52" i="3" a="1"/>
  <c r="S52" i="3" s="1"/>
  <c r="S64" i="3" a="1"/>
  <c r="S64" i="3" s="1"/>
  <c r="S88" i="3" a="1"/>
  <c r="S88" i="3" s="1"/>
  <c r="S62" i="3" a="1"/>
  <c r="S62" i="3" s="1"/>
  <c r="S60" i="3" a="1"/>
  <c r="S60" i="3" s="1"/>
  <c r="S55" i="3" a="1"/>
  <c r="S55" i="3" s="1"/>
  <c r="S95" i="3" a="1"/>
  <c r="S95" i="3" s="1"/>
  <c r="S90" i="3" a="1"/>
  <c r="S90" i="3" s="1"/>
  <c r="S86" i="3" a="1"/>
  <c r="S86" i="3" s="1"/>
  <c r="S84" i="3" a="1"/>
  <c r="S84" i="3" s="1"/>
  <c r="S78" i="3" a="1"/>
  <c r="S78" i="3" s="1"/>
  <c r="S63" i="3" a="1"/>
  <c r="S63" i="3" s="1"/>
  <c r="S61" i="3" a="1"/>
  <c r="S61" i="3" s="1"/>
  <c r="S85" i="3" a="1"/>
  <c r="S85" i="3" s="1"/>
  <c r="S51" i="3" a="1"/>
  <c r="S51" i="3" s="1"/>
  <c r="S57" i="3" a="1"/>
  <c r="S57" i="3" s="1"/>
  <c r="S80" i="3" a="1"/>
  <c r="S80" i="3" s="1"/>
  <c r="S79" i="3" a="1"/>
  <c r="S79" i="3" s="1"/>
  <c r="S96" i="3" a="1"/>
  <c r="S96" i="3" s="1"/>
  <c r="S66" i="3" a="1"/>
  <c r="S66" i="3" s="1"/>
  <c r="S77" i="3" a="1"/>
  <c r="S77" i="3" s="1"/>
  <c r="S68" i="3" a="1"/>
  <c r="S68" i="3" s="1"/>
  <c r="S67" i="3" a="1"/>
  <c r="S67" i="3" s="1"/>
  <c r="S73" i="3" a="1"/>
  <c r="S73" i="3" s="1"/>
  <c r="S98" i="3" a="1"/>
  <c r="S98" i="3" s="1"/>
  <c r="S58" i="3" a="1"/>
  <c r="S58" i="3" s="1"/>
  <c r="S97" i="3" a="1"/>
  <c r="S97" i="3" s="1"/>
  <c r="S72" i="3" a="1"/>
  <c r="S72" i="3" s="1"/>
  <c r="S59" i="3" a="1"/>
  <c r="S59" i="3" s="1"/>
  <c r="S83" i="3" a="1"/>
  <c r="S83" i="3" s="1"/>
  <c r="S94" i="3" a="1"/>
  <c r="S94" i="3" s="1"/>
  <c r="S89" i="3" a="1"/>
  <c r="S89" i="3" s="1"/>
  <c r="R131" i="3"/>
  <c r="T41" i="3"/>
  <c r="T43" i="3" l="1" a="1"/>
  <c r="T43" i="3" s="1"/>
  <c r="T103" i="3" a="1"/>
  <c r="T103" i="3" s="1"/>
  <c r="T47" i="3" a="1"/>
  <c r="T47" i="3" s="1"/>
  <c r="T48" i="3" a="1"/>
  <c r="T48" i="3" s="1"/>
  <c r="T50" i="3" a="1"/>
  <c r="T50" i="3" s="1"/>
  <c r="T49" i="3" a="1"/>
  <c r="T49" i="3" s="1"/>
  <c r="T46" i="3" a="1"/>
  <c r="T46" i="3" s="1"/>
  <c r="T44" i="3" a="1"/>
  <c r="T44" i="3" s="1"/>
  <c r="T45" i="3" a="1"/>
  <c r="T45" i="3" s="1"/>
  <c r="T82" i="3" a="1"/>
  <c r="T82" i="3" s="1"/>
  <c r="T85" i="3" a="1"/>
  <c r="T85" i="3" s="1"/>
  <c r="T78" i="3" a="1"/>
  <c r="T78" i="3" s="1"/>
  <c r="T73" i="3" a="1"/>
  <c r="T73" i="3" s="1"/>
  <c r="T98" i="3" a="1"/>
  <c r="T98" i="3" s="1"/>
  <c r="T75" i="3" a="1"/>
  <c r="T75" i="3" s="1"/>
  <c r="T55" i="3" a="1"/>
  <c r="T55" i="3" s="1"/>
  <c r="T80" i="3" a="1"/>
  <c r="T80" i="3" s="1"/>
  <c r="T64" i="3" a="1"/>
  <c r="T64" i="3" s="1"/>
  <c r="T51" i="3" a="1"/>
  <c r="T51" i="3" s="1"/>
  <c r="T60" i="3" a="1"/>
  <c r="T60" i="3" s="1"/>
  <c r="T52" i="3" a="1"/>
  <c r="T52" i="3" s="1"/>
  <c r="T100" i="3" a="1"/>
  <c r="T100" i="3" s="1"/>
  <c r="T65" i="3" a="1"/>
  <c r="T65" i="3" s="1"/>
  <c r="T95" i="3" a="1"/>
  <c r="T95" i="3" s="1"/>
  <c r="T97" i="3" a="1"/>
  <c r="T97" i="3" s="1"/>
  <c r="T84" i="3" a="1"/>
  <c r="T84" i="3" s="1"/>
  <c r="T69" i="3" a="1"/>
  <c r="T69" i="3" s="1"/>
  <c r="T72" i="3" a="1"/>
  <c r="T72" i="3" s="1"/>
  <c r="T56" i="3" a="1"/>
  <c r="T56" i="3" s="1"/>
  <c r="T93" i="3" a="1"/>
  <c r="T93" i="3" s="1"/>
  <c r="T81" i="3" a="1"/>
  <c r="T81" i="3" s="1"/>
  <c r="T59" i="3" a="1"/>
  <c r="T59" i="3" s="1"/>
  <c r="T88" i="3" a="1"/>
  <c r="T88" i="3" s="1"/>
  <c r="T87" i="3" a="1"/>
  <c r="T87" i="3" s="1"/>
  <c r="T66" i="3" a="1"/>
  <c r="T66" i="3" s="1"/>
  <c r="T67" i="3" a="1"/>
  <c r="T67" i="3" s="1"/>
  <c r="T89" i="3" a="1"/>
  <c r="T89" i="3" s="1"/>
  <c r="T61" i="3" a="1"/>
  <c r="T61" i="3" s="1"/>
  <c r="T57" i="3" a="1"/>
  <c r="T57" i="3" s="1"/>
  <c r="T86" i="3" a="1"/>
  <c r="T86" i="3" s="1"/>
  <c r="T62" i="3" a="1"/>
  <c r="T62" i="3" s="1"/>
  <c r="T63" i="3" a="1"/>
  <c r="T63" i="3" s="1"/>
  <c r="T53" i="3" a="1"/>
  <c r="T53" i="3" s="1"/>
  <c r="T68" i="3" a="1"/>
  <c r="T68" i="3" s="1"/>
  <c r="T74" i="3" a="1"/>
  <c r="T74" i="3" s="1"/>
  <c r="T58" i="3" a="1"/>
  <c r="T58" i="3" s="1"/>
  <c r="T77" i="3" a="1"/>
  <c r="T77" i="3" s="1"/>
  <c r="T79" i="3" a="1"/>
  <c r="T79" i="3" s="1"/>
  <c r="T70" i="3" a="1"/>
  <c r="T70" i="3" s="1"/>
  <c r="T91" i="3" a="1"/>
  <c r="T91" i="3" s="1"/>
  <c r="T90" i="3" a="1"/>
  <c r="T90" i="3" s="1"/>
  <c r="T76" i="3" a="1"/>
  <c r="T76" i="3" s="1"/>
  <c r="T83" i="3" a="1"/>
  <c r="T83" i="3" s="1"/>
  <c r="T96" i="3" a="1"/>
  <c r="T96" i="3" s="1"/>
  <c r="T92" i="3" a="1"/>
  <c r="T92" i="3" s="1"/>
  <c r="T71" i="3" a="1"/>
  <c r="T71" i="3" s="1"/>
  <c r="T99" i="3" a="1"/>
  <c r="T99" i="3" s="1"/>
  <c r="T54" i="3" a="1"/>
  <c r="T54" i="3" s="1"/>
  <c r="T94" i="3" a="1"/>
  <c r="T94" i="3" s="1"/>
  <c r="S131" i="3"/>
  <c r="U41" i="3"/>
  <c r="U103" i="3" s="1" a="1"/>
  <c r="U103" i="3" s="1"/>
  <c r="U49" i="3" l="1" a="1"/>
  <c r="U49" i="3" s="1"/>
  <c r="U48" i="3" a="1"/>
  <c r="U48" i="3" s="1"/>
  <c r="U50" i="3" a="1"/>
  <c r="U50" i="3" s="1"/>
  <c r="U43" i="3" a="1"/>
  <c r="U43" i="3" s="1"/>
  <c r="U46" i="3" a="1"/>
  <c r="U46" i="3" s="1"/>
  <c r="U44" i="3" a="1"/>
  <c r="U44" i="3" s="1"/>
  <c r="U45" i="3" a="1"/>
  <c r="U45" i="3" s="1"/>
  <c r="U47" i="3" a="1"/>
  <c r="U47" i="3" s="1"/>
  <c r="U85" i="3" a="1"/>
  <c r="U85" i="3" s="1"/>
  <c r="U83" i="3" a="1"/>
  <c r="U83" i="3" s="1"/>
  <c r="U53" i="3" a="1"/>
  <c r="U53" i="3" s="1"/>
  <c r="U67" i="3" a="1"/>
  <c r="U67" i="3" s="1"/>
  <c r="U92" i="3" a="1"/>
  <c r="U92" i="3" s="1"/>
  <c r="U74" i="3" a="1"/>
  <c r="U74" i="3" s="1"/>
  <c r="U89" i="3" a="1"/>
  <c r="U89" i="3" s="1"/>
  <c r="U60" i="3" a="1"/>
  <c r="U60" i="3" s="1"/>
  <c r="U81" i="3" a="1"/>
  <c r="U81" i="3" s="1"/>
  <c r="U72" i="3" a="1"/>
  <c r="U72" i="3" s="1"/>
  <c r="U75" i="3" a="1"/>
  <c r="U75" i="3" s="1"/>
  <c r="U59" i="3" a="1"/>
  <c r="U59" i="3" s="1"/>
  <c r="U58" i="3" a="1"/>
  <c r="U58" i="3" s="1"/>
  <c r="U76" i="3" a="1"/>
  <c r="U76" i="3" s="1"/>
  <c r="U52" i="3" a="1"/>
  <c r="U52" i="3" s="1"/>
  <c r="U97" i="3" a="1"/>
  <c r="U97" i="3" s="1"/>
  <c r="U65" i="3" a="1"/>
  <c r="U65" i="3" s="1"/>
  <c r="U71" i="3" a="1"/>
  <c r="U71" i="3" s="1"/>
  <c r="U86" i="3" a="1"/>
  <c r="U86" i="3" s="1"/>
  <c r="U93" i="3" a="1"/>
  <c r="U93" i="3" s="1"/>
  <c r="U95" i="3" a="1"/>
  <c r="U95" i="3" s="1"/>
  <c r="U100" i="3" a="1"/>
  <c r="U100" i="3" s="1"/>
  <c r="U90" i="3" a="1"/>
  <c r="U90" i="3" s="1"/>
  <c r="U98" i="3" a="1"/>
  <c r="U98" i="3" s="1"/>
  <c r="U62" i="3" a="1"/>
  <c r="U62" i="3" s="1"/>
  <c r="U87" i="3" a="1"/>
  <c r="U87" i="3" s="1"/>
  <c r="U69" i="3" a="1"/>
  <c r="U69" i="3" s="1"/>
  <c r="U82" i="3" a="1"/>
  <c r="U82" i="3" s="1"/>
  <c r="U54" i="3" a="1"/>
  <c r="U54" i="3" s="1"/>
  <c r="U78" i="3" a="1"/>
  <c r="U78" i="3" s="1"/>
  <c r="U73" i="3" a="1"/>
  <c r="U73" i="3" s="1"/>
  <c r="U56" i="3" a="1"/>
  <c r="U56" i="3" s="1"/>
  <c r="U64" i="3" a="1"/>
  <c r="U64" i="3" s="1"/>
  <c r="U84" i="3" a="1"/>
  <c r="U84" i="3" s="1"/>
  <c r="U77" i="3" a="1"/>
  <c r="U77" i="3" s="1"/>
  <c r="U91" i="3" a="1"/>
  <c r="U91" i="3" s="1"/>
  <c r="U51" i="3" a="1"/>
  <c r="U51" i="3" s="1"/>
  <c r="U55" i="3" a="1"/>
  <c r="U55" i="3" s="1"/>
  <c r="U66" i="3" a="1"/>
  <c r="U66" i="3" s="1"/>
  <c r="U80" i="3" a="1"/>
  <c r="U80" i="3" s="1"/>
  <c r="U61" i="3" a="1"/>
  <c r="U61" i="3" s="1"/>
  <c r="U94" i="3" a="1"/>
  <c r="U94" i="3" s="1"/>
  <c r="U70" i="3" a="1"/>
  <c r="U70" i="3" s="1"/>
  <c r="U88" i="3" a="1"/>
  <c r="U88" i="3" s="1"/>
  <c r="U57" i="3" a="1"/>
  <c r="U57" i="3" s="1"/>
  <c r="U63" i="3" a="1"/>
  <c r="U63" i="3" s="1"/>
  <c r="U68" i="3" a="1"/>
  <c r="U68" i="3" s="1"/>
  <c r="U79" i="3" a="1"/>
  <c r="U79" i="3" s="1"/>
  <c r="U96" i="3" a="1"/>
  <c r="U96" i="3" s="1"/>
  <c r="U99" i="3" a="1"/>
  <c r="U99" i="3" s="1"/>
  <c r="T131" i="3"/>
  <c r="V41" i="3"/>
  <c r="V103" i="3" s="1" a="1"/>
  <c r="V103" i="3" s="1"/>
  <c r="V50" i="3" l="1" a="1"/>
  <c r="V50" i="3" s="1"/>
  <c r="V49" i="3" a="1"/>
  <c r="V49" i="3" s="1"/>
  <c r="V48" i="3" a="1"/>
  <c r="V48" i="3" s="1"/>
  <c r="V45" i="3" a="1"/>
  <c r="V45" i="3" s="1"/>
  <c r="V43" i="3" a="1"/>
  <c r="V43" i="3" s="1"/>
  <c r="V44" i="3" a="1"/>
  <c r="V44" i="3" s="1"/>
  <c r="V46" i="3" a="1"/>
  <c r="V46" i="3" s="1"/>
  <c r="V47" i="3" a="1"/>
  <c r="V47" i="3" s="1"/>
  <c r="V51" i="3" a="1"/>
  <c r="V51" i="3" s="1"/>
  <c r="V78" i="3" a="1"/>
  <c r="V78" i="3" s="1"/>
  <c r="V98" i="3" a="1"/>
  <c r="V98" i="3" s="1"/>
  <c r="V56" i="3" a="1"/>
  <c r="V56" i="3" s="1"/>
  <c r="V53" i="3" a="1"/>
  <c r="V53" i="3" s="1"/>
  <c r="V58" i="3" a="1"/>
  <c r="V58" i="3" s="1"/>
  <c r="V73" i="3" a="1"/>
  <c r="V73" i="3" s="1"/>
  <c r="V60" i="3" a="1"/>
  <c r="V60" i="3" s="1"/>
  <c r="V55" i="3" a="1"/>
  <c r="V55" i="3" s="1"/>
  <c r="V59" i="3" a="1"/>
  <c r="V59" i="3" s="1"/>
  <c r="V90" i="3" a="1"/>
  <c r="V90" i="3" s="1"/>
  <c r="V93" i="3" a="1"/>
  <c r="V93" i="3" s="1"/>
  <c r="V69" i="3" a="1"/>
  <c r="V69" i="3" s="1"/>
  <c r="V66" i="3" a="1"/>
  <c r="V66" i="3" s="1"/>
  <c r="V92" i="3" a="1"/>
  <c r="V92" i="3" s="1"/>
  <c r="V100" i="3" a="1"/>
  <c r="V100" i="3" s="1"/>
  <c r="V88" i="3" a="1"/>
  <c r="V88" i="3" s="1"/>
  <c r="V67" i="3" a="1"/>
  <c r="V67" i="3" s="1"/>
  <c r="V82" i="3" a="1"/>
  <c r="V82" i="3" s="1"/>
  <c r="V70" i="3" a="1"/>
  <c r="V70" i="3" s="1"/>
  <c r="V80" i="3" a="1"/>
  <c r="V80" i="3" s="1"/>
  <c r="V61" i="3" a="1"/>
  <c r="V61" i="3" s="1"/>
  <c r="V62" i="3" a="1"/>
  <c r="V62" i="3" s="1"/>
  <c r="V65" i="3" a="1"/>
  <c r="V65" i="3" s="1"/>
  <c r="V87" i="3" a="1"/>
  <c r="V87" i="3" s="1"/>
  <c r="V84" i="3" a="1"/>
  <c r="V84" i="3" s="1"/>
  <c r="V96" i="3" a="1"/>
  <c r="V96" i="3" s="1"/>
  <c r="V57" i="3" a="1"/>
  <c r="V57" i="3" s="1"/>
  <c r="V94" i="3" a="1"/>
  <c r="V94" i="3" s="1"/>
  <c r="V86" i="3" a="1"/>
  <c r="V86" i="3" s="1"/>
  <c r="V79" i="3" a="1"/>
  <c r="V79" i="3" s="1"/>
  <c r="V89" i="3" a="1"/>
  <c r="V89" i="3" s="1"/>
  <c r="V97" i="3" a="1"/>
  <c r="V97" i="3" s="1"/>
  <c r="V72" i="3" a="1"/>
  <c r="V72" i="3" s="1"/>
  <c r="V68" i="3" a="1"/>
  <c r="V68" i="3" s="1"/>
  <c r="V74" i="3" a="1"/>
  <c r="V74" i="3" s="1"/>
  <c r="V99" i="3" a="1"/>
  <c r="V99" i="3" s="1"/>
  <c r="V76" i="3" a="1"/>
  <c r="V76" i="3" s="1"/>
  <c r="V83" i="3" a="1"/>
  <c r="V83" i="3" s="1"/>
  <c r="V75" i="3" a="1"/>
  <c r="V75" i="3" s="1"/>
  <c r="V85" i="3" a="1"/>
  <c r="V85" i="3" s="1"/>
  <c r="V91" i="3" a="1"/>
  <c r="V91" i="3" s="1"/>
  <c r="V63" i="3" a="1"/>
  <c r="V63" i="3" s="1"/>
  <c r="V64" i="3" a="1"/>
  <c r="V64" i="3" s="1"/>
  <c r="V71" i="3" a="1"/>
  <c r="V71" i="3" s="1"/>
  <c r="V77" i="3" a="1"/>
  <c r="V77" i="3" s="1"/>
  <c r="V81" i="3" a="1"/>
  <c r="V81" i="3" s="1"/>
  <c r="V54" i="3" a="1"/>
  <c r="V54" i="3" s="1"/>
  <c r="V52" i="3" a="1"/>
  <c r="V52" i="3" s="1"/>
  <c r="V95" i="3" a="1"/>
  <c r="V95" i="3" s="1"/>
  <c r="U131" i="3"/>
  <c r="W41" i="3"/>
  <c r="W103" i="3" s="1" a="1"/>
  <c r="W103" i="3" s="1"/>
  <c r="W49" i="3" l="1" a="1"/>
  <c r="W49" i="3" s="1"/>
  <c r="W50" i="3" a="1"/>
  <c r="W50" i="3" s="1"/>
  <c r="W46" i="3" a="1"/>
  <c r="W46" i="3" s="1"/>
  <c r="W43" i="3" a="1"/>
  <c r="W43" i="3" s="1"/>
  <c r="W47" i="3" a="1"/>
  <c r="W47" i="3" s="1"/>
  <c r="W45" i="3" a="1"/>
  <c r="W45" i="3" s="1"/>
  <c r="W44" i="3" a="1"/>
  <c r="W44" i="3" s="1"/>
  <c r="W48" i="3" a="1"/>
  <c r="W48" i="3" s="1"/>
  <c r="W52" i="3" a="1"/>
  <c r="W52" i="3" s="1"/>
  <c r="W51" i="3" a="1"/>
  <c r="W51" i="3" s="1"/>
  <c r="W69" i="3" a="1"/>
  <c r="W69" i="3" s="1"/>
  <c r="W82" i="3" a="1"/>
  <c r="W82" i="3" s="1"/>
  <c r="W96" i="3" a="1"/>
  <c r="W96" i="3" s="1"/>
  <c r="W57" i="3" a="1"/>
  <c r="W57" i="3" s="1"/>
  <c r="W92" i="3" a="1"/>
  <c r="W92" i="3" s="1"/>
  <c r="W97" i="3" a="1"/>
  <c r="W97" i="3" s="1"/>
  <c r="W86" i="3" a="1"/>
  <c r="W86" i="3" s="1"/>
  <c r="W89" i="3" a="1"/>
  <c r="W89" i="3" s="1"/>
  <c r="W67" i="3" a="1"/>
  <c r="W67" i="3" s="1"/>
  <c r="W80" i="3" a="1"/>
  <c r="W80" i="3" s="1"/>
  <c r="W91" i="3" a="1"/>
  <c r="W91" i="3" s="1"/>
  <c r="W71" i="3" a="1"/>
  <c r="W71" i="3" s="1"/>
  <c r="W77" i="3" a="1"/>
  <c r="W77" i="3" s="1"/>
  <c r="W56" i="3" a="1"/>
  <c r="W56" i="3" s="1"/>
  <c r="W75" i="3" a="1"/>
  <c r="W75" i="3" s="1"/>
  <c r="W63" i="3" a="1"/>
  <c r="W63" i="3" s="1"/>
  <c r="W61" i="3" a="1"/>
  <c r="W61" i="3" s="1"/>
  <c r="W99" i="3" a="1"/>
  <c r="W99" i="3" s="1"/>
  <c r="W62" i="3" a="1"/>
  <c r="W62" i="3" s="1"/>
  <c r="W54" i="3" a="1"/>
  <c r="W54" i="3" s="1"/>
  <c r="W100" i="3" a="1"/>
  <c r="W100" i="3" s="1"/>
  <c r="W79" i="3" a="1"/>
  <c r="W79" i="3" s="1"/>
  <c r="W76" i="3" a="1"/>
  <c r="W76" i="3" s="1"/>
  <c r="W60" i="3" a="1"/>
  <c r="W60" i="3" s="1"/>
  <c r="W94" i="3" a="1"/>
  <c r="W94" i="3" s="1"/>
  <c r="W72" i="3" a="1"/>
  <c r="W72" i="3" s="1"/>
  <c r="W83" i="3" a="1"/>
  <c r="W83" i="3" s="1"/>
  <c r="W74" i="3" a="1"/>
  <c r="W74" i="3" s="1"/>
  <c r="W55" i="3" a="1"/>
  <c r="W55" i="3" s="1"/>
  <c r="W66" i="3" a="1"/>
  <c r="W66" i="3" s="1"/>
  <c r="W95" i="3" a="1"/>
  <c r="W95" i="3" s="1"/>
  <c r="W88" i="3" a="1"/>
  <c r="W88" i="3" s="1"/>
  <c r="W58" i="3" a="1"/>
  <c r="W58" i="3" s="1"/>
  <c r="W68" i="3" a="1"/>
  <c r="W68" i="3" s="1"/>
  <c r="W64" i="3" a="1"/>
  <c r="W64" i="3" s="1"/>
  <c r="W53" i="3" a="1"/>
  <c r="W53" i="3" s="1"/>
  <c r="W98" i="3" a="1"/>
  <c r="W98" i="3" s="1"/>
  <c r="W84" i="3" a="1"/>
  <c r="W84" i="3" s="1"/>
  <c r="W59" i="3" a="1"/>
  <c r="W59" i="3" s="1"/>
  <c r="W87" i="3" a="1"/>
  <c r="W87" i="3" s="1"/>
  <c r="W81" i="3" a="1"/>
  <c r="W81" i="3" s="1"/>
  <c r="W73" i="3" a="1"/>
  <c r="W73" i="3" s="1"/>
  <c r="W65" i="3" a="1"/>
  <c r="W65" i="3" s="1"/>
  <c r="W78" i="3" a="1"/>
  <c r="W78" i="3" s="1"/>
  <c r="W93" i="3" a="1"/>
  <c r="W93" i="3" s="1"/>
  <c r="W90" i="3" a="1"/>
  <c r="W90" i="3" s="1"/>
  <c r="W85" i="3" a="1"/>
  <c r="W85" i="3" s="1"/>
  <c r="W70" i="3" a="1"/>
  <c r="W70" i="3" s="1"/>
  <c r="V131" i="3"/>
  <c r="X41" i="3"/>
  <c r="X103" i="3" s="1" a="1"/>
  <c r="X103" i="3" s="1"/>
  <c r="X50" i="3" l="1" a="1"/>
  <c r="X50" i="3" s="1"/>
  <c r="X49" i="3" a="1"/>
  <c r="X49" i="3" s="1"/>
  <c r="X46" i="3" a="1"/>
  <c r="X46" i="3" s="1"/>
  <c r="X43" i="3" a="1"/>
  <c r="X43" i="3" s="1"/>
  <c r="X47" i="3" a="1"/>
  <c r="X47" i="3" s="1"/>
  <c r="X48" i="3" a="1"/>
  <c r="X48" i="3" s="1"/>
  <c r="X45" i="3" a="1"/>
  <c r="X45" i="3" s="1"/>
  <c r="X44" i="3" a="1"/>
  <c r="X44" i="3" s="1"/>
  <c r="X51" i="3" a="1"/>
  <c r="X51" i="3" s="1"/>
  <c r="X54" i="3" a="1"/>
  <c r="X54" i="3" s="1"/>
  <c r="X98" i="3" a="1"/>
  <c r="X98" i="3" s="1"/>
  <c r="X69" i="3" a="1"/>
  <c r="X69" i="3" s="1"/>
  <c r="X59" i="3" a="1"/>
  <c r="X59" i="3" s="1"/>
  <c r="X68" i="3" a="1"/>
  <c r="X68" i="3" s="1"/>
  <c r="X84" i="3" a="1"/>
  <c r="X84" i="3" s="1"/>
  <c r="X82" i="3" a="1"/>
  <c r="X82" i="3" s="1"/>
  <c r="X75" i="3" a="1"/>
  <c r="X75" i="3" s="1"/>
  <c r="X55" i="3" a="1"/>
  <c r="X55" i="3" s="1"/>
  <c r="X67" i="3" a="1"/>
  <c r="X67" i="3" s="1"/>
  <c r="X57" i="3" a="1"/>
  <c r="X57" i="3" s="1"/>
  <c r="X85" i="3" a="1"/>
  <c r="X85" i="3" s="1"/>
  <c r="X78" i="3" a="1"/>
  <c r="X78" i="3" s="1"/>
  <c r="X70" i="3" a="1"/>
  <c r="X70" i="3" s="1"/>
  <c r="X91" i="3" a="1"/>
  <c r="X91" i="3" s="1"/>
  <c r="X97" i="3" a="1"/>
  <c r="X97" i="3" s="1"/>
  <c r="X89" i="3" a="1"/>
  <c r="X89" i="3" s="1"/>
  <c r="X90" i="3" a="1"/>
  <c r="X90" i="3" s="1"/>
  <c r="X63" i="3" a="1"/>
  <c r="X63" i="3" s="1"/>
  <c r="X61" i="3" a="1"/>
  <c r="X61" i="3" s="1"/>
  <c r="X72" i="3" a="1"/>
  <c r="X72" i="3" s="1"/>
  <c r="X53" i="3" a="1"/>
  <c r="X53" i="3" s="1"/>
  <c r="X64" i="3" a="1"/>
  <c r="X64" i="3" s="1"/>
  <c r="X58" i="3" a="1"/>
  <c r="X58" i="3" s="1"/>
  <c r="X76" i="3" a="1"/>
  <c r="X76" i="3" s="1"/>
  <c r="X56" i="3" a="1"/>
  <c r="X56" i="3" s="1"/>
  <c r="X60" i="3" a="1"/>
  <c r="X60" i="3" s="1"/>
  <c r="X94" i="3" a="1"/>
  <c r="X94" i="3" s="1"/>
  <c r="X93" i="3" a="1"/>
  <c r="X93" i="3" s="1"/>
  <c r="X96" i="3" a="1"/>
  <c r="X96" i="3" s="1"/>
  <c r="X92" i="3" a="1"/>
  <c r="X92" i="3" s="1"/>
  <c r="X77" i="3" a="1"/>
  <c r="X77" i="3" s="1"/>
  <c r="X52" i="3" a="1"/>
  <c r="X52" i="3" s="1"/>
  <c r="X66" i="3" a="1"/>
  <c r="X66" i="3" s="1"/>
  <c r="X88" i="3" a="1"/>
  <c r="X88" i="3" s="1"/>
  <c r="X95" i="3" a="1"/>
  <c r="X95" i="3" s="1"/>
  <c r="X74" i="3" a="1"/>
  <c r="X74" i="3" s="1"/>
  <c r="X87" i="3" a="1"/>
  <c r="X87" i="3" s="1"/>
  <c r="X100" i="3" a="1"/>
  <c r="X100" i="3" s="1"/>
  <c r="X83" i="3" a="1"/>
  <c r="X83" i="3" s="1"/>
  <c r="X71" i="3" a="1"/>
  <c r="X71" i="3" s="1"/>
  <c r="X65" i="3" a="1"/>
  <c r="X65" i="3" s="1"/>
  <c r="X79" i="3" a="1"/>
  <c r="X79" i="3" s="1"/>
  <c r="X62" i="3" a="1"/>
  <c r="X62" i="3" s="1"/>
  <c r="X86" i="3" a="1"/>
  <c r="X86" i="3" s="1"/>
  <c r="X73" i="3" a="1"/>
  <c r="X73" i="3" s="1"/>
  <c r="X81" i="3" a="1"/>
  <c r="X81" i="3" s="1"/>
  <c r="X80" i="3" a="1"/>
  <c r="X80" i="3" s="1"/>
  <c r="X99" i="3" a="1"/>
  <c r="X99" i="3" s="1"/>
  <c r="Y41" i="3"/>
  <c r="Y103" i="3" s="1" a="1"/>
  <c r="Y103" i="3" s="1"/>
  <c r="W131" i="3"/>
  <c r="Y50" i="3" l="1" a="1"/>
  <c r="Y50" i="3" s="1"/>
  <c r="Y48" i="3" a="1"/>
  <c r="Y48" i="3" s="1"/>
  <c r="Y46" i="3" a="1"/>
  <c r="Y46" i="3" s="1"/>
  <c r="Y45" i="3" a="1"/>
  <c r="Y45" i="3" s="1"/>
  <c r="Y47" i="3" a="1"/>
  <c r="Y47" i="3" s="1"/>
  <c r="Y44" i="3" a="1"/>
  <c r="Y44" i="3" s="1"/>
  <c r="Y43" i="3" a="1"/>
  <c r="Y43" i="3" s="1"/>
  <c r="Y93" i="3" a="1"/>
  <c r="Y93" i="3" s="1"/>
  <c r="Y72" i="3" a="1"/>
  <c r="Y72" i="3" s="1"/>
  <c r="Y58" i="3" a="1"/>
  <c r="Y58" i="3" s="1"/>
  <c r="Y51" i="3" a="1"/>
  <c r="Y51" i="3" s="1"/>
  <c r="Y81" i="3" a="1"/>
  <c r="Y81" i="3" s="1"/>
  <c r="Y90" i="3" a="1"/>
  <c r="Y90" i="3" s="1"/>
  <c r="Y73" i="3" a="1"/>
  <c r="Y73" i="3" s="1"/>
  <c r="Y69" i="3" a="1"/>
  <c r="Y69" i="3" s="1"/>
  <c r="Y92" i="3" a="1"/>
  <c r="Y92" i="3" s="1"/>
  <c r="Y59" i="3" a="1"/>
  <c r="Y59" i="3" s="1"/>
  <c r="Y68" i="3" a="1"/>
  <c r="Y68" i="3" s="1"/>
  <c r="Y67" i="3" a="1"/>
  <c r="Y67" i="3" s="1"/>
  <c r="Y53" i="3" a="1"/>
  <c r="Y53" i="3" s="1"/>
  <c r="Y75" i="3" a="1"/>
  <c r="Y75" i="3" s="1"/>
  <c r="Y65" i="3" a="1"/>
  <c r="Y65" i="3" s="1"/>
  <c r="Y88" i="3" a="1"/>
  <c r="Y88" i="3" s="1"/>
  <c r="Y76" i="3" a="1"/>
  <c r="Y76" i="3" s="1"/>
  <c r="Y85" i="3" a="1"/>
  <c r="Y85" i="3" s="1"/>
  <c r="Y87" i="3" a="1"/>
  <c r="Y87" i="3" s="1"/>
  <c r="Y78" i="3" a="1"/>
  <c r="Y78" i="3" s="1"/>
  <c r="Y79" i="3" a="1"/>
  <c r="Y79" i="3" s="1"/>
  <c r="Y82" i="3" a="1"/>
  <c r="Y82" i="3" s="1"/>
  <c r="Y54" i="3" a="1"/>
  <c r="Y54" i="3" s="1"/>
  <c r="Y57" i="3" a="1"/>
  <c r="Y57" i="3" s="1"/>
  <c r="Y89" i="3" a="1"/>
  <c r="Y89" i="3" s="1"/>
  <c r="Y77" i="3" a="1"/>
  <c r="Y77" i="3" s="1"/>
  <c r="Y71" i="3" a="1"/>
  <c r="Y71" i="3" s="1"/>
  <c r="Y56" i="3" a="1"/>
  <c r="Y56" i="3" s="1"/>
  <c r="Y70" i="3" a="1"/>
  <c r="Y70" i="3" s="1"/>
  <c r="Y55" i="3" a="1"/>
  <c r="Y55" i="3" s="1"/>
  <c r="Y80" i="3" a="1"/>
  <c r="Y80" i="3" s="1"/>
  <c r="Y97" i="3" a="1"/>
  <c r="Y97" i="3" s="1"/>
  <c r="Y94" i="3" a="1"/>
  <c r="Y94" i="3" s="1"/>
  <c r="Y99" i="3" a="1"/>
  <c r="Y99" i="3" s="1"/>
  <c r="Y64" i="3" a="1"/>
  <c r="Y64" i="3" s="1"/>
  <c r="Y100" i="3" a="1"/>
  <c r="Y100" i="3" s="1"/>
  <c r="Y66" i="3" a="1"/>
  <c r="Y66" i="3" s="1"/>
  <c r="Y84" i="3" a="1"/>
  <c r="Y84" i="3" s="1"/>
  <c r="Y91" i="3" a="1"/>
  <c r="Y91" i="3" s="1"/>
  <c r="Y62" i="3" a="1"/>
  <c r="Y62" i="3" s="1"/>
  <c r="Y96" i="3" a="1"/>
  <c r="Y96" i="3" s="1"/>
  <c r="Y52" i="3" a="1"/>
  <c r="Y52" i="3" s="1"/>
  <c r="Y74" i="3" a="1"/>
  <c r="Y74" i="3" s="1"/>
  <c r="Y95" i="3" a="1"/>
  <c r="Y95" i="3" s="1"/>
  <c r="Y83" i="3" a="1"/>
  <c r="Y83" i="3" s="1"/>
  <c r="Y63" i="3" a="1"/>
  <c r="Y63" i="3" s="1"/>
  <c r="Y61" i="3" a="1"/>
  <c r="Y61" i="3" s="1"/>
  <c r="Y49" i="3" a="1"/>
  <c r="Y49" i="3" s="1"/>
  <c r="Y60" i="3" a="1"/>
  <c r="Y60" i="3" s="1"/>
  <c r="Y86" i="3" a="1"/>
  <c r="Y86" i="3" s="1"/>
  <c r="Y98" i="3" a="1"/>
  <c r="Y98" i="3" s="1"/>
  <c r="Z41" i="3"/>
  <c r="Z103" i="3" s="1" a="1"/>
  <c r="Z103" i="3" s="1"/>
  <c r="X131" i="3"/>
  <c r="Z50" i="3" l="1" a="1"/>
  <c r="Z50" i="3" s="1"/>
  <c r="Z46" i="3" a="1"/>
  <c r="Z46" i="3" s="1"/>
  <c r="Z45" i="3" a="1"/>
  <c r="Z45" i="3" s="1"/>
  <c r="Z44" i="3" a="1"/>
  <c r="Z44" i="3" s="1"/>
  <c r="Z43" i="3" a="1"/>
  <c r="Z43" i="3" s="1"/>
  <c r="Z47" i="3" a="1"/>
  <c r="Z47" i="3" s="1"/>
  <c r="Z48" i="3" a="1"/>
  <c r="Z48" i="3" s="1"/>
  <c r="Z52" i="3" a="1"/>
  <c r="Z52" i="3" s="1"/>
  <c r="Z90" i="3" a="1"/>
  <c r="Z90" i="3" s="1"/>
  <c r="Z94" i="3" a="1"/>
  <c r="Z94" i="3" s="1"/>
  <c r="Z63" i="3" a="1"/>
  <c r="Z63" i="3" s="1"/>
  <c r="Z51" i="3" a="1"/>
  <c r="Z51" i="3" s="1"/>
  <c r="Z60" i="3" a="1"/>
  <c r="Z60" i="3" s="1"/>
  <c r="Z64" i="3" a="1"/>
  <c r="Z64" i="3" s="1"/>
  <c r="Z67" i="3" a="1"/>
  <c r="Z67" i="3" s="1"/>
  <c r="Z82" i="3" a="1"/>
  <c r="Z82" i="3" s="1"/>
  <c r="Z55" i="3" a="1"/>
  <c r="Z55" i="3" s="1"/>
  <c r="Z54" i="3" a="1"/>
  <c r="Z54" i="3" s="1"/>
  <c r="Z65" i="3" a="1"/>
  <c r="Z65" i="3" s="1"/>
  <c r="Z89" i="3" a="1"/>
  <c r="Z89" i="3" s="1"/>
  <c r="Z49" i="3" a="1"/>
  <c r="Z49" i="3" s="1"/>
  <c r="Z73" i="3" a="1"/>
  <c r="Z73" i="3" s="1"/>
  <c r="Z100" i="3" a="1"/>
  <c r="Z100" i="3" s="1"/>
  <c r="Z78" i="3" a="1"/>
  <c r="Z78" i="3" s="1"/>
  <c r="Z91" i="3" a="1"/>
  <c r="Z91" i="3" s="1"/>
  <c r="Z93" i="3" a="1"/>
  <c r="Z93" i="3" s="1"/>
  <c r="Z81" i="3" a="1"/>
  <c r="Z81" i="3" s="1"/>
  <c r="Z87" i="3" a="1"/>
  <c r="Z87" i="3" s="1"/>
  <c r="Z98" i="3" a="1"/>
  <c r="Z98" i="3" s="1"/>
  <c r="Z69" i="3" a="1"/>
  <c r="Z69" i="3" s="1"/>
  <c r="Z57" i="3" a="1"/>
  <c r="Z57" i="3" s="1"/>
  <c r="Z75" i="3" a="1"/>
  <c r="Z75" i="3" s="1"/>
  <c r="Z95" i="3" a="1"/>
  <c r="Z95" i="3" s="1"/>
  <c r="Z53" i="3" a="1"/>
  <c r="Z53" i="3" s="1"/>
  <c r="Z99" i="3" a="1"/>
  <c r="Z99" i="3" s="1"/>
  <c r="Z85" i="3" a="1"/>
  <c r="Z85" i="3" s="1"/>
  <c r="Z86" i="3" a="1"/>
  <c r="Z86" i="3" s="1"/>
  <c r="Z71" i="3" a="1"/>
  <c r="Z71" i="3" s="1"/>
  <c r="Z83" i="3" a="1"/>
  <c r="Z83" i="3" s="1"/>
  <c r="Z72" i="3" a="1"/>
  <c r="Z72" i="3" s="1"/>
  <c r="Z58" i="3" a="1"/>
  <c r="Z58" i="3" s="1"/>
  <c r="Z56" i="3" a="1"/>
  <c r="Z56" i="3" s="1"/>
  <c r="Z79" i="3" a="1"/>
  <c r="Z79" i="3" s="1"/>
  <c r="Z88" i="3" a="1"/>
  <c r="Z88" i="3" s="1"/>
  <c r="Z74" i="3" a="1"/>
  <c r="Z74" i="3" s="1"/>
  <c r="Z62" i="3" a="1"/>
  <c r="Z62" i="3" s="1"/>
  <c r="Z70" i="3" a="1"/>
  <c r="Z70" i="3" s="1"/>
  <c r="Z97" i="3" a="1"/>
  <c r="Z97" i="3" s="1"/>
  <c r="Z96" i="3" a="1"/>
  <c r="Z96" i="3" s="1"/>
  <c r="Z59" i="3" a="1"/>
  <c r="Z59" i="3" s="1"/>
  <c r="Z80" i="3" a="1"/>
  <c r="Z80" i="3" s="1"/>
  <c r="Z66" i="3" a="1"/>
  <c r="Z66" i="3" s="1"/>
  <c r="Z76" i="3" a="1"/>
  <c r="Z76" i="3" s="1"/>
  <c r="Z61" i="3" a="1"/>
  <c r="Z61" i="3" s="1"/>
  <c r="Z84" i="3" a="1"/>
  <c r="Z84" i="3" s="1"/>
  <c r="Z68" i="3" a="1"/>
  <c r="Z68" i="3" s="1"/>
  <c r="Z92" i="3" a="1"/>
  <c r="Z92" i="3" s="1"/>
  <c r="Z77" i="3" a="1"/>
  <c r="Z77" i="3" s="1"/>
  <c r="Y131" i="3"/>
  <c r="Y134" i="3"/>
  <c r="Y135" i="3"/>
  <c r="AA41" i="3"/>
  <c r="AA103" i="3" s="1" a="1"/>
  <c r="AA103" i="3" s="1"/>
  <c r="AA47" i="3" l="1" a="1"/>
  <c r="AA47" i="3" s="1"/>
  <c r="AA46" i="3" a="1"/>
  <c r="AA46" i="3" s="1"/>
  <c r="AA44" i="3" a="1"/>
  <c r="AA44" i="3" s="1"/>
  <c r="AA43" i="3" a="1"/>
  <c r="AA43" i="3" s="1"/>
  <c r="AA45" i="3" a="1"/>
  <c r="AA45" i="3" s="1"/>
  <c r="AA48" i="3" a="1"/>
  <c r="AA48" i="3" s="1"/>
  <c r="AA92" i="3" a="1"/>
  <c r="AA92" i="3" s="1"/>
  <c r="AA49" i="3" a="1"/>
  <c r="AA49" i="3" s="1"/>
  <c r="AA85" i="3" a="1"/>
  <c r="AA85" i="3" s="1"/>
  <c r="AA87" i="3" a="1"/>
  <c r="AA87" i="3" s="1"/>
  <c r="AA83" i="3" a="1"/>
  <c r="AA83" i="3" s="1"/>
  <c r="AA76" i="3" a="1"/>
  <c r="AA76" i="3" s="1"/>
  <c r="AA90" i="3" a="1"/>
  <c r="AA90" i="3" s="1"/>
  <c r="AA59" i="3" a="1"/>
  <c r="AA59" i="3" s="1"/>
  <c r="AA51" i="3" a="1"/>
  <c r="AA51" i="3" s="1"/>
  <c r="AA55" i="3" a="1"/>
  <c r="AA55" i="3" s="1"/>
  <c r="AA95" i="3" a="1"/>
  <c r="AA95" i="3" s="1"/>
  <c r="AA53" i="3" a="1"/>
  <c r="AA53" i="3" s="1"/>
  <c r="AA89" i="3" a="1"/>
  <c r="AA89" i="3" s="1"/>
  <c r="AA65" i="3" a="1"/>
  <c r="AA65" i="3" s="1"/>
  <c r="AA71" i="3" a="1"/>
  <c r="AA71" i="3" s="1"/>
  <c r="AA82" i="3" a="1"/>
  <c r="AA82" i="3" s="1"/>
  <c r="AA72" i="3" a="1"/>
  <c r="AA72" i="3" s="1"/>
  <c r="AA68" i="3" a="1"/>
  <c r="AA68" i="3" s="1"/>
  <c r="AA86" i="3" a="1"/>
  <c r="AA86" i="3" s="1"/>
  <c r="AA91" i="3" a="1"/>
  <c r="AA91" i="3" s="1"/>
  <c r="AA94" i="3" a="1"/>
  <c r="AA94" i="3" s="1"/>
  <c r="AA50" i="3" a="1"/>
  <c r="AA50" i="3" s="1"/>
  <c r="AA78" i="3" a="1"/>
  <c r="AA78" i="3" s="1"/>
  <c r="AA75" i="3" a="1"/>
  <c r="AA75" i="3" s="1"/>
  <c r="AA56" i="3" a="1"/>
  <c r="AA56" i="3" s="1"/>
  <c r="AA84" i="3" a="1"/>
  <c r="AA84" i="3" s="1"/>
  <c r="AA60" i="3" a="1"/>
  <c r="AA60" i="3" s="1"/>
  <c r="AA54" i="3" a="1"/>
  <c r="AA54" i="3" s="1"/>
  <c r="AA57" i="3" a="1"/>
  <c r="AA57" i="3" s="1"/>
  <c r="AA69" i="3" a="1"/>
  <c r="AA69" i="3" s="1"/>
  <c r="AA80" i="3" a="1"/>
  <c r="AA80" i="3" s="1"/>
  <c r="AA52" i="3" a="1"/>
  <c r="AA52" i="3" s="1"/>
  <c r="AA79" i="3" a="1"/>
  <c r="AA79" i="3" s="1"/>
  <c r="AA74" i="3" a="1"/>
  <c r="AA74" i="3" s="1"/>
  <c r="AA93" i="3" a="1"/>
  <c r="AA93" i="3" s="1"/>
  <c r="AA62" i="3" a="1"/>
  <c r="AA62" i="3" s="1"/>
  <c r="AA66" i="3" a="1"/>
  <c r="AA66" i="3" s="1"/>
  <c r="AA58" i="3" a="1"/>
  <c r="AA58" i="3" s="1"/>
  <c r="AA73" i="3" a="1"/>
  <c r="AA73" i="3" s="1"/>
  <c r="AA100" i="3" a="1"/>
  <c r="AA100" i="3" s="1"/>
  <c r="AA67" i="3" a="1"/>
  <c r="AA67" i="3" s="1"/>
  <c r="AA64" i="3" a="1"/>
  <c r="AA64" i="3" s="1"/>
  <c r="AA61" i="3" a="1"/>
  <c r="AA61" i="3" s="1"/>
  <c r="AA97" i="3" a="1"/>
  <c r="AA97" i="3" s="1"/>
  <c r="AA77" i="3" a="1"/>
  <c r="AA77" i="3" s="1"/>
  <c r="AA98" i="3" a="1"/>
  <c r="AA98" i="3" s="1"/>
  <c r="AA81" i="3" a="1"/>
  <c r="AA81" i="3" s="1"/>
  <c r="AA70" i="3" a="1"/>
  <c r="AA70" i="3" s="1"/>
  <c r="AA88" i="3" a="1"/>
  <c r="AA88" i="3" s="1"/>
  <c r="AA63" i="3" a="1"/>
  <c r="AA63" i="3" s="1"/>
  <c r="AA99" i="3" a="1"/>
  <c r="AA99" i="3" s="1"/>
  <c r="AA96" i="3" a="1"/>
  <c r="AA96" i="3" s="1"/>
  <c r="Z131" i="3"/>
  <c r="Z134" i="3"/>
  <c r="Z135" i="3"/>
  <c r="AB41" i="3"/>
  <c r="AB103" i="3" s="1" a="1"/>
  <c r="AB103" i="3" s="1"/>
  <c r="AB43" i="3" l="1" a="1"/>
  <c r="AB43" i="3" s="1"/>
  <c r="AB47" i="3" a="1"/>
  <c r="AB47" i="3" s="1"/>
  <c r="AB44" i="3" a="1"/>
  <c r="AB44" i="3" s="1"/>
  <c r="AB46" i="3" a="1"/>
  <c r="AB46" i="3" s="1"/>
  <c r="AB48" i="3" a="1"/>
  <c r="AB48" i="3" s="1"/>
  <c r="AB45" i="3" a="1"/>
  <c r="AB45" i="3" s="1"/>
  <c r="AB76" i="3" a="1"/>
  <c r="AB76" i="3" s="1"/>
  <c r="AB91" i="3" a="1"/>
  <c r="AB91" i="3" s="1"/>
  <c r="AB81" i="3" a="1"/>
  <c r="AB81" i="3" s="1"/>
  <c r="AB70" i="3" a="1"/>
  <c r="AB70" i="3" s="1"/>
  <c r="AB87" i="3" a="1"/>
  <c r="AB87" i="3" s="1"/>
  <c r="AB69" i="3" a="1"/>
  <c r="AB69" i="3" s="1"/>
  <c r="AB90" i="3" a="1"/>
  <c r="AB90" i="3" s="1"/>
  <c r="AB59" i="3" a="1"/>
  <c r="AB59" i="3" s="1"/>
  <c r="AB54" i="3" a="1"/>
  <c r="AB54" i="3" s="1"/>
  <c r="AB79" i="3" a="1"/>
  <c r="AB79" i="3" s="1"/>
  <c r="AB57" i="3" a="1"/>
  <c r="AB57" i="3" s="1"/>
  <c r="AB51" i="3" a="1"/>
  <c r="AB51" i="3" s="1"/>
  <c r="AB63" i="3" a="1"/>
  <c r="AB63" i="3" s="1"/>
  <c r="AB67" i="3" a="1"/>
  <c r="AB67" i="3" s="1"/>
  <c r="AB89" i="3" a="1"/>
  <c r="AB89" i="3" s="1"/>
  <c r="AB53" i="3" a="1"/>
  <c r="AB53" i="3" s="1"/>
  <c r="AB56" i="3" a="1"/>
  <c r="AB56" i="3" s="1"/>
  <c r="AB50" i="3" a="1"/>
  <c r="AB50" i="3" s="1"/>
  <c r="AB49" i="3" a="1"/>
  <c r="AB49" i="3" s="1"/>
  <c r="AB97" i="3" a="1"/>
  <c r="AB97" i="3" s="1"/>
  <c r="AB58" i="3" a="1"/>
  <c r="AB58" i="3" s="1"/>
  <c r="AB83" i="3" a="1"/>
  <c r="AB83" i="3" s="1"/>
  <c r="AB77" i="3" a="1"/>
  <c r="AB77" i="3" s="1"/>
  <c r="AB86" i="3" a="1"/>
  <c r="AB86" i="3" s="1"/>
  <c r="AB78" i="3" a="1"/>
  <c r="AB78" i="3" s="1"/>
  <c r="AB60" i="3" a="1"/>
  <c r="AB60" i="3" s="1"/>
  <c r="AB82" i="3" a="1"/>
  <c r="AB82" i="3" s="1"/>
  <c r="AB98" i="3" a="1"/>
  <c r="AB98" i="3" s="1"/>
  <c r="AB62" i="3" a="1"/>
  <c r="AB62" i="3" s="1"/>
  <c r="AB61" i="3" a="1"/>
  <c r="AB61" i="3" s="1"/>
  <c r="AB66" i="3" a="1"/>
  <c r="AB66" i="3" s="1"/>
  <c r="AB99" i="3" a="1"/>
  <c r="AB99" i="3" s="1"/>
  <c r="AB88" i="3" a="1"/>
  <c r="AB88" i="3" s="1"/>
  <c r="AB96" i="3" a="1"/>
  <c r="AB96" i="3" s="1"/>
  <c r="AB72" i="3" a="1"/>
  <c r="AB72" i="3" s="1"/>
  <c r="AB94" i="3" a="1"/>
  <c r="AB94" i="3" s="1"/>
  <c r="AB71" i="3" a="1"/>
  <c r="AB71" i="3" s="1"/>
  <c r="AB68" i="3" a="1"/>
  <c r="AB68" i="3" s="1"/>
  <c r="AB95" i="3" a="1"/>
  <c r="AB95" i="3" s="1"/>
  <c r="AB52" i="3" a="1"/>
  <c r="AB52" i="3" s="1"/>
  <c r="AB73" i="3" a="1"/>
  <c r="AB73" i="3" s="1"/>
  <c r="AB80" i="3" a="1"/>
  <c r="AB80" i="3" s="1"/>
  <c r="AB84" i="3" a="1"/>
  <c r="AB84" i="3" s="1"/>
  <c r="AB74" i="3" a="1"/>
  <c r="AB74" i="3" s="1"/>
  <c r="AB65" i="3" a="1"/>
  <c r="AB65" i="3" s="1"/>
  <c r="AB100" i="3" a="1"/>
  <c r="AB100" i="3" s="1"/>
  <c r="AB92" i="3" a="1"/>
  <c r="AB92" i="3" s="1"/>
  <c r="AB55" i="3" a="1"/>
  <c r="AB55" i="3" s="1"/>
  <c r="AB75" i="3" a="1"/>
  <c r="AB75" i="3" s="1"/>
  <c r="AB85" i="3" a="1"/>
  <c r="AB85" i="3" s="1"/>
  <c r="AB93" i="3" a="1"/>
  <c r="AB93" i="3" s="1"/>
  <c r="AB64" i="3" a="1"/>
  <c r="AB64" i="3" s="1"/>
  <c r="AA131" i="3"/>
  <c r="AC41" i="3"/>
  <c r="AC103" i="3" s="1" a="1"/>
  <c r="AC103" i="3" s="1"/>
  <c r="AA134" i="3"/>
  <c r="AA135" i="3"/>
  <c r="AC47" i="3" l="1" a="1"/>
  <c r="AC47" i="3" s="1"/>
  <c r="AC44" i="3" a="1"/>
  <c r="AC44" i="3" s="1"/>
  <c r="AC46" i="3" a="1"/>
  <c r="AC46" i="3" s="1"/>
  <c r="AC48" i="3" a="1"/>
  <c r="AC48" i="3" s="1"/>
  <c r="AC45" i="3" a="1"/>
  <c r="AC45" i="3" s="1"/>
  <c r="AC43" i="3" a="1"/>
  <c r="AC43" i="3" s="1"/>
  <c r="AC75" i="3" a="1"/>
  <c r="AC75" i="3" s="1"/>
  <c r="AC100" i="3" a="1"/>
  <c r="AC100" i="3" s="1"/>
  <c r="AC68" i="3" a="1"/>
  <c r="AC68" i="3" s="1"/>
  <c r="AC77" i="3" a="1"/>
  <c r="AC77" i="3" s="1"/>
  <c r="AC76" i="3" a="1"/>
  <c r="AC76" i="3" s="1"/>
  <c r="AC65" i="3" a="1"/>
  <c r="AC65" i="3" s="1"/>
  <c r="AC58" i="3" a="1"/>
  <c r="AC58" i="3" s="1"/>
  <c r="AC86" i="3" a="1"/>
  <c r="AC86" i="3" s="1"/>
  <c r="AC96" i="3" a="1"/>
  <c r="AC96" i="3" s="1"/>
  <c r="AC93" i="3" a="1"/>
  <c r="AC93" i="3" s="1"/>
  <c r="AC81" i="3" a="1"/>
  <c r="AC81" i="3" s="1"/>
  <c r="AC63" i="3" a="1"/>
  <c r="AC63" i="3" s="1"/>
  <c r="AC66" i="3" a="1"/>
  <c r="AC66" i="3" s="1"/>
  <c r="AC69" i="3" a="1"/>
  <c r="AC69" i="3" s="1"/>
  <c r="AC51" i="3" a="1"/>
  <c r="AC51" i="3" s="1"/>
  <c r="AC56" i="3" a="1"/>
  <c r="AC56" i="3" s="1"/>
  <c r="AC57" i="3" a="1"/>
  <c r="AC57" i="3" s="1"/>
  <c r="AC94" i="3" a="1"/>
  <c r="AC94" i="3" s="1"/>
  <c r="AC97" i="3" a="1"/>
  <c r="AC97" i="3" s="1"/>
  <c r="AC78" i="3" a="1"/>
  <c r="AC78" i="3" s="1"/>
  <c r="AC59" i="3" a="1"/>
  <c r="AC59" i="3" s="1"/>
  <c r="AC52" i="3" a="1"/>
  <c r="AC52" i="3" s="1"/>
  <c r="AC67" i="3" a="1"/>
  <c r="AC67" i="3" s="1"/>
  <c r="AC70" i="3" a="1"/>
  <c r="AC70" i="3" s="1"/>
  <c r="AC60" i="3" a="1"/>
  <c r="AC60" i="3" s="1"/>
  <c r="AC92" i="3" a="1"/>
  <c r="AC92" i="3" s="1"/>
  <c r="AC54" i="3" a="1"/>
  <c r="AC54" i="3" s="1"/>
  <c r="AC73" i="3" a="1"/>
  <c r="AC73" i="3" s="1"/>
  <c r="AC72" i="3" a="1"/>
  <c r="AC72" i="3" s="1"/>
  <c r="AC71" i="3" a="1"/>
  <c r="AC71" i="3" s="1"/>
  <c r="AC87" i="3" a="1"/>
  <c r="AC87" i="3" s="1"/>
  <c r="AC55" i="3" a="1"/>
  <c r="AC55" i="3" s="1"/>
  <c r="AC91" i="3" a="1"/>
  <c r="AC91" i="3" s="1"/>
  <c r="AC49" i="3" a="1"/>
  <c r="AC49" i="3" s="1"/>
  <c r="AC98" i="3" a="1"/>
  <c r="AC98" i="3" s="1"/>
  <c r="AC80" i="3" a="1"/>
  <c r="AC80" i="3" s="1"/>
  <c r="AC84" i="3" a="1"/>
  <c r="AC84" i="3" s="1"/>
  <c r="AC83" i="3" a="1"/>
  <c r="AC83" i="3" s="1"/>
  <c r="AC82" i="3" a="1"/>
  <c r="AC82" i="3" s="1"/>
  <c r="AC62" i="3" a="1"/>
  <c r="AC62" i="3" s="1"/>
  <c r="AC85" i="3" a="1"/>
  <c r="AC85" i="3" s="1"/>
  <c r="AC61" i="3" a="1"/>
  <c r="AC61" i="3" s="1"/>
  <c r="AC50" i="3" a="1"/>
  <c r="AC50" i="3" s="1"/>
  <c r="AC64" i="3" a="1"/>
  <c r="AC64" i="3" s="1"/>
  <c r="AC79" i="3" a="1"/>
  <c r="AC79" i="3" s="1"/>
  <c r="AC88" i="3" a="1"/>
  <c r="AC88" i="3" s="1"/>
  <c r="AC74" i="3" a="1"/>
  <c r="AC74" i="3" s="1"/>
  <c r="AC99" i="3" a="1"/>
  <c r="AC99" i="3" s="1"/>
  <c r="AC89" i="3" a="1"/>
  <c r="AC89" i="3" s="1"/>
  <c r="AC90" i="3" a="1"/>
  <c r="AC90" i="3" s="1"/>
  <c r="AC53" i="3" a="1"/>
  <c r="AC53" i="3" s="1"/>
  <c r="AC95" i="3" a="1"/>
  <c r="AC95" i="3" s="1"/>
  <c r="AB131" i="3"/>
  <c r="AB134" i="3"/>
  <c r="AB135" i="3"/>
  <c r="AD41" i="3"/>
  <c r="AD103" i="3" s="1" a="1"/>
  <c r="AD103" i="3" s="1"/>
  <c r="AE41" i="3" l="1"/>
  <c r="AE103" i="3" s="1" a="1"/>
  <c r="AE103" i="3" s="1"/>
  <c r="AD46" i="3" a="1"/>
  <c r="AD46" i="3" s="1"/>
  <c r="H46" i="3" s="1"/>
  <c r="AD45" i="3" a="1"/>
  <c r="AD45" i="3" s="1"/>
  <c r="H45" i="3" s="1"/>
  <c r="AD44" i="3" a="1"/>
  <c r="AD44" i="3" s="1"/>
  <c r="AD43" i="3" a="1"/>
  <c r="AD43" i="3" s="1"/>
  <c r="AD48" i="3" a="1"/>
  <c r="AD48" i="3" s="1"/>
  <c r="AD47" i="3" a="1"/>
  <c r="AD47" i="3" s="1"/>
  <c r="H47" i="3" s="1"/>
  <c r="AD89" i="3" a="1"/>
  <c r="AD89" i="3" s="1"/>
  <c r="H89" i="3" s="1"/>
  <c r="AD53" i="3" a="1"/>
  <c r="AD53" i="3" s="1"/>
  <c r="H53" i="3" s="1"/>
  <c r="AD51" i="3" a="1"/>
  <c r="AD51" i="3" s="1"/>
  <c r="H51" i="3" s="1"/>
  <c r="AD50" i="3" a="1"/>
  <c r="AD50" i="3" s="1"/>
  <c r="AD86" i="3" a="1"/>
  <c r="AD86" i="3" s="1"/>
  <c r="H86" i="3" s="1"/>
  <c r="AD84" i="3" a="1"/>
  <c r="AD84" i="3" s="1"/>
  <c r="H84" i="3" s="1"/>
  <c r="AD67" i="3" a="1"/>
  <c r="AD67" i="3" s="1"/>
  <c r="H67" i="3" s="1"/>
  <c r="AD95" i="3" a="1"/>
  <c r="AD95" i="3" s="1"/>
  <c r="H95" i="3" s="1"/>
  <c r="AD59" i="3" a="1"/>
  <c r="AD59" i="3" s="1"/>
  <c r="H59" i="3" s="1"/>
  <c r="AD58" i="3" a="1"/>
  <c r="AD58" i="3" s="1"/>
  <c r="H58" i="3" s="1"/>
  <c r="AD90" i="3" a="1"/>
  <c r="AD90" i="3" s="1"/>
  <c r="H90" i="3" s="1"/>
  <c r="AD54" i="3" a="1"/>
  <c r="AD54" i="3" s="1"/>
  <c r="H54" i="3" s="1"/>
  <c r="AD81" i="3" a="1"/>
  <c r="AD81" i="3" s="1"/>
  <c r="H81" i="3" s="1"/>
  <c r="AD66" i="3" a="1"/>
  <c r="AD66" i="3" s="1"/>
  <c r="H66" i="3" s="1"/>
  <c r="AD96" i="3" a="1"/>
  <c r="AD96" i="3" s="1"/>
  <c r="H96" i="3" s="1"/>
  <c r="AD68" i="3" a="1"/>
  <c r="AD68" i="3" s="1"/>
  <c r="H68" i="3" s="1"/>
  <c r="AD93" i="3" a="1"/>
  <c r="AD93" i="3" s="1"/>
  <c r="H93" i="3" s="1"/>
  <c r="AD55" i="3" a="1"/>
  <c r="AD55" i="3" s="1"/>
  <c r="H55" i="3" s="1"/>
  <c r="AD92" i="3" a="1"/>
  <c r="AD92" i="3" s="1"/>
  <c r="H92" i="3" s="1"/>
  <c r="AD97" i="3" a="1"/>
  <c r="AD97" i="3" s="1"/>
  <c r="H97" i="3" s="1"/>
  <c r="AD74" i="3" a="1"/>
  <c r="AD74" i="3" s="1"/>
  <c r="H74" i="3" s="1"/>
  <c r="AD56" i="3" a="1"/>
  <c r="AD56" i="3" s="1"/>
  <c r="H56" i="3" s="1"/>
  <c r="AD75" i="3" a="1"/>
  <c r="AD75" i="3" s="1"/>
  <c r="H75" i="3" s="1"/>
  <c r="AD72" i="3" a="1"/>
  <c r="AD72" i="3" s="1"/>
  <c r="H72" i="3" s="1"/>
  <c r="AD69" i="3" a="1"/>
  <c r="AD69" i="3" s="1"/>
  <c r="H69" i="3" s="1"/>
  <c r="AD94" i="3" a="1"/>
  <c r="AD94" i="3" s="1"/>
  <c r="H94" i="3" s="1"/>
  <c r="AD76" i="3" a="1"/>
  <c r="AD76" i="3" s="1"/>
  <c r="H76" i="3" s="1"/>
  <c r="AD60" i="3" a="1"/>
  <c r="AD60" i="3" s="1"/>
  <c r="H60" i="3" s="1"/>
  <c r="AD63" i="3" a="1"/>
  <c r="AD63" i="3" s="1"/>
  <c r="H63" i="3" s="1"/>
  <c r="AD79" i="3" a="1"/>
  <c r="AD79" i="3" s="1"/>
  <c r="H79" i="3" s="1"/>
  <c r="AD64" i="3" a="1"/>
  <c r="AD64" i="3" s="1"/>
  <c r="H64" i="3" s="1"/>
  <c r="AD77" i="3" a="1"/>
  <c r="AD77" i="3" s="1"/>
  <c r="H77" i="3" s="1"/>
  <c r="AD61" i="3" a="1"/>
  <c r="AD61" i="3" s="1"/>
  <c r="H61" i="3" s="1"/>
  <c r="AD80" i="3" a="1"/>
  <c r="AD80" i="3" s="1"/>
  <c r="H80" i="3" s="1"/>
  <c r="AD91" i="3" a="1"/>
  <c r="AD91" i="3" s="1"/>
  <c r="H91" i="3" s="1"/>
  <c r="AD49" i="3" a="1"/>
  <c r="AD49" i="3" s="1"/>
  <c r="AD98" i="3" a="1"/>
  <c r="AD98" i="3" s="1"/>
  <c r="H98" i="3" s="1"/>
  <c r="AD65" i="3" a="1"/>
  <c r="AD65" i="3" s="1"/>
  <c r="H65" i="3" s="1"/>
  <c r="AD88" i="3" a="1"/>
  <c r="AD88" i="3" s="1"/>
  <c r="H88" i="3" s="1"/>
  <c r="AD82" i="3" a="1"/>
  <c r="AD82" i="3" s="1"/>
  <c r="H82" i="3" s="1"/>
  <c r="AD85" i="3" a="1"/>
  <c r="AD85" i="3" s="1"/>
  <c r="H85" i="3" s="1"/>
  <c r="AD87" i="3" a="1"/>
  <c r="AD87" i="3" s="1"/>
  <c r="H87" i="3" s="1"/>
  <c r="AD73" i="3" a="1"/>
  <c r="AD73" i="3" s="1"/>
  <c r="H73" i="3" s="1"/>
  <c r="AD62" i="3" a="1"/>
  <c r="AD62" i="3" s="1"/>
  <c r="H62" i="3" s="1"/>
  <c r="AD70" i="3" a="1"/>
  <c r="AD70" i="3" s="1"/>
  <c r="H70" i="3" s="1"/>
  <c r="AD71" i="3" a="1"/>
  <c r="AD71" i="3" s="1"/>
  <c r="H71" i="3" s="1"/>
  <c r="AD52" i="3" a="1"/>
  <c r="AD52" i="3" s="1"/>
  <c r="H52" i="3" s="1"/>
  <c r="AD57" i="3" a="1"/>
  <c r="AD57" i="3" s="1"/>
  <c r="H57" i="3" s="1"/>
  <c r="AD99" i="3" a="1"/>
  <c r="AD99" i="3" s="1"/>
  <c r="H99" i="3" s="1"/>
  <c r="AD78" i="3" a="1"/>
  <c r="AD78" i="3" s="1"/>
  <c r="H78" i="3" s="1"/>
  <c r="AD100" i="3" a="1"/>
  <c r="AD100" i="3" s="1"/>
  <c r="H100" i="3" s="1"/>
  <c r="AD83" i="3" a="1"/>
  <c r="AD83" i="3" s="1"/>
  <c r="H83" i="3" s="1"/>
  <c r="AC131" i="3"/>
  <c r="AC135" i="3"/>
  <c r="AC134" i="3"/>
  <c r="AF41" i="3" l="1"/>
  <c r="AF103" i="3" s="1" a="1"/>
  <c r="AF103" i="3" s="1"/>
  <c r="AE43" i="3" a="1"/>
  <c r="AE43" i="3" s="1"/>
  <c r="AE46" i="3" a="1"/>
  <c r="AE46" i="3" s="1"/>
  <c r="AE48" i="3" a="1"/>
  <c r="AE48" i="3" s="1"/>
  <c r="AE47" i="3" a="1"/>
  <c r="AE47" i="3" s="1"/>
  <c r="AE45" i="3" a="1"/>
  <c r="AE45" i="3" s="1"/>
  <c r="AE44" i="3" a="1"/>
  <c r="AE44" i="3" s="1"/>
  <c r="AE55" i="3" a="1"/>
  <c r="AE55" i="3" s="1"/>
  <c r="AE64" i="3" a="1"/>
  <c r="AE64" i="3" s="1"/>
  <c r="AE87" i="3" a="1"/>
  <c r="AE87" i="3" s="1"/>
  <c r="AE53" i="3" a="1"/>
  <c r="AE53" i="3" s="1"/>
  <c r="AE75" i="3" a="1"/>
  <c r="AE75" i="3" s="1"/>
  <c r="AE71" i="3" a="1"/>
  <c r="AE71" i="3" s="1"/>
  <c r="AE89" i="3" a="1"/>
  <c r="AE89" i="3" s="1"/>
  <c r="AE85" i="3" a="1"/>
  <c r="AE85" i="3" s="1"/>
  <c r="AE66" i="3" a="1"/>
  <c r="AE66" i="3" s="1"/>
  <c r="AE97" i="3" a="1"/>
  <c r="AE97" i="3" s="1"/>
  <c r="AE92" i="3" a="1"/>
  <c r="AE92" i="3" s="1"/>
  <c r="AE50" i="3" a="1"/>
  <c r="AE50" i="3" s="1"/>
  <c r="AE60" i="3" a="1"/>
  <c r="AE60" i="3" s="1"/>
  <c r="AE100" i="3" a="1"/>
  <c r="AE100" i="3" s="1"/>
  <c r="AE61" i="3" a="1"/>
  <c r="AE61" i="3" s="1"/>
  <c r="AE69" i="3" a="1"/>
  <c r="AE69" i="3" s="1"/>
  <c r="AE91" i="3" a="1"/>
  <c r="AE91" i="3" s="1"/>
  <c r="AE84" i="3" a="1"/>
  <c r="AE84" i="3" s="1"/>
  <c r="AE82" i="3" a="1"/>
  <c r="AE82" i="3" s="1"/>
  <c r="AE81" i="3" a="1"/>
  <c r="AE81" i="3" s="1"/>
  <c r="AE95" i="3" a="1"/>
  <c r="AE95" i="3" s="1"/>
  <c r="AE88" i="3" a="1"/>
  <c r="AE88" i="3" s="1"/>
  <c r="AE96" i="3" a="1"/>
  <c r="AE96" i="3" s="1"/>
  <c r="AE73" i="3" a="1"/>
  <c r="AE73" i="3" s="1"/>
  <c r="AE49" i="3" a="1"/>
  <c r="AE49" i="3" s="1"/>
  <c r="AE86" i="3" a="1"/>
  <c r="AE86" i="3" s="1"/>
  <c r="AE70" i="3" a="1"/>
  <c r="AE70" i="3" s="1"/>
  <c r="AE58" i="3" a="1"/>
  <c r="AE58" i="3" s="1"/>
  <c r="AE51" i="3" a="1"/>
  <c r="AE51" i="3" s="1"/>
  <c r="AE59" i="3" a="1"/>
  <c r="AE59" i="3" s="1"/>
  <c r="AE54" i="3" a="1"/>
  <c r="AE54" i="3" s="1"/>
  <c r="AE76" i="3" a="1"/>
  <c r="AE76" i="3" s="1"/>
  <c r="AE72" i="3" a="1"/>
  <c r="AE72" i="3" s="1"/>
  <c r="AE83" i="3" a="1"/>
  <c r="AE83" i="3" s="1"/>
  <c r="AE79" i="3" a="1"/>
  <c r="AE79" i="3" s="1"/>
  <c r="AE67" i="3" a="1"/>
  <c r="AE67" i="3" s="1"/>
  <c r="AE80" i="3" a="1"/>
  <c r="AE80" i="3" s="1"/>
  <c r="AE74" i="3" a="1"/>
  <c r="AE74" i="3" s="1"/>
  <c r="AE93" i="3" a="1"/>
  <c r="AE93" i="3" s="1"/>
  <c r="AE90" i="3" a="1"/>
  <c r="AE90" i="3" s="1"/>
  <c r="AE78" i="3" a="1"/>
  <c r="AE78" i="3" s="1"/>
  <c r="AE77" i="3" a="1"/>
  <c r="AE77" i="3" s="1"/>
  <c r="AE98" i="3" a="1"/>
  <c r="AE98" i="3" s="1"/>
  <c r="AE57" i="3" a="1"/>
  <c r="AE57" i="3" s="1"/>
  <c r="AE68" i="3" a="1"/>
  <c r="AE68" i="3" s="1"/>
  <c r="AE99" i="3" a="1"/>
  <c r="AE99" i="3" s="1"/>
  <c r="AE56" i="3" a="1"/>
  <c r="AE56" i="3" s="1"/>
  <c r="AE94" i="3" a="1"/>
  <c r="AE94" i="3" s="1"/>
  <c r="AE63" i="3" a="1"/>
  <c r="AE63" i="3" s="1"/>
  <c r="AE62" i="3" a="1"/>
  <c r="AE62" i="3" s="1"/>
  <c r="AE65" i="3" a="1"/>
  <c r="AE65" i="3" s="1"/>
  <c r="AE52" i="3" a="1"/>
  <c r="AE52" i="3" s="1"/>
  <c r="H43" i="3"/>
  <c r="AD131" i="3"/>
  <c r="AE131" i="3" s="1"/>
  <c r="AD134" i="3"/>
  <c r="AD135" i="3"/>
  <c r="AF131" i="3" l="1"/>
  <c r="AE135" i="3"/>
  <c r="AE134" i="3"/>
  <c r="AG41" i="3"/>
  <c r="AG103" i="3" s="1" a="1"/>
  <c r="AG103" i="3" s="1"/>
  <c r="AF44" i="3" a="1"/>
  <c r="AF44" i="3" s="1"/>
  <c r="AF48" i="3" a="1"/>
  <c r="AF48" i="3" s="1"/>
  <c r="AF46" i="3" a="1"/>
  <c r="AF46" i="3" s="1"/>
  <c r="AF43" i="3" a="1"/>
  <c r="AF43" i="3" s="1"/>
  <c r="AF45" i="3" a="1"/>
  <c r="AF45" i="3" s="1"/>
  <c r="AF47" i="3" a="1"/>
  <c r="AF47" i="3" s="1"/>
  <c r="AF91" i="3" a="1"/>
  <c r="AF91" i="3" s="1"/>
  <c r="AF50" i="3" a="1"/>
  <c r="AF50" i="3" s="1"/>
  <c r="AF89" i="3" a="1"/>
  <c r="AF89" i="3" s="1"/>
  <c r="AF93" i="3" a="1"/>
  <c r="AF93" i="3" s="1"/>
  <c r="AF60" i="3" a="1"/>
  <c r="AF60" i="3" s="1"/>
  <c r="AF55" i="3" a="1"/>
  <c r="AF55" i="3" s="1"/>
  <c r="AF72" i="3" a="1"/>
  <c r="AF72" i="3" s="1"/>
  <c r="AF49" i="3" a="1"/>
  <c r="AF49" i="3" s="1"/>
  <c r="AF100" i="3" a="1"/>
  <c r="AF100" i="3" s="1"/>
  <c r="AF66" i="3" a="1"/>
  <c r="AF66" i="3" s="1"/>
  <c r="AF52" i="3" a="1"/>
  <c r="AF52" i="3" s="1"/>
  <c r="AF81" i="3" a="1"/>
  <c r="AF81" i="3" s="1"/>
  <c r="AF88" i="3" a="1"/>
  <c r="AF88" i="3" s="1"/>
  <c r="AF87" i="3" a="1"/>
  <c r="AF87" i="3" s="1"/>
  <c r="AF53" i="3" a="1"/>
  <c r="AF53" i="3" s="1"/>
  <c r="AF71" i="3" a="1"/>
  <c r="AF71" i="3" s="1"/>
  <c r="AF92" i="3" a="1"/>
  <c r="AF92" i="3" s="1"/>
  <c r="AF61" i="3" a="1"/>
  <c r="AF61" i="3" s="1"/>
  <c r="AF83" i="3" a="1"/>
  <c r="AF83" i="3" s="1"/>
  <c r="AF77" i="3" a="1"/>
  <c r="AF77" i="3" s="1"/>
  <c r="AF69" i="3" a="1"/>
  <c r="AF69" i="3" s="1"/>
  <c r="AF57" i="3" a="1"/>
  <c r="AF57" i="3" s="1"/>
  <c r="AF56" i="3" a="1"/>
  <c r="AF56" i="3" s="1"/>
  <c r="AF51" i="3" a="1"/>
  <c r="AF51" i="3" s="1"/>
  <c r="AF95" i="3" a="1"/>
  <c r="AF95" i="3" s="1"/>
  <c r="AF67" i="3" a="1"/>
  <c r="AF67" i="3" s="1"/>
  <c r="AF65" i="3" a="1"/>
  <c r="AF65" i="3" s="1"/>
  <c r="AF68" i="3" a="1"/>
  <c r="AF68" i="3" s="1"/>
  <c r="AF75" i="3" a="1"/>
  <c r="AF75" i="3" s="1"/>
  <c r="AF64" i="3" a="1"/>
  <c r="AF64" i="3" s="1"/>
  <c r="AF97" i="3" a="1"/>
  <c r="AF97" i="3" s="1"/>
  <c r="AF70" i="3" a="1"/>
  <c r="AF70" i="3" s="1"/>
  <c r="AF73" i="3" a="1"/>
  <c r="AF73" i="3" s="1"/>
  <c r="AF62" i="3" a="1"/>
  <c r="AF62" i="3" s="1"/>
  <c r="AF54" i="3" a="1"/>
  <c r="AF54" i="3" s="1"/>
  <c r="AF59" i="3" a="1"/>
  <c r="AF59" i="3" s="1"/>
  <c r="AF90" i="3" a="1"/>
  <c r="AF90" i="3" s="1"/>
  <c r="AF74" i="3" a="1"/>
  <c r="AF74" i="3" s="1"/>
  <c r="AF99" i="3" a="1"/>
  <c r="AF99" i="3" s="1"/>
  <c r="AF98" i="3" a="1"/>
  <c r="AF98" i="3" s="1"/>
  <c r="AF82" i="3" a="1"/>
  <c r="AF82" i="3" s="1"/>
  <c r="AF58" i="3" a="1"/>
  <c r="AF58" i="3" s="1"/>
  <c r="AF94" i="3" a="1"/>
  <c r="AF94" i="3" s="1"/>
  <c r="AF76" i="3" a="1"/>
  <c r="AF76" i="3" s="1"/>
  <c r="AF78" i="3" a="1"/>
  <c r="AF78" i="3" s="1"/>
  <c r="AF96" i="3" a="1"/>
  <c r="AF96" i="3" s="1"/>
  <c r="AF63" i="3" a="1"/>
  <c r="AF63" i="3" s="1"/>
  <c r="AF84" i="3" a="1"/>
  <c r="AF84" i="3" s="1"/>
  <c r="AF86" i="3" a="1"/>
  <c r="AF86" i="3" s="1"/>
  <c r="AF85" i="3" a="1"/>
  <c r="AF85" i="3" s="1"/>
  <c r="AF80" i="3" a="1"/>
  <c r="AF80" i="3" s="1"/>
  <c r="AF79" i="3" a="1"/>
  <c r="AF79" i="3" s="1"/>
  <c r="W135" i="3"/>
  <c r="X135" i="3"/>
  <c r="W134" i="3"/>
  <c r="X134" i="3"/>
  <c r="E142" i="3"/>
  <c r="E145" i="3"/>
  <c r="D145" i="3"/>
  <c r="D142" i="3"/>
  <c r="AG131" i="3" l="1"/>
  <c r="AF134" i="3"/>
  <c r="AF135" i="3"/>
  <c r="AH41" i="3"/>
  <c r="AH103" i="3" s="1" a="1"/>
  <c r="AH103" i="3" s="1"/>
  <c r="AG43" i="3" a="1"/>
  <c r="AG43" i="3" s="1"/>
  <c r="AG46" i="3" a="1"/>
  <c r="AG46" i="3" s="1"/>
  <c r="AG44" i="3" a="1"/>
  <c r="AG44" i="3" s="1"/>
  <c r="AG45" i="3" a="1"/>
  <c r="AG45" i="3" s="1"/>
  <c r="AG48" i="3" a="1"/>
  <c r="AG48" i="3" s="1"/>
  <c r="AG47" i="3" a="1"/>
  <c r="AG47" i="3" s="1"/>
  <c r="AG94" i="3" a="1"/>
  <c r="AG94" i="3" s="1"/>
  <c r="AG67" i="3" a="1"/>
  <c r="AG67" i="3" s="1"/>
  <c r="AG87" i="3" a="1"/>
  <c r="AG87" i="3" s="1"/>
  <c r="AG89" i="3" a="1"/>
  <c r="AG89" i="3" s="1"/>
  <c r="AG76" i="3" a="1"/>
  <c r="AG76" i="3" s="1"/>
  <c r="AG90" i="3" a="1"/>
  <c r="AG90" i="3" s="1"/>
  <c r="AG82" i="3" a="1"/>
  <c r="AG82" i="3" s="1"/>
  <c r="AG52" i="3" a="1"/>
  <c r="AG52" i="3" s="1"/>
  <c r="AG57" i="3" a="1"/>
  <c r="AG57" i="3" s="1"/>
  <c r="AG85" i="3" a="1"/>
  <c r="AG85" i="3" s="1"/>
  <c r="AG72" i="3" a="1"/>
  <c r="AG72" i="3" s="1"/>
  <c r="AG59" i="3" a="1"/>
  <c r="AG59" i="3" s="1"/>
  <c r="AG63" i="3" a="1"/>
  <c r="AG63" i="3" s="1"/>
  <c r="AG81" i="3" a="1"/>
  <c r="AG81" i="3" s="1"/>
  <c r="AG91" i="3" a="1"/>
  <c r="AG91" i="3" s="1"/>
  <c r="AG71" i="3" a="1"/>
  <c r="AG71" i="3" s="1"/>
  <c r="AG73" i="3" a="1"/>
  <c r="AG73" i="3" s="1"/>
  <c r="AG53" i="3" a="1"/>
  <c r="AG53" i="3" s="1"/>
  <c r="AG64" i="3" a="1"/>
  <c r="AG64" i="3" s="1"/>
  <c r="AG77" i="3" a="1"/>
  <c r="AG77" i="3" s="1"/>
  <c r="AG96" i="3" a="1"/>
  <c r="AG96" i="3" s="1"/>
  <c r="AG51" i="3" a="1"/>
  <c r="AG51" i="3" s="1"/>
  <c r="AG69" i="3" a="1"/>
  <c r="AG69" i="3" s="1"/>
  <c r="AG83" i="3" a="1"/>
  <c r="AG83" i="3" s="1"/>
  <c r="AG65" i="3" a="1"/>
  <c r="AG65" i="3" s="1"/>
  <c r="AG56" i="3" a="1"/>
  <c r="AG56" i="3" s="1"/>
  <c r="AG61" i="3" a="1"/>
  <c r="AG61" i="3" s="1"/>
  <c r="AG99" i="3" a="1"/>
  <c r="AG99" i="3" s="1"/>
  <c r="AG70" i="3" a="1"/>
  <c r="AG70" i="3" s="1"/>
  <c r="AG66" i="3" a="1"/>
  <c r="AG66" i="3" s="1"/>
  <c r="AG54" i="3" a="1"/>
  <c r="AG54" i="3" s="1"/>
  <c r="AG50" i="3" a="1"/>
  <c r="AG50" i="3" s="1"/>
  <c r="AG55" i="3" a="1"/>
  <c r="AG55" i="3" s="1"/>
  <c r="AG62" i="3" a="1"/>
  <c r="AG62" i="3" s="1"/>
  <c r="AG74" i="3" a="1"/>
  <c r="AG74" i="3" s="1"/>
  <c r="AG88" i="3" a="1"/>
  <c r="AG88" i="3" s="1"/>
  <c r="AG49" i="3" a="1"/>
  <c r="AG49" i="3" s="1"/>
  <c r="AG95" i="3" a="1"/>
  <c r="AG95" i="3" s="1"/>
  <c r="AG84" i="3" a="1"/>
  <c r="AG84" i="3" s="1"/>
  <c r="AG75" i="3" a="1"/>
  <c r="AG75" i="3" s="1"/>
  <c r="AG86" i="3" a="1"/>
  <c r="AG86" i="3" s="1"/>
  <c r="AG97" i="3" a="1"/>
  <c r="AG97" i="3" s="1"/>
  <c r="AG78" i="3" a="1"/>
  <c r="AG78" i="3" s="1"/>
  <c r="AG92" i="3" a="1"/>
  <c r="AG92" i="3" s="1"/>
  <c r="AG93" i="3" a="1"/>
  <c r="AG93" i="3" s="1"/>
  <c r="AG80" i="3" a="1"/>
  <c r="AG80" i="3" s="1"/>
  <c r="AG68" i="3" a="1"/>
  <c r="AG68" i="3" s="1"/>
  <c r="AG60" i="3" a="1"/>
  <c r="AG60" i="3" s="1"/>
  <c r="AG79" i="3" a="1"/>
  <c r="AG79" i="3" s="1"/>
  <c r="AG100" i="3" a="1"/>
  <c r="AG100" i="3" s="1"/>
  <c r="AG98" i="3" a="1"/>
  <c r="AG98" i="3" s="1"/>
  <c r="AG58" i="3" a="1"/>
  <c r="AG58" i="3" s="1"/>
  <c r="E144" i="3"/>
  <c r="D144" i="3"/>
  <c r="AH131" i="3" l="1"/>
  <c r="AG134" i="3"/>
  <c r="AG135" i="3"/>
  <c r="AI41" i="3"/>
  <c r="AI103" i="3" s="1" a="1"/>
  <c r="AI103" i="3" s="1"/>
  <c r="AH47" i="3" a="1"/>
  <c r="AH47" i="3" s="1"/>
  <c r="AH48" i="3" a="1"/>
  <c r="AH48" i="3" s="1"/>
  <c r="AH46" i="3" a="1"/>
  <c r="AH46" i="3" s="1"/>
  <c r="AH45" i="3" a="1"/>
  <c r="AH45" i="3" s="1"/>
  <c r="AH43" i="3" a="1"/>
  <c r="AH43" i="3" s="1"/>
  <c r="AH44" i="3" a="1"/>
  <c r="AH44" i="3" s="1"/>
  <c r="AH54" i="3" a="1"/>
  <c r="AH54" i="3" s="1"/>
  <c r="AH90" i="3" a="1"/>
  <c r="AH90" i="3" s="1"/>
  <c r="AH73" i="3" a="1"/>
  <c r="AH73" i="3" s="1"/>
  <c r="AH93" i="3" a="1"/>
  <c r="AH93" i="3" s="1"/>
  <c r="AH75" i="3" a="1"/>
  <c r="AH75" i="3" s="1"/>
  <c r="AH53" i="3" a="1"/>
  <c r="AH53" i="3" s="1"/>
  <c r="AH85" i="3" a="1"/>
  <c r="AH85" i="3" s="1"/>
  <c r="AH49" i="3" a="1"/>
  <c r="AH49" i="3" s="1"/>
  <c r="AH57" i="3" a="1"/>
  <c r="AH57" i="3" s="1"/>
  <c r="AH87" i="3" a="1"/>
  <c r="AH87" i="3" s="1"/>
  <c r="AH89" i="3" a="1"/>
  <c r="AH89" i="3" s="1"/>
  <c r="AH80" i="3" a="1"/>
  <c r="AH80" i="3" s="1"/>
  <c r="AH95" i="3" a="1"/>
  <c r="AH95" i="3" s="1"/>
  <c r="AH56" i="3" a="1"/>
  <c r="AH56" i="3" s="1"/>
  <c r="AH60" i="3" a="1"/>
  <c r="AH60" i="3" s="1"/>
  <c r="AH72" i="3" a="1"/>
  <c r="AH72" i="3" s="1"/>
  <c r="AH59" i="3" a="1"/>
  <c r="AH59" i="3" s="1"/>
  <c r="AH68" i="3" a="1"/>
  <c r="AH68" i="3" s="1"/>
  <c r="AH92" i="3" a="1"/>
  <c r="AH92" i="3" s="1"/>
  <c r="AH79" i="3" a="1"/>
  <c r="AH79" i="3" s="1"/>
  <c r="AH50" i="3" a="1"/>
  <c r="AH50" i="3" s="1"/>
  <c r="AH51" i="3" a="1"/>
  <c r="AH51" i="3" s="1"/>
  <c r="AH74" i="3" a="1"/>
  <c r="AH74" i="3" s="1"/>
  <c r="AH81" i="3" a="1"/>
  <c r="AH81" i="3" s="1"/>
  <c r="AH98" i="3" a="1"/>
  <c r="AH98" i="3" s="1"/>
  <c r="AH63" i="3" a="1"/>
  <c r="AH63" i="3" s="1"/>
  <c r="AH66" i="3" a="1"/>
  <c r="AH66" i="3" s="1"/>
  <c r="AH97" i="3" a="1"/>
  <c r="AH97" i="3" s="1"/>
  <c r="AH88" i="3" a="1"/>
  <c r="AH88" i="3" s="1"/>
  <c r="AH70" i="3" a="1"/>
  <c r="AH70" i="3" s="1"/>
  <c r="AH65" i="3" a="1"/>
  <c r="AH65" i="3" s="1"/>
  <c r="AH58" i="3" a="1"/>
  <c r="AH58" i="3" s="1"/>
  <c r="AH69" i="3" a="1"/>
  <c r="AH69" i="3" s="1"/>
  <c r="AH82" i="3" a="1"/>
  <c r="AH82" i="3" s="1"/>
  <c r="AH96" i="3" a="1"/>
  <c r="AH96" i="3" s="1"/>
  <c r="AH86" i="3" a="1"/>
  <c r="AH86" i="3" s="1"/>
  <c r="AH94" i="3" a="1"/>
  <c r="AH94" i="3" s="1"/>
  <c r="AH64" i="3" a="1"/>
  <c r="AH64" i="3" s="1"/>
  <c r="AH52" i="3" a="1"/>
  <c r="AH52" i="3" s="1"/>
  <c r="AH78" i="3" a="1"/>
  <c r="AH78" i="3" s="1"/>
  <c r="AH55" i="3" a="1"/>
  <c r="AH55" i="3" s="1"/>
  <c r="AH83" i="3" a="1"/>
  <c r="AH83" i="3" s="1"/>
  <c r="AH67" i="3" a="1"/>
  <c r="AH67" i="3" s="1"/>
  <c r="AH61" i="3" a="1"/>
  <c r="AH61" i="3" s="1"/>
  <c r="AH84" i="3" a="1"/>
  <c r="AH84" i="3" s="1"/>
  <c r="AH62" i="3" a="1"/>
  <c r="AH62" i="3" s="1"/>
  <c r="AH99" i="3" a="1"/>
  <c r="AH99" i="3" s="1"/>
  <c r="AH77" i="3" a="1"/>
  <c r="AH77" i="3" s="1"/>
  <c r="AH91" i="3" a="1"/>
  <c r="AH91" i="3" s="1"/>
  <c r="AH76" i="3" a="1"/>
  <c r="AH76" i="3" s="1"/>
  <c r="AH100" i="3" a="1"/>
  <c r="AH100" i="3" s="1"/>
  <c r="AH71" i="3" a="1"/>
  <c r="AH71" i="3" s="1"/>
  <c r="L135" i="3"/>
  <c r="L134" i="3"/>
  <c r="L101" i="3"/>
  <c r="AI131" i="3" l="1"/>
  <c r="AH135" i="3"/>
  <c r="AH134" i="3"/>
  <c r="AJ41" i="3"/>
  <c r="AJ103" i="3" s="1" a="1"/>
  <c r="AJ103" i="3" s="1"/>
  <c r="AI44" i="3" a="1"/>
  <c r="AI44" i="3" s="1"/>
  <c r="AI43" i="3" a="1"/>
  <c r="AI43" i="3" s="1"/>
  <c r="AI45" i="3" a="1"/>
  <c r="AI45" i="3" s="1"/>
  <c r="AI46" i="3" a="1"/>
  <c r="AI46" i="3" s="1"/>
  <c r="AI47" i="3" a="1"/>
  <c r="AI47" i="3" s="1"/>
  <c r="AI48" i="3" a="1"/>
  <c r="AI48" i="3" s="1"/>
  <c r="AI60" i="3" a="1"/>
  <c r="AI60" i="3" s="1"/>
  <c r="AI72" i="3" a="1"/>
  <c r="AI72" i="3" s="1"/>
  <c r="AI80" i="3" a="1"/>
  <c r="AI80" i="3" s="1"/>
  <c r="AI84" i="3" a="1"/>
  <c r="AI84" i="3" s="1"/>
  <c r="AI81" i="3" a="1"/>
  <c r="AI81" i="3" s="1"/>
  <c r="AI66" i="3" a="1"/>
  <c r="AI66" i="3" s="1"/>
  <c r="AI68" i="3" a="1"/>
  <c r="AI68" i="3" s="1"/>
  <c r="AI75" i="3" a="1"/>
  <c r="AI75" i="3" s="1"/>
  <c r="AI85" i="3" a="1"/>
  <c r="AI85" i="3" s="1"/>
  <c r="AI54" i="3" a="1"/>
  <c r="AI54" i="3" s="1"/>
  <c r="AI93" i="3" a="1"/>
  <c r="AI93" i="3" s="1"/>
  <c r="AI100" i="3" a="1"/>
  <c r="AI100" i="3" s="1"/>
  <c r="AI87" i="3" a="1"/>
  <c r="AI87" i="3" s="1"/>
  <c r="AI59" i="3" a="1"/>
  <c r="AI59" i="3" s="1"/>
  <c r="AI57" i="3" a="1"/>
  <c r="AI57" i="3" s="1"/>
  <c r="AI92" i="3" a="1"/>
  <c r="AI92" i="3" s="1"/>
  <c r="AI94" i="3" a="1"/>
  <c r="AI94" i="3" s="1"/>
  <c r="AI55" i="3" a="1"/>
  <c r="AI55" i="3" s="1"/>
  <c r="AI86" i="3" a="1"/>
  <c r="AI86" i="3" s="1"/>
  <c r="AI88" i="3" a="1"/>
  <c r="AI88" i="3" s="1"/>
  <c r="AI53" i="3" a="1"/>
  <c r="AI53" i="3" s="1"/>
  <c r="AI91" i="3" a="1"/>
  <c r="AI91" i="3" s="1"/>
  <c r="AI56" i="3" a="1"/>
  <c r="AI56" i="3" s="1"/>
  <c r="AI95" i="3" a="1"/>
  <c r="AI95" i="3" s="1"/>
  <c r="AI83" i="3" a="1"/>
  <c r="AI83" i="3" s="1"/>
  <c r="AI69" i="3" a="1"/>
  <c r="AI69" i="3" s="1"/>
  <c r="AI74" i="3" a="1"/>
  <c r="AI74" i="3" s="1"/>
  <c r="AI76" i="3" a="1"/>
  <c r="AI76" i="3" s="1"/>
  <c r="AI65" i="3" a="1"/>
  <c r="AI65" i="3" s="1"/>
  <c r="AI79" i="3" a="1"/>
  <c r="AI79" i="3" s="1"/>
  <c r="AI67" i="3" a="1"/>
  <c r="AI67" i="3" s="1"/>
  <c r="AI50" i="3" a="1"/>
  <c r="AI50" i="3" s="1"/>
  <c r="AI71" i="3" a="1"/>
  <c r="AI71" i="3" s="1"/>
  <c r="AI63" i="3" a="1"/>
  <c r="AI63" i="3" s="1"/>
  <c r="AI98" i="3" a="1"/>
  <c r="AI98" i="3" s="1"/>
  <c r="AI64" i="3" a="1"/>
  <c r="AI64" i="3" s="1"/>
  <c r="AI58" i="3" a="1"/>
  <c r="AI58" i="3" s="1"/>
  <c r="AI70" i="3" a="1"/>
  <c r="AI70" i="3" s="1"/>
  <c r="AI61" i="3" a="1"/>
  <c r="AI61" i="3" s="1"/>
  <c r="AI77" i="3" a="1"/>
  <c r="AI77" i="3" s="1"/>
  <c r="AI62" i="3" a="1"/>
  <c r="AI62" i="3" s="1"/>
  <c r="AI82" i="3" a="1"/>
  <c r="AI82" i="3" s="1"/>
  <c r="AI78" i="3" a="1"/>
  <c r="AI78" i="3" s="1"/>
  <c r="AI52" i="3" a="1"/>
  <c r="AI52" i="3" s="1"/>
  <c r="AI49" i="3" a="1"/>
  <c r="AI49" i="3" s="1"/>
  <c r="AI90" i="3" a="1"/>
  <c r="AI90" i="3" s="1"/>
  <c r="AI89" i="3" a="1"/>
  <c r="AI89" i="3" s="1"/>
  <c r="AI73" i="3" a="1"/>
  <c r="AI73" i="3" s="1"/>
  <c r="AI99" i="3" a="1"/>
  <c r="AI99" i="3" s="1"/>
  <c r="AI96" i="3" a="1"/>
  <c r="AI96" i="3" s="1"/>
  <c r="AI51" i="3" a="1"/>
  <c r="AI51" i="3" s="1"/>
  <c r="AI97" i="3" a="1"/>
  <c r="AI97" i="3" s="1"/>
  <c r="L132" i="3"/>
  <c r="AJ131" i="3" l="1"/>
  <c r="AK41" i="3"/>
  <c r="AK103" i="3" s="1" a="1"/>
  <c r="AK103" i="3" s="1"/>
  <c r="AJ45" i="3" a="1"/>
  <c r="AJ45" i="3" s="1"/>
  <c r="AJ47" i="3" a="1"/>
  <c r="AJ47" i="3" s="1"/>
  <c r="AJ44" i="3" a="1"/>
  <c r="AJ44" i="3" s="1"/>
  <c r="AJ46" i="3" a="1"/>
  <c r="AJ46" i="3" s="1"/>
  <c r="AJ48" i="3" a="1"/>
  <c r="AJ48" i="3" s="1"/>
  <c r="H48" i="3" s="1"/>
  <c r="AJ43" i="3" a="1"/>
  <c r="AJ43" i="3" s="1"/>
  <c r="AJ86" i="3" a="1"/>
  <c r="AJ86" i="3" s="1"/>
  <c r="AJ57" i="3" a="1"/>
  <c r="AJ57" i="3" s="1"/>
  <c r="AJ76" i="3" a="1"/>
  <c r="AJ76" i="3" s="1"/>
  <c r="AJ64" i="3" a="1"/>
  <c r="AJ64" i="3" s="1"/>
  <c r="AJ62" i="3" a="1"/>
  <c r="AJ62" i="3" s="1"/>
  <c r="AJ63" i="3" a="1"/>
  <c r="AJ63" i="3" s="1"/>
  <c r="AJ56" i="3" a="1"/>
  <c r="AJ56" i="3" s="1"/>
  <c r="AJ75" i="3" a="1"/>
  <c r="AJ75" i="3" s="1"/>
  <c r="AJ52" i="3" a="1"/>
  <c r="AJ52" i="3" s="1"/>
  <c r="AJ80" i="3" a="1"/>
  <c r="AJ80" i="3" s="1"/>
  <c r="AJ89" i="3" a="1"/>
  <c r="AJ89" i="3" s="1"/>
  <c r="AJ85" i="3" a="1"/>
  <c r="AJ85" i="3" s="1"/>
  <c r="AJ94" i="3" a="1"/>
  <c r="AJ94" i="3" s="1"/>
  <c r="AJ49" i="3" a="1"/>
  <c r="AJ49" i="3" s="1"/>
  <c r="AJ58" i="3" a="1"/>
  <c r="AJ58" i="3" s="1"/>
  <c r="AJ55" i="3" a="1"/>
  <c r="AJ55" i="3" s="1"/>
  <c r="AJ92" i="3" a="1"/>
  <c r="AJ92" i="3" s="1"/>
  <c r="AJ97" i="3" a="1"/>
  <c r="AJ97" i="3" s="1"/>
  <c r="AJ87" i="3" a="1"/>
  <c r="AJ87" i="3" s="1"/>
  <c r="AJ65" i="3" a="1"/>
  <c r="AJ65" i="3" s="1"/>
  <c r="AJ90" i="3" a="1"/>
  <c r="AJ90" i="3" s="1"/>
  <c r="AJ71" i="3" a="1"/>
  <c r="AJ71" i="3" s="1"/>
  <c r="AJ74" i="3" a="1"/>
  <c r="AJ74" i="3" s="1"/>
  <c r="AJ60" i="3" a="1"/>
  <c r="AJ60" i="3" s="1"/>
  <c r="AJ72" i="3" a="1"/>
  <c r="AJ72" i="3" s="1"/>
  <c r="AJ82" i="3" a="1"/>
  <c r="AJ82" i="3" s="1"/>
  <c r="AJ68" i="3" a="1"/>
  <c r="AJ68" i="3" s="1"/>
  <c r="AJ99" i="3" a="1"/>
  <c r="AJ99" i="3" s="1"/>
  <c r="AJ69" i="3" a="1"/>
  <c r="AJ69" i="3" s="1"/>
  <c r="AJ53" i="3" a="1"/>
  <c r="AJ53" i="3" s="1"/>
  <c r="AJ93" i="3" a="1"/>
  <c r="AJ93" i="3" s="1"/>
  <c r="AJ73" i="3" a="1"/>
  <c r="AJ73" i="3" s="1"/>
  <c r="AJ67" i="3" a="1"/>
  <c r="AJ67" i="3" s="1"/>
  <c r="AJ83" i="3" a="1"/>
  <c r="AJ83" i="3" s="1"/>
  <c r="AJ98" i="3" a="1"/>
  <c r="AJ98" i="3" s="1"/>
  <c r="AJ50" i="3" a="1"/>
  <c r="AJ50" i="3" s="1"/>
  <c r="AJ88" i="3" a="1"/>
  <c r="AJ88" i="3" s="1"/>
  <c r="AJ81" i="3" a="1"/>
  <c r="AJ81" i="3" s="1"/>
  <c r="AJ79" i="3" a="1"/>
  <c r="AJ79" i="3" s="1"/>
  <c r="AJ95" i="3" a="1"/>
  <c r="AJ95" i="3" s="1"/>
  <c r="AJ78" i="3" a="1"/>
  <c r="AJ78" i="3" s="1"/>
  <c r="AJ59" i="3" a="1"/>
  <c r="AJ59" i="3" s="1"/>
  <c r="AJ66" i="3" a="1"/>
  <c r="AJ66" i="3" s="1"/>
  <c r="AJ70" i="3" a="1"/>
  <c r="AJ70" i="3" s="1"/>
  <c r="AJ96" i="3" a="1"/>
  <c r="AJ96" i="3" s="1"/>
  <c r="AJ91" i="3" a="1"/>
  <c r="AJ91" i="3" s="1"/>
  <c r="AJ61" i="3" a="1"/>
  <c r="AJ61" i="3" s="1"/>
  <c r="AJ84" i="3" a="1"/>
  <c r="AJ84" i="3" s="1"/>
  <c r="AJ77" i="3" a="1"/>
  <c r="AJ77" i="3" s="1"/>
  <c r="AJ51" i="3" a="1"/>
  <c r="AJ51" i="3" s="1"/>
  <c r="AJ100" i="3" a="1"/>
  <c r="AJ100" i="3" s="1"/>
  <c r="AJ54" i="3" a="1"/>
  <c r="AJ54" i="3" s="1"/>
  <c r="AI134" i="3"/>
  <c r="AI135" i="3"/>
  <c r="N135" i="3"/>
  <c r="M135" i="3"/>
  <c r="M132" i="3"/>
  <c r="M134" i="3"/>
  <c r="L133" i="3"/>
  <c r="M101" i="3"/>
  <c r="AK131" i="3" l="1"/>
  <c r="AJ135" i="3"/>
  <c r="AJ134" i="3"/>
  <c r="AL41" i="3"/>
  <c r="AL103" i="3" s="1" a="1"/>
  <c r="AL103" i="3" s="1"/>
  <c r="AK44" i="3" a="1"/>
  <c r="AK44" i="3" s="1"/>
  <c r="AK46" i="3" a="1"/>
  <c r="AK46" i="3" s="1"/>
  <c r="AK43" i="3" a="1"/>
  <c r="AK43" i="3" s="1"/>
  <c r="AK47" i="3" a="1"/>
  <c r="AK47" i="3" s="1"/>
  <c r="AK48" i="3" a="1"/>
  <c r="AK48" i="3" s="1"/>
  <c r="AK45" i="3" a="1"/>
  <c r="AK45" i="3" s="1"/>
  <c r="AK65" i="3" a="1"/>
  <c r="AK65" i="3" s="1"/>
  <c r="AK58" i="3" a="1"/>
  <c r="AK58" i="3" s="1"/>
  <c r="AK79" i="3" a="1"/>
  <c r="AK79" i="3" s="1"/>
  <c r="AK69" i="3" a="1"/>
  <c r="AK69" i="3" s="1"/>
  <c r="AK59" i="3" a="1"/>
  <c r="AK59" i="3" s="1"/>
  <c r="AK71" i="3" a="1"/>
  <c r="AK71" i="3" s="1"/>
  <c r="AK64" i="3" a="1"/>
  <c r="AK64" i="3" s="1"/>
  <c r="AK97" i="3" a="1"/>
  <c r="AK97" i="3" s="1"/>
  <c r="AK82" i="3" a="1"/>
  <c r="AK82" i="3" s="1"/>
  <c r="AK85" i="3" a="1"/>
  <c r="AK85" i="3" s="1"/>
  <c r="AK76" i="3" a="1"/>
  <c r="AK76" i="3" s="1"/>
  <c r="AK57" i="3" a="1"/>
  <c r="AK57" i="3" s="1"/>
  <c r="AK51" i="3" a="1"/>
  <c r="AK51" i="3" s="1"/>
  <c r="AK93" i="3" a="1"/>
  <c r="AK93" i="3" s="1"/>
  <c r="AK72" i="3" a="1"/>
  <c r="AK72" i="3" s="1"/>
  <c r="AK60" i="3" a="1"/>
  <c r="AK60" i="3" s="1"/>
  <c r="AK61" i="3" a="1"/>
  <c r="AK61" i="3" s="1"/>
  <c r="AK98" i="3" a="1"/>
  <c r="AK98" i="3" s="1"/>
  <c r="AK87" i="3" a="1"/>
  <c r="AK87" i="3" s="1"/>
  <c r="AK67" i="3" a="1"/>
  <c r="AK67" i="3" s="1"/>
  <c r="AK92" i="3" a="1"/>
  <c r="AK92" i="3" s="1"/>
  <c r="AK55" i="3" a="1"/>
  <c r="AK55" i="3" s="1"/>
  <c r="AK94" i="3" a="1"/>
  <c r="AK94" i="3" s="1"/>
  <c r="AK52" i="3" a="1"/>
  <c r="AK52" i="3" s="1"/>
  <c r="AK68" i="3" a="1"/>
  <c r="AK68" i="3" s="1"/>
  <c r="AK91" i="3" a="1"/>
  <c r="AK91" i="3" s="1"/>
  <c r="AK56" i="3" a="1"/>
  <c r="AK56" i="3" s="1"/>
  <c r="AK49" i="3" a="1"/>
  <c r="AK49" i="3" s="1"/>
  <c r="H49" i="3" s="1"/>
  <c r="AK77" i="3" a="1"/>
  <c r="AK77" i="3" s="1"/>
  <c r="AK80" i="3" a="1"/>
  <c r="AK80" i="3" s="1"/>
  <c r="AK75" i="3" a="1"/>
  <c r="AK75" i="3" s="1"/>
  <c r="AK95" i="3" a="1"/>
  <c r="AK95" i="3" s="1"/>
  <c r="AK54" i="3" a="1"/>
  <c r="AK54" i="3" s="1"/>
  <c r="AK53" i="3" a="1"/>
  <c r="AK53" i="3" s="1"/>
  <c r="AK66" i="3" a="1"/>
  <c r="AK66" i="3" s="1"/>
  <c r="AK90" i="3" a="1"/>
  <c r="AK90" i="3" s="1"/>
  <c r="AK100" i="3" a="1"/>
  <c r="AK100" i="3" s="1"/>
  <c r="AK50" i="3" a="1"/>
  <c r="AK50" i="3" s="1"/>
  <c r="AK62" i="3" a="1"/>
  <c r="AK62" i="3" s="1"/>
  <c r="AK70" i="3" a="1"/>
  <c r="AK70" i="3" s="1"/>
  <c r="AK86" i="3" a="1"/>
  <c r="AK86" i="3" s="1"/>
  <c r="AK99" i="3" a="1"/>
  <c r="AK99" i="3" s="1"/>
  <c r="AK73" i="3" a="1"/>
  <c r="AK73" i="3" s="1"/>
  <c r="AK96" i="3" a="1"/>
  <c r="AK96" i="3" s="1"/>
  <c r="AK63" i="3" a="1"/>
  <c r="AK63" i="3" s="1"/>
  <c r="AK89" i="3" a="1"/>
  <c r="AK89" i="3" s="1"/>
  <c r="AK81" i="3" a="1"/>
  <c r="AK81" i="3" s="1"/>
  <c r="AK88" i="3" a="1"/>
  <c r="AK88" i="3" s="1"/>
  <c r="AK78" i="3" a="1"/>
  <c r="AK78" i="3" s="1"/>
  <c r="AK83" i="3" a="1"/>
  <c r="AK83" i="3" s="1"/>
  <c r="AK74" i="3" a="1"/>
  <c r="AK74" i="3" s="1"/>
  <c r="AK84" i="3" a="1"/>
  <c r="AK84" i="3" s="1"/>
  <c r="N134" i="3"/>
  <c r="N132" i="3"/>
  <c r="E143" i="3"/>
  <c r="E146" i="3" s="1"/>
  <c r="D143" i="3"/>
  <c r="M133" i="3"/>
  <c r="N101" i="3"/>
  <c r="AL131" i="3" l="1"/>
  <c r="AK134" i="3"/>
  <c r="AK135" i="3"/>
  <c r="AM41" i="3"/>
  <c r="AM103" i="3" s="1" a="1"/>
  <c r="AM103" i="3" s="1"/>
  <c r="AL43" i="3" a="1"/>
  <c r="AL43" i="3" s="1"/>
  <c r="AL47" i="3" a="1"/>
  <c r="AL47" i="3" s="1"/>
  <c r="AL48" i="3" a="1"/>
  <c r="AL48" i="3" s="1"/>
  <c r="AL44" i="3" a="1"/>
  <c r="AL44" i="3" s="1"/>
  <c r="AL45" i="3" a="1"/>
  <c r="AL45" i="3" s="1"/>
  <c r="AL46" i="3" a="1"/>
  <c r="AL46" i="3" s="1"/>
  <c r="AL57" i="3" a="1"/>
  <c r="AL57" i="3" s="1"/>
  <c r="AL100" i="3" a="1"/>
  <c r="AL100" i="3" s="1"/>
  <c r="AL77" i="3" a="1"/>
  <c r="AL77" i="3" s="1"/>
  <c r="AL96" i="3" a="1"/>
  <c r="AL96" i="3" s="1"/>
  <c r="AL51" i="3" a="1"/>
  <c r="AL51" i="3" s="1"/>
  <c r="AL89" i="3" a="1"/>
  <c r="AL89" i="3" s="1"/>
  <c r="AL93" i="3" a="1"/>
  <c r="AL93" i="3" s="1"/>
  <c r="AL92" i="3" a="1"/>
  <c r="AL92" i="3" s="1"/>
  <c r="AL81" i="3" a="1"/>
  <c r="AL81" i="3" s="1"/>
  <c r="AL97" i="3" a="1"/>
  <c r="AL97" i="3" s="1"/>
  <c r="AL82" i="3" a="1"/>
  <c r="AL82" i="3" s="1"/>
  <c r="AL91" i="3" a="1"/>
  <c r="AL91" i="3" s="1"/>
  <c r="AL68" i="3" a="1"/>
  <c r="AL68" i="3" s="1"/>
  <c r="AL87" i="3" a="1"/>
  <c r="AL87" i="3" s="1"/>
  <c r="AL71" i="3" a="1"/>
  <c r="AL71" i="3" s="1"/>
  <c r="AL90" i="3" a="1"/>
  <c r="AL90" i="3" s="1"/>
  <c r="AL69" i="3" a="1"/>
  <c r="AL69" i="3" s="1"/>
  <c r="AL66" i="3" a="1"/>
  <c r="AL66" i="3" s="1"/>
  <c r="AL86" i="3" a="1"/>
  <c r="AL86" i="3" s="1"/>
  <c r="AL60" i="3" a="1"/>
  <c r="AL60" i="3" s="1"/>
  <c r="AL65" i="3" a="1"/>
  <c r="AL65" i="3" s="1"/>
  <c r="AL72" i="3" a="1"/>
  <c r="AL72" i="3" s="1"/>
  <c r="AL54" i="3" a="1"/>
  <c r="AL54" i="3" s="1"/>
  <c r="AL62" i="3" a="1"/>
  <c r="AL62" i="3" s="1"/>
  <c r="AL53" i="3" a="1"/>
  <c r="AL53" i="3" s="1"/>
  <c r="AL78" i="3" a="1"/>
  <c r="AL78" i="3" s="1"/>
  <c r="AL49" i="3" a="1"/>
  <c r="AL49" i="3" s="1"/>
  <c r="AL52" i="3" a="1"/>
  <c r="AL52" i="3" s="1"/>
  <c r="AL76" i="3" a="1"/>
  <c r="AL76" i="3" s="1"/>
  <c r="AL58" i="3" a="1"/>
  <c r="AL58" i="3" s="1"/>
  <c r="AL83" i="3" a="1"/>
  <c r="AL83" i="3" s="1"/>
  <c r="AL74" i="3" a="1"/>
  <c r="AL74" i="3" s="1"/>
  <c r="AL59" i="3" a="1"/>
  <c r="AL59" i="3" s="1"/>
  <c r="AL55" i="3" a="1"/>
  <c r="AL55" i="3" s="1"/>
  <c r="AL64" i="3" a="1"/>
  <c r="AL64" i="3" s="1"/>
  <c r="AL84" i="3" a="1"/>
  <c r="AL84" i="3" s="1"/>
  <c r="AL88" i="3" a="1"/>
  <c r="AL88" i="3" s="1"/>
  <c r="AL98" i="3" a="1"/>
  <c r="AL98" i="3" s="1"/>
  <c r="AL50" i="3" a="1"/>
  <c r="AL50" i="3" s="1"/>
  <c r="H50" i="3" s="1"/>
  <c r="AL56" i="3" a="1"/>
  <c r="AL56" i="3" s="1"/>
  <c r="AL79" i="3" a="1"/>
  <c r="AL79" i="3" s="1"/>
  <c r="AL80" i="3" a="1"/>
  <c r="AL80" i="3" s="1"/>
  <c r="AL67" i="3" a="1"/>
  <c r="AL67" i="3" s="1"/>
  <c r="AL61" i="3" a="1"/>
  <c r="AL61" i="3" s="1"/>
  <c r="AL73" i="3" a="1"/>
  <c r="AL73" i="3" s="1"/>
  <c r="AL95" i="3" a="1"/>
  <c r="AL95" i="3" s="1"/>
  <c r="AL70" i="3" a="1"/>
  <c r="AL70" i="3" s="1"/>
  <c r="AL75" i="3" a="1"/>
  <c r="AL75" i="3" s="1"/>
  <c r="AL99" i="3" a="1"/>
  <c r="AL99" i="3" s="1"/>
  <c r="AL94" i="3" a="1"/>
  <c r="AL94" i="3" s="1"/>
  <c r="AL85" i="3" a="1"/>
  <c r="AL85" i="3" s="1"/>
  <c r="AL63" i="3" a="1"/>
  <c r="AL63" i="3" s="1"/>
  <c r="N133" i="3"/>
  <c r="AM131" i="3" l="1"/>
  <c r="AN41" i="3"/>
  <c r="AN103" i="3" s="1" a="1"/>
  <c r="AN103" i="3" s="1"/>
  <c r="AM43" i="3" a="1"/>
  <c r="AM43" i="3" s="1"/>
  <c r="AM44" i="3" a="1"/>
  <c r="AM44" i="3" s="1"/>
  <c r="AM48" i="3" a="1"/>
  <c r="AM48" i="3" s="1"/>
  <c r="AM46" i="3" a="1"/>
  <c r="AM46" i="3" s="1"/>
  <c r="AM45" i="3" a="1"/>
  <c r="AM45" i="3" s="1"/>
  <c r="AM47" i="3" a="1"/>
  <c r="AM47" i="3" s="1"/>
  <c r="AM63" i="3" a="1"/>
  <c r="AM63" i="3" s="1"/>
  <c r="AM73" i="3" a="1"/>
  <c r="AM73" i="3" s="1"/>
  <c r="AM67" i="3" a="1"/>
  <c r="AM67" i="3" s="1"/>
  <c r="AM69" i="3" a="1"/>
  <c r="AM69" i="3" s="1"/>
  <c r="AM95" i="3" a="1"/>
  <c r="AM95" i="3" s="1"/>
  <c r="AM64" i="3" a="1"/>
  <c r="AM64" i="3" s="1"/>
  <c r="AM59" i="3" a="1"/>
  <c r="AM59" i="3" s="1"/>
  <c r="AM91" i="3" a="1"/>
  <c r="AM91" i="3" s="1"/>
  <c r="AM50" i="3" a="1"/>
  <c r="AM50" i="3" s="1"/>
  <c r="AM58" i="3" a="1"/>
  <c r="AM58" i="3" s="1"/>
  <c r="AM85" i="3" a="1"/>
  <c r="AM85" i="3" s="1"/>
  <c r="AM86" i="3" a="1"/>
  <c r="AM86" i="3" s="1"/>
  <c r="AM75" i="3" a="1"/>
  <c r="AM75" i="3" s="1"/>
  <c r="AM99" i="3" a="1"/>
  <c r="AM99" i="3" s="1"/>
  <c r="AM51" i="3" a="1"/>
  <c r="AM51" i="3" s="1"/>
  <c r="AM93" i="3" a="1"/>
  <c r="AM93" i="3" s="1"/>
  <c r="AM70" i="3" a="1"/>
  <c r="AM70" i="3" s="1"/>
  <c r="AM90" i="3" a="1"/>
  <c r="AM90" i="3" s="1"/>
  <c r="AM89" i="3" a="1"/>
  <c r="AM89" i="3" s="1"/>
  <c r="AM81" i="3" a="1"/>
  <c r="AM81" i="3" s="1"/>
  <c r="AM71" i="3" a="1"/>
  <c r="AM71" i="3" s="1"/>
  <c r="AM53" i="3" a="1"/>
  <c r="AM53" i="3" s="1"/>
  <c r="AM56" i="3" a="1"/>
  <c r="AM56" i="3" s="1"/>
  <c r="AM92" i="3" a="1"/>
  <c r="AM92" i="3" s="1"/>
  <c r="AM55" i="3" a="1"/>
  <c r="AM55" i="3" s="1"/>
  <c r="AM74" i="3" a="1"/>
  <c r="AM74" i="3" s="1"/>
  <c r="AM54" i="3" a="1"/>
  <c r="AM54" i="3" s="1"/>
  <c r="AM88" i="3" a="1"/>
  <c r="AM88" i="3" s="1"/>
  <c r="AM82" i="3" a="1"/>
  <c r="AM82" i="3" s="1"/>
  <c r="AM60" i="3" a="1"/>
  <c r="AM60" i="3" s="1"/>
  <c r="AM57" i="3" a="1"/>
  <c r="AM57" i="3" s="1"/>
  <c r="AM84" i="3" a="1"/>
  <c r="AM84" i="3" s="1"/>
  <c r="AM97" i="3" a="1"/>
  <c r="AM97" i="3" s="1"/>
  <c r="AM66" i="3" a="1"/>
  <c r="AM66" i="3" s="1"/>
  <c r="AM62" i="3" a="1"/>
  <c r="AM62" i="3" s="1"/>
  <c r="AM77" i="3" a="1"/>
  <c r="AM77" i="3" s="1"/>
  <c r="AM76" i="3" a="1"/>
  <c r="AM76" i="3" s="1"/>
  <c r="AM87" i="3" a="1"/>
  <c r="AM87" i="3" s="1"/>
  <c r="AM96" i="3" a="1"/>
  <c r="AM96" i="3" s="1"/>
  <c r="AM80" i="3" a="1"/>
  <c r="AM80" i="3" s="1"/>
  <c r="AM98" i="3" a="1"/>
  <c r="AM98" i="3" s="1"/>
  <c r="AM61" i="3" a="1"/>
  <c r="AM61" i="3" s="1"/>
  <c r="AM72" i="3" a="1"/>
  <c r="AM72" i="3" s="1"/>
  <c r="AM100" i="3" a="1"/>
  <c r="AM100" i="3" s="1"/>
  <c r="AM83" i="3" a="1"/>
  <c r="AM83" i="3" s="1"/>
  <c r="AM49" i="3" a="1"/>
  <c r="AM49" i="3" s="1"/>
  <c r="AM94" i="3" a="1"/>
  <c r="AM94" i="3" s="1"/>
  <c r="AM65" i="3" a="1"/>
  <c r="AM65" i="3" s="1"/>
  <c r="AM78" i="3" a="1"/>
  <c r="AM78" i="3" s="1"/>
  <c r="AM68" i="3" a="1"/>
  <c r="AM68" i="3" s="1"/>
  <c r="AM79" i="3" a="1"/>
  <c r="AM79" i="3" s="1"/>
  <c r="AM52" i="3" a="1"/>
  <c r="AM52" i="3" s="1"/>
  <c r="AL134" i="3"/>
  <c r="AL135" i="3"/>
  <c r="O101" i="3"/>
  <c r="O134" i="3"/>
  <c r="O132" i="3"/>
  <c r="O135" i="3"/>
  <c r="AN131" i="3" l="1"/>
  <c r="AM135" i="3"/>
  <c r="AM134" i="3"/>
  <c r="AO41" i="3"/>
  <c r="AO103" i="3" s="1" a="1"/>
  <c r="AO103" i="3" s="1"/>
  <c r="AN43" i="3" a="1"/>
  <c r="AN43" i="3" s="1"/>
  <c r="AN45" i="3" a="1"/>
  <c r="AN45" i="3" s="1"/>
  <c r="AN46" i="3" a="1"/>
  <c r="AN46" i="3" s="1"/>
  <c r="AN44" i="3" a="1"/>
  <c r="AN44" i="3" s="1"/>
  <c r="AN47" i="3" a="1"/>
  <c r="AN47" i="3" s="1"/>
  <c r="AN48" i="3" a="1"/>
  <c r="AN48" i="3" s="1"/>
  <c r="AN89" i="3" a="1"/>
  <c r="AN89" i="3" s="1"/>
  <c r="AN77" i="3" a="1"/>
  <c r="AN77" i="3" s="1"/>
  <c r="AN51" i="3" a="1"/>
  <c r="AN51" i="3" s="1"/>
  <c r="AN94" i="3" a="1"/>
  <c r="AN94" i="3" s="1"/>
  <c r="AN64" i="3" a="1"/>
  <c r="AN64" i="3" s="1"/>
  <c r="AN96" i="3" a="1"/>
  <c r="AN96" i="3" s="1"/>
  <c r="AN82" i="3" a="1"/>
  <c r="AN82" i="3" s="1"/>
  <c r="AN84" i="3" a="1"/>
  <c r="AN84" i="3" s="1"/>
  <c r="AN91" i="3" a="1"/>
  <c r="AN91" i="3" s="1"/>
  <c r="AN50" i="3" a="1"/>
  <c r="AN50" i="3" s="1"/>
  <c r="AN67" i="3" a="1"/>
  <c r="AN67" i="3" s="1"/>
  <c r="AN85" i="3" a="1"/>
  <c r="AN85" i="3" s="1"/>
  <c r="AN65" i="3" a="1"/>
  <c r="AN65" i="3" s="1"/>
  <c r="AN58" i="3" a="1"/>
  <c r="AN58" i="3" s="1"/>
  <c r="AN57" i="3" a="1"/>
  <c r="AN57" i="3" s="1"/>
  <c r="AN72" i="3" a="1"/>
  <c r="AN72" i="3" s="1"/>
  <c r="AN74" i="3" a="1"/>
  <c r="AN74" i="3" s="1"/>
  <c r="AN95" i="3" a="1"/>
  <c r="AN95" i="3" s="1"/>
  <c r="AN53" i="3" a="1"/>
  <c r="AN53" i="3" s="1"/>
  <c r="AN61" i="3" a="1"/>
  <c r="AN61" i="3" s="1"/>
  <c r="AN88" i="3" a="1"/>
  <c r="AN88" i="3" s="1"/>
  <c r="AN90" i="3" a="1"/>
  <c r="AN90" i="3" s="1"/>
  <c r="AN100" i="3" a="1"/>
  <c r="AN100" i="3" s="1"/>
  <c r="AN71" i="3" a="1"/>
  <c r="AN71" i="3" s="1"/>
  <c r="AN59" i="3" a="1"/>
  <c r="AN59" i="3" s="1"/>
  <c r="AN62" i="3" a="1"/>
  <c r="AN62" i="3" s="1"/>
  <c r="AN70" i="3" a="1"/>
  <c r="AN70" i="3" s="1"/>
  <c r="AN69" i="3" a="1"/>
  <c r="AN69" i="3" s="1"/>
  <c r="AN60" i="3" a="1"/>
  <c r="AN60" i="3" s="1"/>
  <c r="AN80" i="3" a="1"/>
  <c r="AN80" i="3" s="1"/>
  <c r="AN87" i="3" a="1"/>
  <c r="AN87" i="3" s="1"/>
  <c r="AN83" i="3" a="1"/>
  <c r="AN83" i="3" s="1"/>
  <c r="AN81" i="3" a="1"/>
  <c r="AN81" i="3" s="1"/>
  <c r="AN54" i="3" a="1"/>
  <c r="AN54" i="3" s="1"/>
  <c r="AN63" i="3" a="1"/>
  <c r="AN63" i="3" s="1"/>
  <c r="AN66" i="3" a="1"/>
  <c r="AN66" i="3" s="1"/>
  <c r="AN99" i="3" a="1"/>
  <c r="AN99" i="3" s="1"/>
  <c r="AN73" i="3" a="1"/>
  <c r="AN73" i="3" s="1"/>
  <c r="AN52" i="3" a="1"/>
  <c r="AN52" i="3" s="1"/>
  <c r="AN97" i="3" a="1"/>
  <c r="AN97" i="3" s="1"/>
  <c r="AN78" i="3" a="1"/>
  <c r="AN78" i="3" s="1"/>
  <c r="AN68" i="3" a="1"/>
  <c r="AN68" i="3" s="1"/>
  <c r="AN55" i="3" a="1"/>
  <c r="AN55" i="3" s="1"/>
  <c r="AN75" i="3" a="1"/>
  <c r="AN75" i="3" s="1"/>
  <c r="AN76" i="3" a="1"/>
  <c r="AN76" i="3" s="1"/>
  <c r="AN79" i="3" a="1"/>
  <c r="AN79" i="3" s="1"/>
  <c r="AN49" i="3" a="1"/>
  <c r="AN49" i="3" s="1"/>
  <c r="AN86" i="3" a="1"/>
  <c r="AN86" i="3" s="1"/>
  <c r="AN92" i="3" a="1"/>
  <c r="AN92" i="3" s="1"/>
  <c r="AN93" i="3" a="1"/>
  <c r="AN93" i="3" s="1"/>
  <c r="AN98" i="3" a="1"/>
  <c r="AN98" i="3" s="1"/>
  <c r="AN56" i="3" a="1"/>
  <c r="AN56" i="3" s="1"/>
  <c r="P135" i="3"/>
  <c r="P134" i="3"/>
  <c r="O133" i="3"/>
  <c r="P132" i="3"/>
  <c r="P101" i="3"/>
  <c r="AO131" i="3" l="1"/>
  <c r="AP41" i="3"/>
  <c r="AP103" i="3" s="1" a="1"/>
  <c r="AP103" i="3" s="1"/>
  <c r="AO46" i="3" a="1"/>
  <c r="AO46" i="3" s="1"/>
  <c r="AO45" i="3" a="1"/>
  <c r="AO45" i="3" s="1"/>
  <c r="AO47" i="3" a="1"/>
  <c r="AO47" i="3" s="1"/>
  <c r="AO43" i="3" a="1"/>
  <c r="AO43" i="3" s="1"/>
  <c r="AO44" i="3" a="1"/>
  <c r="AO44" i="3" s="1"/>
  <c r="AO48" i="3" a="1"/>
  <c r="AO48" i="3" s="1"/>
  <c r="AO57" i="3" a="1"/>
  <c r="AO57" i="3" s="1"/>
  <c r="AO67" i="3" a="1"/>
  <c r="AO67" i="3" s="1"/>
  <c r="AO82" i="3" a="1"/>
  <c r="AO82" i="3" s="1"/>
  <c r="AO77" i="3" a="1"/>
  <c r="AO77" i="3" s="1"/>
  <c r="AO79" i="3" a="1"/>
  <c r="AO79" i="3" s="1"/>
  <c r="AO73" i="3" a="1"/>
  <c r="AO73" i="3" s="1"/>
  <c r="AO99" i="3" a="1"/>
  <c r="AO99" i="3" s="1"/>
  <c r="AO70" i="3" a="1"/>
  <c r="AO70" i="3" s="1"/>
  <c r="AO89" i="3" a="1"/>
  <c r="AO89" i="3" s="1"/>
  <c r="AO93" i="3" a="1"/>
  <c r="AO93" i="3" s="1"/>
  <c r="AO94" i="3" a="1"/>
  <c r="AO94" i="3" s="1"/>
  <c r="AO49" i="3" a="1"/>
  <c r="AO49" i="3" s="1"/>
  <c r="AO100" i="3" a="1"/>
  <c r="AO100" i="3" s="1"/>
  <c r="AO53" i="3" a="1"/>
  <c r="AO53" i="3" s="1"/>
  <c r="AO69" i="3" a="1"/>
  <c r="AO69" i="3" s="1"/>
  <c r="AO76" i="3" a="1"/>
  <c r="AO76" i="3" s="1"/>
  <c r="AO72" i="3" a="1"/>
  <c r="AO72" i="3" s="1"/>
  <c r="AO50" i="3" a="1"/>
  <c r="AO50" i="3" s="1"/>
  <c r="AO91" i="3" a="1"/>
  <c r="AO91" i="3" s="1"/>
  <c r="AO81" i="3" a="1"/>
  <c r="AO81" i="3" s="1"/>
  <c r="AO68" i="3" a="1"/>
  <c r="AO68" i="3" s="1"/>
  <c r="AO92" i="3" a="1"/>
  <c r="AO92" i="3" s="1"/>
  <c r="AO80" i="3" a="1"/>
  <c r="AO80" i="3" s="1"/>
  <c r="AO52" i="3" a="1"/>
  <c r="AO52" i="3" s="1"/>
  <c r="AO65" i="3" a="1"/>
  <c r="AO65" i="3" s="1"/>
  <c r="AO63" i="3" a="1"/>
  <c r="AO63" i="3" s="1"/>
  <c r="AO61" i="3" a="1"/>
  <c r="AO61" i="3" s="1"/>
  <c r="AO78" i="3" a="1"/>
  <c r="AO78" i="3" s="1"/>
  <c r="AO97" i="3" a="1"/>
  <c r="AO97" i="3" s="1"/>
  <c r="AO64" i="3" a="1"/>
  <c r="AO64" i="3" s="1"/>
  <c r="AO56" i="3" a="1"/>
  <c r="AO56" i="3" s="1"/>
  <c r="AO74" i="3" a="1"/>
  <c r="AO74" i="3" s="1"/>
  <c r="AO60" i="3" a="1"/>
  <c r="AO60" i="3" s="1"/>
  <c r="AO55" i="3" a="1"/>
  <c r="AO55" i="3" s="1"/>
  <c r="AO87" i="3" a="1"/>
  <c r="AO87" i="3" s="1"/>
  <c r="AO51" i="3" a="1"/>
  <c r="AO51" i="3" s="1"/>
  <c r="AO88" i="3" a="1"/>
  <c r="AO88" i="3" s="1"/>
  <c r="AO83" i="3" a="1"/>
  <c r="AO83" i="3" s="1"/>
  <c r="AO98" i="3" a="1"/>
  <c r="AO98" i="3" s="1"/>
  <c r="AO95" i="3" a="1"/>
  <c r="AO95" i="3" s="1"/>
  <c r="AO66" i="3" a="1"/>
  <c r="AO66" i="3" s="1"/>
  <c r="AO75" i="3" a="1"/>
  <c r="AO75" i="3" s="1"/>
  <c r="AO84" i="3" a="1"/>
  <c r="AO84" i="3" s="1"/>
  <c r="AO62" i="3" a="1"/>
  <c r="AO62" i="3" s="1"/>
  <c r="AO71" i="3" a="1"/>
  <c r="AO71" i="3" s="1"/>
  <c r="AO86" i="3" a="1"/>
  <c r="AO86" i="3" s="1"/>
  <c r="AO59" i="3" a="1"/>
  <c r="AO59" i="3" s="1"/>
  <c r="AO58" i="3" a="1"/>
  <c r="AO58" i="3" s="1"/>
  <c r="AO90" i="3" a="1"/>
  <c r="AO90" i="3" s="1"/>
  <c r="AO96" i="3" a="1"/>
  <c r="AO96" i="3" s="1"/>
  <c r="AO85" i="3" a="1"/>
  <c r="AO85" i="3" s="1"/>
  <c r="AO54" i="3" a="1"/>
  <c r="AO54" i="3" s="1"/>
  <c r="AN135" i="3"/>
  <c r="AN134" i="3"/>
  <c r="Q134" i="3"/>
  <c r="Q135" i="3"/>
  <c r="Q101" i="3"/>
  <c r="Q132" i="3"/>
  <c r="P133" i="3"/>
  <c r="AP131" i="3" l="1"/>
  <c r="AO135" i="3"/>
  <c r="AO134" i="3"/>
  <c r="AQ41" i="3"/>
  <c r="AQ103" i="3" s="1" a="1"/>
  <c r="AQ103" i="3" s="1"/>
  <c r="AP47" i="3" a="1"/>
  <c r="AP47" i="3" s="1"/>
  <c r="AP45" i="3" a="1"/>
  <c r="AP45" i="3" s="1"/>
  <c r="AP46" i="3" a="1"/>
  <c r="AP46" i="3" s="1"/>
  <c r="AP43" i="3" a="1"/>
  <c r="AP43" i="3" s="1"/>
  <c r="AP48" i="3" a="1"/>
  <c r="AP48" i="3" s="1"/>
  <c r="AP44" i="3" a="1"/>
  <c r="AP44" i="3" s="1"/>
  <c r="AP66" i="3" a="1"/>
  <c r="AP66" i="3" s="1"/>
  <c r="AP61" i="3" a="1"/>
  <c r="AP61" i="3" s="1"/>
  <c r="AP88" i="3" a="1"/>
  <c r="AP88" i="3" s="1"/>
  <c r="AP74" i="3" a="1"/>
  <c r="AP74" i="3" s="1"/>
  <c r="AP95" i="3" a="1"/>
  <c r="AP95" i="3" s="1"/>
  <c r="AP64" i="3" a="1"/>
  <c r="AP64" i="3" s="1"/>
  <c r="AP68" i="3" a="1"/>
  <c r="AP68" i="3" s="1"/>
  <c r="AP77" i="3" a="1"/>
  <c r="AP77" i="3" s="1"/>
  <c r="AP93" i="3" a="1"/>
  <c r="AP93" i="3" s="1"/>
  <c r="AP72" i="3" a="1"/>
  <c r="AP72" i="3" s="1"/>
  <c r="AP65" i="3" a="1"/>
  <c r="AP65" i="3" s="1"/>
  <c r="AP83" i="3" a="1"/>
  <c r="AP83" i="3" s="1"/>
  <c r="AP49" i="3" a="1"/>
  <c r="AP49" i="3" s="1"/>
  <c r="AP97" i="3" a="1"/>
  <c r="AP97" i="3" s="1"/>
  <c r="AP90" i="3" a="1"/>
  <c r="AP90" i="3" s="1"/>
  <c r="AP78" i="3" a="1"/>
  <c r="AP78" i="3" s="1"/>
  <c r="AP56" i="3" a="1"/>
  <c r="AP56" i="3" s="1"/>
  <c r="AP89" i="3" a="1"/>
  <c r="AP89" i="3" s="1"/>
  <c r="AP53" i="3" a="1"/>
  <c r="AP53" i="3" s="1"/>
  <c r="AP54" i="3" a="1"/>
  <c r="AP54" i="3" s="1"/>
  <c r="AP57" i="3" a="1"/>
  <c r="AP57" i="3" s="1"/>
  <c r="AP81" i="3" a="1"/>
  <c r="AP81" i="3" s="1"/>
  <c r="AP80" i="3" a="1"/>
  <c r="AP80" i="3" s="1"/>
  <c r="AP58" i="3" a="1"/>
  <c r="AP58" i="3" s="1"/>
  <c r="AP69" i="3" a="1"/>
  <c r="AP69" i="3" s="1"/>
  <c r="AP76" i="3" a="1"/>
  <c r="AP76" i="3" s="1"/>
  <c r="AP60" i="3" a="1"/>
  <c r="AP60" i="3" s="1"/>
  <c r="AP50" i="3" a="1"/>
  <c r="AP50" i="3" s="1"/>
  <c r="AP82" i="3" a="1"/>
  <c r="AP82" i="3" s="1"/>
  <c r="AP85" i="3" a="1"/>
  <c r="AP85" i="3" s="1"/>
  <c r="AP91" i="3" a="1"/>
  <c r="AP91" i="3" s="1"/>
  <c r="AP100" i="3" a="1"/>
  <c r="AP100" i="3" s="1"/>
  <c r="AP63" i="3" a="1"/>
  <c r="AP63" i="3" s="1"/>
  <c r="AP99" i="3" a="1"/>
  <c r="AP99" i="3" s="1"/>
  <c r="AP84" i="3" a="1"/>
  <c r="AP84" i="3" s="1"/>
  <c r="AP79" i="3" a="1"/>
  <c r="AP79" i="3" s="1"/>
  <c r="AP71" i="3" a="1"/>
  <c r="AP71" i="3" s="1"/>
  <c r="AP62" i="3" a="1"/>
  <c r="AP62" i="3" s="1"/>
  <c r="AP75" i="3" a="1"/>
  <c r="AP75" i="3" s="1"/>
  <c r="AP55" i="3" a="1"/>
  <c r="AP55" i="3" s="1"/>
  <c r="AP73" i="3" a="1"/>
  <c r="AP73" i="3" s="1"/>
  <c r="AP52" i="3" a="1"/>
  <c r="AP52" i="3" s="1"/>
  <c r="AP67" i="3" a="1"/>
  <c r="AP67" i="3" s="1"/>
  <c r="AP87" i="3" a="1"/>
  <c r="AP87" i="3" s="1"/>
  <c r="AP98" i="3" a="1"/>
  <c r="AP98" i="3" s="1"/>
  <c r="AP59" i="3" a="1"/>
  <c r="AP59" i="3" s="1"/>
  <c r="AP70" i="3" a="1"/>
  <c r="AP70" i="3" s="1"/>
  <c r="AP51" i="3" a="1"/>
  <c r="AP51" i="3" s="1"/>
  <c r="AP94" i="3" a="1"/>
  <c r="AP94" i="3" s="1"/>
  <c r="AP96" i="3" a="1"/>
  <c r="AP96" i="3" s="1"/>
  <c r="AP86" i="3" a="1"/>
  <c r="AP86" i="3" s="1"/>
  <c r="AP92" i="3" a="1"/>
  <c r="AP92" i="3" s="1"/>
  <c r="Q133" i="3"/>
  <c r="AQ131" i="3" l="1"/>
  <c r="AP135" i="3"/>
  <c r="AP134" i="3"/>
  <c r="AR41" i="3"/>
  <c r="AR103" i="3" s="1" a="1"/>
  <c r="AR103" i="3" s="1"/>
  <c r="AQ47" i="3" a="1"/>
  <c r="AQ47" i="3" s="1"/>
  <c r="AQ48" i="3" a="1"/>
  <c r="AQ48" i="3" s="1"/>
  <c r="AQ43" i="3" a="1"/>
  <c r="AQ43" i="3" s="1"/>
  <c r="AQ44" i="3" a="1"/>
  <c r="AQ44" i="3" s="1"/>
  <c r="AQ45" i="3" a="1"/>
  <c r="AQ45" i="3" s="1"/>
  <c r="AQ46" i="3" a="1"/>
  <c r="AQ46" i="3" s="1"/>
  <c r="AQ94" i="3" a="1"/>
  <c r="AQ94" i="3" s="1"/>
  <c r="AQ63" i="3" a="1"/>
  <c r="AQ63" i="3" s="1"/>
  <c r="AQ99" i="3" a="1"/>
  <c r="AQ99" i="3" s="1"/>
  <c r="AQ69" i="3" a="1"/>
  <c r="AQ69" i="3" s="1"/>
  <c r="AQ68" i="3" a="1"/>
  <c r="AQ68" i="3" s="1"/>
  <c r="AQ62" i="3" a="1"/>
  <c r="AQ62" i="3" s="1"/>
  <c r="AQ76" i="3" a="1"/>
  <c r="AQ76" i="3" s="1"/>
  <c r="AQ95" i="3" a="1"/>
  <c r="AQ95" i="3" s="1"/>
  <c r="AQ50" i="3" a="1"/>
  <c r="AQ50" i="3" s="1"/>
  <c r="AQ82" i="3" a="1"/>
  <c r="AQ82" i="3" s="1"/>
  <c r="AQ54" i="3" a="1"/>
  <c r="AQ54" i="3" s="1"/>
  <c r="AQ61" i="3" a="1"/>
  <c r="AQ61" i="3" s="1"/>
  <c r="AQ60" i="3" a="1"/>
  <c r="AQ60" i="3" s="1"/>
  <c r="AQ64" i="3" a="1"/>
  <c r="AQ64" i="3" s="1"/>
  <c r="AQ89" i="3" a="1"/>
  <c r="AQ89" i="3" s="1"/>
  <c r="AQ75" i="3" a="1"/>
  <c r="AQ75" i="3" s="1"/>
  <c r="AQ97" i="3" a="1"/>
  <c r="AQ97" i="3" s="1"/>
  <c r="AQ53" i="3" a="1"/>
  <c r="AQ53" i="3" s="1"/>
  <c r="AQ51" i="3" a="1"/>
  <c r="AQ51" i="3" s="1"/>
  <c r="AQ100" i="3" a="1"/>
  <c r="AQ100" i="3" s="1"/>
  <c r="AQ70" i="3" a="1"/>
  <c r="AQ70" i="3" s="1"/>
  <c r="AQ83" i="3" a="1"/>
  <c r="AQ83" i="3" s="1"/>
  <c r="AQ77" i="3" a="1"/>
  <c r="AQ77" i="3" s="1"/>
  <c r="AQ92" i="3" a="1"/>
  <c r="AQ92" i="3" s="1"/>
  <c r="AQ52" i="3" a="1"/>
  <c r="AQ52" i="3" s="1"/>
  <c r="AQ66" i="3" a="1"/>
  <c r="AQ66" i="3" s="1"/>
  <c r="AQ93" i="3" a="1"/>
  <c r="AQ93" i="3" s="1"/>
  <c r="AQ72" i="3" a="1"/>
  <c r="AQ72" i="3" s="1"/>
  <c r="AQ91" i="3" a="1"/>
  <c r="AQ91" i="3" s="1"/>
  <c r="AQ80" i="3" a="1"/>
  <c r="AQ80" i="3" s="1"/>
  <c r="AQ90" i="3" a="1"/>
  <c r="AQ90" i="3" s="1"/>
  <c r="AQ55" i="3" a="1"/>
  <c r="AQ55" i="3" s="1"/>
  <c r="AQ86" i="3" a="1"/>
  <c r="AQ86" i="3" s="1"/>
  <c r="AQ84" i="3" a="1"/>
  <c r="AQ84" i="3" s="1"/>
  <c r="AQ73" i="3" a="1"/>
  <c r="AQ73" i="3" s="1"/>
  <c r="AQ59" i="3" a="1"/>
  <c r="AQ59" i="3" s="1"/>
  <c r="AQ58" i="3" a="1"/>
  <c r="AQ58" i="3" s="1"/>
  <c r="AQ67" i="3" a="1"/>
  <c r="AQ67" i="3" s="1"/>
  <c r="AQ88" i="3" a="1"/>
  <c r="AQ88" i="3" s="1"/>
  <c r="AQ56" i="3" a="1"/>
  <c r="AQ56" i="3" s="1"/>
  <c r="AQ96" i="3" a="1"/>
  <c r="AQ96" i="3" s="1"/>
  <c r="AQ74" i="3" a="1"/>
  <c r="AQ74" i="3" s="1"/>
  <c r="AQ57" i="3" a="1"/>
  <c r="AQ57" i="3" s="1"/>
  <c r="AQ79" i="3" a="1"/>
  <c r="AQ79" i="3" s="1"/>
  <c r="AQ98" i="3" a="1"/>
  <c r="AQ98" i="3" s="1"/>
  <c r="AQ49" i="3" a="1"/>
  <c r="AQ49" i="3" s="1"/>
  <c r="AQ71" i="3" a="1"/>
  <c r="AQ71" i="3" s="1"/>
  <c r="AQ85" i="3" a="1"/>
  <c r="AQ85" i="3" s="1"/>
  <c r="AQ87" i="3" a="1"/>
  <c r="AQ87" i="3" s="1"/>
  <c r="AQ78" i="3" a="1"/>
  <c r="AQ78" i="3" s="1"/>
  <c r="AQ65" i="3" a="1"/>
  <c r="AQ65" i="3" s="1"/>
  <c r="AQ81" i="3" a="1"/>
  <c r="AQ81" i="3" s="1"/>
  <c r="R132" i="3"/>
  <c r="S135" i="3"/>
  <c r="S134" i="3"/>
  <c r="AR131" i="3" l="1"/>
  <c r="AQ134" i="3"/>
  <c r="AQ135" i="3"/>
  <c r="AS41" i="3"/>
  <c r="AS103" i="3" s="1" a="1"/>
  <c r="AS103" i="3" s="1"/>
  <c r="AR44" i="3" a="1"/>
  <c r="AR44" i="3" s="1"/>
  <c r="AR43" i="3" a="1"/>
  <c r="AR43" i="3" s="1"/>
  <c r="AR48" i="3" a="1"/>
  <c r="AR48" i="3" s="1"/>
  <c r="AR46" i="3" a="1"/>
  <c r="AR46" i="3" s="1"/>
  <c r="AR45" i="3" a="1"/>
  <c r="AR45" i="3" s="1"/>
  <c r="AR47" i="3" a="1"/>
  <c r="AR47" i="3" s="1"/>
  <c r="AR53" i="3" a="1"/>
  <c r="AR53" i="3" s="1"/>
  <c r="AR61" i="3" a="1"/>
  <c r="AR61" i="3" s="1"/>
  <c r="AR62" i="3" a="1"/>
  <c r="AR62" i="3" s="1"/>
  <c r="AR70" i="3" a="1"/>
  <c r="AR70" i="3" s="1"/>
  <c r="AR54" i="3" a="1"/>
  <c r="AR54" i="3" s="1"/>
  <c r="AR50" i="3" a="1"/>
  <c r="AR50" i="3" s="1"/>
  <c r="AR69" i="3" a="1"/>
  <c r="AR69" i="3" s="1"/>
  <c r="AR57" i="3" a="1"/>
  <c r="AR57" i="3" s="1"/>
  <c r="AR89" i="3" a="1"/>
  <c r="AR89" i="3" s="1"/>
  <c r="AR93" i="3" a="1"/>
  <c r="AR93" i="3" s="1"/>
  <c r="AR75" i="3" a="1"/>
  <c r="AR75" i="3" s="1"/>
  <c r="AR86" i="3" a="1"/>
  <c r="AR86" i="3" s="1"/>
  <c r="AR51" i="3" a="1"/>
  <c r="AR51" i="3" s="1"/>
  <c r="AR76" i="3" a="1"/>
  <c r="AR76" i="3" s="1"/>
  <c r="AR94" i="3" a="1"/>
  <c r="AR94" i="3" s="1"/>
  <c r="AR87" i="3" a="1"/>
  <c r="AR87" i="3" s="1"/>
  <c r="AR71" i="3" a="1"/>
  <c r="AR71" i="3" s="1"/>
  <c r="AR58" i="3" a="1"/>
  <c r="AR58" i="3" s="1"/>
  <c r="AR82" i="3" a="1"/>
  <c r="AR82" i="3" s="1"/>
  <c r="AR66" i="3" a="1"/>
  <c r="AR66" i="3" s="1"/>
  <c r="AR55" i="3" a="1"/>
  <c r="AR55" i="3" s="1"/>
  <c r="AR72" i="3" a="1"/>
  <c r="AR72" i="3" s="1"/>
  <c r="AR84" i="3" a="1"/>
  <c r="AR84" i="3" s="1"/>
  <c r="AR98" i="3" a="1"/>
  <c r="AR98" i="3" s="1"/>
  <c r="AR56" i="3" a="1"/>
  <c r="AR56" i="3" s="1"/>
  <c r="AR85" i="3" a="1"/>
  <c r="AR85" i="3" s="1"/>
  <c r="AR80" i="3" a="1"/>
  <c r="AR80" i="3" s="1"/>
  <c r="AR97" i="3" a="1"/>
  <c r="AR97" i="3" s="1"/>
  <c r="AR63" i="3" a="1"/>
  <c r="AR63" i="3" s="1"/>
  <c r="AR68" i="3" a="1"/>
  <c r="AR68" i="3" s="1"/>
  <c r="AR99" i="3" a="1"/>
  <c r="AR99" i="3" s="1"/>
  <c r="AR64" i="3" a="1"/>
  <c r="AR64" i="3" s="1"/>
  <c r="AR96" i="3" a="1"/>
  <c r="AR96" i="3" s="1"/>
  <c r="AR92" i="3" a="1"/>
  <c r="AR92" i="3" s="1"/>
  <c r="AR81" i="3" a="1"/>
  <c r="AR81" i="3" s="1"/>
  <c r="AR77" i="3" a="1"/>
  <c r="AR77" i="3" s="1"/>
  <c r="AR79" i="3" a="1"/>
  <c r="AR79" i="3" s="1"/>
  <c r="AR60" i="3" a="1"/>
  <c r="AR60" i="3" s="1"/>
  <c r="AR59" i="3" a="1"/>
  <c r="AR59" i="3" s="1"/>
  <c r="AR100" i="3" a="1"/>
  <c r="AR100" i="3" s="1"/>
  <c r="AR67" i="3" a="1"/>
  <c r="AR67" i="3" s="1"/>
  <c r="AR88" i="3" a="1"/>
  <c r="AR88" i="3" s="1"/>
  <c r="AR95" i="3" a="1"/>
  <c r="AR95" i="3" s="1"/>
  <c r="AR91" i="3" a="1"/>
  <c r="AR91" i="3" s="1"/>
  <c r="AR52" i="3" a="1"/>
  <c r="AR52" i="3" s="1"/>
  <c r="AR49" i="3" a="1"/>
  <c r="AR49" i="3" s="1"/>
  <c r="AR90" i="3" a="1"/>
  <c r="AR90" i="3" s="1"/>
  <c r="AR74" i="3" a="1"/>
  <c r="AR74" i="3" s="1"/>
  <c r="AR83" i="3" a="1"/>
  <c r="AR83" i="3" s="1"/>
  <c r="AR65" i="3" a="1"/>
  <c r="AR65" i="3" s="1"/>
  <c r="AR78" i="3" a="1"/>
  <c r="AR78" i="3" s="1"/>
  <c r="AR73" i="3" a="1"/>
  <c r="AR73" i="3" s="1"/>
  <c r="R133" i="3"/>
  <c r="S132" i="3"/>
  <c r="T132" i="3" s="1"/>
  <c r="R135" i="3"/>
  <c r="R101" i="3"/>
  <c r="S101" i="3" s="1"/>
  <c r="T101" i="3" s="1"/>
  <c r="R134" i="3"/>
  <c r="T135" i="3"/>
  <c r="T134" i="3"/>
  <c r="AS131" i="3" l="1"/>
  <c r="AR134" i="3"/>
  <c r="AR135" i="3"/>
  <c r="AT41" i="3"/>
  <c r="AT103" i="3" s="1" a="1"/>
  <c r="AT103" i="3" s="1"/>
  <c r="AS44" i="3" a="1"/>
  <c r="AS44" i="3" s="1"/>
  <c r="AS43" i="3" a="1"/>
  <c r="AS43" i="3" s="1"/>
  <c r="AS47" i="3" a="1"/>
  <c r="AS47" i="3" s="1"/>
  <c r="AS48" i="3" a="1"/>
  <c r="AS48" i="3" s="1"/>
  <c r="AS46" i="3" a="1"/>
  <c r="AS46" i="3" s="1"/>
  <c r="AS45" i="3" a="1"/>
  <c r="AS45" i="3" s="1"/>
  <c r="AS51" i="3" a="1"/>
  <c r="AS51" i="3" s="1"/>
  <c r="AS75" i="3" a="1"/>
  <c r="AS75" i="3" s="1"/>
  <c r="AS65" i="3" a="1"/>
  <c r="AS65" i="3" s="1"/>
  <c r="AS71" i="3" a="1"/>
  <c r="AS71" i="3" s="1"/>
  <c r="AS52" i="3" a="1"/>
  <c r="AS52" i="3" s="1"/>
  <c r="AS61" i="3" a="1"/>
  <c r="AS61" i="3" s="1"/>
  <c r="AS90" i="3" a="1"/>
  <c r="AS90" i="3" s="1"/>
  <c r="AS56" i="3" a="1"/>
  <c r="AS56" i="3" s="1"/>
  <c r="AS54" i="3" a="1"/>
  <c r="AS54" i="3" s="1"/>
  <c r="AS88" i="3" a="1"/>
  <c r="AS88" i="3" s="1"/>
  <c r="AS69" i="3" a="1"/>
  <c r="AS69" i="3" s="1"/>
  <c r="AS89" i="3" a="1"/>
  <c r="AS89" i="3" s="1"/>
  <c r="AS87" i="3" a="1"/>
  <c r="AS87" i="3" s="1"/>
  <c r="AS67" i="3" a="1"/>
  <c r="AS67" i="3" s="1"/>
  <c r="AS53" i="3" a="1"/>
  <c r="AS53" i="3" s="1"/>
  <c r="AS95" i="3" a="1"/>
  <c r="AS95" i="3" s="1"/>
  <c r="AS68" i="3" a="1"/>
  <c r="AS68" i="3" s="1"/>
  <c r="AS76" i="3" a="1"/>
  <c r="AS76" i="3" s="1"/>
  <c r="AS94" i="3" a="1"/>
  <c r="AS94" i="3" s="1"/>
  <c r="AS86" i="3" a="1"/>
  <c r="AS86" i="3" s="1"/>
  <c r="AS100" i="3" a="1"/>
  <c r="AS100" i="3" s="1"/>
  <c r="AS66" i="3" a="1"/>
  <c r="AS66" i="3" s="1"/>
  <c r="AS74" i="3" a="1"/>
  <c r="AS74" i="3" s="1"/>
  <c r="AS55" i="3" a="1"/>
  <c r="AS55" i="3" s="1"/>
  <c r="AS70" i="3" a="1"/>
  <c r="AS70" i="3" s="1"/>
  <c r="AS93" i="3" a="1"/>
  <c r="AS93" i="3" s="1"/>
  <c r="AS72" i="3" a="1"/>
  <c r="AS72" i="3" s="1"/>
  <c r="AS49" i="3" a="1"/>
  <c r="AS49" i="3" s="1"/>
  <c r="AS79" i="3" a="1"/>
  <c r="AS79" i="3" s="1"/>
  <c r="AS57" i="3" a="1"/>
  <c r="AS57" i="3" s="1"/>
  <c r="AS82" i="3" a="1"/>
  <c r="AS82" i="3" s="1"/>
  <c r="AS64" i="3" a="1"/>
  <c r="AS64" i="3" s="1"/>
  <c r="AS59" i="3" a="1"/>
  <c r="AS59" i="3" s="1"/>
  <c r="AS81" i="3" a="1"/>
  <c r="AS81" i="3" s="1"/>
  <c r="AS60" i="3" a="1"/>
  <c r="AS60" i="3" s="1"/>
  <c r="AS97" i="3" a="1"/>
  <c r="AS97" i="3" s="1"/>
  <c r="AS50" i="3" a="1"/>
  <c r="AS50" i="3" s="1"/>
  <c r="AS63" i="3" a="1"/>
  <c r="AS63" i="3" s="1"/>
  <c r="AS84" i="3" a="1"/>
  <c r="AS84" i="3" s="1"/>
  <c r="AS96" i="3" a="1"/>
  <c r="AS96" i="3" s="1"/>
  <c r="AS78" i="3" a="1"/>
  <c r="AS78" i="3" s="1"/>
  <c r="AS73" i="3" a="1"/>
  <c r="AS73" i="3" s="1"/>
  <c r="AS62" i="3" a="1"/>
  <c r="AS62" i="3" s="1"/>
  <c r="AS85" i="3" a="1"/>
  <c r="AS85" i="3" s="1"/>
  <c r="AS91" i="3" a="1"/>
  <c r="AS91" i="3" s="1"/>
  <c r="AS98" i="3" a="1"/>
  <c r="AS98" i="3" s="1"/>
  <c r="AS77" i="3" a="1"/>
  <c r="AS77" i="3" s="1"/>
  <c r="AS80" i="3" a="1"/>
  <c r="AS80" i="3" s="1"/>
  <c r="AS83" i="3" a="1"/>
  <c r="AS83" i="3" s="1"/>
  <c r="AS92" i="3" a="1"/>
  <c r="AS92" i="3" s="1"/>
  <c r="AS58" i="3" a="1"/>
  <c r="AS58" i="3" s="1"/>
  <c r="AS99" i="3" a="1"/>
  <c r="AS99" i="3" s="1"/>
  <c r="S133" i="3"/>
  <c r="U135" i="3"/>
  <c r="U134" i="3"/>
  <c r="T133" i="3"/>
  <c r="U132" i="3"/>
  <c r="U101" i="3"/>
  <c r="AT131" i="3" l="1"/>
  <c r="AS135" i="3"/>
  <c r="AS134" i="3"/>
  <c r="AU41" i="3"/>
  <c r="AU103" i="3" s="1" a="1"/>
  <c r="AU103" i="3" s="1"/>
  <c r="AT48" i="3" a="1"/>
  <c r="AT48" i="3" s="1"/>
  <c r="AT44" i="3" a="1"/>
  <c r="AT44" i="3" s="1"/>
  <c r="AT47" i="3" a="1"/>
  <c r="AT47" i="3" s="1"/>
  <c r="AT43" i="3" a="1"/>
  <c r="AT43" i="3" s="1"/>
  <c r="AT45" i="3" a="1"/>
  <c r="AT45" i="3" s="1"/>
  <c r="AT46" i="3" a="1"/>
  <c r="AT46" i="3" s="1"/>
  <c r="AT82" i="3" a="1"/>
  <c r="AT82" i="3" s="1"/>
  <c r="AT56" i="3" a="1"/>
  <c r="AT56" i="3" s="1"/>
  <c r="AT97" i="3" a="1"/>
  <c r="AT97" i="3" s="1"/>
  <c r="AT84" i="3" a="1"/>
  <c r="AT84" i="3" s="1"/>
  <c r="AT76" i="3" a="1"/>
  <c r="AT76" i="3" s="1"/>
  <c r="AT59" i="3" a="1"/>
  <c r="AT59" i="3" s="1"/>
  <c r="AT83" i="3" a="1"/>
  <c r="AT83" i="3" s="1"/>
  <c r="AT74" i="3" a="1"/>
  <c r="AT74" i="3" s="1"/>
  <c r="AT98" i="3" a="1"/>
  <c r="AT98" i="3" s="1"/>
  <c r="AT51" i="3" a="1"/>
  <c r="AT51" i="3" s="1"/>
  <c r="AT92" i="3" a="1"/>
  <c r="AT92" i="3" s="1"/>
  <c r="AT67" i="3" a="1"/>
  <c r="AT67" i="3" s="1"/>
  <c r="AT61" i="3" a="1"/>
  <c r="AT61" i="3" s="1"/>
  <c r="AT88" i="3" a="1"/>
  <c r="AT88" i="3" s="1"/>
  <c r="AT89" i="3" a="1"/>
  <c r="AT89" i="3" s="1"/>
  <c r="AT100" i="3" a="1"/>
  <c r="AT100" i="3" s="1"/>
  <c r="AT53" i="3" a="1"/>
  <c r="AT53" i="3" s="1"/>
  <c r="AT75" i="3" a="1"/>
  <c r="AT75" i="3" s="1"/>
  <c r="AT80" i="3" a="1"/>
  <c r="AT80" i="3" s="1"/>
  <c r="AT95" i="3" a="1"/>
  <c r="AT95" i="3" s="1"/>
  <c r="AT49" i="3" a="1"/>
  <c r="AT49" i="3" s="1"/>
  <c r="AT57" i="3" a="1"/>
  <c r="AT57" i="3" s="1"/>
  <c r="AT78" i="3" a="1"/>
  <c r="AT78" i="3" s="1"/>
  <c r="AT77" i="3" a="1"/>
  <c r="AT77" i="3" s="1"/>
  <c r="AT69" i="3" a="1"/>
  <c r="AT69" i="3" s="1"/>
  <c r="AT66" i="3" a="1"/>
  <c r="AT66" i="3" s="1"/>
  <c r="AT86" i="3" a="1"/>
  <c r="AT86" i="3" s="1"/>
  <c r="AT72" i="3" a="1"/>
  <c r="AT72" i="3" s="1"/>
  <c r="AT94" i="3" a="1"/>
  <c r="AT94" i="3" s="1"/>
  <c r="AT60" i="3" a="1"/>
  <c r="AT60" i="3" s="1"/>
  <c r="AT71" i="3" a="1"/>
  <c r="AT71" i="3" s="1"/>
  <c r="AT55" i="3" a="1"/>
  <c r="AT55" i="3" s="1"/>
  <c r="AT93" i="3" a="1"/>
  <c r="AT93" i="3" s="1"/>
  <c r="AT85" i="3" a="1"/>
  <c r="AT85" i="3" s="1"/>
  <c r="AT91" i="3" a="1"/>
  <c r="AT91" i="3" s="1"/>
  <c r="AT87" i="3" a="1"/>
  <c r="AT87" i="3" s="1"/>
  <c r="AT96" i="3" a="1"/>
  <c r="AT96" i="3" s="1"/>
  <c r="AT99" i="3" a="1"/>
  <c r="AT99" i="3" s="1"/>
  <c r="AT54" i="3" a="1"/>
  <c r="AT54" i="3" s="1"/>
  <c r="AT50" i="3" a="1"/>
  <c r="AT50" i="3" s="1"/>
  <c r="AT81" i="3" a="1"/>
  <c r="AT81" i="3" s="1"/>
  <c r="AT58" i="3" a="1"/>
  <c r="AT58" i="3" s="1"/>
  <c r="AT63" i="3" a="1"/>
  <c r="AT63" i="3" s="1"/>
  <c r="AT90" i="3" a="1"/>
  <c r="AT90" i="3" s="1"/>
  <c r="AT52" i="3" a="1"/>
  <c r="AT52" i="3" s="1"/>
  <c r="AT70" i="3" a="1"/>
  <c r="AT70" i="3" s="1"/>
  <c r="AT65" i="3" a="1"/>
  <c r="AT65" i="3" s="1"/>
  <c r="AT79" i="3" a="1"/>
  <c r="AT79" i="3" s="1"/>
  <c r="AT73" i="3" a="1"/>
  <c r="AT73" i="3" s="1"/>
  <c r="AT64" i="3" a="1"/>
  <c r="AT64" i="3" s="1"/>
  <c r="AT62" i="3" a="1"/>
  <c r="AT62" i="3" s="1"/>
  <c r="AT68" i="3" a="1"/>
  <c r="AT68" i="3" s="1"/>
  <c r="H44" i="3"/>
  <c r="U133" i="3"/>
  <c r="AU131" i="3" l="1"/>
  <c r="AU47" i="3" a="1"/>
  <c r="AU47" i="3" s="1"/>
  <c r="AU43" i="3" a="1"/>
  <c r="AU43" i="3" s="1"/>
  <c r="AU45" i="3" a="1"/>
  <c r="AU45" i="3" s="1"/>
  <c r="AU46" i="3" a="1"/>
  <c r="AU46" i="3" s="1"/>
  <c r="AU44" i="3" a="1"/>
  <c r="AU44" i="3" s="1"/>
  <c r="AU48" i="3" a="1"/>
  <c r="AU48" i="3" s="1"/>
  <c r="AU93" i="3" a="1"/>
  <c r="AU93" i="3" s="1"/>
  <c r="AU59" i="3" a="1"/>
  <c r="AU59" i="3" s="1"/>
  <c r="AU69" i="3" a="1"/>
  <c r="AU69" i="3" s="1"/>
  <c r="AU89" i="3" a="1"/>
  <c r="AU89" i="3" s="1"/>
  <c r="AU56" i="3" a="1"/>
  <c r="AU56" i="3" s="1"/>
  <c r="AU57" i="3" a="1"/>
  <c r="AU57" i="3" s="1"/>
  <c r="AU95" i="3" a="1"/>
  <c r="AU95" i="3" s="1"/>
  <c r="AU70" i="3" a="1"/>
  <c r="AU70" i="3" s="1"/>
  <c r="AU82" i="3" a="1"/>
  <c r="AU82" i="3" s="1"/>
  <c r="AU54" i="3" a="1"/>
  <c r="AU54" i="3" s="1"/>
  <c r="AU71" i="3" a="1"/>
  <c r="AU71" i="3" s="1"/>
  <c r="AU72" i="3" a="1"/>
  <c r="AU72" i="3" s="1"/>
  <c r="AU58" i="3" a="1"/>
  <c r="AU58" i="3" s="1"/>
  <c r="AU73" i="3" a="1"/>
  <c r="AU73" i="3" s="1"/>
  <c r="AU62" i="3" a="1"/>
  <c r="AU62" i="3" s="1"/>
  <c r="AU67" i="3" a="1"/>
  <c r="AU67" i="3" s="1"/>
  <c r="AU51" i="3" a="1"/>
  <c r="AU51" i="3" s="1"/>
  <c r="AU64" i="3" a="1"/>
  <c r="AU64" i="3" s="1"/>
  <c r="AU97" i="3" a="1"/>
  <c r="AU97" i="3" s="1"/>
  <c r="AU79" i="3" a="1"/>
  <c r="AU79" i="3" s="1"/>
  <c r="AU96" i="3" a="1"/>
  <c r="AU96" i="3" s="1"/>
  <c r="AU63" i="3" a="1"/>
  <c r="AU63" i="3" s="1"/>
  <c r="AU91" i="3" a="1"/>
  <c r="AU91" i="3" s="1"/>
  <c r="AU52" i="3" a="1"/>
  <c r="AU52" i="3" s="1"/>
  <c r="AU92" i="3" a="1"/>
  <c r="AU92" i="3" s="1"/>
  <c r="AU85" i="3" a="1"/>
  <c r="AU85" i="3" s="1"/>
  <c r="AU94" i="3" a="1"/>
  <c r="AU94" i="3" s="1"/>
  <c r="AU49" i="3" a="1"/>
  <c r="AU49" i="3" s="1"/>
  <c r="AU87" i="3" a="1"/>
  <c r="AU87" i="3" s="1"/>
  <c r="AU99" i="3" a="1"/>
  <c r="AU99" i="3" s="1"/>
  <c r="AU75" i="3" a="1"/>
  <c r="AU75" i="3" s="1"/>
  <c r="AU61" i="3" a="1"/>
  <c r="AU61" i="3" s="1"/>
  <c r="AU66" i="3" a="1"/>
  <c r="AU66" i="3" s="1"/>
  <c r="AU84" i="3" a="1"/>
  <c r="AU84" i="3" s="1"/>
  <c r="AU68" i="3" a="1"/>
  <c r="AU68" i="3" s="1"/>
  <c r="AU78" i="3" a="1"/>
  <c r="AU78" i="3" s="1"/>
  <c r="AU53" i="3" a="1"/>
  <c r="AU53" i="3" s="1"/>
  <c r="AU77" i="3" a="1"/>
  <c r="AU77" i="3" s="1"/>
  <c r="AU55" i="3" a="1"/>
  <c r="AU55" i="3" s="1"/>
  <c r="AU100" i="3" a="1"/>
  <c r="AU100" i="3" s="1"/>
  <c r="AU50" i="3" a="1"/>
  <c r="AU50" i="3" s="1"/>
  <c r="AU80" i="3" a="1"/>
  <c r="AU80" i="3" s="1"/>
  <c r="AU76" i="3" a="1"/>
  <c r="AU76" i="3" s="1"/>
  <c r="AU65" i="3" a="1"/>
  <c r="AU65" i="3" s="1"/>
  <c r="AU83" i="3" a="1"/>
  <c r="AU83" i="3" s="1"/>
  <c r="AU81" i="3" a="1"/>
  <c r="AU81" i="3" s="1"/>
  <c r="AU98" i="3" a="1"/>
  <c r="AU98" i="3" s="1"/>
  <c r="AU74" i="3" a="1"/>
  <c r="AU74" i="3" s="1"/>
  <c r="AU88" i="3" a="1"/>
  <c r="AU88" i="3" s="1"/>
  <c r="AU90" i="3" a="1"/>
  <c r="AU90" i="3" s="1"/>
  <c r="AU60" i="3" a="1"/>
  <c r="AU60" i="3" s="1"/>
  <c r="AU86" i="3" a="1"/>
  <c r="AU86" i="3" s="1"/>
  <c r="AT134" i="3"/>
  <c r="AT135" i="3"/>
  <c r="V132" i="3"/>
  <c r="V133" i="3" s="1"/>
  <c r="V101" i="3"/>
  <c r="W101" i="3" s="1"/>
  <c r="X101" i="3" s="1"/>
  <c r="D146" i="3" s="1"/>
  <c r="V135" i="3"/>
  <c r="V134" i="3"/>
  <c r="N149" i="3" s="1"/>
  <c r="AU135" i="3" l="1"/>
  <c r="AU134" i="3"/>
  <c r="W132" i="3"/>
  <c r="X132" i="3" s="1"/>
  <c r="Y101" i="3"/>
  <c r="Z101" i="3" s="1"/>
  <c r="AA101" i="3" s="1"/>
  <c r="AB101" i="3" s="1"/>
  <c r="AC101" i="3" s="1"/>
  <c r="AD101" i="3" s="1"/>
  <c r="AE101" i="3" s="1"/>
  <c r="AF101" i="3" s="1"/>
  <c r="AG101" i="3" s="1"/>
  <c r="AH101" i="3" s="1"/>
  <c r="AI101" i="3" s="1"/>
  <c r="AJ101" i="3" s="1"/>
  <c r="AK101" i="3" s="1"/>
  <c r="AL101" i="3" s="1"/>
  <c r="AM101" i="3" s="1"/>
  <c r="AN101" i="3" s="1"/>
  <c r="AO101" i="3" s="1"/>
  <c r="AP101" i="3" s="1"/>
  <c r="AQ101" i="3" s="1"/>
  <c r="AR101" i="3" s="1"/>
  <c r="AS101" i="3" s="1"/>
  <c r="AT101" i="3" s="1"/>
  <c r="AU101" i="3" s="1"/>
  <c r="W133" i="3" l="1"/>
  <c r="Y132" i="3"/>
  <c r="X133" i="3"/>
  <c r="Y133" i="3" l="1"/>
  <c r="Z132" i="3"/>
  <c r="AA132" i="3" l="1"/>
  <c r="Z133" i="3"/>
  <c r="AA133" i="3" l="1"/>
  <c r="AB132" i="3"/>
  <c r="AB133" i="3" l="1"/>
  <c r="AC132" i="3"/>
  <c r="AC133" i="3" l="1"/>
  <c r="AD132" i="3"/>
  <c r="AD133" i="3" l="1"/>
  <c r="AE132" i="3"/>
  <c r="AF132" i="3" l="1"/>
  <c r="AE133" i="3"/>
  <c r="AF133" i="3" l="1"/>
  <c r="AG132" i="3"/>
  <c r="AH132" i="3" l="1"/>
  <c r="AG133" i="3"/>
  <c r="AI132" i="3" l="1"/>
  <c r="AH133" i="3"/>
  <c r="AI133" i="3" l="1"/>
  <c r="AJ132" i="3"/>
  <c r="AJ133" i="3" l="1"/>
  <c r="AK132" i="3"/>
  <c r="AK133" i="3" l="1"/>
  <c r="AL132" i="3"/>
  <c r="AM132" i="3" l="1"/>
  <c r="AL133" i="3"/>
  <c r="AM133" i="3" l="1"/>
  <c r="AN132" i="3"/>
  <c r="AO132" i="3" l="1"/>
  <c r="AN133" i="3"/>
  <c r="AP132" i="3" l="1"/>
  <c r="AO133" i="3"/>
  <c r="AP133" i="3" l="1"/>
  <c r="AQ132" i="3"/>
  <c r="AR132" i="3" l="1"/>
  <c r="AQ133" i="3"/>
  <c r="AS132" i="3" l="1"/>
  <c r="AR133" i="3"/>
  <c r="AT132" i="3" l="1"/>
  <c r="AS133" i="3"/>
  <c r="AU132" i="3" l="1"/>
  <c r="AU133" i="3" s="1"/>
  <c r="AT13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BE8DF5-AE44-4E76-B858-E6A5867F1482}" keepAlive="1" name="Query - Capital Call&amp;Distributions data" description="Connection to the 'Capital Call&amp;Distributions data' query in the workbook." type="5" refreshedVersion="8" background="1" saveData="1">
    <dbPr connection="Provider=Microsoft.Mashup.OleDb.1;Data Source=$Workbook$;Location=&quot;Capital Call&amp;Distributions data&quot;;Extended Properties=&quot;&quot;" command="SELECT * FROM [Capital Call&amp;Distributions data]"/>
  </connection>
  <connection id="2" xr16:uid="{227BC165-F8DC-4680-B495-556396849B93}" keepAlive="1" name="Query - Fondsen" description="Verbinding maken met de query Fondsen in de werkmap." type="5" refreshedVersion="8" background="1" saveData="1">
    <dbPr connection="Provider=Microsoft.Mashup.OleDb.1;Data Source=$Workbook$;Location=Fondsen;Extended Properties=&quot;&quot;" command="SELECT * FROM [Fondse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<sst xmlns="http://schemas.openxmlformats.org/spreadsheetml/2006/main" count="1769" uniqueCount="449">
  <si>
    <t>Projected</t>
  </si>
  <si>
    <t>Currency</t>
  </si>
  <si>
    <t xml:space="preserve">Commitment </t>
  </si>
  <si>
    <t>Close</t>
  </si>
  <si>
    <t>Instap Jaar</t>
  </si>
  <si>
    <t>Capital calls</t>
  </si>
  <si>
    <t>Fondstype</t>
  </si>
  <si>
    <t>currency</t>
  </si>
  <si>
    <t>bedrag</t>
  </si>
  <si>
    <t>ICG II - GP fund</t>
  </si>
  <si>
    <t>EUR</t>
  </si>
  <si>
    <t>PE dummy</t>
  </si>
  <si>
    <t>Welt III</t>
  </si>
  <si>
    <t>Netted in year 2/3</t>
  </si>
  <si>
    <t>Netted in year 2/4</t>
  </si>
  <si>
    <t>Adjust capital call first year</t>
  </si>
  <si>
    <t>Cumulative Cash Flow</t>
  </si>
  <si>
    <t>Private debt</t>
  </si>
  <si>
    <t>Jaren</t>
  </si>
  <si>
    <t>Rente</t>
  </si>
  <si>
    <t>Start</t>
  </si>
  <si>
    <t>Einde looptijd</t>
  </si>
  <si>
    <t>Cumulative Cash Flow PE+PD</t>
  </si>
  <si>
    <t>Cash Exposure</t>
  </si>
  <si>
    <t>Annual Net Cashflow</t>
  </si>
  <si>
    <t>Commitment</t>
  </si>
  <si>
    <t>Yield numerator</t>
  </si>
  <si>
    <t>Yield denominator</t>
  </si>
  <si>
    <t>Yield</t>
  </si>
  <si>
    <t>Expected Performance</t>
  </si>
  <si>
    <t>Expected Multiple</t>
  </si>
  <si>
    <t>Expected IRR</t>
  </si>
  <si>
    <r>
      <t xml:space="preserve">Average Yield </t>
    </r>
    <r>
      <rPr>
        <b/>
        <vertAlign val="superscript"/>
        <sz val="12"/>
        <color theme="0"/>
        <rFont val="FuturaTOT"/>
        <family val="5"/>
      </rPr>
      <t>(1)</t>
    </r>
  </si>
  <si>
    <t>Consolidated performance</t>
  </si>
  <si>
    <t>effectieve rendement</t>
  </si>
  <si>
    <t>Fonds / Feeder</t>
  </si>
  <si>
    <t>MOIC</t>
  </si>
  <si>
    <t>rendement tov # jaar (E)</t>
  </si>
  <si>
    <t>tov factor 8%</t>
  </si>
  <si>
    <t># jaar</t>
  </si>
  <si>
    <t>% geinvesteerd kapitaal (70,66,58)</t>
  </si>
  <si>
    <t>Netto irr na VPB</t>
  </si>
  <si>
    <t>normaal rendement</t>
  </si>
  <si>
    <t>PE FoF</t>
  </si>
  <si>
    <t>percentage</t>
  </si>
  <si>
    <t>effectieve rente</t>
  </si>
  <si>
    <t>VC FoF</t>
  </si>
  <si>
    <t>aantal jaar</t>
  </si>
  <si>
    <t>Secondary feeder</t>
  </si>
  <si>
    <t>factor</t>
  </si>
  <si>
    <t>GP Buyout</t>
  </si>
  <si>
    <t>Impact VC</t>
  </si>
  <si>
    <t>VPB</t>
  </si>
  <si>
    <t>PE-VC Fund (marktlink)</t>
  </si>
  <si>
    <t>Blockchain</t>
  </si>
  <si>
    <t>Private equity</t>
  </si>
  <si>
    <t>Crypto fund</t>
  </si>
  <si>
    <t>VC-FOF-OGF</t>
  </si>
  <si>
    <t>Accelarator impact</t>
  </si>
  <si>
    <t>investering / desinvestering cyclus PE FoF</t>
  </si>
  <si>
    <t>cashflow</t>
  </si>
  <si>
    <t>netto positie tov commitment</t>
  </si>
  <si>
    <t>vpb</t>
  </si>
  <si>
    <t>cumulatieve factor</t>
  </si>
  <si>
    <t>PE-FOF</t>
  </si>
  <si>
    <t>Factor na VPB</t>
  </si>
  <si>
    <t>investering / desinvestering cyclus VC FoF</t>
  </si>
  <si>
    <t>VC-FOF</t>
  </si>
  <si>
    <t>investering / desinvestering cyclus Secondary feeder</t>
  </si>
  <si>
    <t>Secondaries</t>
  </si>
  <si>
    <t>VC FUND DUMMY</t>
  </si>
  <si>
    <t>VC</t>
  </si>
  <si>
    <t>CryptoFund</t>
  </si>
  <si>
    <t>GP-Fund</t>
  </si>
  <si>
    <t>PE FOF - Altix 2,25MM</t>
  </si>
  <si>
    <t>netto cashflow</t>
  </si>
  <si>
    <t>Distributies</t>
  </si>
  <si>
    <t xml:space="preserve">Cumulatief </t>
  </si>
  <si>
    <t>Cumulatieve factor</t>
  </si>
  <si>
    <t>PE Altix</t>
  </si>
  <si>
    <t>Pymwymic Healthy Food Systems Impact Fund II Cooperatief U.A.</t>
  </si>
  <si>
    <t>VC Impact</t>
  </si>
  <si>
    <t>SGIF</t>
  </si>
  <si>
    <t>PE Buyout</t>
  </si>
  <si>
    <t>uMunthu VC</t>
  </si>
  <si>
    <t>Low to mid market PE</t>
  </si>
  <si>
    <t>Vendis Capital IV Capital Calls</t>
  </si>
  <si>
    <t>Vendis Capital IV Distributies</t>
  </si>
  <si>
    <t>Vendis Capital IV Netto Cashflow</t>
  </si>
  <si>
    <t>PE</t>
  </si>
  <si>
    <t>Cashflow na VPB</t>
  </si>
  <si>
    <t>Parcom - PE-Buyout</t>
  </si>
  <si>
    <t>Parcom VII Capital Calls</t>
  </si>
  <si>
    <t>Parcom VII Distrubuties</t>
  </si>
  <si>
    <t>Parcom VII Netto Cashflow</t>
  </si>
  <si>
    <t>PE-Buyout</t>
  </si>
  <si>
    <t>ICG SE V Capital Calls</t>
  </si>
  <si>
    <t>ICG SE V Distributies</t>
  </si>
  <si>
    <t>ICG SE V Netto Cashflow</t>
  </si>
  <si>
    <t>cummulatief</t>
  </si>
  <si>
    <t>Secondaries-GP</t>
  </si>
  <si>
    <t>WMP - Forbion</t>
  </si>
  <si>
    <t>PE-VC Fund</t>
  </si>
  <si>
    <t>ICG LP I Netto Cashflow</t>
  </si>
  <si>
    <t>Secondaries-LP</t>
  </si>
  <si>
    <t>Netto Cashflow</t>
  </si>
  <si>
    <t>Impact Fund</t>
  </si>
  <si>
    <t>Netto cashflow</t>
  </si>
  <si>
    <t>PE Buyout - feeder</t>
  </si>
  <si>
    <t>Secondaries-MM</t>
  </si>
  <si>
    <t>Evergeen - Impact</t>
  </si>
  <si>
    <t>Cumultaief</t>
  </si>
  <si>
    <t xml:space="preserve">Factor </t>
  </si>
  <si>
    <t>cummulatief factor</t>
  </si>
  <si>
    <t>Infra-impact</t>
  </si>
  <si>
    <t>Impact - FOF</t>
  </si>
  <si>
    <t>Impact-accel</t>
  </si>
  <si>
    <t>Impact-Supply</t>
  </si>
  <si>
    <t>Impact-PE</t>
  </si>
  <si>
    <t>Impact-fund</t>
  </si>
  <si>
    <t>VC-XII</t>
  </si>
  <si>
    <t>Ardian ASF IX</t>
  </si>
  <si>
    <t>Ardian-Sec</t>
  </si>
  <si>
    <t>Fondsnamen</t>
  </si>
  <si>
    <t>VC/PE/Secondaries</t>
  </si>
  <si>
    <t>OGF II</t>
  </si>
  <si>
    <t>Alpinvest</t>
  </si>
  <si>
    <t>Quadrum</t>
  </si>
  <si>
    <t>ICG I - LP Fund</t>
  </si>
  <si>
    <t>Private debt 1 jaar</t>
  </si>
  <si>
    <t>Private debt 1y</t>
  </si>
  <si>
    <t>Private debt 2 jaar</t>
  </si>
  <si>
    <t>Private debt 2y</t>
  </si>
  <si>
    <t>Private debt 3 jaar</t>
  </si>
  <si>
    <t>Private debt 3y</t>
  </si>
  <si>
    <t>Insight XII</t>
  </si>
  <si>
    <t>Rubio</t>
  </si>
  <si>
    <t>Unaterra</t>
  </si>
  <si>
    <t>DWS Infra SGIF</t>
  </si>
  <si>
    <t>VC dummy</t>
  </si>
  <si>
    <t>VC-FOF Dummy</t>
  </si>
  <si>
    <t>Secondaries Dummy</t>
  </si>
  <si>
    <t>Welt II</t>
  </si>
  <si>
    <t>Main</t>
  </si>
  <si>
    <t>365 Capital</t>
  </si>
  <si>
    <t>Altor Act</t>
  </si>
  <si>
    <t>Vendis</t>
  </si>
  <si>
    <t>Stepstone</t>
  </si>
  <si>
    <t>Feeder</t>
  </si>
  <si>
    <t>Maven 11 bvf 3</t>
  </si>
  <si>
    <t>WMP secondaries</t>
  </si>
  <si>
    <t xml:space="preserve">AXAR </t>
  </si>
  <si>
    <t>Safra</t>
  </si>
  <si>
    <t>Lombard Odier Sec</t>
  </si>
  <si>
    <t>Pride Capital II</t>
  </si>
  <si>
    <t>Pymwymic</t>
  </si>
  <si>
    <t>FIRST YEAR CALL</t>
  </si>
  <si>
    <t>uMunthu II</t>
  </si>
  <si>
    <t>GP-FUND</t>
  </si>
  <si>
    <t>Pacenotes</t>
  </si>
  <si>
    <t>Waterland</t>
  </si>
  <si>
    <t>Wire group</t>
  </si>
  <si>
    <t>Carbon equity</t>
  </si>
  <si>
    <t>4impact</t>
  </si>
  <si>
    <t>Norrsken Accelerator</t>
  </si>
  <si>
    <t>Headway</t>
  </si>
  <si>
    <t>Parcom</t>
  </si>
  <si>
    <t>Ventura Technology Growth</t>
  </si>
  <si>
    <t>Healthy Capital</t>
  </si>
  <si>
    <t>Peak</t>
  </si>
  <si>
    <t>Pythagoras</t>
  </si>
  <si>
    <t>Forbion</t>
  </si>
  <si>
    <t>Rhein Invest</t>
  </si>
  <si>
    <t>Ardian Sec - LP</t>
  </si>
  <si>
    <t>Ardian</t>
  </si>
  <si>
    <t>Saga</t>
  </si>
  <si>
    <t>Glendower</t>
  </si>
  <si>
    <t>Theta</t>
  </si>
  <si>
    <t>Ardian - Infra</t>
  </si>
  <si>
    <t>Altix - ALT 2</t>
  </si>
  <si>
    <t>B Capital</t>
  </si>
  <si>
    <t>1982 Ventures</t>
  </si>
  <si>
    <t>MIP I</t>
  </si>
  <si>
    <t>MIP II</t>
  </si>
  <si>
    <t>MIP III</t>
  </si>
  <si>
    <t>MIP IV</t>
  </si>
  <si>
    <t>Welt I</t>
  </si>
  <si>
    <t>Cottonwood</t>
  </si>
  <si>
    <t>HgCapital - HgSaturn 3</t>
  </si>
  <si>
    <t xml:space="preserve">Acrobator </t>
  </si>
  <si>
    <t>E2CP-Esquare</t>
  </si>
  <si>
    <t>Apogem Capital</t>
  </si>
  <si>
    <t>Aqua-spark</t>
  </si>
  <si>
    <t>BB-Capital</t>
  </si>
  <si>
    <t>Blackstone</t>
  </si>
  <si>
    <t>Bonaccord - GP Fund</t>
  </si>
  <si>
    <t>Carbon Equity</t>
  </si>
  <si>
    <t>EQT-Health</t>
  </si>
  <si>
    <t>Leapfrog Emerging Consumer</t>
  </si>
  <si>
    <t>Trailhead Impact</t>
  </si>
  <si>
    <t>Global Impact Pool</t>
  </si>
  <si>
    <t>EQT-Nexus</t>
  </si>
  <si>
    <t>EQT-Health Economics</t>
  </si>
  <si>
    <t>Fundracer</t>
  </si>
  <si>
    <t xml:space="preserve">Giant Ventures Early Growth </t>
  </si>
  <si>
    <t>Gilde Healthcare - VC</t>
  </si>
  <si>
    <t>Gilde Healthcare - PE</t>
  </si>
  <si>
    <t>Goldman Sachs - Alt</t>
  </si>
  <si>
    <t>Headway IV</t>
  </si>
  <si>
    <t>Headway V</t>
  </si>
  <si>
    <t>Hodl-Algorithmic</t>
  </si>
  <si>
    <t>IBS AS PE FUND</t>
  </si>
  <si>
    <t>IBS Private Equity Growth Fund</t>
  </si>
  <si>
    <t>LifeX</t>
  </si>
  <si>
    <t>LUMO</t>
  </si>
  <si>
    <t>M&amp;G PE</t>
  </si>
  <si>
    <t>New 2nd</t>
  </si>
  <si>
    <t>NLC-Health</t>
  </si>
  <si>
    <t xml:space="preserve">Nobel - Fund III </t>
  </si>
  <si>
    <t>Principium</t>
  </si>
  <si>
    <t>Realterm</t>
  </si>
  <si>
    <t xml:space="preserve">Rothshield </t>
  </si>
  <si>
    <t>OGFI</t>
  </si>
  <si>
    <t>First year call</t>
  </si>
  <si>
    <t>PE Buy-Out Dummy</t>
  </si>
  <si>
    <t>Rivean</t>
  </si>
  <si>
    <t>Mentha</t>
  </si>
  <si>
    <t>IceLake</t>
  </si>
  <si>
    <t>Vortex</t>
  </si>
  <si>
    <t>Maven 11 bvf 2</t>
  </si>
  <si>
    <t>Maven 11 DAF 1</t>
  </si>
  <si>
    <t>6DCIII Capital Calls</t>
  </si>
  <si>
    <t>6DCIII Distributies</t>
  </si>
  <si>
    <t>6DCIII Netto Cashflow</t>
  </si>
  <si>
    <t>6DCIII Cumulatief</t>
  </si>
  <si>
    <t>VC6</t>
  </si>
  <si>
    <t>6degrees III</t>
  </si>
  <si>
    <t>Egeria</t>
  </si>
  <si>
    <t>Music PE</t>
  </si>
  <si>
    <t>Real-estate</t>
  </si>
  <si>
    <t>IRR</t>
  </si>
  <si>
    <t>Private Equity and Private Debt Exposure</t>
  </si>
  <si>
    <t>Direct</t>
  </si>
  <si>
    <t>Cumulative Private Debt</t>
  </si>
  <si>
    <t>NB-SEC</t>
  </si>
  <si>
    <t>NB GP SEC</t>
  </si>
  <si>
    <t>CE-CIF</t>
  </si>
  <si>
    <t>CE-CTPFIII</t>
  </si>
  <si>
    <t>CE-DCARBONI</t>
  </si>
  <si>
    <t>CE-CTPFII</t>
  </si>
  <si>
    <t>Carbon Equity Climate Infrastructure Fund I</t>
  </si>
  <si>
    <t>Carbon Equity Climate Tech III</t>
  </si>
  <si>
    <t>Carbon Equity Decarbonization I</t>
  </si>
  <si>
    <t>Carbon Equity Climate Tech II</t>
  </si>
  <si>
    <t>ICG SE V Close 2025</t>
  </si>
  <si>
    <t>ICG II - Close 2025</t>
  </si>
  <si>
    <t>Moonfare Insight XII</t>
  </si>
  <si>
    <t>Startup bootcamp</t>
  </si>
  <si>
    <t>KPMF</t>
  </si>
  <si>
    <t>PE-FOF-XII</t>
  </si>
  <si>
    <t>Evergeen - VC</t>
  </si>
  <si>
    <t>Evergeen</t>
  </si>
  <si>
    <t>PE-energy fund</t>
  </si>
  <si>
    <t>Move energy fund</t>
  </si>
  <si>
    <t>Direct - Harvest</t>
  </si>
  <si>
    <t>Alpinvest Fund VIII</t>
  </si>
  <si>
    <t>Alpinvest Secondaries</t>
  </si>
  <si>
    <t>MIP FoF V</t>
  </si>
  <si>
    <t>Marktlink PE FoF</t>
  </si>
  <si>
    <t>Carbon Equity - Decarbonization Fund I</t>
  </si>
  <si>
    <t>DCF-I</t>
  </si>
  <si>
    <t>Carbon Equity - Climate Tech Portfolio Fund II</t>
  </si>
  <si>
    <t>CTF-2</t>
  </si>
  <si>
    <t>Carbon Equity - Climate Tech Portfolio Fund III</t>
  </si>
  <si>
    <t>CTF-3</t>
  </si>
  <si>
    <t>Carbon Equity - Climate Infrastructure Fund I</t>
  </si>
  <si>
    <t>CIF-I</t>
  </si>
  <si>
    <t>NP Hard</t>
  </si>
  <si>
    <t>Angel Investment</t>
  </si>
  <si>
    <t>Curiosity VC</t>
  </si>
  <si>
    <t>Glendower SOF V</t>
  </si>
  <si>
    <t>GD-SOF V</t>
  </si>
  <si>
    <t>GEMStone</t>
  </si>
  <si>
    <t>GEMStar</t>
  </si>
  <si>
    <t>Nord DMH III</t>
  </si>
  <si>
    <t>DMH III</t>
  </si>
  <si>
    <t>Coller IX CV</t>
  </si>
  <si>
    <t xml:space="preserve">CIX </t>
  </si>
  <si>
    <t>Lexar</t>
  </si>
  <si>
    <t>Curiosty Early stage fund</t>
  </si>
  <si>
    <t>Curiosty Strise Co-investment</t>
  </si>
  <si>
    <t>Adam Street Partners VIII</t>
  </si>
  <si>
    <t>ASVIII</t>
  </si>
  <si>
    <t>LXII</t>
  </si>
  <si>
    <t>Lexar II</t>
  </si>
  <si>
    <t>Dutch Founders Fund</t>
  </si>
  <si>
    <t>DFF III</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</si>
  <si>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</si>
  <si>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</si>
  <si>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</si>
  <si>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</si>
  <si>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</si>
  <si>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</si>
  <si>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</si>
  <si>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</si>
  <si>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</si>
  <si>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</si>
  <si>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</si>
  <si>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</si>
  <si>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</si>
  <si>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</si>
  <si>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</si>
  <si>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</si>
  <si>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</si>
  <si>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</si>
  <si>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</si>
  <si>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Evergreen</t>
  </si>
  <si>
    <t>NxG</t>
  </si>
  <si>
    <t>TBV4-25</t>
  </si>
  <si>
    <t xml:space="preserve">GS Co-I II </t>
  </si>
  <si>
    <t>GS VIN VIII</t>
  </si>
  <si>
    <t>GS VIN IX</t>
  </si>
  <si>
    <t>VLK PM D</t>
  </si>
  <si>
    <t>WMP PEP</t>
  </si>
  <si>
    <t>WMP PPP</t>
  </si>
  <si>
    <t>WMP sec</t>
  </si>
  <si>
    <t>WMP PEP III</t>
  </si>
  <si>
    <t>North-direct</t>
  </si>
  <si>
    <t>VLC INFRA III</t>
  </si>
  <si>
    <t>UN-I</t>
  </si>
  <si>
    <t>SI-IV</t>
  </si>
  <si>
    <t>G-VC</t>
  </si>
  <si>
    <t>Evergreen Agri</t>
  </si>
  <si>
    <t>BC-VII</t>
  </si>
  <si>
    <t>Unatera I</t>
  </si>
  <si>
    <t>Shift - Invest</t>
  </si>
  <si>
    <t>Grounded VC</t>
  </si>
  <si>
    <t>VLK Private Markets Solution D</t>
  </si>
  <si>
    <t>Farmland Fund</t>
  </si>
  <si>
    <t>Goldman Sachs Co-Investment Fund</t>
  </si>
  <si>
    <t>Bencis VII</t>
  </si>
  <si>
    <t>Goldman Sachs - VIII</t>
  </si>
  <si>
    <t>Goldman Sachs - IX</t>
  </si>
  <si>
    <t>WMP Secondaries Pool</t>
  </si>
  <si>
    <t>Altix - ALT 1</t>
  </si>
  <si>
    <t>Flight Fund</t>
  </si>
  <si>
    <t>VLC Infrastructure Fund III</t>
  </si>
  <si>
    <t>Theta 2025 close</t>
  </si>
  <si>
    <t>Evergreen - Impact</t>
  </si>
  <si>
    <t>Next Gen</t>
  </si>
  <si>
    <t>uMunthu II - Goodwell</t>
  </si>
  <si>
    <t>Pitchdrive Fund 2</t>
  </si>
  <si>
    <t>Tiaga Web 3 Zepplin</t>
  </si>
  <si>
    <t>Smartfin SFV2</t>
  </si>
  <si>
    <t>Tioga Web 3</t>
  </si>
  <si>
    <t>Safra - Northvolt</t>
  </si>
  <si>
    <t>Marktlink VC FoF</t>
  </si>
  <si>
    <t>Smartfin Capital</t>
  </si>
  <si>
    <t>KKR Ascendant</t>
  </si>
  <si>
    <t>Launch3 Fund</t>
  </si>
  <si>
    <t>Stonebridge</t>
  </si>
  <si>
    <t>Anders Invest</t>
  </si>
  <si>
    <t>ALS Invest</t>
  </si>
  <si>
    <t>Ajim Capital</t>
  </si>
  <si>
    <t>Web Summit</t>
  </si>
  <si>
    <t xml:space="preserve">Slingshot Ventures </t>
  </si>
  <si>
    <t>Henq 4</t>
  </si>
  <si>
    <t>Collab Capital</t>
  </si>
  <si>
    <t>Sound.XYZ</t>
  </si>
  <si>
    <t>Moonpay</t>
  </si>
  <si>
    <t>Aflorithmic</t>
  </si>
  <si>
    <t>Un:hurd</t>
  </si>
  <si>
    <t xml:space="preserve">Amigos </t>
  </si>
  <si>
    <t>Lifecycle</t>
  </si>
  <si>
    <t>Vegan Food club</t>
  </si>
  <si>
    <t>Density</t>
  </si>
  <si>
    <t>Update</t>
  </si>
  <si>
    <t>Apollo</t>
  </si>
  <si>
    <t>Madhappy</t>
  </si>
  <si>
    <t>Corilly</t>
  </si>
  <si>
    <t>Sauz</t>
  </si>
  <si>
    <t>Rob's Popcorn</t>
  </si>
  <si>
    <t>Fly By Jing</t>
  </si>
  <si>
    <t>Superreply</t>
  </si>
  <si>
    <t>True Anomaly</t>
  </si>
  <si>
    <t>Koffiemok VC</t>
  </si>
  <si>
    <t>Quadrum Fonds 3</t>
  </si>
  <si>
    <t>Quadrum Fonds 4</t>
  </si>
  <si>
    <t>Quadrum Evergreen Fonds</t>
  </si>
  <si>
    <t>H2 Fonds via Feeder Bonavita</t>
  </si>
  <si>
    <t>MKB Fonds 6</t>
  </si>
  <si>
    <t>PE FF</t>
  </si>
  <si>
    <t>IBS PE-FOF</t>
  </si>
  <si>
    <t>IBS-PEF</t>
  </si>
  <si>
    <t>HP-IX</t>
  </si>
  <si>
    <t>Hollyport IX</t>
  </si>
  <si>
    <t>Direct Dummy</t>
  </si>
  <si>
    <t>Informatie en risico's</t>
  </si>
  <si>
    <t>Deelnemingsvrijstelling</t>
  </si>
  <si>
    <t>OGF II - 2023</t>
  </si>
  <si>
    <t>Aquaspark</t>
  </si>
  <si>
    <t>HEF-III</t>
  </si>
  <si>
    <t>IBS-PFOF</t>
  </si>
  <si>
    <t>COI IV</t>
  </si>
  <si>
    <t>EQT HEF III</t>
  </si>
  <si>
    <t>DSTF - Binary</t>
  </si>
  <si>
    <t>VCC Deeptech</t>
  </si>
  <si>
    <t>Harvest Waste</t>
  </si>
  <si>
    <t>OGF II -  Close 2023</t>
  </si>
  <si>
    <t>Marktlink Co-Investment IV</t>
  </si>
  <si>
    <t>Holland Capital Venture and Growth Fund IV</t>
  </si>
  <si>
    <t>Karmijn Kapitaal Fund III</t>
  </si>
  <si>
    <t>Marktlink Investment Partners Funds III</t>
  </si>
  <si>
    <t>MC Direct MC VIII</t>
  </si>
  <si>
    <t>Holland Capital Growth and Buy-Out Fund V</t>
  </si>
  <si>
    <t>MCAP Direct FG III FV VII</t>
  </si>
  <si>
    <t>Hooverdam Fonds</t>
  </si>
  <si>
    <t>MCAP Direct ICGSEV</t>
  </si>
  <si>
    <t xml:space="preserve">SPICE THREE Investment </t>
  </si>
  <si>
    <t>Holland Capital Venture and Growth Fund V</t>
  </si>
  <si>
    <t>Newport</t>
  </si>
  <si>
    <t>Henq5</t>
  </si>
  <si>
    <t>Beleggen brengt risico’s en kosten met zich mee. De waarde van uw belegging kan fluctueren. In het verleden behaalde resultaten bieden geen garantie voor de toekomst. U kunt uw inleg of een deel hiervan verliezen. Het bovenstaande is uitsluitend bedoeld ter informatieve doeleinden en biedt geen indicatie van toekomstige prestaties of specifieke beleggingsadvies. De hierin verstrekte informatie is gebaseerd op gegevens die zijn aangeleverd door fondsen of verkregen uit externe databronnen, welke mogelijk onvolledig of niet verifieerbaar zijn. Derhalve kunnen er geen rechten aan dit overzicht worden ontleend. Voor de exacte fondsinformatie verwijzen wij naar de documentatie van de fondsmanager. Momentum Family Office is een handelsnaam van Momentum CFS B.V. Momentum CFS B.V. (KvK 76951707) beschikt over een vergunning van de Autoriteit Financiële Markten (AFM) voor het geven van beleggingsadvies en het ontvangen en doorgeven van orders in deelnemingsrechten in beleggingsinstellingen en icbe’s (beleggingsfondsen).Dit document mag niet worden opgevat als individueel beleggingsadvies, noch als een aanbod of verzoek tot het aangaan van een transactie. Het dient enkel ter ondersteuning van algemene discussie en overwegingen met betrekking tot toekomstige investeringsbeslissingen waarbij Momentum u mogelijk zal adviseren. De fiscale behandeling van een belegging kan afhankelijk zijn van individuele omstandigheden en aan wijzigingen onderhevig zijn. Momentum Family Office geeft geen belastingadvies, raadpleeg bij twijfel een fiscalist</t>
  </si>
  <si>
    <t>Column20</t>
  </si>
  <si>
    <t>Column21</t>
  </si>
  <si>
    <t>Column22</t>
  </si>
  <si>
    <t>KKR-Asc</t>
  </si>
  <si>
    <t>0</t>
  </si>
  <si>
    <t>VC-HENQ5</t>
  </si>
  <si>
    <t>Lexington XII</t>
  </si>
  <si>
    <t>LEX-XII</t>
  </si>
  <si>
    <t>Contributions</t>
  </si>
  <si>
    <t>Distributions</t>
  </si>
  <si>
    <t>Netto CF</t>
  </si>
  <si>
    <t>WELT-II</t>
  </si>
  <si>
    <t>BCAP- SEC</t>
  </si>
  <si>
    <t>VC - 1982</t>
  </si>
  <si>
    <t>MIP-I</t>
  </si>
  <si>
    <t>Welt-I</t>
  </si>
  <si>
    <t>MIP-II</t>
  </si>
  <si>
    <t>HG-SaturnIII</t>
  </si>
  <si>
    <t>OGF - I</t>
  </si>
  <si>
    <t>OGF-II-2022</t>
  </si>
  <si>
    <t>E2CP</t>
  </si>
  <si>
    <t>Bcapital II -  Secondary</t>
  </si>
  <si>
    <t>OGFII-2022 Close</t>
  </si>
  <si>
    <t>private debt 1</t>
  </si>
  <si>
    <t>private debt 2</t>
  </si>
  <si>
    <t>John Huiberts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</si>
</sst>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quot;€&quot;\ * #,##0.00_ ;_ &quot;€&quot;\ * \-#,##0.00_ ;_ &quot;€&quot;\ * &quot;-&quot;??_ ;_ @_ "/>
    <numFmt numFmtId="164" formatCode="0.0%"/>
    <numFmt numFmtId="165" formatCode="_-* #,##0.00\ [$€]_-;\-* #,##0.00\ [$€]_-;_-* &quot;-&quot;??\ [$€]_-;_-@_-"/>
    <numFmt numFmtId="166" formatCode="\€#,##0.0&quot;m&quot;"/>
    <numFmt numFmtId="167" formatCode="[$-409]mmm\-yy;@"/>
    <numFmt numFmtId="168" formatCode="_(* #,##0.00_);_(* \(#,##0.00\);_(* &quot;-&quot;??_);_(@_)"/>
    <numFmt numFmtId="169" formatCode="_(* #,##0.0000_);_(* \(#,##0.0000\);_(* &quot;-&quot;??_);_(@_)"/>
    <numFmt numFmtId="170" formatCode="_-* #,##0.00\ _€_-;\-* #,##0.00\ _€_-;_-* &quot;-&quot;??\ _€_-;_-@_-"/>
    <numFmt numFmtId="171" formatCode="_-* #,##0.0\ _€_-;\-* #,##0.0\ _€_-;_-* &quot;-&quot;??\ _€_-;_-@_-"/>
    <numFmt numFmtId="172" formatCode="#,##0.0"/>
    <numFmt numFmtId="173" formatCode="0.00\x"/>
    <numFmt numFmtId="174" formatCode="_(\ #,##0.0_);_(\ \(#,##0.0\);_(\ &quot;-&quot;??_);_(@_)"/>
    <numFmt numFmtId="175" formatCode="yyyy"/>
    <numFmt numFmtId="176" formatCode="0.000%"/>
    <numFmt numFmtId="177" formatCode="_-* #,##0.00000\ [$€]_-;\-* #,##0.00000\ [$€]_-;_-* &quot;-&quot;??\ [$€]_-;_-@_-"/>
  </numFmts>
  <fonts count="35">
    <font>
      <sz val="11"/>
      <color theme="1"/>
      <name val="Aptos Narrow"/>
      <family val="2"/>
      <scheme val="minor"/>
    </font>
    <font>
      <sz val="11"/>
      <color theme="1"/>
      <name val="Aptos Narrow"/>
      <family val="2"/>
      <scheme val="minor"/>
    </font>
    <font>
      <sz val="10"/>
      <name val="Arial"/>
      <family val="2"/>
    </font>
    <font>
      <b/>
      <sz val="20"/>
      <color theme="1"/>
      <name val="Arial"/>
      <family val="2"/>
    </font>
    <font>
      <sz val="16"/>
      <color theme="4"/>
      <name val="Arial"/>
      <family val="2"/>
    </font>
    <font>
      <sz val="10"/>
      <color theme="0"/>
      <name val="Arial"/>
      <family val="2"/>
    </font>
    <font>
      <sz val="11"/>
      <color rgb="FF000000"/>
      <name val="Aptos Narrow"/>
      <family val="2"/>
      <scheme val="minor"/>
    </font>
    <font>
      <sz val="11"/>
      <name val="Calibri"/>
      <family val="2"/>
    </font>
    <font>
      <sz val="15"/>
      <color theme="0"/>
      <name val="Arial"/>
      <family val="2"/>
    </font>
    <font>
      <sz val="10"/>
      <color theme="1"/>
      <name val="Arial"/>
      <family val="2"/>
    </font>
    <font>
      <sz val="15"/>
      <name val="Arial"/>
      <family val="2"/>
    </font>
    <font>
      <sz val="10"/>
      <color theme="1"/>
      <name val="FuturaTOT"/>
      <family val="5"/>
    </font>
    <font>
      <sz val="10"/>
      <color theme="1"/>
      <name val="FuturaTOTMed"/>
      <family val="5"/>
    </font>
    <font>
      <sz val="11"/>
      <color theme="1"/>
      <name val="FuturaTOT"/>
      <family val="5"/>
    </font>
    <font>
      <sz val="10"/>
      <color theme="0"/>
      <name val="FuturaTOT"/>
      <family val="5"/>
    </font>
    <font>
      <b/>
      <sz val="10"/>
      <color theme="1"/>
      <name val="FuturaTOT"/>
      <family val="5"/>
    </font>
    <font>
      <sz val="10"/>
      <name val="FuturaTOT"/>
      <family val="5"/>
    </font>
    <font>
      <b/>
      <sz val="10"/>
      <name val="Arial"/>
      <family val="2"/>
    </font>
    <font>
      <b/>
      <sz val="15"/>
      <name val="Arial"/>
      <family val="2"/>
    </font>
    <font>
      <b/>
      <sz val="12"/>
      <color theme="0"/>
      <name val="FuturaTOT"/>
      <family val="5"/>
    </font>
    <font>
      <b/>
      <vertAlign val="superscript"/>
      <sz val="12"/>
      <color theme="0"/>
      <name val="FuturaTOT"/>
      <family val="5"/>
    </font>
    <font>
      <i/>
      <sz val="9"/>
      <color theme="1"/>
      <name val="FuturaTOT"/>
      <family val="5"/>
    </font>
    <font>
      <b/>
      <sz val="10"/>
      <color theme="1"/>
      <name val="FuturaTOT"/>
    </font>
    <font>
      <sz val="22"/>
      <name val="Arial"/>
      <family val="2"/>
    </font>
    <font>
      <b/>
      <sz val="10"/>
      <name val="FuturaTOT"/>
    </font>
    <font>
      <sz val="11"/>
      <color theme="1"/>
      <name val="Calibri"/>
      <family val="2"/>
    </font>
    <font>
      <sz val="8"/>
      <name val="Aptos Narrow"/>
      <family val="2"/>
      <scheme val="minor"/>
    </font>
    <font>
      <u/>
      <sz val="11"/>
      <color theme="10"/>
      <name val="Aptos Narrow"/>
      <family val="2"/>
      <scheme val="minor"/>
    </font>
    <font>
      <sz val="10"/>
      <color theme="0"/>
      <name val="FuturaTOTMed"/>
      <family val="5"/>
    </font>
    <font>
      <b/>
      <sz val="28"/>
      <name val="Arial"/>
      <family val="2"/>
    </font>
    <font>
      <sz val="20"/>
      <color theme="4"/>
      <name val="Arial"/>
      <family val="2"/>
    </font>
    <font>
      <b/>
      <sz val="12"/>
      <color rgb="FFFFC000"/>
      <name val="Aptos Display"/>
      <family val="2"/>
      <scheme val="major"/>
    </font>
    <font>
      <sz val="11"/>
      <color theme="1"/>
      <name val="Aptos Display"/>
      <family val="2"/>
      <scheme val="major"/>
    </font>
    <font>
      <sz val="12"/>
      <color theme="1"/>
      <name val="Aptos Display"/>
      <family val="2"/>
      <scheme val="major"/>
    </font>
    <font>
      <sz val="16"/>
      <name val="FuturaTOT"/>
      <family val="5"/>
    </font>
  </fonts>
  <fills count="15">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1" tint="0.79998168889431442"/>
        <bgColor indexed="64"/>
      </patternFill>
    </fill>
    <fill>
      <patternFill patternType="solid">
        <fgColor theme="0" tint="-4.9989318521683403E-2"/>
        <bgColor indexed="64"/>
      </patternFill>
    </fill>
    <fill>
      <patternFill patternType="solid">
        <fgColor theme="2"/>
        <bgColor indexed="64"/>
      </patternFill>
    </fill>
    <fill>
      <patternFill patternType="lightGray"/>
    </fill>
    <fill>
      <patternFill patternType="solid">
        <fgColor theme="2" tint="-4.9989318521683403E-2"/>
        <bgColor indexed="64"/>
      </patternFill>
    </fill>
    <fill>
      <patternFill patternType="lightGray">
        <bgColor theme="2" tint="-4.9989318521683403E-2"/>
      </patternFill>
    </fill>
    <fill>
      <patternFill patternType="solid">
        <fgColor theme="1" tint="0.59999389629810485"/>
        <bgColor indexed="64"/>
      </patternFill>
    </fill>
    <fill>
      <patternFill patternType="solid">
        <fgColor theme="2" tint="-0.14999847407452621"/>
        <bgColor indexed="64"/>
      </patternFill>
    </fill>
    <fill>
      <patternFill patternType="solid">
        <fgColor theme="3" tint="0.749992370372631"/>
        <bgColor indexed="64"/>
      </patternFill>
    </fill>
    <fill>
      <patternFill patternType="solid">
        <fgColor rgb="FF002060"/>
        <bgColor indexed="64"/>
      </patternFill>
    </fill>
    <fill>
      <patternFill patternType="solid">
        <fgColor theme="3" tint="9.9978637043366805E-2"/>
        <bgColor indexed="64"/>
      </patternFill>
    </fill>
  </fills>
  <borders count="12">
    <border>
      <left/>
      <right/>
      <top/>
      <bottom/>
      <diagonal/>
    </border>
    <border>
      <left/>
      <right/>
      <top style="mediumDashed">
        <color theme="6" tint="-0.499984740745262"/>
      </top>
      <bottom style="dotted">
        <color theme="1"/>
      </bottom>
      <diagonal/>
    </border>
    <border>
      <left/>
      <right/>
      <top style="dotted">
        <color theme="1"/>
      </top>
      <bottom/>
      <diagonal/>
    </border>
    <border>
      <left/>
      <right/>
      <top/>
      <bottom style="dotted">
        <color theme="1"/>
      </bottom>
      <diagonal/>
    </border>
    <border>
      <left/>
      <right/>
      <top style="dotted">
        <color theme="1"/>
      </top>
      <bottom style="dotted">
        <color theme="1"/>
      </bottom>
      <diagonal/>
    </border>
    <border>
      <left/>
      <right/>
      <top style="dotted">
        <color theme="1"/>
      </top>
      <bottom style="thin">
        <color theme="1"/>
      </bottom>
      <diagonal/>
    </border>
    <border>
      <left/>
      <right/>
      <top style="mediumDashed">
        <color theme="6" tint="-0.499984740745262"/>
      </top>
      <bottom/>
      <diagonal/>
    </border>
    <border>
      <left/>
      <right style="thick">
        <color theme="2"/>
      </right>
      <top/>
      <bottom style="dotted">
        <color theme="1"/>
      </bottom>
      <diagonal/>
    </border>
    <border>
      <left/>
      <right style="thick">
        <color theme="2"/>
      </right>
      <top style="dotted">
        <color theme="1"/>
      </top>
      <bottom/>
      <diagonal/>
    </border>
    <border>
      <left/>
      <right style="thick">
        <color theme="2"/>
      </right>
      <top style="dotted">
        <color theme="1"/>
      </top>
      <bottom style="thin">
        <color theme="1"/>
      </bottom>
      <diagonal/>
    </border>
    <border>
      <left/>
      <right/>
      <top/>
      <bottom style="dotted">
        <color auto="1"/>
      </bottom>
      <diagonal/>
    </border>
    <border>
      <left style="medium">
        <color rgb="FF000000"/>
      </left>
      <right/>
      <top style="medium">
        <color rgb="FF000000"/>
      </top>
      <bottom/>
      <diagonal/>
    </border>
  </borders>
  <cellStyleXfs count="13">
    <xf numFmtId="0" fontId="0" fillId="0" borderId="0"/>
    <xf numFmtId="165" fontId="2" fillId="0" borderId="0"/>
    <xf numFmtId="0" fontId="1" fillId="0" borderId="0"/>
    <xf numFmtId="0" fontId="6" fillId="0" borderId="0"/>
    <xf numFmtId="9" fontId="1" fillId="0" borderId="0" applyFont="0" applyFill="0" applyBorder="0" applyAlignment="0" applyProtection="0"/>
    <xf numFmtId="168" fontId="9" fillId="0" borderId="0" applyFont="0" applyFill="0" applyBorder="0" applyAlignment="0" applyProtection="0"/>
    <xf numFmtId="170" fontId="2" fillId="0" borderId="0" applyFont="0" applyFill="0" applyBorder="0" applyAlignment="0" applyProtection="0"/>
    <xf numFmtId="9" fontId="9" fillId="0" borderId="0" applyFont="0" applyFill="0" applyBorder="0" applyAlignment="0" applyProtection="0"/>
    <xf numFmtId="168" fontId="1" fillId="0" borderId="0" applyFont="0" applyFill="0" applyBorder="0" applyAlignment="0" applyProtection="0"/>
    <xf numFmtId="0" fontId="6" fillId="0" borderId="0"/>
    <xf numFmtId="9" fontId="1" fillId="0" borderId="0" applyFont="0" applyFill="0" applyBorder="0" applyAlignment="0" applyProtection="0"/>
    <xf numFmtId="0" fontId="27" fillId="0" borderId="0" applyNumberFormat="0" applyFill="0" applyBorder="0" applyAlignment="0" applyProtection="0"/>
    <xf numFmtId="44" fontId="1" fillId="0" borderId="0" applyFont="0" applyFill="0" applyBorder="0" applyAlignment="0" applyProtection="0"/>
  </cellStyleXfs>
  <cellXfs count="147">
    <xf numFmtId="0" fontId="0" fillId="0" borderId="0" xfId="0"/>
    <xf numFmtId="165" fontId="2" fillId="3" borderId="0" xfId="1" applyFill="1"/>
    <xf numFmtId="0" fontId="3" fillId="3" borderId="0" xfId="2" applyFont="1" applyFill="1" applyAlignment="1">
      <alignment vertical="center"/>
    </xf>
    <xf numFmtId="165" fontId="5" fillId="3" borderId="0" xfId="1" applyFont="1" applyFill="1"/>
    <xf numFmtId="0" fontId="7" fillId="0" borderId="0" xfId="3" applyFont="1"/>
    <xf numFmtId="166" fontId="4" fillId="0" borderId="0" xfId="4" applyNumberFormat="1" applyFont="1" applyFill="1" applyBorder="1" applyAlignment="1">
      <alignment horizontal="centerContinuous" vertical="center"/>
    </xf>
    <xf numFmtId="0" fontId="1" fillId="0" borderId="0" xfId="2" applyAlignment="1">
      <alignment horizontal="centerContinuous"/>
    </xf>
    <xf numFmtId="0" fontId="1" fillId="0" borderId="0" xfId="2"/>
    <xf numFmtId="167" fontId="8" fillId="0" borderId="0" xfId="2" applyNumberFormat="1" applyFont="1" applyAlignment="1">
      <alignment horizontal="left" vertical="center"/>
    </xf>
    <xf numFmtId="165" fontId="2" fillId="0" borderId="0" xfId="1"/>
    <xf numFmtId="169" fontId="2" fillId="3" borderId="0" xfId="5" applyNumberFormat="1" applyFont="1" applyFill="1"/>
    <xf numFmtId="171" fontId="10" fillId="3" borderId="0" xfId="6" applyNumberFormat="1" applyFont="1" applyFill="1"/>
    <xf numFmtId="3" fontId="9" fillId="0" borderId="0" xfId="1" applyNumberFormat="1" applyFont="1" applyAlignment="1">
      <alignment horizontal="center" vertical="center"/>
    </xf>
    <xf numFmtId="165" fontId="11" fillId="0" borderId="0" xfId="1" applyFont="1"/>
    <xf numFmtId="0" fontId="11" fillId="0" borderId="0" xfId="1" applyNumberFormat="1" applyFont="1" applyAlignment="1">
      <alignment horizontal="left" vertical="center"/>
    </xf>
    <xf numFmtId="2" fontId="13" fillId="0" borderId="0" xfId="1" applyNumberFormat="1" applyFont="1" applyAlignment="1">
      <alignment horizontal="left" vertical="center"/>
    </xf>
    <xf numFmtId="17" fontId="12" fillId="4" borderId="0" xfId="1" applyNumberFormat="1" applyFont="1" applyFill="1" applyAlignment="1">
      <alignment horizontal="center" vertical="center"/>
    </xf>
    <xf numFmtId="0" fontId="15" fillId="0" borderId="1" xfId="1" applyNumberFormat="1" applyFont="1" applyBorder="1" applyAlignment="1">
      <alignment vertical="center" wrapText="1"/>
    </xf>
    <xf numFmtId="172" fontId="15" fillId="0" borderId="1" xfId="1" applyNumberFormat="1" applyFont="1" applyBorder="1" applyAlignment="1">
      <alignment horizontal="center" vertical="center"/>
    </xf>
    <xf numFmtId="4" fontId="15" fillId="0" borderId="1" xfId="1" applyNumberFormat="1" applyFont="1" applyBorder="1" applyAlignment="1">
      <alignment horizontal="center" vertical="center"/>
    </xf>
    <xf numFmtId="0" fontId="11" fillId="0" borderId="2" xfId="3" applyFont="1" applyBorder="1" applyAlignment="1">
      <alignment vertical="center" wrapText="1"/>
    </xf>
    <xf numFmtId="172" fontId="11" fillId="0" borderId="3" xfId="1" applyNumberFormat="1" applyFont="1" applyBorder="1" applyAlignment="1">
      <alignment horizontal="center" vertical="center"/>
    </xf>
    <xf numFmtId="0" fontId="15" fillId="0" borderId="4" xfId="1" applyNumberFormat="1" applyFont="1" applyBorder="1" applyAlignment="1">
      <alignment vertical="center" wrapText="1"/>
    </xf>
    <xf numFmtId="172" fontId="15" fillId="0" borderId="4" xfId="1" applyNumberFormat="1" applyFont="1" applyBorder="1" applyAlignment="1">
      <alignment horizontal="center" vertical="center"/>
    </xf>
    <xf numFmtId="172" fontId="15" fillId="0" borderId="4" xfId="7" applyNumberFormat="1" applyFont="1" applyFill="1" applyBorder="1" applyAlignment="1">
      <alignment horizontal="center" vertical="center"/>
    </xf>
    <xf numFmtId="165" fontId="17" fillId="3" borderId="0" xfId="1" applyFont="1" applyFill="1"/>
    <xf numFmtId="171" fontId="18" fillId="3" borderId="0" xfId="6" applyNumberFormat="1" applyFont="1" applyFill="1"/>
    <xf numFmtId="172" fontId="11" fillId="0" borderId="4" xfId="1" applyNumberFormat="1" applyFont="1" applyBorder="1" applyAlignment="1">
      <alignment horizontal="center" vertical="center"/>
    </xf>
    <xf numFmtId="0" fontId="11" fillId="0" borderId="5" xfId="1" applyNumberFormat="1" applyFont="1" applyBorder="1" applyAlignment="1">
      <alignment vertical="center"/>
    </xf>
    <xf numFmtId="172" fontId="11" fillId="0" borderId="5" xfId="1" applyNumberFormat="1" applyFont="1" applyBorder="1" applyAlignment="1">
      <alignment horizontal="center" vertical="center"/>
    </xf>
    <xf numFmtId="0" fontId="11" fillId="5" borderId="6" xfId="1" applyNumberFormat="1" applyFont="1" applyFill="1" applyBorder="1" applyAlignment="1">
      <alignment vertical="center"/>
    </xf>
    <xf numFmtId="172" fontId="11" fillId="5" borderId="6" xfId="1" applyNumberFormat="1" applyFont="1" applyFill="1" applyBorder="1" applyAlignment="1">
      <alignment horizontal="center" vertical="center"/>
    </xf>
    <xf numFmtId="165" fontId="14" fillId="3" borderId="0" xfId="1" applyFont="1" applyFill="1"/>
    <xf numFmtId="173" fontId="15" fillId="3" borderId="0" xfId="1" applyNumberFormat="1" applyFont="1" applyFill="1" applyAlignment="1">
      <alignment horizontal="right" vertical="center"/>
    </xf>
    <xf numFmtId="0" fontId="2" fillId="0" borderId="3" xfId="1" applyNumberFormat="1" applyBorder="1" applyAlignment="1">
      <alignment vertical="center" wrapText="1"/>
    </xf>
    <xf numFmtId="172" fontId="2" fillId="0" borderId="3" xfId="1" applyNumberFormat="1" applyBorder="1" applyAlignment="1">
      <alignment horizontal="center" vertical="center"/>
    </xf>
    <xf numFmtId="168" fontId="2" fillId="0" borderId="0" xfId="5" applyFont="1" applyFill="1" applyBorder="1" applyAlignment="1">
      <alignment horizontal="center" vertical="center"/>
    </xf>
    <xf numFmtId="174" fontId="2" fillId="6" borderId="3" xfId="5" applyNumberFormat="1" applyFont="1" applyFill="1" applyBorder="1" applyAlignment="1">
      <alignment horizontal="center" vertical="center"/>
    </xf>
    <xf numFmtId="168" fontId="2" fillId="7" borderId="3" xfId="5" applyFont="1" applyFill="1" applyBorder="1" applyAlignment="1">
      <alignment horizontal="center" vertical="center"/>
    </xf>
    <xf numFmtId="0" fontId="2" fillId="0" borderId="2" xfId="1" applyNumberFormat="1" applyBorder="1" applyAlignment="1">
      <alignment vertical="center" wrapText="1"/>
    </xf>
    <xf numFmtId="172" fontId="2" fillId="0" borderId="2" xfId="1" applyNumberFormat="1" applyBorder="1" applyAlignment="1">
      <alignment horizontal="center" vertical="center"/>
    </xf>
    <xf numFmtId="172" fontId="2" fillId="0" borderId="0" xfId="1" applyNumberFormat="1" applyAlignment="1">
      <alignment horizontal="center" vertical="center"/>
    </xf>
    <xf numFmtId="174" fontId="2" fillId="6" borderId="2" xfId="5" applyNumberFormat="1" applyFont="1" applyFill="1" applyBorder="1" applyAlignment="1">
      <alignment horizontal="center" vertical="center"/>
    </xf>
    <xf numFmtId="172" fontId="2" fillId="7" borderId="2" xfId="1" applyNumberFormat="1" applyFill="1" applyBorder="1" applyAlignment="1">
      <alignment horizontal="center" vertical="center"/>
    </xf>
    <xf numFmtId="0" fontId="2" fillId="8" borderId="5" xfId="1" applyNumberFormat="1" applyFill="1" applyBorder="1" applyAlignment="1">
      <alignment vertical="center" wrapText="1"/>
    </xf>
    <xf numFmtId="172" fontId="2" fillId="8" borderId="5" xfId="1" applyNumberFormat="1" applyFill="1" applyBorder="1" applyAlignment="1">
      <alignment horizontal="center" vertical="center"/>
    </xf>
    <xf numFmtId="9" fontId="2" fillId="0" borderId="0" xfId="7" applyFont="1" applyFill="1" applyBorder="1" applyAlignment="1">
      <alignment horizontal="center" vertical="center"/>
    </xf>
    <xf numFmtId="164" fontId="2" fillId="8" borderId="5" xfId="7" applyNumberFormat="1" applyFont="1" applyFill="1" applyBorder="1" applyAlignment="1">
      <alignment horizontal="center" vertical="center"/>
    </xf>
    <xf numFmtId="9" fontId="2" fillId="9" borderId="5" xfId="7" applyFont="1" applyFill="1" applyBorder="1" applyAlignment="1">
      <alignment horizontal="center" vertical="center"/>
    </xf>
    <xf numFmtId="172" fontId="2" fillId="9" borderId="5" xfId="1" applyNumberFormat="1" applyFill="1" applyBorder="1" applyAlignment="1">
      <alignment horizontal="center" vertical="center"/>
    </xf>
    <xf numFmtId="0" fontId="2" fillId="0" borderId="0" xfId="1" applyNumberFormat="1" applyAlignment="1">
      <alignment vertical="center" wrapText="1"/>
    </xf>
    <xf numFmtId="0" fontId="2" fillId="0" borderId="0" xfId="1" applyNumberFormat="1" applyAlignment="1">
      <alignment horizontal="center" vertical="center"/>
    </xf>
    <xf numFmtId="164" fontId="2" fillId="0" borderId="0" xfId="7" applyNumberFormat="1" applyFont="1" applyFill="1" applyBorder="1" applyAlignment="1">
      <alignment horizontal="center" vertical="center"/>
    </xf>
    <xf numFmtId="0" fontId="19" fillId="10" borderId="0" xfId="1" applyNumberFormat="1" applyFont="1" applyFill="1" applyAlignment="1">
      <alignment vertical="center" wrapText="1"/>
    </xf>
    <xf numFmtId="0" fontId="19" fillId="10" borderId="0" xfId="1" applyNumberFormat="1" applyFont="1" applyFill="1" applyAlignment="1">
      <alignment horizontal="center" vertical="center" wrapText="1"/>
    </xf>
    <xf numFmtId="165" fontId="11" fillId="0" borderId="0" xfId="1" applyFont="1" applyAlignment="1">
      <alignment wrapText="1"/>
    </xf>
    <xf numFmtId="0" fontId="19" fillId="0" borderId="0" xfId="1" applyNumberFormat="1" applyFont="1" applyAlignment="1">
      <alignment horizontal="left" wrapText="1"/>
    </xf>
    <xf numFmtId="165" fontId="14" fillId="0" borderId="0" xfId="1" applyFont="1" applyAlignment="1">
      <alignment horizontal="left" wrapText="1"/>
    </xf>
    <xf numFmtId="164" fontId="16" fillId="0" borderId="0" xfId="4" applyNumberFormat="1" applyFont="1" applyFill="1" applyBorder="1" applyAlignment="1">
      <alignment horizontal="center" wrapText="1"/>
    </xf>
    <xf numFmtId="165" fontId="2" fillId="3" borderId="0" xfId="1" applyFill="1" applyAlignment="1">
      <alignment wrapText="1"/>
    </xf>
    <xf numFmtId="171" fontId="10" fillId="3" borderId="0" xfId="6" applyNumberFormat="1" applyFont="1" applyFill="1" applyAlignment="1">
      <alignment wrapText="1"/>
    </xf>
    <xf numFmtId="165" fontId="15" fillId="11" borderId="10" xfId="1" applyFont="1" applyFill="1" applyBorder="1" applyAlignment="1">
      <alignment vertical="center"/>
    </xf>
    <xf numFmtId="173" fontId="15" fillId="11" borderId="10" xfId="1" applyNumberFormat="1" applyFont="1" applyFill="1" applyBorder="1" applyAlignment="1">
      <alignment horizontal="center" vertical="center"/>
    </xf>
    <xf numFmtId="164" fontId="15" fillId="11" borderId="10" xfId="7" applyNumberFormat="1" applyFont="1" applyFill="1" applyBorder="1" applyAlignment="1">
      <alignment horizontal="center" vertical="center"/>
    </xf>
    <xf numFmtId="0" fontId="13" fillId="0" borderId="0" xfId="9" applyFont="1" applyAlignment="1">
      <alignment readingOrder="1"/>
    </xf>
    <xf numFmtId="0" fontId="13" fillId="0" borderId="0" xfId="9" applyFont="1"/>
    <xf numFmtId="0" fontId="21" fillId="0" borderId="0" xfId="9" applyFont="1" applyAlignment="1">
      <alignment horizontal="left" vertical="center" readingOrder="1"/>
    </xf>
    <xf numFmtId="165" fontId="2" fillId="3" borderId="0" xfId="1" applyFill="1" applyAlignment="1">
      <alignment vertical="top" wrapText="1"/>
    </xf>
    <xf numFmtId="172" fontId="11" fillId="0" borderId="2" xfId="1" applyNumberFormat="1" applyFont="1" applyBorder="1" applyAlignment="1">
      <alignment horizontal="center" vertical="center"/>
    </xf>
    <xf numFmtId="175" fontId="22" fillId="0" borderId="3" xfId="1" applyNumberFormat="1" applyFont="1" applyBorder="1" applyAlignment="1">
      <alignment horizontal="center" vertical="center"/>
    </xf>
    <xf numFmtId="2" fontId="22" fillId="0" borderId="3" xfId="1" applyNumberFormat="1" applyFont="1" applyBorder="1" applyAlignment="1">
      <alignment horizontal="center" vertical="center"/>
    </xf>
    <xf numFmtId="172" fontId="12" fillId="12" borderId="4" xfId="8" applyNumberFormat="1" applyFont="1" applyFill="1" applyBorder="1" applyAlignment="1">
      <alignment horizontal="center" vertical="center"/>
    </xf>
    <xf numFmtId="172" fontId="12" fillId="12" borderId="4" xfId="1" applyNumberFormat="1" applyFont="1" applyFill="1" applyBorder="1" applyAlignment="1">
      <alignment horizontal="center" vertical="center"/>
    </xf>
    <xf numFmtId="0" fontId="12" fillId="12" borderId="4" xfId="1" applyNumberFormat="1" applyFont="1" applyFill="1" applyBorder="1" applyAlignment="1">
      <alignment horizontal="left" vertical="center" wrapText="1"/>
    </xf>
    <xf numFmtId="3" fontId="4" fillId="3" borderId="0" xfId="2" applyNumberFormat="1" applyFont="1" applyFill="1"/>
    <xf numFmtId="9" fontId="0" fillId="0" borderId="0" xfId="10" applyFont="1"/>
    <xf numFmtId="10" fontId="2" fillId="3" borderId="0" xfId="10" applyNumberFormat="1" applyFont="1" applyFill="1"/>
    <xf numFmtId="0" fontId="3" fillId="3" borderId="0" xfId="2" applyFont="1" applyFill="1" applyAlignment="1">
      <alignment vertical="center" wrapText="1"/>
    </xf>
    <xf numFmtId="166" fontId="4" fillId="0" borderId="0" xfId="4" applyNumberFormat="1" applyFont="1" applyFill="1" applyBorder="1" applyAlignment="1">
      <alignment horizontal="centerContinuous" vertical="center" wrapText="1"/>
    </xf>
    <xf numFmtId="167" fontId="8" fillId="0" borderId="0" xfId="2" applyNumberFormat="1" applyFont="1" applyAlignment="1">
      <alignment horizontal="left" vertical="center" wrapText="1"/>
    </xf>
    <xf numFmtId="165" fontId="2" fillId="0" borderId="0" xfId="1" applyAlignment="1">
      <alignment wrapText="1"/>
    </xf>
    <xf numFmtId="17" fontId="12" fillId="4" borderId="0" xfId="1" applyNumberFormat="1" applyFont="1" applyFill="1" applyAlignment="1">
      <alignment horizontal="center" vertical="center" wrapText="1"/>
    </xf>
    <xf numFmtId="172" fontId="15" fillId="0" borderId="1" xfId="1" applyNumberFormat="1" applyFont="1" applyBorder="1" applyAlignment="1">
      <alignment horizontal="center" vertical="center" wrapText="1"/>
    </xf>
    <xf numFmtId="172" fontId="16" fillId="0" borderId="3" xfId="1" applyNumberFormat="1" applyFont="1" applyBorder="1" applyAlignment="1">
      <alignment horizontal="center" vertical="center" wrapText="1"/>
    </xf>
    <xf numFmtId="172" fontId="12" fillId="12" borderId="4" xfId="1" applyNumberFormat="1" applyFont="1" applyFill="1" applyBorder="1" applyAlignment="1">
      <alignment horizontal="center" vertical="center" wrapText="1"/>
    </xf>
    <xf numFmtId="172" fontId="15" fillId="0" borderId="4" xfId="1" applyNumberFormat="1" applyFont="1" applyBorder="1" applyAlignment="1">
      <alignment horizontal="center" vertical="center" wrapText="1"/>
    </xf>
    <xf numFmtId="172" fontId="11" fillId="0" borderId="3" xfId="1" applyNumberFormat="1" applyFont="1" applyBorder="1" applyAlignment="1">
      <alignment horizontal="center" vertical="center" wrapText="1"/>
    </xf>
    <xf numFmtId="172" fontId="11" fillId="0" borderId="4" xfId="1" applyNumberFormat="1" applyFont="1" applyBorder="1" applyAlignment="1">
      <alignment horizontal="center" vertical="center" wrapText="1"/>
    </xf>
    <xf numFmtId="172" fontId="11" fillId="0" borderId="5" xfId="1" applyNumberFormat="1" applyFont="1" applyBorder="1" applyAlignment="1">
      <alignment horizontal="center" vertical="center" wrapText="1"/>
    </xf>
    <xf numFmtId="172" fontId="11" fillId="5" borderId="6" xfId="1" applyNumberFormat="1" applyFont="1" applyFill="1" applyBorder="1" applyAlignment="1">
      <alignment horizontal="center" vertical="center" wrapText="1"/>
    </xf>
    <xf numFmtId="173" fontId="15" fillId="3" borderId="0" xfId="1" applyNumberFormat="1" applyFont="1" applyFill="1" applyAlignment="1">
      <alignment horizontal="right" vertical="center" wrapText="1"/>
    </xf>
    <xf numFmtId="172" fontId="2" fillId="0" borderId="7" xfId="1" applyNumberFormat="1" applyBorder="1" applyAlignment="1">
      <alignment horizontal="center" vertical="center" wrapText="1"/>
    </xf>
    <xf numFmtId="172" fontId="2" fillId="0" borderId="8" xfId="1" applyNumberFormat="1" applyBorder="1" applyAlignment="1">
      <alignment horizontal="center" vertical="center" wrapText="1"/>
    </xf>
    <xf numFmtId="172" fontId="2" fillId="8" borderId="9" xfId="1" applyNumberFormat="1" applyFill="1" applyBorder="1" applyAlignment="1">
      <alignment horizontal="center" vertical="center" wrapText="1"/>
    </xf>
    <xf numFmtId="172" fontId="2" fillId="0" borderId="0" xfId="1" applyNumberFormat="1" applyAlignment="1">
      <alignment horizontal="center" vertical="center" wrapText="1"/>
    </xf>
    <xf numFmtId="164" fontId="15" fillId="11" borderId="10" xfId="7" applyNumberFormat="1" applyFont="1" applyFill="1" applyBorder="1" applyAlignment="1">
      <alignment horizontal="center" vertical="center" wrapText="1"/>
    </xf>
    <xf numFmtId="175" fontId="24" fillId="0" borderId="3" xfId="1" applyNumberFormat="1" applyFont="1" applyBorder="1" applyAlignment="1">
      <alignment horizontal="center" vertical="center"/>
    </xf>
    <xf numFmtId="0" fontId="25" fillId="2" borderId="0" xfId="0" applyFont="1" applyFill="1"/>
    <xf numFmtId="165" fontId="27" fillId="3" borderId="0" xfId="11" applyNumberFormat="1" applyFill="1"/>
    <xf numFmtId="176" fontId="2" fillId="3" borderId="0" xfId="10" applyNumberFormat="1" applyFont="1" applyFill="1"/>
    <xf numFmtId="0" fontId="28" fillId="13" borderId="4" xfId="1" applyNumberFormat="1" applyFont="1" applyFill="1" applyBorder="1" applyAlignment="1">
      <alignment horizontal="left" vertical="center" wrapText="1"/>
    </xf>
    <xf numFmtId="172" fontId="28" fillId="13" borderId="4" xfId="1" applyNumberFormat="1" applyFont="1" applyFill="1" applyBorder="1" applyAlignment="1">
      <alignment horizontal="center" vertical="center"/>
    </xf>
    <xf numFmtId="172" fontId="28" fillId="13" borderId="4" xfId="1" applyNumberFormat="1" applyFont="1" applyFill="1" applyBorder="1" applyAlignment="1">
      <alignment horizontal="center" vertical="center" wrapText="1"/>
    </xf>
    <xf numFmtId="172" fontId="28" fillId="13" borderId="4" xfId="8" applyNumberFormat="1" applyFont="1" applyFill="1" applyBorder="1" applyAlignment="1">
      <alignment horizontal="center" vertical="center"/>
    </xf>
    <xf numFmtId="175" fontId="12" fillId="12" borderId="0" xfId="1" applyNumberFormat="1" applyFont="1" applyFill="1" applyAlignment="1">
      <alignment horizontal="center" vertical="center"/>
    </xf>
    <xf numFmtId="10" fontId="16" fillId="0" borderId="3" xfId="10" applyNumberFormat="1" applyFont="1" applyBorder="1" applyAlignment="1">
      <alignment horizontal="center" vertical="center" wrapText="1"/>
    </xf>
    <xf numFmtId="177" fontId="2" fillId="3" borderId="0" xfId="1" applyNumberFormat="1" applyFill="1"/>
    <xf numFmtId="2" fontId="24" fillId="0" borderId="3" xfId="1" applyNumberFormat="1" applyFont="1" applyBorder="1" applyAlignment="1">
      <alignment horizontal="center" vertical="center"/>
    </xf>
    <xf numFmtId="9" fontId="28" fillId="13" borderId="4" xfId="10" applyFont="1" applyFill="1" applyBorder="1" applyAlignment="1">
      <alignment horizontal="center" vertical="center"/>
    </xf>
    <xf numFmtId="10" fontId="2" fillId="3" borderId="0" xfId="10" applyNumberFormat="1" applyFont="1" applyFill="1" applyAlignment="1">
      <alignment wrapText="1"/>
    </xf>
    <xf numFmtId="10" fontId="3" fillId="3" borderId="0" xfId="10" applyNumberFormat="1" applyFont="1" applyFill="1" applyAlignment="1">
      <alignment vertical="center" wrapText="1"/>
    </xf>
    <xf numFmtId="10" fontId="4" fillId="0" borderId="0" xfId="10" applyNumberFormat="1" applyFont="1" applyFill="1" applyBorder="1" applyAlignment="1">
      <alignment horizontal="centerContinuous" vertical="center" wrapText="1"/>
    </xf>
    <xf numFmtId="10" fontId="8" fillId="0" borderId="0" xfId="10" applyNumberFormat="1" applyFont="1" applyAlignment="1">
      <alignment horizontal="left" vertical="center" wrapText="1"/>
    </xf>
    <xf numFmtId="10" fontId="2" fillId="0" borderId="0" xfId="10" applyNumberFormat="1" applyFont="1" applyAlignment="1">
      <alignment wrapText="1"/>
    </xf>
    <xf numFmtId="10" fontId="11" fillId="0" borderId="0" xfId="10" applyNumberFormat="1" applyFont="1" applyAlignment="1">
      <alignment wrapText="1"/>
    </xf>
    <xf numFmtId="10" fontId="12" fillId="4" borderId="0" xfId="10" applyNumberFormat="1" applyFont="1" applyFill="1" applyAlignment="1">
      <alignment horizontal="center" vertical="center" wrapText="1"/>
    </xf>
    <xf numFmtId="10" fontId="15" fillId="0" borderId="1" xfId="10" applyNumberFormat="1" applyFont="1" applyBorder="1" applyAlignment="1">
      <alignment horizontal="center" vertical="center" wrapText="1"/>
    </xf>
    <xf numFmtId="10" fontId="12" fillId="12" borderId="4" xfId="10" applyNumberFormat="1" applyFont="1" applyFill="1" applyBorder="1" applyAlignment="1">
      <alignment horizontal="center" vertical="center" wrapText="1"/>
    </xf>
    <xf numFmtId="10" fontId="15" fillId="0" borderId="4" xfId="10" applyNumberFormat="1" applyFont="1" applyBorder="1" applyAlignment="1">
      <alignment horizontal="center" vertical="center" wrapText="1"/>
    </xf>
    <xf numFmtId="10" fontId="28" fillId="13" borderId="4" xfId="10" applyNumberFormat="1" applyFont="1" applyFill="1" applyBorder="1" applyAlignment="1">
      <alignment horizontal="center" vertical="center" wrapText="1"/>
    </xf>
    <xf numFmtId="10" fontId="11" fillId="0" borderId="4" xfId="10" applyNumberFormat="1" applyFont="1" applyBorder="1" applyAlignment="1">
      <alignment horizontal="center" vertical="center" wrapText="1"/>
    </xf>
    <xf numFmtId="10" fontId="11" fillId="0" borderId="0" xfId="10" applyNumberFormat="1" applyFont="1" applyAlignment="1">
      <alignment horizontal="center" vertical="center" wrapText="1"/>
    </xf>
    <xf numFmtId="10" fontId="11" fillId="5" borderId="6" xfId="10" applyNumberFormat="1" applyFont="1" applyFill="1" applyBorder="1" applyAlignment="1">
      <alignment horizontal="center" vertical="center" wrapText="1"/>
    </xf>
    <xf numFmtId="10" fontId="15" fillId="3" borderId="0" xfId="10" applyNumberFormat="1" applyFont="1" applyFill="1" applyAlignment="1">
      <alignment horizontal="right" vertical="center" wrapText="1"/>
    </xf>
    <xf numFmtId="10" fontId="2" fillId="0" borderId="0" xfId="10" applyNumberFormat="1" applyFont="1" applyAlignment="1">
      <alignment horizontal="center" vertical="center" wrapText="1"/>
    </xf>
    <xf numFmtId="10" fontId="2" fillId="8" borderId="0" xfId="10" applyNumberFormat="1" applyFont="1" applyFill="1" applyAlignment="1">
      <alignment horizontal="center" vertical="center" wrapText="1"/>
    </xf>
    <xf numFmtId="10" fontId="19" fillId="10" borderId="0" xfId="10" applyNumberFormat="1" applyFont="1" applyFill="1" applyAlignment="1">
      <alignment horizontal="center" vertical="center" wrapText="1"/>
    </xf>
    <xf numFmtId="10" fontId="15" fillId="11" borderId="0" xfId="10" applyNumberFormat="1" applyFont="1" applyFill="1" applyBorder="1" applyAlignment="1">
      <alignment horizontal="center" vertical="center" wrapText="1"/>
    </xf>
    <xf numFmtId="49" fontId="23" fillId="3" borderId="0" xfId="1" applyNumberFormat="1" applyFont="1" applyFill="1" applyAlignment="1">
      <alignment horizontal="left" vertical="center"/>
    </xf>
    <xf numFmtId="49" fontId="29" fillId="3" borderId="0" xfId="1" applyNumberFormat="1" applyFont="1" applyFill="1" applyAlignment="1">
      <alignment horizontal="left" vertical="center"/>
    </xf>
    <xf numFmtId="2" fontId="30" fillId="3" borderId="0" xfId="2" applyNumberFormat="1" applyFont="1" applyFill="1" applyAlignment="1">
      <alignment horizontal="left"/>
    </xf>
    <xf numFmtId="44" fontId="15" fillId="0" borderId="4" xfId="12" applyFont="1" applyBorder="1" applyAlignment="1">
      <alignment horizontal="center" vertical="center" wrapText="1"/>
    </xf>
    <xf numFmtId="9" fontId="15" fillId="0" borderId="4" xfId="10" applyFont="1" applyBorder="1" applyAlignment="1">
      <alignment horizontal="center" vertical="center" wrapText="1"/>
    </xf>
    <xf numFmtId="14" fontId="15" fillId="0" borderId="4" xfId="1" applyNumberFormat="1" applyFont="1" applyBorder="1" applyAlignment="1">
      <alignment horizontal="center" vertical="center"/>
    </xf>
    <xf numFmtId="14" fontId="0" fillId="0" borderId="0" xfId="0" applyNumberFormat="1"/>
    <xf numFmtId="44" fontId="0" fillId="0" borderId="0" xfId="0" applyNumberFormat="1"/>
    <xf numFmtId="44" fontId="0" fillId="0" borderId="0" xfId="12" applyFont="1"/>
    <xf numFmtId="0" fontId="11" fillId="0" borderId="0" xfId="3" applyFont="1" applyAlignment="1">
      <alignment vertical="center" wrapText="1"/>
    </xf>
    <xf numFmtId="164" fontId="16" fillId="0" borderId="3" xfId="10" applyNumberFormat="1" applyFont="1" applyBorder="1" applyAlignment="1">
      <alignment horizontal="center" vertical="center" wrapText="1"/>
    </xf>
    <xf numFmtId="0" fontId="31" fillId="14" borderId="11" xfId="0" applyFont="1" applyFill="1" applyBorder="1" applyAlignment="1">
      <alignment horizontal="left" vertical="center"/>
    </xf>
    <xf numFmtId="0" fontId="32" fillId="0" borderId="0" xfId="0" applyFont="1" applyAlignment="1">
      <alignment vertical="top"/>
    </xf>
    <xf numFmtId="0" fontId="32" fillId="0" borderId="0" xfId="0" applyFont="1"/>
    <xf numFmtId="172" fontId="11" fillId="0" borderId="0" xfId="1" applyNumberFormat="1" applyFont="1" applyAlignment="1">
      <alignment horizontal="center" vertical="center" wrapText="1"/>
    </xf>
    <xf numFmtId="172" fontId="34" fillId="0" borderId="3" xfId="1" applyNumberFormat="1" applyFont="1" applyBorder="1" applyAlignment="1">
      <alignment horizontal="center" vertical="center" wrapText="1"/>
    </xf>
    <xf numFmtId="0" fontId="21" fillId="0" borderId="0" xfId="9" applyFont="1" applyAlignment="1">
      <alignment horizontal="left" vertical="center" wrapText="1" readingOrder="1"/>
    </xf>
    <xf numFmtId="0" fontId="33" fillId="0" borderId="0" xfId="0" applyFont="1" applyAlignment="1">
      <alignment horizontal="left" vertical="top" wrapText="1"/>
    </xf>
    <xf numFmtId="165" fontId="12" fillId="12" borderId="0" xfId="1" applyFont="1" applyFill="1" applyAlignment="1">
      <alignment horizontal="center" vertical="center"/>
    </xf>
  </cellXfs>
  <cellStyles count="13">
    <cellStyle name="Comma 2" xfId="8" xr:uid="{75D69770-ADFE-4230-94EF-B24FE14159D7}"/>
    <cellStyle name="Hyperlink" xfId="11" builtinId="8"/>
    <cellStyle name="Komma 2" xfId="5" xr:uid="{9A9F1159-9BD8-47DD-A2A2-DDBA03DE7163}"/>
    <cellStyle name="Milliers 10 3" xfId="6" xr:uid="{9A189833-517E-4C51-8EE4-C6970CD0B843}"/>
    <cellStyle name="Normal 101" xfId="1" xr:uid="{E97C2B5E-7194-417A-83AF-A8F6FBFDFEC6}"/>
    <cellStyle name="Normal 2" xfId="2" xr:uid="{D678F8C8-6D75-4BFA-81D1-A083434A9947}"/>
    <cellStyle name="Normal 2 4" xfId="9" xr:uid="{7AA70B35-BBA0-4EBA-A9A5-A1760B343873}"/>
    <cellStyle name="Percent 2" xfId="4" xr:uid="{AC25F5C9-5A11-44E7-AC51-99E4D064FA35}"/>
    <cellStyle name="Procent" xfId="10" builtinId="5"/>
    <cellStyle name="Procent 2" xfId="7" xr:uid="{5CBA3C5F-6231-4802-AC6B-59FDAC7C3B31}"/>
    <cellStyle name="Standaard" xfId="0" builtinId="0"/>
    <cellStyle name="Standaard 2" xfId="3" xr:uid="{022BC36A-DDBA-48D8-BBA8-5EA1C4CBD610}"/>
    <cellStyle name="Valuta" xfId="12" builtinId="4"/>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C76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4.1483924570272744E-2"/>
          <c:y val="1.4926555172480436E-2"/>
          <c:w val="0.93050895174416048"/>
          <c:h val="0.90364871613896491"/>
        </c:manualLayout>
      </c:layout>
      <c:areaChart>
        <c:grouping val="standard"/>
        <c:varyColors val="0"/>
        <c:ser>
          <c:idx val="2"/>
          <c:order val="2"/>
          <c:tx>
            <c:strRef>
              <c:f>Samenvatting!$C$133</c:f>
              <c:strCache>
                <c:ptCount val="1"/>
                <c:pt idx="0">
                  <c:v>Cash Exposure</c:v>
                </c:pt>
              </c:strCache>
            </c:strRef>
          </c:tx>
          <c:spPr>
            <a:solidFill>
              <a:schemeClr val="tx2">
                <a:lumMod val="50000"/>
                <a:lumOff val="50000"/>
              </a:schemeClr>
            </a:solidFill>
            <a:ln>
              <a:noFill/>
            </a:ln>
            <a:effectLst/>
          </c:spPr>
          <c:cat>
            <c:numRef>
              <c:f>Samenvatting!$L$41:$AU$41</c:f>
              <c:numCache>
                <c:formatCode>yyyy</c:formatCode>
                <c:ptCount val="36"/>
                <c:pt idx="0">
                  <c:v>46387</c:v>
                </c:pt>
                <c:pt idx="1">
                  <c:v>46752</c:v>
                </c:pt>
                <c:pt idx="2">
                  <c:v>47118</c:v>
                </c:pt>
                <c:pt idx="3">
                  <c:v>47483</c:v>
                </c:pt>
                <c:pt idx="4">
                  <c:v>47848</c:v>
                </c:pt>
                <c:pt idx="5">
                  <c:v>48213</c:v>
                </c:pt>
                <c:pt idx="6">
                  <c:v>48579</c:v>
                </c:pt>
                <c:pt idx="7">
                  <c:v>48944</c:v>
                </c:pt>
                <c:pt idx="8">
                  <c:v>49309</c:v>
                </c:pt>
                <c:pt idx="9">
                  <c:v>49674</c:v>
                </c:pt>
                <c:pt idx="10">
                  <c:v>50040</c:v>
                </c:pt>
                <c:pt idx="11">
                  <c:v>50405</c:v>
                </c:pt>
                <c:pt idx="12">
                  <c:v>50770</c:v>
                </c:pt>
                <c:pt idx="13">
                  <c:v>51135</c:v>
                </c:pt>
                <c:pt idx="14">
                  <c:v>51501</c:v>
                </c:pt>
                <c:pt idx="15">
                  <c:v>51866</c:v>
                </c:pt>
                <c:pt idx="16">
                  <c:v>52231</c:v>
                </c:pt>
                <c:pt idx="17">
                  <c:v>52596</c:v>
                </c:pt>
                <c:pt idx="18">
                  <c:v>52962</c:v>
                </c:pt>
                <c:pt idx="19">
                  <c:v>53327</c:v>
                </c:pt>
                <c:pt idx="20">
                  <c:v>53692</c:v>
                </c:pt>
                <c:pt idx="21">
                  <c:v>54057</c:v>
                </c:pt>
                <c:pt idx="22">
                  <c:v>54423</c:v>
                </c:pt>
                <c:pt idx="23">
                  <c:v>54788</c:v>
                </c:pt>
                <c:pt idx="24">
                  <c:v>55153</c:v>
                </c:pt>
                <c:pt idx="25">
                  <c:v>55518</c:v>
                </c:pt>
                <c:pt idx="26">
                  <c:v>55884</c:v>
                </c:pt>
                <c:pt idx="27">
                  <c:v>56249</c:v>
                </c:pt>
                <c:pt idx="28">
                  <c:v>56614</c:v>
                </c:pt>
                <c:pt idx="29">
                  <c:v>56979</c:v>
                </c:pt>
                <c:pt idx="30">
                  <c:v>57345</c:v>
                </c:pt>
                <c:pt idx="31">
                  <c:v>57710</c:v>
                </c:pt>
                <c:pt idx="32">
                  <c:v>58075</c:v>
                </c:pt>
                <c:pt idx="33">
                  <c:v>58440</c:v>
                </c:pt>
                <c:pt idx="34">
                  <c:v>58806</c:v>
                </c:pt>
                <c:pt idx="35">
                  <c:v>59171</c:v>
                </c:pt>
              </c:numCache>
            </c:numRef>
          </c:cat>
          <c:val>
            <c:numRef>
              <c:f>Samenvatting!$L$101:$AU$101</c:f>
              <c:numCache>
                <c:formatCode>#,##0.0</c:formatCode>
                <c:ptCount val="36"/>
                <c:pt idx="0">
                  <c:v>-3660881.3447073605</c:v>
                </c:pt>
                <c:pt idx="1">
                  <c:v>-7815303.8017175542</c:v>
                </c:pt>
                <c:pt idx="2">
                  <c:v>-10002771.166185178</c:v>
                </c:pt>
                <c:pt idx="3">
                  <c:v>-10002777.532274157</c:v>
                </c:pt>
                <c:pt idx="4">
                  <c:v>-10002943.07477772</c:v>
                </c:pt>
                <c:pt idx="5">
                  <c:v>-10000746.943338444</c:v>
                </c:pt>
                <c:pt idx="6">
                  <c:v>-10000926.489497112</c:v>
                </c:pt>
                <c:pt idx="7">
                  <c:v>-10000200.072532604</c:v>
                </c:pt>
                <c:pt idx="8">
                  <c:v>-5370909.6599959619</c:v>
                </c:pt>
                <c:pt idx="9">
                  <c:v>863248.52997005638</c:v>
                </c:pt>
                <c:pt idx="10">
                  <c:v>7021144.2561154673</c:v>
                </c:pt>
                <c:pt idx="11">
                  <c:v>12939262.181998599</c:v>
                </c:pt>
                <c:pt idx="12">
                  <c:v>17885582.867059659</c:v>
                </c:pt>
                <c:pt idx="13">
                  <c:v>21629147.04096581</c:v>
                </c:pt>
                <c:pt idx="14">
                  <c:v>23929375.026040167</c:v>
                </c:pt>
                <c:pt idx="15">
                  <c:v>25220360.318469137</c:v>
                </c:pt>
                <c:pt idx="16">
                  <c:v>25801762.446637768</c:v>
                </c:pt>
                <c:pt idx="17">
                  <c:v>25938557.044305157</c:v>
                </c:pt>
                <c:pt idx="18">
                  <c:v>25938557.044305157</c:v>
                </c:pt>
                <c:pt idx="19">
                  <c:v>25938557.044305157</c:v>
                </c:pt>
                <c:pt idx="20">
                  <c:v>25938557.044305157</c:v>
                </c:pt>
                <c:pt idx="21">
                  <c:v>25938557.044305157</c:v>
                </c:pt>
                <c:pt idx="22">
                  <c:v>25938557.044305157</c:v>
                </c:pt>
                <c:pt idx="23">
                  <c:v>25938557.044305157</c:v>
                </c:pt>
                <c:pt idx="24">
                  <c:v>25938557.044305157</c:v>
                </c:pt>
                <c:pt idx="25">
                  <c:v>25938557.044305157</c:v>
                </c:pt>
                <c:pt idx="26">
                  <c:v>25938557.044305157</c:v>
                </c:pt>
                <c:pt idx="27">
                  <c:v>25938557.044305157</c:v>
                </c:pt>
                <c:pt idx="28">
                  <c:v>25938557.044305157</c:v>
                </c:pt>
                <c:pt idx="29">
                  <c:v>25938557.044305157</c:v>
                </c:pt>
                <c:pt idx="30">
                  <c:v>25938557.044305157</c:v>
                </c:pt>
                <c:pt idx="31">
                  <c:v>25938557.044305157</c:v>
                </c:pt>
                <c:pt idx="32">
                  <c:v>25938557.044305157</c:v>
                </c:pt>
                <c:pt idx="33">
                  <c:v>25938557.044305157</c:v>
                </c:pt>
                <c:pt idx="34">
                  <c:v>25938557.044305157</c:v>
                </c:pt>
                <c:pt idx="35">
                  <c:v>25938557.044305157</c:v>
                </c:pt>
              </c:numCache>
            </c:numRef>
          </c:val>
          <c:extLst>
            <c:ext xmlns:c16="http://schemas.microsoft.com/office/drawing/2014/chart" uri="{C3380CC4-5D6E-409C-BE32-E72D297353CC}">
              <c16:uniqueId val="{00000000-9286-4310-8442-CCCED9CE43FE}"/>
            </c:ext>
          </c:extLst>
        </c:ser>
        <c:dLbls>
          <c:showLegendKey val="0"/>
          <c:showVal val="0"/>
          <c:showCatName val="0"/>
          <c:showSerName val="0"/>
          <c:showPercent val="0"/>
          <c:showBubbleSize val="0"/>
        </c:dLbls>
        <c:axId val="111843584"/>
        <c:axId val="112050944"/>
      </c:areaChart>
      <c:lineChart>
        <c:grouping val="standard"/>
        <c:varyColors val="0"/>
        <c:ser>
          <c:idx val="0"/>
          <c:order val="0"/>
          <c:tx>
            <c:strRef>
              <c:f>Samenvatting!$C$134</c:f>
              <c:strCache>
                <c:ptCount val="1"/>
                <c:pt idx="0">
                  <c:v>Annual Net Cashflow</c:v>
                </c:pt>
              </c:strCache>
            </c:strRef>
          </c:tx>
          <c:spPr>
            <a:ln w="38100" cap="rnd" cmpd="sng" algn="ctr">
              <a:solidFill>
                <a:schemeClr val="accent1">
                  <a:shade val="50000"/>
                </a:schemeClr>
              </a:solidFill>
              <a:prstDash val="solid"/>
              <a:round/>
            </a:ln>
            <a:effectLst/>
          </c:spPr>
          <c:marker>
            <c:symbol val="none"/>
          </c:marker>
          <c:cat>
            <c:numRef>
              <c:f>Samenvatting!$L$41:$AU$41</c:f>
              <c:numCache>
                <c:formatCode>yyyy</c:formatCode>
                <c:ptCount val="36"/>
                <c:pt idx="0">
                  <c:v>46387</c:v>
                </c:pt>
                <c:pt idx="1">
                  <c:v>46752</c:v>
                </c:pt>
                <c:pt idx="2">
                  <c:v>47118</c:v>
                </c:pt>
                <c:pt idx="3">
                  <c:v>47483</c:v>
                </c:pt>
                <c:pt idx="4">
                  <c:v>47848</c:v>
                </c:pt>
                <c:pt idx="5">
                  <c:v>48213</c:v>
                </c:pt>
                <c:pt idx="6">
                  <c:v>48579</c:v>
                </c:pt>
                <c:pt idx="7">
                  <c:v>48944</c:v>
                </c:pt>
                <c:pt idx="8">
                  <c:v>49309</c:v>
                </c:pt>
                <c:pt idx="9">
                  <c:v>49674</c:v>
                </c:pt>
                <c:pt idx="10">
                  <c:v>50040</c:v>
                </c:pt>
                <c:pt idx="11">
                  <c:v>50405</c:v>
                </c:pt>
                <c:pt idx="12">
                  <c:v>50770</c:v>
                </c:pt>
                <c:pt idx="13">
                  <c:v>51135</c:v>
                </c:pt>
                <c:pt idx="14">
                  <c:v>51501</c:v>
                </c:pt>
                <c:pt idx="15">
                  <c:v>51866</c:v>
                </c:pt>
                <c:pt idx="16">
                  <c:v>52231</c:v>
                </c:pt>
                <c:pt idx="17">
                  <c:v>52596</c:v>
                </c:pt>
                <c:pt idx="18">
                  <c:v>52962</c:v>
                </c:pt>
                <c:pt idx="19">
                  <c:v>53327</c:v>
                </c:pt>
                <c:pt idx="20">
                  <c:v>53692</c:v>
                </c:pt>
                <c:pt idx="21">
                  <c:v>54057</c:v>
                </c:pt>
                <c:pt idx="22">
                  <c:v>54423</c:v>
                </c:pt>
                <c:pt idx="23">
                  <c:v>54788</c:v>
                </c:pt>
                <c:pt idx="24">
                  <c:v>55153</c:v>
                </c:pt>
                <c:pt idx="25">
                  <c:v>55518</c:v>
                </c:pt>
                <c:pt idx="26">
                  <c:v>55884</c:v>
                </c:pt>
                <c:pt idx="27">
                  <c:v>56249</c:v>
                </c:pt>
                <c:pt idx="28">
                  <c:v>56614</c:v>
                </c:pt>
                <c:pt idx="29">
                  <c:v>56979</c:v>
                </c:pt>
                <c:pt idx="30">
                  <c:v>57345</c:v>
                </c:pt>
                <c:pt idx="31">
                  <c:v>57710</c:v>
                </c:pt>
                <c:pt idx="32">
                  <c:v>58075</c:v>
                </c:pt>
                <c:pt idx="33">
                  <c:v>58440</c:v>
                </c:pt>
                <c:pt idx="34">
                  <c:v>58806</c:v>
                </c:pt>
                <c:pt idx="35">
                  <c:v>59171</c:v>
                </c:pt>
              </c:numCache>
            </c:numRef>
          </c:cat>
          <c:val>
            <c:numRef>
              <c:f>Samenvatting!$L$101:$AU$101</c:f>
              <c:numCache>
                <c:formatCode>#,##0.0</c:formatCode>
                <c:ptCount val="36"/>
                <c:pt idx="0">
                  <c:v>-3660881.3447073605</c:v>
                </c:pt>
                <c:pt idx="1">
                  <c:v>-7815303.8017175542</c:v>
                </c:pt>
                <c:pt idx="2">
                  <c:v>-10002771.166185178</c:v>
                </c:pt>
                <c:pt idx="3">
                  <c:v>-10002777.532274157</c:v>
                </c:pt>
                <c:pt idx="4">
                  <c:v>-10002943.07477772</c:v>
                </c:pt>
                <c:pt idx="5">
                  <c:v>-10000746.943338444</c:v>
                </c:pt>
                <c:pt idx="6">
                  <c:v>-10000926.489497112</c:v>
                </c:pt>
                <c:pt idx="7">
                  <c:v>-10000200.072532604</c:v>
                </c:pt>
                <c:pt idx="8">
                  <c:v>-5370909.6599959619</c:v>
                </c:pt>
                <c:pt idx="9">
                  <c:v>863248.52997005638</c:v>
                </c:pt>
                <c:pt idx="10">
                  <c:v>7021144.2561154673</c:v>
                </c:pt>
                <c:pt idx="11">
                  <c:v>12939262.181998599</c:v>
                </c:pt>
                <c:pt idx="12">
                  <c:v>17885582.867059659</c:v>
                </c:pt>
                <c:pt idx="13">
                  <c:v>21629147.04096581</c:v>
                </c:pt>
                <c:pt idx="14">
                  <c:v>23929375.026040167</c:v>
                </c:pt>
                <c:pt idx="15">
                  <c:v>25220360.318469137</c:v>
                </c:pt>
                <c:pt idx="16">
                  <c:v>25801762.446637768</c:v>
                </c:pt>
                <c:pt idx="17">
                  <c:v>25938557.044305157</c:v>
                </c:pt>
                <c:pt idx="18">
                  <c:v>25938557.044305157</c:v>
                </c:pt>
                <c:pt idx="19">
                  <c:v>25938557.044305157</c:v>
                </c:pt>
                <c:pt idx="20">
                  <c:v>25938557.044305157</c:v>
                </c:pt>
                <c:pt idx="21">
                  <c:v>25938557.044305157</c:v>
                </c:pt>
                <c:pt idx="22">
                  <c:v>25938557.044305157</c:v>
                </c:pt>
                <c:pt idx="23">
                  <c:v>25938557.044305157</c:v>
                </c:pt>
                <c:pt idx="24">
                  <c:v>25938557.044305157</c:v>
                </c:pt>
                <c:pt idx="25">
                  <c:v>25938557.044305157</c:v>
                </c:pt>
                <c:pt idx="26">
                  <c:v>25938557.044305157</c:v>
                </c:pt>
                <c:pt idx="27">
                  <c:v>25938557.044305157</c:v>
                </c:pt>
                <c:pt idx="28">
                  <c:v>25938557.044305157</c:v>
                </c:pt>
                <c:pt idx="29">
                  <c:v>25938557.044305157</c:v>
                </c:pt>
                <c:pt idx="30">
                  <c:v>25938557.044305157</c:v>
                </c:pt>
                <c:pt idx="31">
                  <c:v>25938557.044305157</c:v>
                </c:pt>
                <c:pt idx="32">
                  <c:v>25938557.044305157</c:v>
                </c:pt>
                <c:pt idx="33">
                  <c:v>25938557.044305157</c:v>
                </c:pt>
                <c:pt idx="34">
                  <c:v>25938557.044305157</c:v>
                </c:pt>
                <c:pt idx="35">
                  <c:v>25938557.044305157</c:v>
                </c:pt>
              </c:numCache>
            </c:numRef>
          </c:val>
          <c:smooth val="0"/>
          <c:extLst>
            <c:ext xmlns:c16="http://schemas.microsoft.com/office/drawing/2014/chart" uri="{C3380CC4-5D6E-409C-BE32-E72D297353CC}">
              <c16:uniqueId val="{00000001-9286-4310-8442-CCCED9CE43FE}"/>
            </c:ext>
          </c:extLst>
        </c:ser>
        <c:ser>
          <c:idx val="1"/>
          <c:order val="1"/>
          <c:tx>
            <c:strRef>
              <c:f>Samenvatting!$C$133</c:f>
              <c:strCache>
                <c:ptCount val="1"/>
                <c:pt idx="0">
                  <c:v>Cash Exposure</c:v>
                </c:pt>
              </c:strCache>
            </c:strRef>
          </c:tx>
          <c:spPr>
            <a:ln w="38100" cap="rnd" cmpd="sng" algn="ctr">
              <a:solidFill>
                <a:schemeClr val="accent1">
                  <a:shade val="70000"/>
                </a:schemeClr>
              </a:solidFill>
              <a:prstDash val="solid"/>
              <a:round/>
            </a:ln>
            <a:effectLst/>
          </c:spPr>
          <c:marker>
            <c:symbol val="none"/>
          </c:marker>
          <c:cat>
            <c:numRef>
              <c:f>Samenvatting!$L$41:$AU$41</c:f>
              <c:numCache>
                <c:formatCode>yyyy</c:formatCode>
                <c:ptCount val="36"/>
                <c:pt idx="0">
                  <c:v>46387</c:v>
                </c:pt>
                <c:pt idx="1">
                  <c:v>46752</c:v>
                </c:pt>
                <c:pt idx="2">
                  <c:v>47118</c:v>
                </c:pt>
                <c:pt idx="3">
                  <c:v>47483</c:v>
                </c:pt>
                <c:pt idx="4">
                  <c:v>47848</c:v>
                </c:pt>
                <c:pt idx="5">
                  <c:v>48213</c:v>
                </c:pt>
                <c:pt idx="6">
                  <c:v>48579</c:v>
                </c:pt>
                <c:pt idx="7">
                  <c:v>48944</c:v>
                </c:pt>
                <c:pt idx="8">
                  <c:v>49309</c:v>
                </c:pt>
                <c:pt idx="9">
                  <c:v>49674</c:v>
                </c:pt>
                <c:pt idx="10">
                  <c:v>50040</c:v>
                </c:pt>
                <c:pt idx="11">
                  <c:v>50405</c:v>
                </c:pt>
                <c:pt idx="12">
                  <c:v>50770</c:v>
                </c:pt>
                <c:pt idx="13">
                  <c:v>51135</c:v>
                </c:pt>
                <c:pt idx="14">
                  <c:v>51501</c:v>
                </c:pt>
                <c:pt idx="15">
                  <c:v>51866</c:v>
                </c:pt>
                <c:pt idx="16">
                  <c:v>52231</c:v>
                </c:pt>
                <c:pt idx="17">
                  <c:v>52596</c:v>
                </c:pt>
                <c:pt idx="18">
                  <c:v>52962</c:v>
                </c:pt>
                <c:pt idx="19">
                  <c:v>53327</c:v>
                </c:pt>
                <c:pt idx="20">
                  <c:v>53692</c:v>
                </c:pt>
                <c:pt idx="21">
                  <c:v>54057</c:v>
                </c:pt>
                <c:pt idx="22">
                  <c:v>54423</c:v>
                </c:pt>
                <c:pt idx="23">
                  <c:v>54788</c:v>
                </c:pt>
                <c:pt idx="24">
                  <c:v>55153</c:v>
                </c:pt>
                <c:pt idx="25">
                  <c:v>55518</c:v>
                </c:pt>
                <c:pt idx="26">
                  <c:v>55884</c:v>
                </c:pt>
                <c:pt idx="27">
                  <c:v>56249</c:v>
                </c:pt>
                <c:pt idx="28">
                  <c:v>56614</c:v>
                </c:pt>
                <c:pt idx="29">
                  <c:v>56979</c:v>
                </c:pt>
                <c:pt idx="30">
                  <c:v>57345</c:v>
                </c:pt>
                <c:pt idx="31">
                  <c:v>57710</c:v>
                </c:pt>
                <c:pt idx="32">
                  <c:v>58075</c:v>
                </c:pt>
                <c:pt idx="33">
                  <c:v>58440</c:v>
                </c:pt>
                <c:pt idx="34">
                  <c:v>58806</c:v>
                </c:pt>
                <c:pt idx="35">
                  <c:v>59171</c:v>
                </c:pt>
              </c:numCache>
            </c:numRef>
          </c:cat>
          <c:val>
            <c:numRef>
              <c:f>Samenvatting!$L$101:$AU$101</c:f>
              <c:numCache>
                <c:formatCode>#,##0.0</c:formatCode>
                <c:ptCount val="36"/>
                <c:pt idx="0">
                  <c:v>-3660881.3447073605</c:v>
                </c:pt>
                <c:pt idx="1">
                  <c:v>-7815303.8017175542</c:v>
                </c:pt>
                <c:pt idx="2">
                  <c:v>-10002771.166185178</c:v>
                </c:pt>
                <c:pt idx="3">
                  <c:v>-10002777.532274157</c:v>
                </c:pt>
                <c:pt idx="4">
                  <c:v>-10002943.07477772</c:v>
                </c:pt>
                <c:pt idx="5">
                  <c:v>-10000746.943338444</c:v>
                </c:pt>
                <c:pt idx="6">
                  <c:v>-10000926.489497112</c:v>
                </c:pt>
                <c:pt idx="7">
                  <c:v>-10000200.072532604</c:v>
                </c:pt>
                <c:pt idx="8">
                  <c:v>-5370909.6599959619</c:v>
                </c:pt>
                <c:pt idx="9">
                  <c:v>863248.52997005638</c:v>
                </c:pt>
                <c:pt idx="10">
                  <c:v>7021144.2561154673</c:v>
                </c:pt>
                <c:pt idx="11">
                  <c:v>12939262.181998599</c:v>
                </c:pt>
                <c:pt idx="12">
                  <c:v>17885582.867059659</c:v>
                </c:pt>
                <c:pt idx="13">
                  <c:v>21629147.04096581</c:v>
                </c:pt>
                <c:pt idx="14">
                  <c:v>23929375.026040167</c:v>
                </c:pt>
                <c:pt idx="15">
                  <c:v>25220360.318469137</c:v>
                </c:pt>
                <c:pt idx="16">
                  <c:v>25801762.446637768</c:v>
                </c:pt>
                <c:pt idx="17">
                  <c:v>25938557.044305157</c:v>
                </c:pt>
                <c:pt idx="18">
                  <c:v>25938557.044305157</c:v>
                </c:pt>
                <c:pt idx="19">
                  <c:v>25938557.044305157</c:v>
                </c:pt>
                <c:pt idx="20">
                  <c:v>25938557.044305157</c:v>
                </c:pt>
                <c:pt idx="21">
                  <c:v>25938557.044305157</c:v>
                </c:pt>
                <c:pt idx="22">
                  <c:v>25938557.044305157</c:v>
                </c:pt>
                <c:pt idx="23">
                  <c:v>25938557.044305157</c:v>
                </c:pt>
                <c:pt idx="24">
                  <c:v>25938557.044305157</c:v>
                </c:pt>
                <c:pt idx="25">
                  <c:v>25938557.044305157</c:v>
                </c:pt>
                <c:pt idx="26">
                  <c:v>25938557.044305157</c:v>
                </c:pt>
                <c:pt idx="27">
                  <c:v>25938557.044305157</c:v>
                </c:pt>
                <c:pt idx="28">
                  <c:v>25938557.044305157</c:v>
                </c:pt>
                <c:pt idx="29">
                  <c:v>25938557.044305157</c:v>
                </c:pt>
                <c:pt idx="30">
                  <c:v>25938557.044305157</c:v>
                </c:pt>
                <c:pt idx="31">
                  <c:v>25938557.044305157</c:v>
                </c:pt>
                <c:pt idx="32">
                  <c:v>25938557.044305157</c:v>
                </c:pt>
                <c:pt idx="33">
                  <c:v>25938557.044305157</c:v>
                </c:pt>
                <c:pt idx="34">
                  <c:v>25938557.044305157</c:v>
                </c:pt>
                <c:pt idx="35">
                  <c:v>25938557.044305157</c:v>
                </c:pt>
              </c:numCache>
            </c:numRef>
          </c:val>
          <c:smooth val="0"/>
          <c:extLst>
            <c:ext xmlns:c16="http://schemas.microsoft.com/office/drawing/2014/chart" uri="{C3380CC4-5D6E-409C-BE32-E72D297353CC}">
              <c16:uniqueId val="{00000000-05E2-4EC8-B997-85D24CC37DEE}"/>
            </c:ext>
          </c:extLst>
        </c:ser>
        <c:ser>
          <c:idx val="5"/>
          <c:order val="3"/>
          <c:tx>
            <c:strRef>
              <c:f>Samenvatting!$C$135</c:f>
              <c:strCache>
                <c:ptCount val="1"/>
                <c:pt idx="0">
                  <c:v>Commitment</c:v>
                </c:pt>
              </c:strCache>
            </c:strRef>
          </c:tx>
          <c:spPr>
            <a:ln w="38100" cap="rnd" cmpd="sng" algn="ctr">
              <a:solidFill>
                <a:schemeClr val="bg2">
                  <a:lumMod val="50000"/>
                  <a:alpha val="64000"/>
                </a:schemeClr>
              </a:solidFill>
              <a:prstDash val="sysDash"/>
              <a:round/>
            </a:ln>
            <a:effectLst>
              <a:softEdge rad="0"/>
            </a:effectLst>
          </c:spPr>
          <c:marker>
            <c:symbol val="none"/>
          </c:marker>
          <c:cat>
            <c:numRef>
              <c:f>Samenvatting!$L$41:$AU$41</c:f>
              <c:numCache>
                <c:formatCode>yyyy</c:formatCode>
                <c:ptCount val="36"/>
                <c:pt idx="0">
                  <c:v>46387</c:v>
                </c:pt>
                <c:pt idx="1">
                  <c:v>46752</c:v>
                </c:pt>
                <c:pt idx="2">
                  <c:v>47118</c:v>
                </c:pt>
                <c:pt idx="3">
                  <c:v>47483</c:v>
                </c:pt>
                <c:pt idx="4">
                  <c:v>47848</c:v>
                </c:pt>
                <c:pt idx="5">
                  <c:v>48213</c:v>
                </c:pt>
                <c:pt idx="6">
                  <c:v>48579</c:v>
                </c:pt>
                <c:pt idx="7">
                  <c:v>48944</c:v>
                </c:pt>
                <c:pt idx="8">
                  <c:v>49309</c:v>
                </c:pt>
                <c:pt idx="9">
                  <c:v>49674</c:v>
                </c:pt>
                <c:pt idx="10">
                  <c:v>50040</c:v>
                </c:pt>
                <c:pt idx="11">
                  <c:v>50405</c:v>
                </c:pt>
                <c:pt idx="12">
                  <c:v>50770</c:v>
                </c:pt>
                <c:pt idx="13">
                  <c:v>51135</c:v>
                </c:pt>
                <c:pt idx="14">
                  <c:v>51501</c:v>
                </c:pt>
                <c:pt idx="15">
                  <c:v>51866</c:v>
                </c:pt>
                <c:pt idx="16">
                  <c:v>52231</c:v>
                </c:pt>
                <c:pt idx="17">
                  <c:v>52596</c:v>
                </c:pt>
                <c:pt idx="18">
                  <c:v>52962</c:v>
                </c:pt>
                <c:pt idx="19">
                  <c:v>53327</c:v>
                </c:pt>
                <c:pt idx="20">
                  <c:v>53692</c:v>
                </c:pt>
                <c:pt idx="21">
                  <c:v>54057</c:v>
                </c:pt>
                <c:pt idx="22">
                  <c:v>54423</c:v>
                </c:pt>
                <c:pt idx="23">
                  <c:v>54788</c:v>
                </c:pt>
                <c:pt idx="24">
                  <c:v>55153</c:v>
                </c:pt>
                <c:pt idx="25">
                  <c:v>55518</c:v>
                </c:pt>
                <c:pt idx="26">
                  <c:v>55884</c:v>
                </c:pt>
                <c:pt idx="27">
                  <c:v>56249</c:v>
                </c:pt>
                <c:pt idx="28">
                  <c:v>56614</c:v>
                </c:pt>
                <c:pt idx="29">
                  <c:v>56979</c:v>
                </c:pt>
                <c:pt idx="30">
                  <c:v>57345</c:v>
                </c:pt>
                <c:pt idx="31">
                  <c:v>57710</c:v>
                </c:pt>
                <c:pt idx="32">
                  <c:v>58075</c:v>
                </c:pt>
                <c:pt idx="33">
                  <c:v>58440</c:v>
                </c:pt>
                <c:pt idx="34">
                  <c:v>58806</c:v>
                </c:pt>
                <c:pt idx="35">
                  <c:v>59171</c:v>
                </c:pt>
              </c:numCache>
            </c:numRef>
          </c:cat>
          <c:val>
            <c:numRef>
              <c:f>Samenvatting!$L$135:$AU$135</c:f>
              <c:numCache>
                <c:formatCode>#,##0.0</c:formatCode>
                <c:ptCount val="36"/>
                <c:pt idx="0">
                  <c:v>7900000</c:v>
                </c:pt>
                <c:pt idx="1">
                  <c:v>15020000</c:v>
                </c:pt>
                <c:pt idx="2">
                  <c:v>20220000</c:v>
                </c:pt>
                <c:pt idx="3">
                  <c:v>22800000</c:v>
                </c:pt>
                <c:pt idx="4">
                  <c:v>28080000</c:v>
                </c:pt>
                <c:pt idx="5">
                  <c:v>34230000</c:v>
                </c:pt>
                <c:pt idx="6">
                  <c:v>42495000</c:v>
                </c:pt>
                <c:pt idx="7">
                  <c:v>51268000</c:v>
                </c:pt>
                <c:pt idx="8">
                  <c:v>51268000</c:v>
                </c:pt>
                <c:pt idx="9">
                  <c:v>51268000</c:v>
                </c:pt>
                <c:pt idx="10">
                  <c:v>51268000</c:v>
                </c:pt>
                <c:pt idx="11">
                  <c:v>43368000</c:v>
                </c:pt>
                <c:pt idx="12">
                  <c:v>36248000</c:v>
                </c:pt>
                <c:pt idx="13">
                  <c:v>31048000</c:v>
                </c:pt>
                <c:pt idx="14">
                  <c:v>28468000</c:v>
                </c:pt>
                <c:pt idx="15">
                  <c:v>23188000</c:v>
                </c:pt>
                <c:pt idx="16">
                  <c:v>17038000</c:v>
                </c:pt>
                <c:pt idx="17">
                  <c:v>8773000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mooth val="0"/>
          <c:extLst>
            <c:ext xmlns:c16="http://schemas.microsoft.com/office/drawing/2014/chart" uri="{C3380CC4-5D6E-409C-BE32-E72D297353CC}">
              <c16:uniqueId val="{00000003-9286-4310-8442-CCCED9CE43FE}"/>
            </c:ext>
          </c:extLst>
        </c:ser>
        <c:dLbls>
          <c:showLegendKey val="0"/>
          <c:showVal val="0"/>
          <c:showCatName val="0"/>
          <c:showSerName val="0"/>
          <c:showPercent val="0"/>
          <c:showBubbleSize val="0"/>
        </c:dLbls>
        <c:marker val="1"/>
        <c:smooth val="0"/>
        <c:axId val="111843584"/>
        <c:axId val="112050944"/>
      </c:lineChart>
      <c:dateAx>
        <c:axId val="111843584"/>
        <c:scaling>
          <c:orientation val="minMax"/>
        </c:scaling>
        <c:delete val="0"/>
        <c:axPos val="b"/>
        <c:numFmt formatCode="[$-409]yyyy" sourceLinked="0"/>
        <c:majorTickMark val="out"/>
        <c:minorTickMark val="none"/>
        <c:tickLblPos val="nextTo"/>
        <c:spPr>
          <a:noFill/>
          <a:ln w="12700" cap="flat" cmpd="sng" algn="ctr">
            <a:solidFill>
              <a:schemeClr val="tx1">
                <a:tint val="75000"/>
              </a:schemeClr>
            </a:solidFill>
            <a:prstDash val="solid"/>
            <a:round/>
          </a:ln>
          <a:effectLst/>
        </c:spPr>
        <c:txPr>
          <a:bodyPr rot="0" spcFirstLastPara="1" vertOverflow="ellipsis"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nl-NL"/>
          </a:p>
        </c:txPr>
        <c:crossAx val="112050944"/>
        <c:crosses val="autoZero"/>
        <c:auto val="0"/>
        <c:lblOffset val="100"/>
        <c:baseTimeUnit val="months"/>
        <c:majorUnit val="1"/>
        <c:majorTimeUnit val="years"/>
        <c:minorUnit val="5"/>
        <c:minorTimeUnit val="months"/>
      </c:dateAx>
      <c:valAx>
        <c:axId val="112050944"/>
        <c:scaling>
          <c:orientation val="minMax"/>
        </c:scaling>
        <c:delete val="0"/>
        <c:axPos val="l"/>
        <c:majorGridlines>
          <c:spPr>
            <a:ln w="12700" cap="flat" cmpd="sng" algn="ctr">
              <a:noFill/>
              <a:prstDash val="dash"/>
              <a:round/>
            </a:ln>
            <a:effectLst/>
          </c:spPr>
        </c:majorGridlines>
        <c:numFmt formatCode="#,##0" sourceLinked="0"/>
        <c:majorTickMark val="out"/>
        <c:minorTickMark val="none"/>
        <c:tickLblPos val="nextTo"/>
        <c:spPr>
          <a:noFill/>
          <a:ln w="1270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nl-NL"/>
          </a:p>
        </c:txPr>
        <c:crossAx val="111843584"/>
        <c:crosses val="autoZero"/>
        <c:crossBetween val="between"/>
      </c:valAx>
      <c:spPr>
        <a:noFill/>
        <a:ln>
          <a:noFill/>
        </a:ln>
        <a:effectLst/>
      </c:spPr>
    </c:plotArea>
    <c:legend>
      <c:legendPos val="b"/>
      <c:layout>
        <c:manualLayout>
          <c:xMode val="edge"/>
          <c:yMode val="edge"/>
          <c:x val="0.19715872807628018"/>
          <c:y val="0.89852374651914024"/>
          <c:w val="0.29552703587199819"/>
          <c:h val="2.5776167711437478E-2"/>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nl-NL"/>
        </a:p>
      </c:txPr>
    </c:legend>
    <c:plotVisOnly val="0"/>
    <c:dispBlanksAs val="gap"/>
    <c:showDLblsOverMax val="0"/>
  </c:chart>
  <c:spPr>
    <a:noFill/>
    <a:ln w="12700" cap="flat" cmpd="sng" algn="ctr">
      <a:noFill/>
      <a:prstDash val="solid"/>
      <a:round/>
    </a:ln>
    <a:effectLst/>
  </c:spPr>
  <c:txPr>
    <a:bodyPr/>
    <a:lstStyle/>
    <a:p>
      <a:pPr>
        <a:defRPr>
          <a:latin typeface="Arial" panose="020B0604020202020204" pitchFamily="34" charset="0"/>
          <a:cs typeface="Arial" panose="020B0604020202020204" pitchFamily="34" charset="0"/>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190499</xdr:colOff>
      <xdr:row>4</xdr:row>
      <xdr:rowOff>364671</xdr:rowOff>
    </xdr:from>
    <xdr:to>
      <xdr:col>48</xdr:col>
      <xdr:colOff>217713</xdr:colOff>
      <xdr:row>38</xdr:row>
      <xdr:rowOff>47172</xdr:rowOff>
    </xdr:to>
    <xdr:graphicFrame macro="">
      <xdr:nvGraphicFramePr>
        <xdr:cNvPr id="22" name="chrtHistoConsoHolding" title="chrtHistoConsoHolding">
          <a:extLst>
            <a:ext uri="{FF2B5EF4-FFF2-40B4-BE49-F238E27FC236}">
              <a16:creationId xmlns:a16="http://schemas.microsoft.com/office/drawing/2014/main" id="{11B9F33D-8F5E-47A0-B509-06F87BDAB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741AB7-6F8D-411D-A193-C3DA7C007ECF}" autoFormatId="16" applyNumberFormats="0" applyBorderFormats="0" applyFontFormats="0" applyPatternFormats="0" applyAlignmentFormats="0" applyWidthHeightFormats="0">
  <queryTableRefresh nextId="23">
    <queryTableFields count="2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4B5A4EF-D641-4A6C-B4AB-DFDBE44968BB}" autoFormatId="16" applyNumberFormats="0" applyBorderFormats="0" applyFontFormats="0" applyPatternFormats="0" applyAlignmentFormats="0" applyWidthHeightFormats="0">
  <queryTableRefresh nextId="9">
    <queryTableFields count="8">
      <queryTableField id="1" name="Fondsnamen" tableColumnId="1"/>
      <queryTableField id="2" name="VC/PE/Secondaries" tableColumnId="2"/>
      <queryTableField id="3" name="Column3" tableColumnId="3"/>
      <queryTableField id="4" name="Column4" tableColumnId="4"/>
      <queryTableField id="5" name="Column5" tableColumnId="5"/>
      <queryTableField id="6" name="Column6" tableColumnId="6"/>
      <queryTableField id="7" name="Column7" tableColumnId="7"/>
      <queryTableField id="8" name="P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F351D-C749-4460-9BCE-995916DB95A4}" name="Capital_Call_Distributions_data" displayName="Capital_Call_Distributions_data" ref="A1:V1665" tableType="queryTable" totalsRowShown="0">
  <autoFilter ref="A1:V1665" xr:uid="{5F6F351D-C749-4460-9BCE-995916DB95A4}"/>
  <tableColumns count="22">
    <tableColumn id="1" xr3:uid="{F1A39359-392A-4221-8F30-8C2B930A262D}" uniqueName="1" name="Column1" queryTableFieldId="1" dataDxfId="4"/>
    <tableColumn id="2" xr3:uid="{0F9A288F-B026-4ED2-ADD8-EA5F7FECB3A0}" uniqueName="2" name="Column2" queryTableFieldId="2"/>
    <tableColumn id="3" xr3:uid="{E6C31DEA-3DA9-4176-A71A-8B4F3E210061}" uniqueName="3" name="Column3" queryTableFieldId="3"/>
    <tableColumn id="4" xr3:uid="{5101EE99-917A-48B3-AE6E-FE2C0D1BCD5F}" uniqueName="4" name="Column4" queryTableFieldId="4"/>
    <tableColumn id="5" xr3:uid="{DBC093C5-D6FC-4F1D-B32F-DBDB13044362}" uniqueName="5" name="Column5" queryTableFieldId="5"/>
    <tableColumn id="6" xr3:uid="{F184DE20-80D1-44A7-82FD-878D46A38E85}" uniqueName="6" name="Column6" queryTableFieldId="6"/>
    <tableColumn id="7" xr3:uid="{CA83610B-0DFB-4291-AE33-62F321850858}" uniqueName="7" name="Column7" queryTableFieldId="7"/>
    <tableColumn id="8" xr3:uid="{7948EEF6-B405-4236-92A5-38035624813E}" uniqueName="8" name="Column8" queryTableFieldId="8"/>
    <tableColumn id="9" xr3:uid="{2EBBF385-E1AB-4BAA-8386-E267A710AF96}" uniqueName="9" name="Column9" queryTableFieldId="9"/>
    <tableColumn id="10" xr3:uid="{683FA830-17DD-4B10-A262-D0490B9521EC}" uniqueName="10" name="Column10" queryTableFieldId="10"/>
    <tableColumn id="11" xr3:uid="{823591C6-E348-45F7-B2C3-C19C6EC8AFEE}" uniqueName="11" name="Column11" queryTableFieldId="11"/>
    <tableColumn id="12" xr3:uid="{F7588961-5C43-42CF-8DD9-91FDE973EF65}" uniqueName="12" name="Column12" queryTableFieldId="12"/>
    <tableColumn id="13" xr3:uid="{35B323B0-EE6C-4FA5-AEB2-B91662B81B4D}" uniqueName="13" name="Column13" queryTableFieldId="13"/>
    <tableColumn id="14" xr3:uid="{3AB8987A-DD51-4E4A-945C-78B48C39749C}" uniqueName="14" name="Column14" queryTableFieldId="14"/>
    <tableColumn id="15" xr3:uid="{A6D6A170-C33A-4B57-9690-77A709AEEBF4}" uniqueName="15" name="Column15" queryTableFieldId="15"/>
    <tableColumn id="16" xr3:uid="{A023083D-8747-48C9-8717-0F1C2AF7B79E}" uniqueName="16" name="Column16" queryTableFieldId="16"/>
    <tableColumn id="17" xr3:uid="{D71ECCD0-A0E9-47BC-93AD-6DF4A2E6DCDD}" uniqueName="17" name="Column17" queryTableFieldId="17"/>
    <tableColumn id="18" xr3:uid="{078E6922-3A14-4D1F-BC9C-05F5D03FD3BD}" uniqueName="18" name="Column18" queryTableFieldId="18" dataDxfId="3"/>
    <tableColumn id="19" xr3:uid="{1FD699E6-BB5C-4738-9502-2A18C54D5C9F}" uniqueName="19" name="Column19" queryTableFieldId="19"/>
    <tableColumn id="20" xr3:uid="{87EED093-AD93-4AD8-8F5D-86D93B1F4AF9}" uniqueName="20" name="Column20" queryTableFieldId="20"/>
    <tableColumn id="21" xr3:uid="{425898C1-9BC2-4ED7-B6B1-543A52D8FF8D}" uniqueName="21" name="Column21" queryTableFieldId="21"/>
    <tableColumn id="22" xr3:uid="{4397BCCD-A575-4728-A803-7D53FC5E993E}" uniqueName="22" name="Column22"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1A3121-DF11-4CB8-BEEC-1CA23FAEE152}" name="Fondsen" displayName="Fondsen" ref="B1:I231" tableType="queryTable" totalsRowShown="0">
  <autoFilter ref="B1:I231" xr:uid="{A01A3121-DF11-4CB8-BEEC-1CA23FAEE152}"/>
  <tableColumns count="8">
    <tableColumn id="1" xr3:uid="{C39C02D9-C574-43F8-9F8F-CCF4DF51FF63}" uniqueName="1" name="Fondsnamen" queryTableFieldId="1" dataDxfId="2"/>
    <tableColumn id="2" xr3:uid="{91FDE73F-BAC8-48FF-A614-583BC455E1C8}" uniqueName="2" name="VC/PE/Secondaries" queryTableFieldId="2" dataDxfId="1"/>
    <tableColumn id="3" xr3:uid="{5CD23829-E9E5-4B56-8E4D-00987BE34362}" uniqueName="3" name="Column3" queryTableFieldId="3"/>
    <tableColumn id="4" xr3:uid="{A31AF070-35F9-4C97-B65F-018607DE136A}" uniqueName="4" name="Column4" queryTableFieldId="4"/>
    <tableColumn id="5" xr3:uid="{5495D6A6-F3AE-46A7-AC6E-DC01654A26F8}" uniqueName="5" name="Column5" queryTableFieldId="5"/>
    <tableColumn id="6" xr3:uid="{5AFAD38F-2F81-453C-BAC7-F54EF7B1BE29}" uniqueName="6" name="Column6" queryTableFieldId="6"/>
    <tableColumn id="7" xr3:uid="{A2A7DBA1-55D3-4094-8421-94101CFB16F6}" uniqueName="7" name="Column7" queryTableFieldId="7"/>
    <tableColumn id="8" xr3:uid="{FBB9426E-D339-40D6-996A-1DEBDFF6CFD5}" uniqueName="8" name="PE" queryTableFieldId="8"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5F2F-EE26-46BB-83D8-B27161F36133}">
  <sheetPr codeName="Sheet1">
    <pageSetUpPr fitToPage="1"/>
  </sheetPr>
  <dimension ref="A1:DJ154"/>
  <sheetViews>
    <sheetView showGridLines="0" tabSelected="1" topLeftCell="C27" zoomScale="70" zoomScaleNormal="70" zoomScaleSheetLayoutView="70" zoomScalePageLayoutView="55" workbookViewId="0">
      <selection activeCell="N43" sqref="N43"/>
    </sheetView>
  </sheetViews>
  <sheetFormatPr defaultColWidth="13.28515625" defaultRowHeight="19.5" customHeight="1" outlineLevelRow="2"/>
  <cols>
    <col min="1" max="2" width="13.28515625" style="1"/>
    <col min="3" max="3" width="65.28515625" style="1" customWidth="1"/>
    <col min="4" max="4" width="20.7109375" style="1" bestFit="1" customWidth="1"/>
    <col min="5" max="5" width="13.28515625" style="1"/>
    <col min="6" max="6" width="19.42578125" style="59" customWidth="1"/>
    <col min="7" max="7" width="23.140625" style="109" customWidth="1"/>
    <col min="8" max="12" width="13.28515625" style="1"/>
    <col min="13" max="13" width="14.85546875" style="1" bestFit="1" customWidth="1"/>
    <col min="14" max="48" width="13.28515625" style="1"/>
    <col min="49" max="113" width="13.28515625" style="11"/>
    <col min="114" max="16384" width="13.28515625" style="1"/>
  </cols>
  <sheetData>
    <row r="1" spans="1:26" ht="35.25">
      <c r="C1" s="129" t="s">
        <v>241</v>
      </c>
    </row>
    <row r="2" spans="1:26" ht="38.25" customHeight="1">
      <c r="C2" s="128" t="s">
        <v>448</v>
      </c>
      <c r="D2" s="2"/>
      <c r="E2" s="2"/>
      <c r="F2" s="77"/>
      <c r="G2" s="110"/>
      <c r="H2" s="2"/>
      <c r="I2" s="2"/>
      <c r="J2" s="2"/>
    </row>
    <row r="3" spans="1:26" ht="29.25" customHeight="1">
      <c r="C3" s="130" t="str">
        <f>"Commitment of € " &amp; TEXT(SUM(F43:F100), "#.##0,00")</f>
        <v>Commitment of € 51.268.000,00</v>
      </c>
      <c r="D3" s="74"/>
      <c r="U3" s="3"/>
      <c r="V3" s="3"/>
    </row>
    <row r="4" spans="1:26" s="7" customFormat="1" ht="23.25" customHeight="1">
      <c r="A4" s="4"/>
      <c r="B4" s="4"/>
      <c r="C4" s="4"/>
      <c r="D4" s="4"/>
      <c r="E4" s="5"/>
      <c r="F4" s="78"/>
      <c r="G4" s="111"/>
      <c r="H4" s="5"/>
      <c r="I4" s="5"/>
      <c r="J4" s="5"/>
      <c r="K4" s="6"/>
      <c r="L4" s="6"/>
      <c r="M4" s="6"/>
      <c r="N4" s="6"/>
      <c r="O4" s="6"/>
      <c r="P4" s="6"/>
      <c r="Q4" s="6"/>
      <c r="R4" s="6"/>
      <c r="S4" s="6"/>
    </row>
    <row r="5" spans="1:26" ht="46.5" customHeight="1">
      <c r="C5" s="8"/>
      <c r="D5" s="8"/>
      <c r="E5" s="8"/>
      <c r="F5" s="79"/>
      <c r="G5" s="112"/>
      <c r="H5" s="8"/>
      <c r="I5" s="8"/>
      <c r="J5" s="8"/>
      <c r="K5" s="9"/>
      <c r="L5" s="9"/>
      <c r="M5" s="9"/>
      <c r="N5" s="9"/>
      <c r="O5" s="9"/>
      <c r="P5" s="9"/>
      <c r="Q5" s="9"/>
      <c r="R5" s="9"/>
      <c r="S5" s="9"/>
      <c r="T5" s="9"/>
      <c r="U5" s="9"/>
      <c r="V5" s="9"/>
      <c r="W5" s="9"/>
    </row>
    <row r="6" spans="1:26" ht="19.5" customHeight="1">
      <c r="C6" s="9"/>
      <c r="D6" s="9"/>
      <c r="E6" s="9"/>
      <c r="F6" s="80"/>
      <c r="G6" s="113"/>
      <c r="H6" s="9"/>
      <c r="I6" s="9"/>
      <c r="J6" s="9"/>
      <c r="K6" s="9"/>
      <c r="L6" s="9"/>
      <c r="M6" s="9"/>
      <c r="N6" s="9"/>
      <c r="O6" s="9"/>
      <c r="P6" s="9"/>
      <c r="Q6" s="9"/>
      <c r="R6" s="9"/>
      <c r="S6" s="9"/>
      <c r="T6" s="9"/>
      <c r="U6" s="9"/>
      <c r="V6" s="9"/>
      <c r="W6" s="9"/>
    </row>
    <row r="7" spans="1:26" ht="19.5" customHeight="1">
      <c r="C7" s="9"/>
      <c r="D7" s="9"/>
      <c r="E7" s="9"/>
      <c r="F7" s="80"/>
      <c r="G7" s="113"/>
      <c r="H7" s="9"/>
      <c r="I7" s="9"/>
      <c r="J7" s="9"/>
      <c r="K7" s="9"/>
      <c r="L7" s="9"/>
      <c r="M7" s="9"/>
      <c r="N7" s="9"/>
      <c r="O7" s="9"/>
      <c r="P7" s="9"/>
      <c r="Q7" s="9"/>
      <c r="R7" s="9"/>
      <c r="S7" s="9"/>
      <c r="T7" s="9"/>
      <c r="U7" s="9"/>
      <c r="V7" s="9"/>
      <c r="W7" s="9"/>
    </row>
    <row r="8" spans="1:26" ht="19.5" customHeight="1">
      <c r="C8" s="9"/>
      <c r="D8" s="9"/>
      <c r="E8" s="9"/>
      <c r="F8" s="80"/>
      <c r="G8" s="113"/>
      <c r="H8" s="9"/>
      <c r="I8" s="9"/>
      <c r="J8" s="9"/>
      <c r="K8" s="9"/>
      <c r="L8" s="9"/>
      <c r="M8" s="9"/>
      <c r="N8" s="9"/>
      <c r="O8" s="9"/>
      <c r="P8" s="9"/>
      <c r="Q8" s="9"/>
      <c r="R8" s="9"/>
      <c r="S8" s="9"/>
      <c r="T8" s="9"/>
      <c r="U8" s="9"/>
      <c r="V8" s="9"/>
      <c r="W8" s="9"/>
    </row>
    <row r="9" spans="1:26" ht="19.5" customHeight="1">
      <c r="C9" s="9"/>
      <c r="D9" s="9"/>
      <c r="E9" s="9"/>
      <c r="F9" s="80"/>
      <c r="G9" s="113"/>
      <c r="H9" s="9"/>
      <c r="I9" s="9"/>
      <c r="J9" s="9"/>
      <c r="K9" s="9"/>
      <c r="L9" s="9"/>
      <c r="M9" s="9"/>
      <c r="N9" s="9"/>
      <c r="O9" s="9"/>
      <c r="P9" s="9"/>
      <c r="Q9" s="9"/>
      <c r="R9" s="9"/>
      <c r="S9" s="9"/>
      <c r="T9" s="9"/>
      <c r="U9" s="9"/>
      <c r="V9" s="9"/>
      <c r="W9" s="9"/>
    </row>
    <row r="10" spans="1:26" ht="19.5" customHeight="1">
      <c r="C10" s="9"/>
      <c r="D10" s="9"/>
      <c r="E10" s="9"/>
      <c r="F10" s="80"/>
      <c r="G10" s="113"/>
      <c r="H10" s="9"/>
      <c r="I10" s="9"/>
      <c r="J10" s="9"/>
      <c r="K10" s="9"/>
      <c r="L10" s="9"/>
      <c r="M10" s="9"/>
      <c r="N10" s="9"/>
      <c r="O10" s="9"/>
      <c r="P10" s="9"/>
      <c r="Q10" s="9"/>
      <c r="R10" s="9"/>
      <c r="S10" s="9"/>
      <c r="T10" s="9"/>
      <c r="U10" s="9"/>
      <c r="V10" s="9"/>
      <c r="W10" s="9"/>
    </row>
    <row r="11" spans="1:26" ht="19.5" customHeight="1">
      <c r="C11" s="9"/>
      <c r="D11" s="9"/>
      <c r="E11" s="9"/>
      <c r="F11" s="80"/>
      <c r="G11" s="113"/>
      <c r="H11" s="9"/>
      <c r="I11" s="9"/>
      <c r="J11" s="9"/>
      <c r="K11" s="9"/>
      <c r="L11" s="9"/>
      <c r="M11" s="9"/>
      <c r="N11" s="9"/>
      <c r="O11" s="9"/>
      <c r="P11" s="9"/>
      <c r="Q11" s="9"/>
      <c r="R11" s="9"/>
      <c r="S11" s="9"/>
      <c r="T11" s="9"/>
      <c r="U11" s="9"/>
      <c r="V11" s="9"/>
      <c r="W11" s="9"/>
    </row>
    <row r="12" spans="1:26" ht="19.5" customHeight="1">
      <c r="C12" s="9"/>
      <c r="D12" s="9"/>
      <c r="E12" s="9"/>
      <c r="F12" s="80"/>
      <c r="G12" s="113"/>
      <c r="H12" s="9"/>
      <c r="I12" s="9"/>
      <c r="J12" s="9"/>
      <c r="K12" s="9"/>
      <c r="L12" s="9"/>
      <c r="M12" s="9"/>
      <c r="N12" s="9"/>
      <c r="O12" s="9"/>
      <c r="P12" s="9"/>
      <c r="Q12" s="9"/>
      <c r="R12" s="9"/>
      <c r="S12" s="9"/>
      <c r="T12" s="9"/>
      <c r="U12" s="9"/>
      <c r="V12" s="9"/>
      <c r="W12" s="9"/>
      <c r="Z12" s="10"/>
    </row>
    <row r="13" spans="1:26" ht="19.5" customHeight="1">
      <c r="C13" s="9"/>
      <c r="D13" s="9"/>
      <c r="E13" s="9"/>
      <c r="F13" s="80"/>
      <c r="G13" s="113"/>
      <c r="H13" s="9"/>
      <c r="I13" s="9"/>
      <c r="J13" s="9"/>
      <c r="K13" s="9"/>
      <c r="L13" s="9"/>
      <c r="M13" s="9"/>
      <c r="N13" s="9"/>
      <c r="O13" s="9"/>
      <c r="P13" s="9"/>
      <c r="Q13" s="9"/>
      <c r="R13" s="9"/>
      <c r="S13" s="9"/>
      <c r="T13" s="9"/>
      <c r="U13" s="9"/>
      <c r="V13" s="9"/>
      <c r="W13" s="9"/>
    </row>
    <row r="14" spans="1:26" ht="19.5" customHeight="1">
      <c r="C14" s="9"/>
      <c r="D14" s="9"/>
      <c r="E14" s="9"/>
      <c r="F14" s="80"/>
      <c r="G14" s="113"/>
      <c r="H14" s="9"/>
      <c r="I14" s="9"/>
      <c r="J14" s="9"/>
      <c r="K14" s="9"/>
      <c r="L14" s="9"/>
      <c r="M14" s="9"/>
      <c r="N14" s="9"/>
      <c r="O14" s="9"/>
      <c r="P14" s="9"/>
      <c r="Q14" s="9"/>
      <c r="R14" s="9"/>
      <c r="S14" s="9"/>
      <c r="T14" s="9"/>
      <c r="U14" s="9"/>
      <c r="V14" s="9"/>
      <c r="W14" s="9"/>
      <c r="Z14" s="10"/>
    </row>
    <row r="15" spans="1:26" ht="19.5" customHeight="1">
      <c r="C15" s="9"/>
      <c r="D15" s="9"/>
      <c r="E15" s="9"/>
      <c r="F15" s="80"/>
      <c r="G15" s="113"/>
      <c r="H15" s="9"/>
      <c r="I15" s="9"/>
      <c r="J15" s="9"/>
      <c r="K15" s="9"/>
      <c r="L15" s="9"/>
      <c r="M15" s="9"/>
      <c r="N15" s="9"/>
      <c r="O15" s="9"/>
      <c r="P15" s="9"/>
      <c r="Q15" s="9"/>
      <c r="R15" s="9"/>
      <c r="S15" s="9"/>
      <c r="T15" s="9"/>
      <c r="U15" s="9"/>
      <c r="V15" s="9"/>
      <c r="W15" s="9"/>
    </row>
    <row r="16" spans="1:26" ht="19.5" customHeight="1">
      <c r="C16" s="9"/>
      <c r="D16" s="9"/>
      <c r="E16" s="9"/>
      <c r="F16" s="80"/>
      <c r="G16" s="113"/>
      <c r="H16" s="9"/>
      <c r="I16" s="9"/>
      <c r="J16" s="9"/>
      <c r="K16" s="9"/>
      <c r="L16" s="9"/>
      <c r="M16" s="9"/>
      <c r="N16" s="9"/>
      <c r="O16" s="9"/>
      <c r="P16" s="9"/>
      <c r="Q16" s="9"/>
      <c r="R16" s="9"/>
      <c r="S16" s="9"/>
      <c r="T16" s="9"/>
      <c r="U16" s="9"/>
      <c r="V16" s="9"/>
      <c r="W16" s="9"/>
    </row>
    <row r="17" spans="3:23" ht="19.5" customHeight="1">
      <c r="C17" s="9"/>
      <c r="D17" s="9"/>
      <c r="E17" s="9"/>
      <c r="F17" s="80"/>
      <c r="G17" s="113"/>
      <c r="H17" s="9"/>
      <c r="I17" s="9"/>
      <c r="J17" s="9"/>
      <c r="K17" s="9"/>
      <c r="L17" s="9"/>
      <c r="M17" s="9"/>
      <c r="N17" s="9"/>
      <c r="O17" s="9"/>
      <c r="P17" s="9"/>
      <c r="Q17" s="9"/>
      <c r="R17" s="9"/>
      <c r="S17" s="9"/>
      <c r="T17" s="9"/>
      <c r="U17" s="9"/>
      <c r="V17" s="9"/>
      <c r="W17" s="9"/>
    </row>
    <row r="18" spans="3:23" ht="19.5" customHeight="1">
      <c r="C18" s="9"/>
      <c r="D18" s="9"/>
      <c r="E18" s="9"/>
      <c r="F18" s="80"/>
      <c r="G18" s="113"/>
      <c r="H18" s="9"/>
      <c r="I18" s="9"/>
      <c r="J18" s="9"/>
      <c r="K18" s="9"/>
      <c r="L18" s="9"/>
      <c r="M18" s="9"/>
      <c r="N18" s="9"/>
      <c r="O18" s="9"/>
      <c r="P18" s="9"/>
      <c r="Q18" s="9"/>
      <c r="R18" s="9"/>
      <c r="S18" s="9"/>
      <c r="T18" s="9"/>
      <c r="U18" s="9"/>
      <c r="V18" s="9"/>
      <c r="W18" s="9"/>
    </row>
    <row r="19" spans="3:23" ht="19.5" customHeight="1">
      <c r="C19" s="9"/>
      <c r="D19" s="9"/>
      <c r="E19" s="9"/>
      <c r="F19" s="80"/>
      <c r="G19" s="113"/>
      <c r="H19" s="9"/>
      <c r="I19" s="9"/>
      <c r="J19" s="9"/>
      <c r="K19" s="9"/>
      <c r="L19" s="9"/>
      <c r="M19" s="9"/>
      <c r="N19" s="9"/>
      <c r="O19" s="9"/>
      <c r="P19" s="9"/>
      <c r="Q19" s="9"/>
      <c r="R19" s="9"/>
      <c r="S19" s="9"/>
      <c r="T19" s="9"/>
      <c r="U19" s="9"/>
      <c r="V19" s="9"/>
      <c r="W19" s="9"/>
    </row>
    <row r="20" spans="3:23" ht="19.5" customHeight="1">
      <c r="C20" s="9"/>
      <c r="D20" s="9"/>
      <c r="E20" s="9"/>
      <c r="F20" s="80"/>
      <c r="G20" s="113"/>
      <c r="H20" s="9"/>
      <c r="I20" s="9"/>
      <c r="J20" s="9"/>
      <c r="K20" s="9"/>
      <c r="L20" s="9"/>
      <c r="M20" s="9"/>
      <c r="N20" s="9"/>
      <c r="O20" s="9"/>
      <c r="P20" s="9"/>
      <c r="Q20" s="9"/>
      <c r="R20" s="9"/>
      <c r="S20" s="9"/>
      <c r="T20" s="9"/>
      <c r="U20" s="9"/>
      <c r="V20" s="9"/>
      <c r="W20" s="9"/>
    </row>
    <row r="21" spans="3:23" ht="19.5" customHeight="1">
      <c r="C21" s="9"/>
      <c r="D21" s="9"/>
      <c r="E21" s="9"/>
      <c r="F21" s="80"/>
      <c r="G21" s="113"/>
      <c r="H21" s="9"/>
      <c r="I21" s="9"/>
      <c r="J21" s="9"/>
      <c r="K21" s="9"/>
      <c r="L21" s="9"/>
      <c r="M21" s="9"/>
      <c r="N21" s="9"/>
      <c r="O21" s="9"/>
      <c r="P21" s="9"/>
      <c r="Q21" s="9"/>
      <c r="R21" s="9"/>
      <c r="S21" s="9"/>
      <c r="T21" s="9"/>
      <c r="U21" s="9"/>
      <c r="V21" s="9"/>
      <c r="W21" s="9"/>
    </row>
    <row r="33" spans="3:114" ht="19.5" customHeight="1">
      <c r="K33" s="12"/>
      <c r="L33" s="12"/>
      <c r="M33" s="12"/>
      <c r="N33" s="12"/>
      <c r="O33" s="12"/>
      <c r="P33" s="12"/>
      <c r="Q33" s="12"/>
      <c r="R33" s="12"/>
      <c r="S33" s="12"/>
    </row>
    <row r="34" spans="3:114" ht="19.5" customHeight="1">
      <c r="K34" s="12"/>
      <c r="L34" s="12"/>
      <c r="M34" s="12"/>
      <c r="N34" s="12"/>
      <c r="O34" s="12"/>
      <c r="P34" s="12"/>
      <c r="Q34" s="12"/>
      <c r="R34" s="12"/>
      <c r="S34" s="12"/>
    </row>
    <row r="35" spans="3:114" ht="19.5" customHeight="1">
      <c r="K35" s="12"/>
      <c r="L35" s="12"/>
      <c r="M35" s="12"/>
      <c r="N35" s="12"/>
      <c r="O35" s="12"/>
      <c r="P35" s="12"/>
      <c r="Q35" s="12"/>
      <c r="R35" s="12"/>
      <c r="S35" s="12"/>
    </row>
    <row r="36" spans="3:114" ht="19.5" customHeight="1">
      <c r="K36" s="12"/>
      <c r="L36" s="12"/>
      <c r="M36" s="12"/>
      <c r="N36" s="12"/>
      <c r="O36" s="12"/>
      <c r="P36" s="12"/>
      <c r="Q36" s="12"/>
      <c r="R36" s="12"/>
      <c r="S36" s="12"/>
    </row>
    <row r="37" spans="3:114" ht="19.5" customHeight="1">
      <c r="K37" s="12"/>
      <c r="L37" s="12"/>
      <c r="M37" s="12"/>
      <c r="N37" s="12"/>
      <c r="O37" s="12"/>
      <c r="P37" s="12"/>
      <c r="Q37" s="12"/>
      <c r="R37" s="12"/>
      <c r="S37" s="12"/>
    </row>
    <row r="38" spans="3:114" ht="19.5" customHeight="1">
      <c r="K38" s="12"/>
      <c r="L38" s="12"/>
      <c r="M38" s="12"/>
      <c r="N38" s="12"/>
      <c r="O38" s="12"/>
      <c r="P38" s="12"/>
      <c r="Q38" s="12"/>
      <c r="R38" s="12"/>
      <c r="S38" s="12"/>
    </row>
    <row r="39" spans="3:114" ht="19.5" customHeight="1">
      <c r="K39" s="12"/>
      <c r="L39" s="12"/>
      <c r="M39" s="12"/>
      <c r="N39" s="12"/>
      <c r="O39" s="12"/>
      <c r="P39" s="12"/>
      <c r="Q39" s="12"/>
      <c r="R39" s="12"/>
      <c r="S39" s="12"/>
      <c r="T39" s="12"/>
      <c r="U39" s="12"/>
      <c r="V39" s="12"/>
      <c r="W39" s="12"/>
    </row>
    <row r="40" spans="3:114" ht="20.25" customHeight="1">
      <c r="C40" s="13"/>
      <c r="D40" s="13"/>
      <c r="E40" s="13"/>
      <c r="F40" s="55"/>
      <c r="G40" s="114"/>
      <c r="H40" s="13"/>
      <c r="I40" s="13"/>
      <c r="J40" s="13"/>
      <c r="K40" s="13"/>
      <c r="L40" s="146" t="s">
        <v>0</v>
      </c>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row>
    <row r="41" spans="3:114" ht="30" customHeight="1" thickBot="1">
      <c r="C41" s="14"/>
      <c r="D41" s="15"/>
      <c r="E41" s="16" t="s">
        <v>1</v>
      </c>
      <c r="F41" s="81" t="s">
        <v>2</v>
      </c>
      <c r="G41" s="81" t="s">
        <v>398</v>
      </c>
      <c r="H41" s="115" t="s">
        <v>240</v>
      </c>
      <c r="I41" s="16" t="s">
        <v>3</v>
      </c>
      <c r="J41" s="16"/>
      <c r="K41" s="16" t="s">
        <v>4</v>
      </c>
      <c r="L41" s="104">
        <v>46387</v>
      </c>
      <c r="M41" s="104">
        <f>EOMONTH(L41,12)</f>
        <v>46752</v>
      </c>
      <c r="N41" s="104">
        <f>EOMONTH(M41,12)</f>
        <v>47118</v>
      </c>
      <c r="O41" s="104">
        <f t="shared" ref="O41:W41" si="0">EOMONTH(N41,12)</f>
        <v>47483</v>
      </c>
      <c r="P41" s="104">
        <f t="shared" si="0"/>
        <v>47848</v>
      </c>
      <c r="Q41" s="104">
        <f t="shared" si="0"/>
        <v>48213</v>
      </c>
      <c r="R41" s="104">
        <f t="shared" si="0"/>
        <v>48579</v>
      </c>
      <c r="S41" s="104">
        <f t="shared" si="0"/>
        <v>48944</v>
      </c>
      <c r="T41" s="104">
        <f t="shared" si="0"/>
        <v>49309</v>
      </c>
      <c r="U41" s="104">
        <f t="shared" si="0"/>
        <v>49674</v>
      </c>
      <c r="V41" s="104">
        <f t="shared" si="0"/>
        <v>50040</v>
      </c>
      <c r="W41" s="104">
        <f t="shared" si="0"/>
        <v>50405</v>
      </c>
      <c r="X41" s="104">
        <f t="shared" ref="X41:AU41" si="1">EOMONTH(W41,12)</f>
        <v>50770</v>
      </c>
      <c r="Y41" s="104">
        <f t="shared" si="1"/>
        <v>51135</v>
      </c>
      <c r="Z41" s="104">
        <f t="shared" si="1"/>
        <v>51501</v>
      </c>
      <c r="AA41" s="104">
        <f t="shared" si="1"/>
        <v>51866</v>
      </c>
      <c r="AB41" s="104">
        <f t="shared" si="1"/>
        <v>52231</v>
      </c>
      <c r="AC41" s="104">
        <f t="shared" si="1"/>
        <v>52596</v>
      </c>
      <c r="AD41" s="104">
        <f t="shared" si="1"/>
        <v>52962</v>
      </c>
      <c r="AE41" s="104">
        <f t="shared" si="1"/>
        <v>53327</v>
      </c>
      <c r="AF41" s="104">
        <f t="shared" si="1"/>
        <v>53692</v>
      </c>
      <c r="AG41" s="104">
        <f t="shared" si="1"/>
        <v>54057</v>
      </c>
      <c r="AH41" s="104">
        <f t="shared" si="1"/>
        <v>54423</v>
      </c>
      <c r="AI41" s="104">
        <f t="shared" si="1"/>
        <v>54788</v>
      </c>
      <c r="AJ41" s="104">
        <f t="shared" si="1"/>
        <v>55153</v>
      </c>
      <c r="AK41" s="104">
        <f t="shared" si="1"/>
        <v>55518</v>
      </c>
      <c r="AL41" s="104">
        <f t="shared" si="1"/>
        <v>55884</v>
      </c>
      <c r="AM41" s="104">
        <f t="shared" si="1"/>
        <v>56249</v>
      </c>
      <c r="AN41" s="104">
        <f t="shared" si="1"/>
        <v>56614</v>
      </c>
      <c r="AO41" s="104">
        <f t="shared" si="1"/>
        <v>56979</v>
      </c>
      <c r="AP41" s="104">
        <f t="shared" si="1"/>
        <v>57345</v>
      </c>
      <c r="AQ41" s="104">
        <f t="shared" si="1"/>
        <v>57710</v>
      </c>
      <c r="AR41" s="104">
        <f t="shared" si="1"/>
        <v>58075</v>
      </c>
      <c r="AS41" s="104">
        <f t="shared" si="1"/>
        <v>58440</v>
      </c>
      <c r="AT41" s="104">
        <f t="shared" si="1"/>
        <v>58806</v>
      </c>
      <c r="AU41" s="104">
        <f t="shared" si="1"/>
        <v>59171</v>
      </c>
      <c r="AW41" s="1"/>
      <c r="DJ41" s="11"/>
    </row>
    <row r="42" spans="3:114" ht="19.5" customHeight="1">
      <c r="C42" s="17" t="s">
        <v>5</v>
      </c>
      <c r="D42" s="18" t="s">
        <v>6</v>
      </c>
      <c r="E42" s="18" t="s">
        <v>7</v>
      </c>
      <c r="F42" s="82" t="s">
        <v>8</v>
      </c>
      <c r="G42" s="82"/>
      <c r="H42" s="116"/>
      <c r="I42" s="18"/>
      <c r="J42" s="18"/>
      <c r="K42" s="18"/>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W42" s="1"/>
      <c r="DJ42" s="11"/>
    </row>
    <row r="43" spans="3:114" ht="30" customHeight="1">
      <c r="C43" s="20" t="s">
        <v>141</v>
      </c>
      <c r="D43" s="21" t="str">
        <f>_xlfn.XLOOKUP(C43,Fondsen!B:B,Fondsen!C:C,"0",0,1)</f>
        <v>Secondaries</v>
      </c>
      <c r="E43" s="21" t="s">
        <v>10</v>
      </c>
      <c r="F43" s="83">
        <v>5400000</v>
      </c>
      <c r="G43" s="143" t="str">
        <f ca="1">IFERROR(IF(SUM(OFFSET(INDEX('Capital Call&amp;Distributions data'!A:A,MATCH(D43,'Capital Call&amp;Distributions data'!A:A,0)),-1,2,1,1000))=0,"✔",""),"")</f>
        <v/>
      </c>
      <c r="H43" s="138">
        <f>IFERROR(IRR(L43:AD43),"")</f>
        <v>0.1322930138235805</v>
      </c>
      <c r="I43" s="96">
        <v>46023</v>
      </c>
      <c r="J43" s="70">
        <f t="shared" ref="J43:J48" si="2">YEAR(K43)-YEAR(I43)</f>
        <v>0</v>
      </c>
      <c r="K43" s="96">
        <v>46023</v>
      </c>
      <c r="L43" s="68" cm="1">
        <f t="array" ref="L43">IFERROR(IF(L$41&lt;$K43,0,$F43*_xlfn.XLOOKUP($D43,'Capital Call&amp;Distributions data'!$A:$A,INDEX('Capital Call&amp;Distributions data'!$C:$Q,0,MIN(MAX(YEAR(L$41)-YEAR($K43)+$J43+1,1),14)))),0)</f>
        <v>-2874338.0573798823</v>
      </c>
      <c r="M43" s="68" cm="1">
        <f t="array" ref="M43">IFERROR(IF(M$41&lt;$K43,0,$F43*_xlfn.XLOOKUP($D43,'Capital Call&amp;Distributions data'!$A:$A,INDEX('Capital Call&amp;Distributions data'!$C:$Q,0,MIN(MAX(YEAR(M$41)-YEAR($K43)+$J43+1,1),14)))),0)</f>
        <v>-257661.94262011754</v>
      </c>
      <c r="N43" s="68" cm="1">
        <f t="array" ref="N43">IFERROR(IF(N$41&lt;$K43,0,$F43*_xlfn.XLOOKUP($D43,'Capital Call&amp;Distributions data'!$A:$A,INDEX('Capital Call&amp;Distributions data'!$C:$Q,0,MIN(MAX(YEAR(N$41)-YEAR($K43)+$J43+1,1),14)))),0)</f>
        <v>1376644.4157520984</v>
      </c>
      <c r="O43" s="68" cm="1">
        <f t="array" ref="O43">IFERROR(IF(O$41&lt;$K43,0,$F43*_xlfn.XLOOKUP($D43,'Capital Call&amp;Distributions data'!$A:$A,INDEX('Capital Call&amp;Distributions data'!$C:$Q,0,MIN(MAX(YEAR(O$41)-YEAR($K43)+$J43+1,1),14)))),0)</f>
        <v>1132342.3499031635</v>
      </c>
      <c r="P43" s="68" cm="1">
        <f t="array" ref="P43">IFERROR(IF(P$41&lt;$K43,0,$F43*_xlfn.XLOOKUP($D43,'Capital Call&amp;Distributions data'!$A:$A,INDEX('Capital Call&amp;Distributions data'!$C:$Q,0,MIN(MAX(YEAR(P$41)-YEAR($K43)+$J43+1,1),14)))),0)</f>
        <v>785231.72692059388</v>
      </c>
      <c r="Q43" s="68" cm="1">
        <f t="array" ref="Q43">IFERROR(IF(Q$41&lt;$K43,0,$F43*_xlfn.XLOOKUP($D43,'Capital Call&amp;Distributions data'!$A:$A,INDEX('Capital Call&amp;Distributions data'!$C:$Q,0,MIN(MAX(YEAR(Q$41)-YEAR($K43)+$J43+1,1),14)))),0)</f>
        <v>442209.48612007761</v>
      </c>
      <c r="R43" s="68" cm="1">
        <f t="array" ref="R43">IFERROR(IF(R$41&lt;$K43,0,$F43*_xlfn.XLOOKUP($D43,'Capital Call&amp;Distributions data'!$A:$A,INDEX('Capital Call&amp;Distributions data'!$C:$Q,0,MIN(MAX(YEAR(R$41)-YEAR($K43)+$J43+1,1),14)))),0)</f>
        <v>496557.3695287283</v>
      </c>
      <c r="S43" s="68" cm="1">
        <f t="array" ref="S43">IFERROR(IF(S$41&lt;$K43,0,$F43*_xlfn.XLOOKUP($D43,'Capital Call&amp;Distributions data'!$A:$A,INDEX('Capital Call&amp;Distributions data'!$C:$Q,0,MIN(MAX(YEAR(S$41)-YEAR($K43)+$J43+1,1),14)))),0)</f>
        <v>410140.85926404136</v>
      </c>
      <c r="T43" s="68" cm="1">
        <f t="array" ref="T43">IFERROR(IF(T$41&lt;$K43,0,$F43*_xlfn.XLOOKUP($D43,'Capital Call&amp;Distributions data'!$A:$A,INDEX('Capital Call&amp;Distributions data'!$C:$Q,0,MIN(MAX(YEAR(T$41)-YEAR($K43)+$J43+1,1),14)))),0)</f>
        <v>284566.86778566823</v>
      </c>
      <c r="U43" s="68" cm="1">
        <f t="array" ref="U43">IFERROR(IF(U$41&lt;$K43,0,$F43*_xlfn.XLOOKUP($D43,'Capital Call&amp;Distributions data'!$A:$A,INDEX('Capital Call&amp;Distributions data'!$C:$O,0,MIN(MAX(YEAR(U$41)-YEAR($K43)+$J43+1,1),14)))),0)</f>
        <v>44220.948612007756</v>
      </c>
      <c r="V43" s="68" cm="1">
        <f t="array" ref="V43">IFERROR(IF(V$41&lt;$K43,0,$F43*_xlfn.XLOOKUP($D43,'Capital Call&amp;Distributions data'!$A:$A,INDEX('Capital Call&amp;Distributions data'!$C:$O,0,MIN(MAX(YEAR(V$41)-YEAR($K43)+$J43+1,1),14)))),0)</f>
        <v>19241.176113621696</v>
      </c>
      <c r="W43" s="68" cm="1">
        <f t="array" ref="W43">IFERROR(IF(W$41&lt;$K43,0,$F43*_xlfn.XLOOKUP($D43,'Capital Call&amp;Distributions data'!$A:$A,INDEX('Capital Call&amp;Distributions data'!$C:$O,0,MIN(MAX(YEAR(W$41)-YEAR($K43)+$J43+1,1),14)))),0)</f>
        <v>0</v>
      </c>
      <c r="X43" s="68" cm="1">
        <f t="array" ref="X43">IFERROR(IF(X$41&lt;$K43,0,$F43*_xlfn.XLOOKUP($D43,'Capital Call&amp;Distributions data'!$A:$A,INDEX('Capital Call&amp;Distributions data'!$C:$O,0,MIN(MAX(YEAR(X$41)-YEAR($K43)+$J43+1,1),14)))),0)</f>
        <v>0</v>
      </c>
      <c r="Y43" s="68" cm="1">
        <f t="array" ref="Y43">IFERROR(IF(Y$41&lt;$K43,0,$F43*_xlfn.XLOOKUP($D43,'Capital Call&amp;Distributions data'!$A:$A,INDEX('Capital Call&amp;Distributions data'!$C:$O,0,MIN(MAX(YEAR(Y$41)-YEAR($K43)+$J43+1,1),14)))),0)</f>
        <v>0</v>
      </c>
      <c r="Z43" s="68" cm="1">
        <f t="array" ref="Z43">IFERROR(IF(Z$41&lt;$K43,0,$F43*_xlfn.XLOOKUP($D43,'Capital Call&amp;Distributions data'!$A:$A,INDEX('Capital Call&amp;Distributions data'!$C:$O,0,MIN(MAX(YEAR(Z$41)-YEAR($K43)+$J43+1,1),14)))),0)</f>
        <v>0</v>
      </c>
      <c r="AA43" s="68" cm="1">
        <f t="array" ref="AA43">IFERROR(IF(AA$41&lt;$K43,0,$F43*_xlfn.XLOOKUP($D43,'Capital Call&amp;Distributions data'!$A:$A,INDEX('Capital Call&amp;Distributions data'!$C:$O,0,MIN(MAX(YEAR(AA$41)-YEAR($K43)+$J43+1,1),14)))),0)</f>
        <v>0</v>
      </c>
      <c r="AB43" s="68" cm="1">
        <f t="array" ref="AB43">IFERROR(IF(AB$41&lt;$K43,0,$F43*_xlfn.XLOOKUP($D43,'Capital Call&amp;Distributions data'!$A:$A,INDEX('Capital Call&amp;Distributions data'!$C:$O,0,MIN(MAX(YEAR(AB$41)-YEAR($K43)+$J43+1,1),14)))),0)</f>
        <v>0</v>
      </c>
      <c r="AC43" s="68" cm="1">
        <f t="array" ref="AC43">IFERROR(IF(AC$41&lt;$K43,0,$F43*_xlfn.XLOOKUP($D43,'Capital Call&amp;Distributions data'!$A:$A,INDEX('Capital Call&amp;Distributions data'!$C:$O,0,MIN(MAX(YEAR(AC$41)-YEAR($K43)+$J43+1,1),14)))),0)</f>
        <v>0</v>
      </c>
      <c r="AD43" s="68" cm="1">
        <f t="array" ref="AD43">IFERROR(IF(AD$41&lt;$K43,0,$F43*_xlfn.XLOOKUP($D43,'Capital Call&amp;Distributions data'!$A:$A,INDEX('Capital Call&amp;Distributions data'!$C:$O,0,MIN(MAX(YEAR(AD$41)-YEAR($K43)+$J43+1,1),14)))),0)</f>
        <v>0</v>
      </c>
      <c r="AE43" s="68" cm="1">
        <f t="array" ref="AE43">IFERROR(IF(AE$41&lt;$K43,0,$F43*_xlfn.XLOOKUP($D43,'Capital Call&amp;Distributions data'!$A:$A,INDEX('Capital Call&amp;Distributions data'!$C:$O,0,MIN(MAX(YEAR(AE$41)-YEAR($K43)+$J43+1,1),14)))),0)</f>
        <v>0</v>
      </c>
      <c r="AF43" s="68" cm="1">
        <f t="array" ref="AF43">IFERROR(IF(AF$41&lt;$K43,0,$F43*_xlfn.XLOOKUP($D43,'Capital Call&amp;Distributions data'!$A:$A,INDEX('Capital Call&amp;Distributions data'!$C:$O,0,MIN(MAX(YEAR(AF$41)-YEAR($K43)+$J43+1,1),14)))),0)</f>
        <v>0</v>
      </c>
      <c r="AG43" s="68" cm="1">
        <f t="array" ref="AG43">IFERROR(IF(AG$41&lt;$K43,0,$F43*_xlfn.XLOOKUP($D43,'Capital Call&amp;Distributions data'!$A:$A,INDEX('Capital Call&amp;Distributions data'!$C:$O,0,MIN(MAX(YEAR(AG$41)-YEAR($K43)+$J43+1,1),14)))),0)</f>
        <v>0</v>
      </c>
      <c r="AH43" s="68" cm="1">
        <f t="array" ref="AH43">IFERROR(IF(AH$41&lt;$K43,0,$F43*_xlfn.XLOOKUP($D43,'Capital Call&amp;Distributions data'!$A:$A,INDEX('Capital Call&amp;Distributions data'!$C:$O,0,MIN(MAX(YEAR(AH$41)-YEAR($K43)+$J43+1,1),14)))),0)</f>
        <v>0</v>
      </c>
      <c r="AI43" s="68" cm="1">
        <f t="array" ref="AI43">IFERROR(IF(AI$41&lt;$K43,0,$F43*_xlfn.XLOOKUP($D43,'Capital Call&amp;Distributions data'!$A:$A,INDEX('Capital Call&amp;Distributions data'!$C:$O,0,MIN(MAX(YEAR(AI$41)-YEAR($K43)+$J43+1,1),14)))),0)</f>
        <v>0</v>
      </c>
      <c r="AJ43" s="68" cm="1">
        <f t="array" ref="AJ43">IFERROR(IF(AJ$41&lt;$K43,0,$F43*_xlfn.XLOOKUP($D43,'Capital Call&amp;Distributions data'!$A:$A,INDEX('Capital Call&amp;Distributions data'!$C:$O,0,MIN(MAX(YEAR(AJ$41)-YEAR($K43)+$J43+1,1),14)))),0)</f>
        <v>0</v>
      </c>
      <c r="AK43" s="68" cm="1">
        <f t="array" ref="AK43">IFERROR(IF(AK$41&lt;$K43,0,$F43*_xlfn.XLOOKUP($D43,'Capital Call&amp;Distributions data'!$A:$A,INDEX('Capital Call&amp;Distributions data'!$C:$O,0,MIN(MAX(YEAR(AK$41)-YEAR($K43)+$J43+1,1),14)))),0)</f>
        <v>0</v>
      </c>
      <c r="AL43" s="68" cm="1">
        <f t="array" ref="AL43">IFERROR(IF(AL$41&lt;$K43,0,$F43*_xlfn.XLOOKUP($D43,'Capital Call&amp;Distributions data'!$A:$A,INDEX('Capital Call&amp;Distributions data'!$C:$O,0,MIN(MAX(YEAR(AL$41)-YEAR($K43)+$J43+1,1),14)))),0)</f>
        <v>0</v>
      </c>
      <c r="AM43" s="68" cm="1">
        <f t="array" ref="AM43">IFERROR(IF(AM$41&lt;$K43,0,$F43*_xlfn.XLOOKUP($D43,'Capital Call&amp;Distributions data'!$A:$A,INDEX('Capital Call&amp;Distributions data'!$C:$O,0,MIN(MAX(YEAR(AM$41)-YEAR($K43)+$J43+1,1),14)))),0)</f>
        <v>0</v>
      </c>
      <c r="AN43" s="68" cm="1">
        <f t="array" ref="AN43">IFERROR(IF(AN$41&lt;$K43,0,$F43*_xlfn.XLOOKUP($D43,'Capital Call&amp;Distributions data'!$A:$A,INDEX('Capital Call&amp;Distributions data'!$C:$O,0,MIN(MAX(YEAR(AN$41)-YEAR($K43)+$J43+1,1),14)))),0)</f>
        <v>0</v>
      </c>
      <c r="AO43" s="68" cm="1">
        <f t="array" ref="AO43">IFERROR(IF(AO$41&lt;$K43,0,$F43*_xlfn.XLOOKUP($D43,'Capital Call&amp;Distributions data'!$A:$A,INDEX('Capital Call&amp;Distributions data'!$C:$O,0,MIN(MAX(YEAR(AO$41)-YEAR($K43)+$J43+1,1),14)))),0)</f>
        <v>0</v>
      </c>
      <c r="AP43" s="68" cm="1">
        <f t="array" ref="AP43">IFERROR(IF(AP$41&lt;$K43,0,$F43*_xlfn.XLOOKUP($D43,'Capital Call&amp;Distributions data'!$A:$A,INDEX('Capital Call&amp;Distributions data'!$C:$O,0,MIN(MAX(YEAR(AP$41)-YEAR($K43)+$J43+1,1),14)))),0)</f>
        <v>0</v>
      </c>
      <c r="AQ43" s="68" cm="1">
        <f t="array" ref="AQ43">IFERROR(IF(AQ$41&lt;$K43,0,$F43*_xlfn.XLOOKUP($D43,'Capital Call&amp;Distributions data'!$A:$A,INDEX('Capital Call&amp;Distributions data'!$C:$O,0,MIN(MAX(YEAR(AQ$41)-YEAR($K43)+$J43+1,1),14)))),0)</f>
        <v>0</v>
      </c>
      <c r="AR43" s="68" cm="1">
        <f t="array" ref="AR43">IFERROR(IF(AR$41&lt;$K43,0,$F43*_xlfn.XLOOKUP($D43,'Capital Call&amp;Distributions data'!$A:$A,INDEX('Capital Call&amp;Distributions data'!$C:$O,0,MIN(MAX(YEAR(AR$41)-YEAR($K43)+$J43+1,1),14)))),0)</f>
        <v>0</v>
      </c>
      <c r="AS43" s="68" cm="1">
        <f t="array" ref="AS43">IFERROR(IF(AS$41&lt;$K43,0,$F43*_xlfn.XLOOKUP($D43,'Capital Call&amp;Distributions data'!$A:$A,INDEX('Capital Call&amp;Distributions data'!$C:$O,0,MIN(MAX(YEAR(AS$41)-YEAR($K43)+$J43+1,1),14)))),0)</f>
        <v>0</v>
      </c>
      <c r="AT43" s="68" cm="1">
        <f t="array" ref="AT43">IFERROR(IF(AT$41&lt;$K43,0,$F43*_xlfn.XLOOKUP($D43,'Capital Call&amp;Distributions data'!$A:$A,INDEX('Capital Call&amp;Distributions data'!$C:$O,0,MIN(MAX(YEAR(AT$41)-YEAR($K43)+$J43+1,1),14)))),0)</f>
        <v>0</v>
      </c>
      <c r="AU43" s="68" cm="1">
        <f t="array" ref="AU43">IFERROR(IF(AU$41&lt;$K43,0,$F43*_xlfn.XLOOKUP($D43,'Capital Call&amp;Distributions data'!$A:$A,INDEX('Capital Call&amp;Distributions data'!$C:$O,0,MIN(MAX(YEAR(AU$41)-YEAR($K43)+$J43+1,1),14)))),0)</f>
        <v>0</v>
      </c>
      <c r="AW43" s="1"/>
      <c r="DJ43" s="11"/>
    </row>
    <row r="44" spans="3:114" ht="30" customHeight="1">
      <c r="C44" s="20" t="s">
        <v>11</v>
      </c>
      <c r="D44" s="21" t="str">
        <f>_xlfn.XLOOKUP(C44,Fondsen!B:B,Fondsen!C:C,"0",0,1)</f>
        <v>PE</v>
      </c>
      <c r="E44" s="21" t="s">
        <v>10</v>
      </c>
      <c r="F44" s="83">
        <v>2500000</v>
      </c>
      <c r="G44" s="143" t="str">
        <f ca="1">IFERROR(IF(SUM(OFFSET(INDEX('Capital Call&amp;Distributions data'!A:A,MATCH(D44,'Capital Call&amp;Distributions data'!A:A,0)),-1,2,1,1000))=0,"✔",""),"")</f>
        <v/>
      </c>
      <c r="H44" s="138">
        <f>IFERROR(IRR(L44:AD44),"")</f>
        <v>0.14724510427160875</v>
      </c>
      <c r="I44" s="96">
        <v>46023</v>
      </c>
      <c r="J44" s="70">
        <f>YEAR(K44)-YEAR(I44)</f>
        <v>0</v>
      </c>
      <c r="K44" s="96">
        <v>46023</v>
      </c>
      <c r="L44" s="68" cm="1">
        <f t="array" ref="L44">IFERROR(IF(L$41&lt;$K44,0,$F44*_xlfn.XLOOKUP($D44,'Capital Call&amp;Distributions data'!$A:$A,INDEX('Capital Call&amp;Distributions data'!$C:$O,0,MIN(MAX(YEAR(L$41)-YEAR($K44)+$J44+1,1),14)))),0)</f>
        <v>-786543.28732747817</v>
      </c>
      <c r="M44" s="68" cm="1">
        <f t="array" ref="M44">IFERROR(IF(M$41&lt;$K44,0,$F44*_xlfn.XLOOKUP($D44,'Capital Call&amp;Distributions data'!$A:$A,INDEX('Capital Call&amp;Distributions data'!$C:$O,0,MIN(MAX(YEAR(M$41)-YEAR($K44)+$J44+1,1),14)))),0)</f>
        <v>-546580.92848180677</v>
      </c>
      <c r="N44" s="68" cm="1">
        <f t="array" ref="N44">IFERROR(IF(N$41&lt;$K44,0,$F44*_xlfn.XLOOKUP($D44,'Capital Call&amp;Distributions data'!$A:$A,INDEX('Capital Call&amp;Distributions data'!$C:$O,0,MIN(MAX(YEAR(N$41)-YEAR($K44)+$J44+1,1),14)))),0)</f>
        <v>-546580.92848180677</v>
      </c>
      <c r="O44" s="68" cm="1">
        <f t="array" ref="O44">IFERROR(IF(O$41&lt;$K44,0,$F44*_xlfn.XLOOKUP($D44,'Capital Call&amp;Distributions data'!$A:$A,INDEX('Capital Call&amp;Distributions data'!$C:$O,0,MIN(MAX(YEAR(O$41)-YEAR($K44)+$J44+1,1),14)))),0)</f>
        <v>-245294.85570890841</v>
      </c>
      <c r="P44" s="68" cm="1">
        <f t="array" ref="P44">IFERROR(IF(P$41&lt;$K44,0,$F44*_xlfn.XLOOKUP($D44,'Capital Call&amp;Distributions data'!$A:$A,INDEX('Capital Call&amp;Distributions data'!$C:$O,0,MIN(MAX(YEAR(P$41)-YEAR($K44)+$J44+1,1),14)))),0)</f>
        <v>633993.19629415183</v>
      </c>
      <c r="Q44" s="68" cm="1">
        <f t="array" ref="Q44">IFERROR(IF(Q$41&lt;$K44,0,$F44*_xlfn.XLOOKUP($D44,'Capital Call&amp;Distributions data'!$A:$A,INDEX('Capital Call&amp;Distributions data'!$C:$O,0,MIN(MAX(YEAR(Q$41)-YEAR($K44)+$J44+1,1),14)))),0)</f>
        <v>1046504.0532715692</v>
      </c>
      <c r="R44" s="68" cm="1">
        <f t="array" ref="R44">IFERROR(IF(R$41&lt;$K44,0,$F44*_xlfn.XLOOKUP($D44,'Capital Call&amp;Distributions data'!$A:$A,INDEX('Capital Call&amp;Distributions data'!$C:$O,0,MIN(MAX(YEAR(R$41)-YEAR($K44)+$J44+1,1),14)))),0)</f>
        <v>1042663.9881297048</v>
      </c>
      <c r="S44" s="68" cm="1">
        <f t="array" ref="S44">IFERROR(IF(S$41&lt;$K44,0,$F44*_xlfn.XLOOKUP($D44,'Capital Call&amp;Distributions data'!$A:$A,INDEX('Capital Call&amp;Distributions data'!$C:$O,0,MIN(MAX(YEAR(S$41)-YEAR($K44)+$J44+1,1),14)))),0)</f>
        <v>628564.65547191654</v>
      </c>
      <c r="T44" s="68" cm="1">
        <f t="array" ref="T44">IFERROR(IF(T$41&lt;$K44,0,$F44*_xlfn.XLOOKUP($D44,'Capital Call&amp;Distributions data'!$A:$A,INDEX('Capital Call&amp;Distributions data'!$C:$O,0,MIN(MAX(YEAR(T$41)-YEAR($K44)+$J44+1,1),14)))),0)</f>
        <v>367370.55877243768</v>
      </c>
      <c r="U44" s="68" cm="1">
        <f t="array" ref="U44">IFERROR(IF(U$41&lt;$K44,0,$F44*_xlfn.XLOOKUP($D44,'Capital Call&amp;Distributions data'!$A:$A,INDEX('Capital Call&amp;Distributions data'!$C:$O,0,MIN(MAX(YEAR(U$41)-YEAR($K44)+$J44+1,1),14)))),0)</f>
        <v>350382.32484076434</v>
      </c>
      <c r="V44" s="68" cm="1">
        <f t="array" ref="V44">IFERROR(IF(V$41&lt;$K44,0,$F44*_xlfn.XLOOKUP($D44,'Capital Call&amp;Distributions data'!$A:$A,INDEX('Capital Call&amp;Distributions data'!$C:$O,0,MIN(MAX(YEAR(V$41)-YEAR($K44)+$J44+1,1),14)))),0)</f>
        <v>104052.93283149971</v>
      </c>
      <c r="W44" s="68" cm="1">
        <f t="array" ref="W44">IFERROR(IF(W$41&lt;$K44,0,$F44*_xlfn.XLOOKUP($D44,'Capital Call&amp;Distributions data'!$A:$A,INDEX('Capital Call&amp;Distributions data'!$C:$O,0,MIN(MAX(YEAR(W$41)-YEAR($K44)+$J44+1,1),14)))),0)</f>
        <v>0</v>
      </c>
      <c r="X44" s="68" cm="1">
        <f t="array" ref="X44">IFERROR(IF(X$41&lt;$K44,0,$F44*_xlfn.XLOOKUP($D44,'Capital Call&amp;Distributions data'!$A:$A,INDEX('Capital Call&amp;Distributions data'!$C:$O,0,MIN(MAX(YEAR(X$41)-YEAR($K44)+$J44+1,1),14)))),0)</f>
        <v>0</v>
      </c>
      <c r="Y44" s="68" cm="1">
        <f t="array" ref="Y44">IFERROR(IF(Y$41&lt;$K44,0,$F44*_xlfn.XLOOKUP($D44,'Capital Call&amp;Distributions data'!$A:$A,INDEX('Capital Call&amp;Distributions data'!$C:$O,0,MIN(MAX(YEAR(Y$41)-YEAR($K44)+$J44+1,1),14)))),0)</f>
        <v>0</v>
      </c>
      <c r="Z44" s="68" cm="1">
        <f t="array" ref="Z44">IFERROR(IF(Z$41&lt;$K44,0,$F44*_xlfn.XLOOKUP($D44,'Capital Call&amp;Distributions data'!$A:$A,INDEX('Capital Call&amp;Distributions data'!$C:$O,0,MIN(MAX(YEAR(Z$41)-YEAR($K44)+$J44+1,1),14)))),0)</f>
        <v>0</v>
      </c>
      <c r="AA44" s="68" cm="1">
        <f t="array" ref="AA44">IFERROR(IF(AA$41&lt;$K44,0,$F44*_xlfn.XLOOKUP($D44,'Capital Call&amp;Distributions data'!$A:$A,INDEX('Capital Call&amp;Distributions data'!$C:$O,0,MIN(MAX(YEAR(AA$41)-YEAR($K44)+$J44+1,1),14)))),0)</f>
        <v>0</v>
      </c>
      <c r="AB44" s="68" cm="1">
        <f t="array" ref="AB44">IFERROR(IF(AB$41&lt;$K44,0,$F44*_xlfn.XLOOKUP($D44,'Capital Call&amp;Distributions data'!$A:$A,INDEX('Capital Call&amp;Distributions data'!$C:$O,0,MIN(MAX(YEAR(AB$41)-YEAR($K44)+$J44+1,1),14)))),0)</f>
        <v>0</v>
      </c>
      <c r="AC44" s="68" cm="1">
        <f t="array" ref="AC44">IFERROR(IF(AC$41&lt;$K44,0,$F44*_xlfn.XLOOKUP($D44,'Capital Call&amp;Distributions data'!$A:$A,INDEX('Capital Call&amp;Distributions data'!$C:$O,0,MIN(MAX(YEAR(AC$41)-YEAR($K44)+$J44+1,1),14)))),0)</f>
        <v>0</v>
      </c>
      <c r="AD44" s="68" cm="1">
        <f t="array" ref="AD44">IFERROR(IF(AD$41&lt;$K44,0,$F44*_xlfn.XLOOKUP($D44,'Capital Call&amp;Distributions data'!$A:$A,INDEX('Capital Call&amp;Distributions data'!$C:$O,0,MIN(MAX(YEAR(AD$41)-YEAR($K44)+$J44+1,1),14)))),0)</f>
        <v>0</v>
      </c>
      <c r="AE44" s="68" cm="1">
        <f t="array" ref="AE44">IFERROR(IF(AE$41&lt;$K44,0,$F44*_xlfn.XLOOKUP($D44,'Capital Call&amp;Distributions data'!$A:$A,INDEX('Capital Call&amp;Distributions data'!$C:$O,0,MIN(MAX(YEAR(AE$41)-YEAR($K44)+$J44+1,1),14)))),0)</f>
        <v>0</v>
      </c>
      <c r="AF44" s="68" cm="1">
        <f t="array" ref="AF44">IFERROR(IF(AF$41&lt;$K44,0,$F44*_xlfn.XLOOKUP($D44,'Capital Call&amp;Distributions data'!$A:$A,INDEX('Capital Call&amp;Distributions data'!$C:$O,0,MIN(MAX(YEAR(AF$41)-YEAR($K44)+$J44+1,1),14)))),0)</f>
        <v>0</v>
      </c>
      <c r="AG44" s="68" cm="1">
        <f t="array" ref="AG44">IFERROR(IF(AG$41&lt;$K44,0,$F44*_xlfn.XLOOKUP($D44,'Capital Call&amp;Distributions data'!$A:$A,INDEX('Capital Call&amp;Distributions data'!$C:$O,0,MIN(MAX(YEAR(AG$41)-YEAR($K44)+$J44+1,1),14)))),0)</f>
        <v>0</v>
      </c>
      <c r="AH44" s="68" cm="1">
        <f t="array" ref="AH44">IFERROR(IF(AH$41&lt;$K44,0,$F44*_xlfn.XLOOKUP($D44,'Capital Call&amp;Distributions data'!$A:$A,INDEX('Capital Call&amp;Distributions data'!$C:$O,0,MIN(MAX(YEAR(AH$41)-YEAR($K44)+$J44+1,1),14)))),0)</f>
        <v>0</v>
      </c>
      <c r="AI44" s="68" cm="1">
        <f t="array" ref="AI44">IFERROR(IF(AI$41&lt;$K44,0,$F44*_xlfn.XLOOKUP($D44,'Capital Call&amp;Distributions data'!$A:$A,INDEX('Capital Call&amp;Distributions data'!$C:$O,0,MIN(MAX(YEAR(AI$41)-YEAR($K44)+$J44+1,1),14)))),0)</f>
        <v>0</v>
      </c>
      <c r="AJ44" s="68" cm="1">
        <f t="array" ref="AJ44">IFERROR(IF(AJ$41&lt;$K44,0,$F44*_xlfn.XLOOKUP($D44,'Capital Call&amp;Distributions data'!$A:$A,INDEX('Capital Call&amp;Distributions data'!$C:$O,0,MIN(MAX(YEAR(AJ$41)-YEAR($K44)+$J44+1,1),14)))),0)</f>
        <v>0</v>
      </c>
      <c r="AK44" s="68" cm="1">
        <f t="array" ref="AK44">IFERROR(IF(AK$41&lt;$K44,0,$F44*_xlfn.XLOOKUP($D44,'Capital Call&amp;Distributions data'!$A:$A,INDEX('Capital Call&amp;Distributions data'!$C:$O,0,MIN(MAX(YEAR(AK$41)-YEAR($K44)+$J44+1,1),14)))),0)</f>
        <v>0</v>
      </c>
      <c r="AL44" s="68" cm="1">
        <f t="array" ref="AL44">IFERROR(IF(AL$41&lt;$K44,0,$F44*_xlfn.XLOOKUP($D44,'Capital Call&amp;Distributions data'!$A:$A,INDEX('Capital Call&amp;Distributions data'!$C:$O,0,MIN(MAX(YEAR(AL$41)-YEAR($K44)+$J44+1,1),14)))),0)</f>
        <v>0</v>
      </c>
      <c r="AM44" s="68" cm="1">
        <f t="array" ref="AM44">IFERROR(IF(AM$41&lt;$K44,0,$F44*_xlfn.XLOOKUP($D44,'Capital Call&amp;Distributions data'!$A:$A,INDEX('Capital Call&amp;Distributions data'!$C:$O,0,MIN(MAX(YEAR(AM$41)-YEAR($K44)+$J44+1,1),14)))),0)</f>
        <v>0</v>
      </c>
      <c r="AN44" s="68" cm="1">
        <f t="array" ref="AN44">IFERROR(IF(AN$41&lt;$K44,0,$F44*_xlfn.XLOOKUP($D44,'Capital Call&amp;Distributions data'!$A:$A,INDEX('Capital Call&amp;Distributions data'!$C:$O,0,MIN(MAX(YEAR(AN$41)-YEAR($K44)+$J44+1,1),14)))),0)</f>
        <v>0</v>
      </c>
      <c r="AO44" s="68" cm="1">
        <f t="array" ref="AO44">IFERROR(IF(AO$41&lt;$K44,0,$F44*_xlfn.XLOOKUP($D44,'Capital Call&amp;Distributions data'!$A:$A,INDEX('Capital Call&amp;Distributions data'!$C:$O,0,MIN(MAX(YEAR(AO$41)-YEAR($K44)+$J44+1,1),14)))),0)</f>
        <v>0</v>
      </c>
      <c r="AP44" s="68" cm="1">
        <f t="array" ref="AP44">IFERROR(IF(AP$41&lt;$K44,0,$F44*_xlfn.XLOOKUP($D44,'Capital Call&amp;Distributions data'!$A:$A,INDEX('Capital Call&amp;Distributions data'!$C:$O,0,MIN(MAX(YEAR(AP$41)-YEAR($K44)+$J44+1,1),14)))),0)</f>
        <v>0</v>
      </c>
      <c r="AQ44" s="68" cm="1">
        <f t="array" ref="AQ44">IFERROR(IF(AQ$41&lt;$K44,0,$F44*_xlfn.XLOOKUP($D44,'Capital Call&amp;Distributions data'!$A:$A,INDEX('Capital Call&amp;Distributions data'!$C:$O,0,MIN(MAX(YEAR(AQ$41)-YEAR($K44)+$J44+1,1),14)))),0)</f>
        <v>0</v>
      </c>
      <c r="AR44" s="68" cm="1">
        <f t="array" ref="AR44">IFERROR(IF(AR$41&lt;$K44,0,$F44*_xlfn.XLOOKUP($D44,'Capital Call&amp;Distributions data'!$A:$A,INDEX('Capital Call&amp;Distributions data'!$C:$O,0,MIN(MAX(YEAR(AR$41)-YEAR($K44)+$J44+1,1),14)))),0)</f>
        <v>0</v>
      </c>
      <c r="AS44" s="68" cm="1">
        <f t="array" ref="AS44">IFERROR(IF(AS$41&lt;$K44,0,$F44*_xlfn.XLOOKUP($D44,'Capital Call&amp;Distributions data'!$A:$A,INDEX('Capital Call&amp;Distributions data'!$C:$O,0,MIN(MAX(YEAR(AS$41)-YEAR($K44)+$J44+1,1),14)))),0)</f>
        <v>0</v>
      </c>
      <c r="AT44" s="68" cm="1">
        <f t="array" ref="AT44">IFERROR(IF(AT$41&lt;$K44,0,$F44*_xlfn.XLOOKUP($D44,'Capital Call&amp;Distributions data'!$A:$A,INDEX('Capital Call&amp;Distributions data'!$C:$O,0,MIN(MAX(YEAR(AT$41)-YEAR($K44)+$J44+1,1),14)))),0)</f>
        <v>0</v>
      </c>
      <c r="AU44" s="68" cm="1">
        <f t="array" ref="AU44">IFERROR(IF(AU$41&lt;$K44,0,$F44*_xlfn.XLOOKUP($D44,'Capital Call&amp;Distributions data'!$A:$A,INDEX('Capital Call&amp;Distributions data'!$C:$O,0,MIN(MAX(YEAR(AU$41)-YEAR($K44)+$J44+1,1),14)))),0)</f>
        <v>0</v>
      </c>
      <c r="AW44" s="1"/>
      <c r="DJ44" s="11"/>
    </row>
    <row r="45" spans="3:114" ht="29.25" customHeight="1">
      <c r="C45" s="20" t="s">
        <v>141</v>
      </c>
      <c r="D45" s="21" t="str">
        <f>_xlfn.XLOOKUP(C45,Fondsen!B:B,Fondsen!C:C,"0",0,1)</f>
        <v>Secondaries</v>
      </c>
      <c r="E45" s="21" t="s">
        <v>10</v>
      </c>
      <c r="F45" s="83">
        <v>5100000</v>
      </c>
      <c r="G45" s="143" t="str">
        <f ca="1">IFERROR(IF(SUM(OFFSET(INDEX('Capital Call&amp;Distributions data'!A:A,MATCH(D45,'Capital Call&amp;Distributions data'!A:A,0)),-1,2,1,1000))=0,"✔",""),"")</f>
        <v/>
      </c>
      <c r="H45" s="138">
        <f>IFERROR(IRR(L45:AD45),"")</f>
        <v>0.1322930138235805</v>
      </c>
      <c r="I45" s="96">
        <v>46388</v>
      </c>
      <c r="J45" s="70">
        <f t="shared" si="2"/>
        <v>0</v>
      </c>
      <c r="K45" s="96">
        <v>46388</v>
      </c>
      <c r="L45" s="68" cm="1">
        <f t="array" ref="L45">IFERROR(IF(L$41&lt;$K45,0,$F45*_xlfn.XLOOKUP($D45,'Capital Call&amp;Distributions data'!$A:$A,INDEX('Capital Call&amp;Distributions data'!$C:$O,0,MIN(MAX(YEAR(L$41)-YEAR($K45)+$J45+1,1),14)))),0)</f>
        <v>0</v>
      </c>
      <c r="M45" s="68" cm="1">
        <f t="array" ref="M45">IFERROR(IF(M$41&lt;$K45,0,$F45*_xlfn.XLOOKUP($D45,'Capital Call&amp;Distributions data'!$A:$A,INDEX('Capital Call&amp;Distributions data'!$C:$O,0,MIN(MAX(YEAR(M$41)-YEAR($K45)+$J45+1,1),14)))),0)</f>
        <v>-2714652.6097476669</v>
      </c>
      <c r="N45" s="68" cm="1">
        <f t="array" ref="N45">IFERROR(IF(N$41&lt;$K45,0,$F45*_xlfn.XLOOKUP($D45,'Capital Call&amp;Distributions data'!$A:$A,INDEX('Capital Call&amp;Distributions data'!$C:$O,0,MIN(MAX(YEAR(N$41)-YEAR($K45)+$J45+1,1),14)))),0)</f>
        <v>-243347.39025233322</v>
      </c>
      <c r="O45" s="68" cm="1">
        <f t="array" ref="O45">IFERROR(IF(O$41&lt;$K45,0,$F45*_xlfn.XLOOKUP($D45,'Capital Call&amp;Distributions data'!$A:$A,INDEX('Capital Call&amp;Distributions data'!$C:$O,0,MIN(MAX(YEAR(O$41)-YEAR($K45)+$J45+1,1),14)))),0)</f>
        <v>1300164.1704325373</v>
      </c>
      <c r="P45" s="68" cm="1">
        <f t="array" ref="P45">IFERROR(IF(P$41&lt;$K45,0,$F45*_xlfn.XLOOKUP($D45,'Capital Call&amp;Distributions data'!$A:$A,INDEX('Capital Call&amp;Distributions data'!$C:$O,0,MIN(MAX(YEAR(P$41)-YEAR($K45)+$J45+1,1),14)))),0)</f>
        <v>1069434.4415752101</v>
      </c>
      <c r="Q45" s="68" cm="1">
        <f t="array" ref="Q45">IFERROR(IF(Q$41&lt;$K45,0,$F45*_xlfn.XLOOKUP($D45,'Capital Call&amp;Distributions data'!$A:$A,INDEX('Capital Call&amp;Distributions data'!$C:$O,0,MIN(MAX(YEAR(Q$41)-YEAR($K45)+$J45+1,1),14)))),0)</f>
        <v>741607.74209167203</v>
      </c>
      <c r="R45" s="68" cm="1">
        <f t="array" ref="R45">IFERROR(IF(R$41&lt;$K45,0,$F45*_xlfn.XLOOKUP($D45,'Capital Call&amp;Distributions data'!$A:$A,INDEX('Capital Call&amp;Distributions data'!$C:$O,0,MIN(MAX(YEAR(R$41)-YEAR($K45)+$J45+1,1),14)))),0)</f>
        <v>417642.29244673991</v>
      </c>
      <c r="S45" s="68" cm="1">
        <f t="array" ref="S45">IFERROR(IF(S$41&lt;$K45,0,$F45*_xlfn.XLOOKUP($D45,'Capital Call&amp;Distributions data'!$A:$A,INDEX('Capital Call&amp;Distributions data'!$C:$O,0,MIN(MAX(YEAR(S$41)-YEAR($K45)+$J45+1,1),14)))),0)</f>
        <v>468970.84899935452</v>
      </c>
      <c r="T45" s="68" cm="1">
        <f t="array" ref="T45">IFERROR(IF(T$41&lt;$K45,0,$F45*_xlfn.XLOOKUP($D45,'Capital Call&amp;Distributions data'!$A:$A,INDEX('Capital Call&amp;Distributions data'!$C:$O,0,MIN(MAX(YEAR(T$41)-YEAR($K45)+$J45+1,1),14)))),0)</f>
        <v>387355.2559715946</v>
      </c>
      <c r="U45" s="68" cm="1">
        <f t="array" ref="U45">IFERROR(IF(U$41&lt;$K45,0,$F45*_xlfn.XLOOKUP($D45,'Capital Call&amp;Distributions data'!$A:$A,INDEX('Capital Call&amp;Distributions data'!$C:$O,0,MIN(MAX(YEAR(U$41)-YEAR($K45)+$J45+1,1),14)))),0)</f>
        <v>268757.5973531311</v>
      </c>
      <c r="V45" s="68" cm="1">
        <f t="array" ref="V45">IFERROR(IF(V$41&lt;$K45,0,$F45*_xlfn.XLOOKUP($D45,'Capital Call&amp;Distributions data'!$A:$A,INDEX('Capital Call&amp;Distributions data'!$C:$O,0,MIN(MAX(YEAR(V$41)-YEAR($K45)+$J45+1,1),14)))),0)</f>
        <v>41764.229244673996</v>
      </c>
      <c r="W45" s="68" cm="1">
        <f t="array" ref="W45">IFERROR(IF(W$41&lt;$K45,0,$F45*_xlfn.XLOOKUP($D45,'Capital Call&amp;Distributions data'!$A:$A,INDEX('Capital Call&amp;Distributions data'!$C:$O,0,MIN(MAX(YEAR(W$41)-YEAR($K45)+$J45+1,1),14)))),0)</f>
        <v>18172.221885087154</v>
      </c>
      <c r="X45" s="68" cm="1">
        <f t="array" ref="X45">IFERROR(IF(X$41&lt;$K45,0,$F45*_xlfn.XLOOKUP($D45,'Capital Call&amp;Distributions data'!$A:$A,INDEX('Capital Call&amp;Distributions data'!$C:$O,0,MIN(MAX(YEAR(X$41)-YEAR($K45)+$J45+1,1),14)))),0)</f>
        <v>0</v>
      </c>
      <c r="Y45" s="68" cm="1">
        <f t="array" ref="Y45">IFERROR(IF(Y$41&lt;$K45,0,$F45*_xlfn.XLOOKUP($D45,'Capital Call&amp;Distributions data'!$A:$A,INDEX('Capital Call&amp;Distributions data'!$C:$O,0,MIN(MAX(YEAR(Y$41)-YEAR($K45)+$J45+1,1),14)))),0)</f>
        <v>0</v>
      </c>
      <c r="Z45" s="68" cm="1">
        <f t="array" ref="Z45">IFERROR(IF(Z$41&lt;$K45,0,$F45*_xlfn.XLOOKUP($D45,'Capital Call&amp;Distributions data'!$A:$A,INDEX('Capital Call&amp;Distributions data'!$C:$O,0,MIN(MAX(YEAR(Z$41)-YEAR($K45)+$J45+1,1),14)))),0)</f>
        <v>0</v>
      </c>
      <c r="AA45" s="68" cm="1">
        <f t="array" ref="AA45">IFERROR(IF(AA$41&lt;$K45,0,$F45*_xlfn.XLOOKUP($D45,'Capital Call&amp;Distributions data'!$A:$A,INDEX('Capital Call&amp;Distributions data'!$C:$O,0,MIN(MAX(YEAR(AA$41)-YEAR($K45)+$J45+1,1),14)))),0)</f>
        <v>0</v>
      </c>
      <c r="AB45" s="68" cm="1">
        <f t="array" ref="AB45">IFERROR(IF(AB$41&lt;$K45,0,$F45*_xlfn.XLOOKUP($D45,'Capital Call&amp;Distributions data'!$A:$A,INDEX('Capital Call&amp;Distributions data'!$C:$O,0,MIN(MAX(YEAR(AB$41)-YEAR($K45)+$J45+1,1),14)))),0)</f>
        <v>0</v>
      </c>
      <c r="AC45" s="68" cm="1">
        <f t="array" ref="AC45">IFERROR(IF(AC$41&lt;$K45,0,$F45*_xlfn.XLOOKUP($D45,'Capital Call&amp;Distributions data'!$A:$A,INDEX('Capital Call&amp;Distributions data'!$C:$O,0,MIN(MAX(YEAR(AC$41)-YEAR($K45)+$J45+1,1),14)))),0)</f>
        <v>0</v>
      </c>
      <c r="AD45" s="68" cm="1">
        <f t="array" ref="AD45">IFERROR(IF(AD$41&lt;$K45,0,$F45*_xlfn.XLOOKUP($D45,'Capital Call&amp;Distributions data'!$A:$A,INDEX('Capital Call&amp;Distributions data'!$C:$O,0,MIN(MAX(YEAR(AD$41)-YEAR($K45)+$J45+1,1),14)))),0)</f>
        <v>0</v>
      </c>
      <c r="AE45" s="68" cm="1">
        <f t="array" ref="AE45">IFERROR(IF(AE$41&lt;$K45,0,$F45*_xlfn.XLOOKUP($D45,'Capital Call&amp;Distributions data'!$A:$A,INDEX('Capital Call&amp;Distributions data'!$C:$O,0,MIN(MAX(YEAR(AE$41)-YEAR($K45)+$J45+1,1),14)))),0)</f>
        <v>0</v>
      </c>
      <c r="AF45" s="68" cm="1">
        <f t="array" ref="AF45">IFERROR(IF(AF$41&lt;$K45,0,$F45*_xlfn.XLOOKUP($D45,'Capital Call&amp;Distributions data'!$A:$A,INDEX('Capital Call&amp;Distributions data'!$C:$O,0,MIN(MAX(YEAR(AF$41)-YEAR($K45)+$J45+1,1),14)))),0)</f>
        <v>0</v>
      </c>
      <c r="AG45" s="68" cm="1">
        <f t="array" ref="AG45">IFERROR(IF(AG$41&lt;$K45,0,$F45*_xlfn.XLOOKUP($D45,'Capital Call&amp;Distributions data'!$A:$A,INDEX('Capital Call&amp;Distributions data'!$C:$O,0,MIN(MAX(YEAR(AG$41)-YEAR($K45)+$J45+1,1),14)))),0)</f>
        <v>0</v>
      </c>
      <c r="AH45" s="68" cm="1">
        <f t="array" ref="AH45">IFERROR(IF(AH$41&lt;$K45,0,$F45*_xlfn.XLOOKUP($D45,'Capital Call&amp;Distributions data'!$A:$A,INDEX('Capital Call&amp;Distributions data'!$C:$O,0,MIN(MAX(YEAR(AH$41)-YEAR($K45)+$J45+1,1),14)))),0)</f>
        <v>0</v>
      </c>
      <c r="AI45" s="68" cm="1">
        <f t="array" ref="AI45">IFERROR(IF(AI$41&lt;$K45,0,$F45*_xlfn.XLOOKUP($D45,'Capital Call&amp;Distributions data'!$A:$A,INDEX('Capital Call&amp;Distributions data'!$C:$O,0,MIN(MAX(YEAR(AI$41)-YEAR($K45)+$J45+1,1),14)))),0)</f>
        <v>0</v>
      </c>
      <c r="AJ45" s="68" cm="1">
        <f t="array" ref="AJ45">IFERROR(IF(AJ$41&lt;$K45,0,$F45*_xlfn.XLOOKUP($D45,'Capital Call&amp;Distributions data'!$A:$A,INDEX('Capital Call&amp;Distributions data'!$C:$O,0,MIN(MAX(YEAR(AJ$41)-YEAR($K45)+$J45+1,1),14)))),0)</f>
        <v>0</v>
      </c>
      <c r="AK45" s="68" cm="1">
        <f t="array" ref="AK45">IFERROR(IF(AK$41&lt;$K45,0,$F45*_xlfn.XLOOKUP($D45,'Capital Call&amp;Distributions data'!$A:$A,INDEX('Capital Call&amp;Distributions data'!$C:$O,0,MIN(MAX(YEAR(AK$41)-YEAR($K45)+$J45+1,1),14)))),0)</f>
        <v>0</v>
      </c>
      <c r="AL45" s="68" cm="1">
        <f t="array" ref="AL45">IFERROR(IF(AL$41&lt;$K45,0,$F45*_xlfn.XLOOKUP($D45,'Capital Call&amp;Distributions data'!$A:$A,INDEX('Capital Call&amp;Distributions data'!$C:$O,0,MIN(MAX(YEAR(AL$41)-YEAR($K45)+$J45+1,1),14)))),0)</f>
        <v>0</v>
      </c>
      <c r="AM45" s="68" cm="1">
        <f t="array" ref="AM45">IFERROR(IF(AM$41&lt;$K45,0,$F45*_xlfn.XLOOKUP($D45,'Capital Call&amp;Distributions data'!$A:$A,INDEX('Capital Call&amp;Distributions data'!$C:$O,0,MIN(MAX(YEAR(AM$41)-YEAR($K45)+$J45+1,1),14)))),0)</f>
        <v>0</v>
      </c>
      <c r="AN45" s="68" cm="1">
        <f t="array" ref="AN45">IFERROR(IF(AN$41&lt;$K45,0,$F45*_xlfn.XLOOKUP($D45,'Capital Call&amp;Distributions data'!$A:$A,INDEX('Capital Call&amp;Distributions data'!$C:$O,0,MIN(MAX(YEAR(AN$41)-YEAR($K45)+$J45+1,1),14)))),0)</f>
        <v>0</v>
      </c>
      <c r="AO45" s="68" cm="1">
        <f t="array" ref="AO45">IFERROR(IF(AO$41&lt;$K45,0,$F45*_xlfn.XLOOKUP($D45,'Capital Call&amp;Distributions data'!$A:$A,INDEX('Capital Call&amp;Distributions data'!$C:$O,0,MIN(MAX(YEAR(AO$41)-YEAR($K45)+$J45+1,1),14)))),0)</f>
        <v>0</v>
      </c>
      <c r="AP45" s="68" cm="1">
        <f t="array" ref="AP45">IFERROR(IF(AP$41&lt;$K45,0,$F45*_xlfn.XLOOKUP($D45,'Capital Call&amp;Distributions data'!$A:$A,INDEX('Capital Call&amp;Distributions data'!$C:$O,0,MIN(MAX(YEAR(AP$41)-YEAR($K45)+$J45+1,1),14)))),0)</f>
        <v>0</v>
      </c>
      <c r="AQ45" s="68" cm="1">
        <f t="array" ref="AQ45">IFERROR(IF(AQ$41&lt;$K45,0,$F45*_xlfn.XLOOKUP($D45,'Capital Call&amp;Distributions data'!$A:$A,INDEX('Capital Call&amp;Distributions data'!$C:$O,0,MIN(MAX(YEAR(AQ$41)-YEAR($K45)+$J45+1,1),14)))),0)</f>
        <v>0</v>
      </c>
      <c r="AR45" s="68" cm="1">
        <f t="array" ref="AR45">IFERROR(IF(AR$41&lt;$K45,0,$F45*_xlfn.XLOOKUP($D45,'Capital Call&amp;Distributions data'!$A:$A,INDEX('Capital Call&amp;Distributions data'!$C:$O,0,MIN(MAX(YEAR(AR$41)-YEAR($K45)+$J45+1,1),14)))),0)</f>
        <v>0</v>
      </c>
      <c r="AS45" s="68" cm="1">
        <f t="array" ref="AS45">IFERROR(IF(AS$41&lt;$K45,0,$F45*_xlfn.XLOOKUP($D45,'Capital Call&amp;Distributions data'!$A:$A,INDEX('Capital Call&amp;Distributions data'!$C:$O,0,MIN(MAX(YEAR(AS$41)-YEAR($K45)+$J45+1,1),14)))),0)</f>
        <v>0</v>
      </c>
      <c r="AT45" s="68" cm="1">
        <f t="array" ref="AT45">IFERROR(IF(AT$41&lt;$K45,0,$F45*_xlfn.XLOOKUP($D45,'Capital Call&amp;Distributions data'!$A:$A,INDEX('Capital Call&amp;Distributions data'!$C:$O,0,MIN(MAX(YEAR(AT$41)-YEAR($K45)+$J45+1,1),14)))),0)</f>
        <v>0</v>
      </c>
      <c r="AU45" s="68" cm="1">
        <f t="array" ref="AU45">IFERROR(IF(AU$41&lt;$K45,0,$F45*_xlfn.XLOOKUP($D45,'Capital Call&amp;Distributions data'!$A:$A,INDEX('Capital Call&amp;Distributions data'!$C:$O,0,MIN(MAX(YEAR(AU$41)-YEAR($K45)+$J45+1,1),14)))),0)</f>
        <v>0</v>
      </c>
      <c r="AW45" s="1"/>
      <c r="DJ45" s="11"/>
    </row>
    <row r="46" spans="3:114" ht="29.25" customHeight="1">
      <c r="C46" s="20" t="s">
        <v>11</v>
      </c>
      <c r="D46" s="21" t="str">
        <f>_xlfn.XLOOKUP(C46,Fondsen!B:B,Fondsen!C:C,"0",0,1)</f>
        <v>PE</v>
      </c>
      <c r="E46" s="21" t="s">
        <v>10</v>
      </c>
      <c r="F46" s="83">
        <v>2020000</v>
      </c>
      <c r="G46" s="143" t="str">
        <f ca="1">IFERROR(IF(SUM(OFFSET(INDEX('Capital Call&amp;Distributions data'!A:A,MATCH(D46,'Capital Call&amp;Distributions data'!A:A,0)),-1,2,1,1000))=0,"✔",""),"")</f>
        <v/>
      </c>
      <c r="H46" s="138">
        <f>IFERROR(IRR(L46:AD46),"")</f>
        <v>0.14724510427160875</v>
      </c>
      <c r="I46" s="96">
        <v>46388</v>
      </c>
      <c r="J46" s="70">
        <f t="shared" si="2"/>
        <v>0</v>
      </c>
      <c r="K46" s="96">
        <v>46388</v>
      </c>
      <c r="L46" s="68" cm="1">
        <f t="array" ref="L46">IFERROR(IF(L$41&lt;$K46,0,$F46*_xlfn.XLOOKUP($D46,'Capital Call&amp;Distributions data'!$A:$A,INDEX('Capital Call&amp;Distributions data'!$C:$O,0,MIN(MAX(YEAR(L$41)-YEAR($K46)+$J46+1,1),14)))),0)</f>
        <v>0</v>
      </c>
      <c r="M46" s="68" cm="1">
        <f t="array" ref="M46">IFERROR(IF(M$41&lt;$K46,0,$F46*_xlfn.XLOOKUP($D46,'Capital Call&amp;Distributions data'!$A:$A,INDEX('Capital Call&amp;Distributions data'!$C:$O,0,MIN(MAX(YEAR(M$41)-YEAR($K46)+$J46+1,1),14)))),0)</f>
        <v>-635526.97616060241</v>
      </c>
      <c r="N46" s="68" cm="1">
        <f t="array" ref="N46">IFERROR(IF(N$41&lt;$K46,0,$F46*_xlfn.XLOOKUP($D46,'Capital Call&amp;Distributions data'!$A:$A,INDEX('Capital Call&amp;Distributions data'!$C:$O,0,MIN(MAX(YEAR(N$41)-YEAR($K46)+$J46+1,1),14)))),0)</f>
        <v>-441637.39021329989</v>
      </c>
      <c r="O46" s="68" cm="1">
        <f t="array" ref="O46">IFERROR(IF(O$41&lt;$K46,0,$F46*_xlfn.XLOOKUP($D46,'Capital Call&amp;Distributions data'!$A:$A,INDEX('Capital Call&amp;Distributions data'!$C:$O,0,MIN(MAX(YEAR(O$41)-YEAR($K46)+$J46+1,1),14)))),0)</f>
        <v>-441637.39021329989</v>
      </c>
      <c r="P46" s="68" cm="1">
        <f t="array" ref="P46">IFERROR(IF(P$41&lt;$K46,0,$F46*_xlfn.XLOOKUP($D46,'Capital Call&amp;Distributions data'!$A:$A,INDEX('Capital Call&amp;Distributions data'!$C:$O,0,MIN(MAX(YEAR(P$41)-YEAR($K46)+$J46+1,1),14)))),0)</f>
        <v>-198198.24341279801</v>
      </c>
      <c r="Q46" s="68" cm="1">
        <f t="array" ref="Q46">IFERROR(IF(Q$41&lt;$K46,0,$F46*_xlfn.XLOOKUP($D46,'Capital Call&amp;Distributions data'!$A:$A,INDEX('Capital Call&amp;Distributions data'!$C:$O,0,MIN(MAX(YEAR(Q$41)-YEAR($K46)+$J46+1,1),14)))),0)</f>
        <v>512266.50260567467</v>
      </c>
      <c r="R46" s="68" cm="1">
        <f t="array" ref="R46">IFERROR(IF(R$41&lt;$K46,0,$F46*_xlfn.XLOOKUP($D46,'Capital Call&amp;Distributions data'!$A:$A,INDEX('Capital Call&amp;Distributions data'!$C:$O,0,MIN(MAX(YEAR(R$41)-YEAR($K46)+$J46+1,1),14)))),0)</f>
        <v>845575.27504342783</v>
      </c>
      <c r="S46" s="68" cm="1">
        <f t="array" ref="S46">IFERROR(IF(S$41&lt;$K46,0,$F46*_xlfn.XLOOKUP($D46,'Capital Call&amp;Distributions data'!$A:$A,INDEX('Capital Call&amp;Distributions data'!$C:$O,0,MIN(MAX(YEAR(S$41)-YEAR($K46)+$J46+1,1),14)))),0)</f>
        <v>842472.50240880146</v>
      </c>
      <c r="T46" s="68" cm="1">
        <f t="array" ref="T46">IFERROR(IF(T$41&lt;$K46,0,$F46*_xlfn.XLOOKUP($D46,'Capital Call&amp;Distributions data'!$A:$A,INDEX('Capital Call&amp;Distributions data'!$C:$O,0,MIN(MAX(YEAR(T$41)-YEAR($K46)+$J46+1,1),14)))),0)</f>
        <v>507880.24162130855</v>
      </c>
      <c r="U46" s="68" cm="1">
        <f t="array" ref="U46">IFERROR(IF(U$41&lt;$K46,0,$F46*_xlfn.XLOOKUP($D46,'Capital Call&amp;Distributions data'!$A:$A,INDEX('Capital Call&amp;Distributions data'!$C:$O,0,MIN(MAX(YEAR(U$41)-YEAR($K46)+$J46+1,1),14)))),0)</f>
        <v>296835.41148812964</v>
      </c>
      <c r="V46" s="68" cm="1">
        <f t="array" ref="V46">IFERROR(IF(V$41&lt;$K46,0,$F46*_xlfn.XLOOKUP($D46,'Capital Call&amp;Distributions data'!$A:$A,INDEX('Capital Call&amp;Distributions data'!$C:$O,0,MIN(MAX(YEAR(V$41)-YEAR($K46)+$J46+1,1),14)))),0)</f>
        <v>283108.91847133759</v>
      </c>
      <c r="W46" s="68" cm="1">
        <f t="array" ref="W46">IFERROR(IF(W$41&lt;$K46,0,$F46*_xlfn.XLOOKUP($D46,'Capital Call&amp;Distributions data'!$A:$A,INDEX('Capital Call&amp;Distributions data'!$C:$O,0,MIN(MAX(YEAR(W$41)-YEAR($K46)+$J46+1,1),14)))),0)</f>
        <v>84074.769727851773</v>
      </c>
      <c r="X46" s="68" cm="1">
        <f t="array" ref="X46">IFERROR(IF(X$41&lt;$K46,0,$F46*_xlfn.XLOOKUP($D46,'Capital Call&amp;Distributions data'!$A:$A,INDEX('Capital Call&amp;Distributions data'!$C:$O,0,MIN(MAX(YEAR(X$41)-YEAR($K46)+$J46+1,1),14)))),0)</f>
        <v>0</v>
      </c>
      <c r="Y46" s="68" cm="1">
        <f t="array" ref="Y46">IFERROR(IF(Y$41&lt;$K46,0,$F46*_xlfn.XLOOKUP($D46,'Capital Call&amp;Distributions data'!$A:$A,INDEX('Capital Call&amp;Distributions data'!$C:$O,0,MIN(MAX(YEAR(Y$41)-YEAR($K46)+$J46+1,1),14)))),0)</f>
        <v>0</v>
      </c>
      <c r="Z46" s="68" cm="1">
        <f t="array" ref="Z46">IFERROR(IF(Z$41&lt;$K46,0,$F46*_xlfn.XLOOKUP($D46,'Capital Call&amp;Distributions data'!$A:$A,INDEX('Capital Call&amp;Distributions data'!$C:$O,0,MIN(MAX(YEAR(Z$41)-YEAR($K46)+$J46+1,1),14)))),0)</f>
        <v>0</v>
      </c>
      <c r="AA46" s="68" cm="1">
        <f t="array" ref="AA46">IFERROR(IF(AA$41&lt;$K46,0,$F46*_xlfn.XLOOKUP($D46,'Capital Call&amp;Distributions data'!$A:$A,INDEX('Capital Call&amp;Distributions data'!$C:$O,0,MIN(MAX(YEAR(AA$41)-YEAR($K46)+$J46+1,1),14)))),0)</f>
        <v>0</v>
      </c>
      <c r="AB46" s="68" cm="1">
        <f t="array" ref="AB46">IFERROR(IF(AB$41&lt;$K46,0,$F46*_xlfn.XLOOKUP($D46,'Capital Call&amp;Distributions data'!$A:$A,INDEX('Capital Call&amp;Distributions data'!$C:$O,0,MIN(MAX(YEAR(AB$41)-YEAR($K46)+$J46+1,1),14)))),0)</f>
        <v>0</v>
      </c>
      <c r="AC46" s="68" cm="1">
        <f t="array" ref="AC46">IFERROR(IF(AC$41&lt;$K46,0,$F46*_xlfn.XLOOKUP($D46,'Capital Call&amp;Distributions data'!$A:$A,INDEX('Capital Call&amp;Distributions data'!$C:$O,0,MIN(MAX(YEAR(AC$41)-YEAR($K46)+$J46+1,1),14)))),0)</f>
        <v>0</v>
      </c>
      <c r="AD46" s="68" cm="1">
        <f t="array" ref="AD46">IFERROR(IF(AD$41&lt;$K46,0,$F46*_xlfn.XLOOKUP($D46,'Capital Call&amp;Distributions data'!$A:$A,INDEX('Capital Call&amp;Distributions data'!$C:$O,0,MIN(MAX(YEAR(AD$41)-YEAR($K46)+$J46+1,1),14)))),0)</f>
        <v>0</v>
      </c>
      <c r="AE46" s="68" cm="1">
        <f t="array" ref="AE46">IFERROR(IF(AE$41&lt;$K46,0,$F46*_xlfn.XLOOKUP($D46,'Capital Call&amp;Distributions data'!$A:$A,INDEX('Capital Call&amp;Distributions data'!$C:$O,0,MIN(MAX(YEAR(AE$41)-YEAR($K46)+$J46+1,1),14)))),0)</f>
        <v>0</v>
      </c>
      <c r="AF46" s="68" cm="1">
        <f t="array" ref="AF46">IFERROR(IF(AF$41&lt;$K46,0,$F46*_xlfn.XLOOKUP($D46,'Capital Call&amp;Distributions data'!$A:$A,INDEX('Capital Call&amp;Distributions data'!$C:$O,0,MIN(MAX(YEAR(AF$41)-YEAR($K46)+$J46+1,1),14)))),0)</f>
        <v>0</v>
      </c>
      <c r="AG46" s="68" cm="1">
        <f t="array" ref="AG46">IFERROR(IF(AG$41&lt;$K46,0,$F46*_xlfn.XLOOKUP($D46,'Capital Call&amp;Distributions data'!$A:$A,INDEX('Capital Call&amp;Distributions data'!$C:$O,0,MIN(MAX(YEAR(AG$41)-YEAR($K46)+$J46+1,1),14)))),0)</f>
        <v>0</v>
      </c>
      <c r="AH46" s="68" cm="1">
        <f t="array" ref="AH46">IFERROR(IF(AH$41&lt;$K46,0,$F46*_xlfn.XLOOKUP($D46,'Capital Call&amp;Distributions data'!$A:$A,INDEX('Capital Call&amp;Distributions data'!$C:$O,0,MIN(MAX(YEAR(AH$41)-YEAR($K46)+$J46+1,1),14)))),0)</f>
        <v>0</v>
      </c>
      <c r="AI46" s="68" cm="1">
        <f t="array" ref="AI46">IFERROR(IF(AI$41&lt;$K46,0,$F46*_xlfn.XLOOKUP($D46,'Capital Call&amp;Distributions data'!$A:$A,INDEX('Capital Call&amp;Distributions data'!$C:$O,0,MIN(MAX(YEAR(AI$41)-YEAR($K46)+$J46+1,1),14)))),0)</f>
        <v>0</v>
      </c>
      <c r="AJ46" s="68" cm="1">
        <f t="array" ref="AJ46">IFERROR(IF(AJ$41&lt;$K46,0,$F46*_xlfn.XLOOKUP($D46,'Capital Call&amp;Distributions data'!$A:$A,INDEX('Capital Call&amp;Distributions data'!$C:$O,0,MIN(MAX(YEAR(AJ$41)-YEAR($K46)+$J46+1,1),14)))),0)</f>
        <v>0</v>
      </c>
      <c r="AK46" s="68" cm="1">
        <f t="array" ref="AK46">IFERROR(IF(AK$41&lt;$K46,0,$F46*_xlfn.XLOOKUP($D46,'Capital Call&amp;Distributions data'!$A:$A,INDEX('Capital Call&amp;Distributions data'!$C:$O,0,MIN(MAX(YEAR(AK$41)-YEAR($K46)+$J46+1,1),14)))),0)</f>
        <v>0</v>
      </c>
      <c r="AL46" s="68" cm="1">
        <f t="array" ref="AL46">IFERROR(IF(AL$41&lt;$K46,0,$F46*_xlfn.XLOOKUP($D46,'Capital Call&amp;Distributions data'!$A:$A,INDEX('Capital Call&amp;Distributions data'!$C:$O,0,MIN(MAX(YEAR(AL$41)-YEAR($K46)+$J46+1,1),14)))),0)</f>
        <v>0</v>
      </c>
      <c r="AM46" s="68" cm="1">
        <f t="array" ref="AM46">IFERROR(IF(AM$41&lt;$K46,0,$F46*_xlfn.XLOOKUP($D46,'Capital Call&amp;Distributions data'!$A:$A,INDEX('Capital Call&amp;Distributions data'!$C:$O,0,MIN(MAX(YEAR(AM$41)-YEAR($K46)+$J46+1,1),14)))),0)</f>
        <v>0</v>
      </c>
      <c r="AN46" s="68" cm="1">
        <f t="array" ref="AN46">IFERROR(IF(AN$41&lt;$K46,0,$F46*_xlfn.XLOOKUP($D46,'Capital Call&amp;Distributions data'!$A:$A,INDEX('Capital Call&amp;Distributions data'!$C:$O,0,MIN(MAX(YEAR(AN$41)-YEAR($K46)+$J46+1,1),14)))),0)</f>
        <v>0</v>
      </c>
      <c r="AO46" s="68" cm="1">
        <f t="array" ref="AO46">IFERROR(IF(AO$41&lt;$K46,0,$F46*_xlfn.XLOOKUP($D46,'Capital Call&amp;Distributions data'!$A:$A,INDEX('Capital Call&amp;Distributions data'!$C:$O,0,MIN(MAX(YEAR(AO$41)-YEAR($K46)+$J46+1,1),14)))),0)</f>
        <v>0</v>
      </c>
      <c r="AP46" s="68" cm="1">
        <f t="array" ref="AP46">IFERROR(IF(AP$41&lt;$K46,0,$F46*_xlfn.XLOOKUP($D46,'Capital Call&amp;Distributions data'!$A:$A,INDEX('Capital Call&amp;Distributions data'!$C:$O,0,MIN(MAX(YEAR(AP$41)-YEAR($K46)+$J46+1,1),14)))),0)</f>
        <v>0</v>
      </c>
      <c r="AQ46" s="68" cm="1">
        <f t="array" ref="AQ46">IFERROR(IF(AQ$41&lt;$K46,0,$F46*_xlfn.XLOOKUP($D46,'Capital Call&amp;Distributions data'!$A:$A,INDEX('Capital Call&amp;Distributions data'!$C:$O,0,MIN(MAX(YEAR(AQ$41)-YEAR($K46)+$J46+1,1),14)))),0)</f>
        <v>0</v>
      </c>
      <c r="AR46" s="68" cm="1">
        <f t="array" ref="AR46">IFERROR(IF(AR$41&lt;$K46,0,$F46*_xlfn.XLOOKUP($D46,'Capital Call&amp;Distributions data'!$A:$A,INDEX('Capital Call&amp;Distributions data'!$C:$O,0,MIN(MAX(YEAR(AR$41)-YEAR($K46)+$J46+1,1),14)))),0)</f>
        <v>0</v>
      </c>
      <c r="AS46" s="68" cm="1">
        <f t="array" ref="AS46">IFERROR(IF(AS$41&lt;$K46,0,$F46*_xlfn.XLOOKUP($D46,'Capital Call&amp;Distributions data'!$A:$A,INDEX('Capital Call&amp;Distributions data'!$C:$O,0,MIN(MAX(YEAR(AS$41)-YEAR($K46)+$J46+1,1),14)))),0)</f>
        <v>0</v>
      </c>
      <c r="AT46" s="68" cm="1">
        <f t="array" ref="AT46">IFERROR(IF(AT$41&lt;$K46,0,$F46*_xlfn.XLOOKUP($D46,'Capital Call&amp;Distributions data'!$A:$A,INDEX('Capital Call&amp;Distributions data'!$C:$O,0,MIN(MAX(YEAR(AT$41)-YEAR($K46)+$J46+1,1),14)))),0)</f>
        <v>0</v>
      </c>
      <c r="AU46" s="68" cm="1">
        <f t="array" ref="AU46">IFERROR(IF(AU$41&lt;$K46,0,$F46*_xlfn.XLOOKUP($D46,'Capital Call&amp;Distributions data'!$A:$A,INDEX('Capital Call&amp;Distributions data'!$C:$O,0,MIN(MAX(YEAR(AU$41)-YEAR($K46)+$J46+1,1),14)))),0)</f>
        <v>0</v>
      </c>
      <c r="AW46" s="1"/>
      <c r="DJ46" s="11"/>
    </row>
    <row r="47" spans="3:114" ht="29.25" customHeight="1">
      <c r="C47" s="20" t="s">
        <v>141</v>
      </c>
      <c r="D47" s="21" t="str">
        <f>_xlfn.XLOOKUP(C47,Fondsen!B:B,Fondsen!C:C,"0",0,1)</f>
        <v>Secondaries</v>
      </c>
      <c r="E47" s="21" t="s">
        <v>10</v>
      </c>
      <c r="F47" s="83">
        <v>3200000</v>
      </c>
      <c r="G47" s="143" t="str">
        <f ca="1">IFERROR(IF(SUM(OFFSET(INDEX('Capital Call&amp;Distributions data'!A:A,MATCH(D47,'Capital Call&amp;Distributions data'!A:A,0)),-1,2,1,1000))=0,"✔",""),"")</f>
        <v/>
      </c>
      <c r="H47" s="138">
        <f>IFERROR(IRR(L47:AD47),"")</f>
        <v>0.1322930138235805</v>
      </c>
      <c r="I47" s="96">
        <v>46753</v>
      </c>
      <c r="J47" s="70">
        <f t="shared" si="2"/>
        <v>0</v>
      </c>
      <c r="K47" s="96">
        <v>46753</v>
      </c>
      <c r="L47" s="68" cm="1">
        <f t="array" ref="L47">IFERROR(IF(L$41&lt;$K47,0,$F47*_xlfn.XLOOKUP($D47,'Capital Call&amp;Distributions data'!$A:$A,INDEX('Capital Call&amp;Distributions data'!$C:$O,0,MIN(MAX(YEAR(L$41)-YEAR($K47)+$J47+1,1),14)))),0)</f>
        <v>0</v>
      </c>
      <c r="M47" s="68" cm="1">
        <f t="array" ref="M47">IFERROR(IF(M$41&lt;$K47,0,$F47*_xlfn.XLOOKUP($D47,'Capital Call&amp;Distributions data'!$A:$A,INDEX('Capital Call&amp;Distributions data'!$C:$O,0,MIN(MAX(YEAR(M$41)-YEAR($K47)+$J47+1,1),14)))),0)</f>
        <v>0</v>
      </c>
      <c r="N47" s="68" cm="1">
        <f t="array" ref="N47">IFERROR(IF(N$41&lt;$K47,0,$F47*_xlfn.XLOOKUP($D47,'Capital Call&amp;Distributions data'!$A:$A,INDEX('Capital Call&amp;Distributions data'!$C:$O,0,MIN(MAX(YEAR(N$41)-YEAR($K47)+$J47+1,1),14)))),0)</f>
        <v>-1703311.4414103008</v>
      </c>
      <c r="O47" s="68" cm="1">
        <f t="array" ref="O47">IFERROR(IF(O$41&lt;$K47,0,$F47*_xlfn.XLOOKUP($D47,'Capital Call&amp;Distributions data'!$A:$A,INDEX('Capital Call&amp;Distributions data'!$C:$O,0,MIN(MAX(YEAR(O$41)-YEAR($K47)+$J47+1,1),14)))),0)</f>
        <v>-152688.55858969927</v>
      </c>
      <c r="P47" s="68" cm="1">
        <f t="array" ref="P47">IFERROR(IF(P$41&lt;$K47,0,$F47*_xlfn.XLOOKUP($D47,'Capital Call&amp;Distributions data'!$A:$A,INDEX('Capital Call&amp;Distributions data'!$C:$O,0,MIN(MAX(YEAR(P$41)-YEAR($K47)+$J47+1,1),14)))),0)</f>
        <v>815789.2834086509</v>
      </c>
      <c r="Q47" s="68" cm="1">
        <f t="array" ref="Q47">IFERROR(IF(Q$41&lt;$K47,0,$F47*_xlfn.XLOOKUP($D47,'Capital Call&amp;Distributions data'!$A:$A,INDEX('Capital Call&amp;Distributions data'!$C:$O,0,MIN(MAX(YEAR(Q$41)-YEAR($K47)+$J47+1,1),14)))),0)</f>
        <v>671017.68883150432</v>
      </c>
      <c r="R47" s="68" cm="1">
        <f t="array" ref="R47">IFERROR(IF(R$41&lt;$K47,0,$F47*_xlfn.XLOOKUP($D47,'Capital Call&amp;Distributions data'!$A:$A,INDEX('Capital Call&amp;Distributions data'!$C:$O,0,MIN(MAX(YEAR(R$41)-YEAR($K47)+$J47+1,1),14)))),0)</f>
        <v>465322.50484183343</v>
      </c>
      <c r="S47" s="68" cm="1">
        <f t="array" ref="S47">IFERROR(IF(S$41&lt;$K47,0,$F47*_xlfn.XLOOKUP($D47,'Capital Call&amp;Distributions data'!$A:$A,INDEX('Capital Call&amp;Distributions data'!$C:$O,0,MIN(MAX(YEAR(S$41)-YEAR($K47)+$J47+1,1),14)))),0)</f>
        <v>262050.06584893487</v>
      </c>
      <c r="T47" s="68" cm="1">
        <f t="array" ref="T47">IFERROR(IF(T$41&lt;$K47,0,$F47*_xlfn.XLOOKUP($D47,'Capital Call&amp;Distributions data'!$A:$A,INDEX('Capital Call&amp;Distributions data'!$C:$O,0,MIN(MAX(YEAR(T$41)-YEAR($K47)+$J47+1,1),14)))),0)</f>
        <v>294256.21897998714</v>
      </c>
      <c r="U47" s="68" cm="1">
        <f t="array" ref="U47">IFERROR(IF(U$41&lt;$K47,0,$F47*_xlfn.XLOOKUP($D47,'Capital Call&amp;Distributions data'!$A:$A,INDEX('Capital Call&amp;Distributions data'!$C:$O,0,MIN(MAX(YEAR(U$41)-YEAR($K47)+$J47+1,1),14)))),0)</f>
        <v>243046.4351194319</v>
      </c>
      <c r="V47" s="68" cm="1">
        <f t="array" ref="V47">IFERROR(IF(V$41&lt;$K47,0,$F47*_xlfn.XLOOKUP($D47,'Capital Call&amp;Distributions data'!$A:$A,INDEX('Capital Call&amp;Distributions data'!$C:$O,0,MIN(MAX(YEAR(V$41)-YEAR($K47)+$J47+1,1),14)))),0)</f>
        <v>168632.21794706266</v>
      </c>
      <c r="W47" s="68" cm="1">
        <f t="array" ref="W47">IFERROR(IF(W$41&lt;$K47,0,$F47*_xlfn.XLOOKUP($D47,'Capital Call&amp;Distributions data'!$A:$A,INDEX('Capital Call&amp;Distributions data'!$C:$O,0,MIN(MAX(YEAR(W$41)-YEAR($K47)+$J47+1,1),14)))),0)</f>
        <v>26205.006584893486</v>
      </c>
      <c r="X47" s="68" cm="1">
        <f t="array" ref="X47">IFERROR(IF(X$41&lt;$K47,0,$F47*_xlfn.XLOOKUP($D47,'Capital Call&amp;Distributions data'!$A:$A,INDEX('Capital Call&amp;Distributions data'!$C:$O,0,MIN(MAX(YEAR(X$41)-YEAR($K47)+$J47+1,1),14)))),0)</f>
        <v>11402.178437701745</v>
      </c>
      <c r="Y47" s="68" cm="1">
        <f t="array" ref="Y47">IFERROR(IF(Y$41&lt;$K47,0,$F47*_xlfn.XLOOKUP($D47,'Capital Call&amp;Distributions data'!$A:$A,INDEX('Capital Call&amp;Distributions data'!$C:$O,0,MIN(MAX(YEAR(Y$41)-YEAR($K47)+$J47+1,1),14)))),0)</f>
        <v>0</v>
      </c>
      <c r="Z47" s="68" cm="1">
        <f t="array" ref="Z47">IFERROR(IF(Z$41&lt;$K47,0,$F47*_xlfn.XLOOKUP($D47,'Capital Call&amp;Distributions data'!$A:$A,INDEX('Capital Call&amp;Distributions data'!$C:$O,0,MIN(MAX(YEAR(Z$41)-YEAR($K47)+$J47+1,1),14)))),0)</f>
        <v>0</v>
      </c>
      <c r="AA47" s="68" cm="1">
        <f t="array" ref="AA47">IFERROR(IF(AA$41&lt;$K47,0,$F47*_xlfn.XLOOKUP($D47,'Capital Call&amp;Distributions data'!$A:$A,INDEX('Capital Call&amp;Distributions data'!$C:$O,0,MIN(MAX(YEAR(AA$41)-YEAR($K47)+$J47+1,1),14)))),0)</f>
        <v>0</v>
      </c>
      <c r="AB47" s="68" cm="1">
        <f t="array" ref="AB47">IFERROR(IF(AB$41&lt;$K47,0,$F47*_xlfn.XLOOKUP($D47,'Capital Call&amp;Distributions data'!$A:$A,INDEX('Capital Call&amp;Distributions data'!$C:$O,0,MIN(MAX(YEAR(AB$41)-YEAR($K47)+$J47+1,1),14)))),0)</f>
        <v>0</v>
      </c>
      <c r="AC47" s="68" cm="1">
        <f t="array" ref="AC47">IFERROR(IF(AC$41&lt;$K47,0,$F47*_xlfn.XLOOKUP($D47,'Capital Call&amp;Distributions data'!$A:$A,INDEX('Capital Call&amp;Distributions data'!$C:$O,0,MIN(MAX(YEAR(AC$41)-YEAR($K47)+$J47+1,1),14)))),0)</f>
        <v>0</v>
      </c>
      <c r="AD47" s="68" cm="1">
        <f t="array" ref="AD47">IFERROR(IF(AD$41&lt;$K47,0,$F47*_xlfn.XLOOKUP($D47,'Capital Call&amp;Distributions data'!$A:$A,INDEX('Capital Call&amp;Distributions data'!$C:$O,0,MIN(MAX(YEAR(AD$41)-YEAR($K47)+$J47+1,1),14)))),0)</f>
        <v>0</v>
      </c>
      <c r="AE47" s="68" cm="1">
        <f t="array" ref="AE47">IFERROR(IF(AE$41&lt;$K47,0,$F47*_xlfn.XLOOKUP($D47,'Capital Call&amp;Distributions data'!$A:$A,INDEX('Capital Call&amp;Distributions data'!$C:$O,0,MIN(MAX(YEAR(AE$41)-YEAR($K47)+$J47+1,1),14)))),0)</f>
        <v>0</v>
      </c>
      <c r="AF47" s="68" cm="1">
        <f t="array" ref="AF47">IFERROR(IF(AF$41&lt;$K47,0,$F47*_xlfn.XLOOKUP($D47,'Capital Call&amp;Distributions data'!$A:$A,INDEX('Capital Call&amp;Distributions data'!$C:$O,0,MIN(MAX(YEAR(AF$41)-YEAR($K47)+$J47+1,1),14)))),0)</f>
        <v>0</v>
      </c>
      <c r="AG47" s="68" cm="1">
        <f t="array" ref="AG47">IFERROR(IF(AG$41&lt;$K47,0,$F47*_xlfn.XLOOKUP($D47,'Capital Call&amp;Distributions data'!$A:$A,INDEX('Capital Call&amp;Distributions data'!$C:$O,0,MIN(MAX(YEAR(AG$41)-YEAR($K47)+$J47+1,1),14)))),0)</f>
        <v>0</v>
      </c>
      <c r="AH47" s="68" cm="1">
        <f t="array" ref="AH47">IFERROR(IF(AH$41&lt;$K47,0,$F47*_xlfn.XLOOKUP($D47,'Capital Call&amp;Distributions data'!$A:$A,INDEX('Capital Call&amp;Distributions data'!$C:$O,0,MIN(MAX(YEAR(AH$41)-YEAR($K47)+$J47+1,1),14)))),0)</f>
        <v>0</v>
      </c>
      <c r="AI47" s="68" cm="1">
        <f t="array" ref="AI47">IFERROR(IF(AI$41&lt;$K47,0,$F47*_xlfn.XLOOKUP($D47,'Capital Call&amp;Distributions data'!$A:$A,INDEX('Capital Call&amp;Distributions data'!$C:$O,0,MIN(MAX(YEAR(AI$41)-YEAR($K47)+$J47+1,1),14)))),0)</f>
        <v>0</v>
      </c>
      <c r="AJ47" s="68" cm="1">
        <f t="array" ref="AJ47">IFERROR(IF(AJ$41&lt;$K47,0,$F47*_xlfn.XLOOKUP($D47,'Capital Call&amp;Distributions data'!$A:$A,INDEX('Capital Call&amp;Distributions data'!$C:$O,0,MIN(MAX(YEAR(AJ$41)-YEAR($K47)+$J47+1,1),14)))),0)</f>
        <v>0</v>
      </c>
      <c r="AK47" s="68" cm="1">
        <f t="array" ref="AK47">IFERROR(IF(AK$41&lt;$K47,0,$F47*_xlfn.XLOOKUP($D47,'Capital Call&amp;Distributions data'!$A:$A,INDEX('Capital Call&amp;Distributions data'!$C:$O,0,MIN(MAX(YEAR(AK$41)-YEAR($K47)+$J47+1,1),14)))),0)</f>
        <v>0</v>
      </c>
      <c r="AL47" s="68" cm="1">
        <f t="array" ref="AL47">IFERROR(IF(AL$41&lt;$K47,0,$F47*_xlfn.XLOOKUP($D47,'Capital Call&amp;Distributions data'!$A:$A,INDEX('Capital Call&amp;Distributions data'!$C:$O,0,MIN(MAX(YEAR(AL$41)-YEAR($K47)+$J47+1,1),14)))),0)</f>
        <v>0</v>
      </c>
      <c r="AM47" s="68" cm="1">
        <f t="array" ref="AM47">IFERROR(IF(AM$41&lt;$K47,0,$F47*_xlfn.XLOOKUP($D47,'Capital Call&amp;Distributions data'!$A:$A,INDEX('Capital Call&amp;Distributions data'!$C:$O,0,MIN(MAX(YEAR(AM$41)-YEAR($K47)+$J47+1,1),14)))),0)</f>
        <v>0</v>
      </c>
      <c r="AN47" s="68" cm="1">
        <f t="array" ref="AN47">IFERROR(IF(AN$41&lt;$K47,0,$F47*_xlfn.XLOOKUP($D47,'Capital Call&amp;Distributions data'!$A:$A,INDEX('Capital Call&amp;Distributions data'!$C:$O,0,MIN(MAX(YEAR(AN$41)-YEAR($K47)+$J47+1,1),14)))),0)</f>
        <v>0</v>
      </c>
      <c r="AO47" s="68" cm="1">
        <f t="array" ref="AO47">IFERROR(IF(AO$41&lt;$K47,0,$F47*_xlfn.XLOOKUP($D47,'Capital Call&amp;Distributions data'!$A:$A,INDEX('Capital Call&amp;Distributions data'!$C:$O,0,MIN(MAX(YEAR(AO$41)-YEAR($K47)+$J47+1,1),14)))),0)</f>
        <v>0</v>
      </c>
      <c r="AP47" s="68" cm="1">
        <f t="array" ref="AP47">IFERROR(IF(AP$41&lt;$K47,0,$F47*_xlfn.XLOOKUP($D47,'Capital Call&amp;Distributions data'!$A:$A,INDEX('Capital Call&amp;Distributions data'!$C:$O,0,MIN(MAX(YEAR(AP$41)-YEAR($K47)+$J47+1,1),14)))),0)</f>
        <v>0</v>
      </c>
      <c r="AQ47" s="68" cm="1">
        <f t="array" ref="AQ47">IFERROR(IF(AQ$41&lt;$K47,0,$F47*_xlfn.XLOOKUP($D47,'Capital Call&amp;Distributions data'!$A:$A,INDEX('Capital Call&amp;Distributions data'!$C:$O,0,MIN(MAX(YEAR(AQ$41)-YEAR($K47)+$J47+1,1),14)))),0)</f>
        <v>0</v>
      </c>
      <c r="AR47" s="68" cm="1">
        <f t="array" ref="AR47">IFERROR(IF(AR$41&lt;$K47,0,$F47*_xlfn.XLOOKUP($D47,'Capital Call&amp;Distributions data'!$A:$A,INDEX('Capital Call&amp;Distributions data'!$C:$O,0,MIN(MAX(YEAR(AR$41)-YEAR($K47)+$J47+1,1),14)))),0)</f>
        <v>0</v>
      </c>
      <c r="AS47" s="68" cm="1">
        <f t="array" ref="AS47">IFERROR(IF(AS$41&lt;$K47,0,$F47*_xlfn.XLOOKUP($D47,'Capital Call&amp;Distributions data'!$A:$A,INDEX('Capital Call&amp;Distributions data'!$C:$O,0,MIN(MAX(YEAR(AS$41)-YEAR($K47)+$J47+1,1),14)))),0)</f>
        <v>0</v>
      </c>
      <c r="AT47" s="68" cm="1">
        <f t="array" ref="AT47">IFERROR(IF(AT$41&lt;$K47,0,$F47*_xlfn.XLOOKUP($D47,'Capital Call&amp;Distributions data'!$A:$A,INDEX('Capital Call&amp;Distributions data'!$C:$O,0,MIN(MAX(YEAR(AT$41)-YEAR($K47)+$J47+1,1),14)))),0)</f>
        <v>0</v>
      </c>
      <c r="AU47" s="68" cm="1">
        <f t="array" ref="AU47">IFERROR(IF(AU$41&lt;$K47,0,$F47*_xlfn.XLOOKUP($D47,'Capital Call&amp;Distributions data'!$A:$A,INDEX('Capital Call&amp;Distributions data'!$C:$O,0,MIN(MAX(YEAR(AU$41)-YEAR($K47)+$J47+1,1),14)))),0)</f>
        <v>0</v>
      </c>
      <c r="AW47" s="1"/>
      <c r="DJ47" s="11"/>
    </row>
    <row r="48" spans="3:114" ht="29.25" customHeight="1">
      <c r="C48" s="20" t="s">
        <v>11</v>
      </c>
      <c r="D48" s="21" t="str">
        <f>_xlfn.XLOOKUP(C48,Fondsen!B:B,Fondsen!C:C,"0",0,1)</f>
        <v>PE</v>
      </c>
      <c r="E48" s="21" t="s">
        <v>10</v>
      </c>
      <c r="F48" s="83">
        <v>2000000</v>
      </c>
      <c r="G48" s="143" t="str">
        <f ca="1">IFERROR(IF(SUM(OFFSET(INDEX('Capital Call&amp;Distributions data'!A:A,MATCH(D48,'Capital Call&amp;Distributions data'!A:A,0)),-1,2,1,1000))=0,"✔",""),"")</f>
        <v/>
      </c>
      <c r="H48" s="138">
        <f>IFERROR(IRR(L48:AJ48),"")</f>
        <v>0.14724510427160875</v>
      </c>
      <c r="I48" s="96">
        <v>46753</v>
      </c>
      <c r="J48" s="70">
        <f t="shared" si="2"/>
        <v>0</v>
      </c>
      <c r="K48" s="96">
        <v>46753</v>
      </c>
      <c r="L48" s="68" cm="1">
        <f t="array" ref="L48">IFERROR(IF(L$41&lt;$K48,0,$F48*_xlfn.XLOOKUP($D48,'Capital Call&amp;Distributions data'!$A:$A,INDEX('Capital Call&amp;Distributions data'!$C:$O,0,MIN(MAX(YEAR(L$41)-YEAR($K48)+$J48+1,1),14)))),0)</f>
        <v>0</v>
      </c>
      <c r="M48" s="68" cm="1">
        <f t="array" ref="M48">IFERROR(IF(M$41&lt;$K48,0,$F48*_xlfn.XLOOKUP($D48,'Capital Call&amp;Distributions data'!$A:$A,INDEX('Capital Call&amp;Distributions data'!$C:$O,0,MIN(MAX(YEAR(M$41)-YEAR($K48)+$J48+1,1),14)))),0)</f>
        <v>0</v>
      </c>
      <c r="N48" s="68" cm="1">
        <f t="array" ref="N48">IFERROR(IF(N$41&lt;$K48,0,$F48*_xlfn.XLOOKUP($D48,'Capital Call&amp;Distributions data'!$A:$A,INDEX('Capital Call&amp;Distributions data'!$C:$O,0,MIN(MAX(YEAR(N$41)-YEAR($K48)+$J48+1,1),14)))),0)</f>
        <v>-629234.62986198254</v>
      </c>
      <c r="O48" s="68" cm="1">
        <f t="array" ref="O48">IFERROR(IF(O$41&lt;$K48,0,$F48*_xlfn.XLOOKUP($D48,'Capital Call&amp;Distributions data'!$A:$A,INDEX('Capital Call&amp;Distributions data'!$C:$O,0,MIN(MAX(YEAR(O$41)-YEAR($K48)+$J48+1,1),14)))),0)</f>
        <v>-437264.74278544541</v>
      </c>
      <c r="P48" s="68" cm="1">
        <f t="array" ref="P48">IFERROR(IF(P$41&lt;$K48,0,$F48*_xlfn.XLOOKUP($D48,'Capital Call&amp;Distributions data'!$A:$A,INDEX('Capital Call&amp;Distributions data'!$C:$O,0,MIN(MAX(YEAR(P$41)-YEAR($K48)+$J48+1,1),14)))),0)</f>
        <v>-437264.74278544541</v>
      </c>
      <c r="Q48" s="68" cm="1">
        <f t="array" ref="Q48">IFERROR(IF(Q$41&lt;$K48,0,$F48*_xlfn.XLOOKUP($D48,'Capital Call&amp;Distributions data'!$A:$A,INDEX('Capital Call&amp;Distributions data'!$C:$O,0,MIN(MAX(YEAR(Q$41)-YEAR($K48)+$J48+1,1),14)))),0)</f>
        <v>-196235.88456712675</v>
      </c>
      <c r="R48" s="68" cm="1">
        <f t="array" ref="R48">IFERROR(IF(R$41&lt;$K48,0,$F48*_xlfn.XLOOKUP($D48,'Capital Call&amp;Distributions data'!$A:$A,INDEX('Capital Call&amp;Distributions data'!$C:$O,0,MIN(MAX(YEAR(R$41)-YEAR($K48)+$J48+1,1),14)))),0)</f>
        <v>507194.55703532149</v>
      </c>
      <c r="S48" s="68" cm="1">
        <f t="array" ref="S48">IFERROR(IF(S$41&lt;$K48,0,$F48*_xlfn.XLOOKUP($D48,'Capital Call&amp;Distributions data'!$A:$A,INDEX('Capital Call&amp;Distributions data'!$C:$O,0,MIN(MAX(YEAR(S$41)-YEAR($K48)+$J48+1,1),14)))),0)</f>
        <v>837203.24261725531</v>
      </c>
      <c r="T48" s="68" cm="1">
        <f t="array" ref="T48">IFERROR(IF(T$41&lt;$K48,0,$F48*_xlfn.XLOOKUP($D48,'Capital Call&amp;Distributions data'!$A:$A,INDEX('Capital Call&amp;Distributions data'!$C:$O,0,MIN(MAX(YEAR(T$41)-YEAR($K48)+$J48+1,1),14)))),0)</f>
        <v>834131.19050376385</v>
      </c>
      <c r="U48" s="68" cm="1">
        <f t="array" ref="U48">IFERROR(IF(U$41&lt;$K48,0,$F48*_xlfn.XLOOKUP($D48,'Capital Call&amp;Distributions data'!$A:$A,INDEX('Capital Call&amp;Distributions data'!$C:$O,0,MIN(MAX(YEAR(U$41)-YEAR($K48)+$J48+1,1),14)))),0)</f>
        <v>502851.72437753325</v>
      </c>
      <c r="V48" s="68" cm="1">
        <f t="array" ref="V48">IFERROR(IF(V$41&lt;$K48,0,$F48*_xlfn.XLOOKUP($D48,'Capital Call&amp;Distributions data'!$A:$A,INDEX('Capital Call&amp;Distributions data'!$C:$O,0,MIN(MAX(YEAR(V$41)-YEAR($K48)+$J48+1,1),14)))),0)</f>
        <v>293896.44701795012</v>
      </c>
      <c r="W48" s="68" cm="1">
        <f t="array" ref="W48">IFERROR(IF(W$41&lt;$K48,0,$F48*_xlfn.XLOOKUP($D48,'Capital Call&amp;Distributions data'!$A:$A,INDEX('Capital Call&amp;Distributions data'!$C:$O,0,MIN(MAX(YEAR(W$41)-YEAR($K48)+$J48+1,1),14)))),0)</f>
        <v>280305.85987261147</v>
      </c>
      <c r="X48" s="68" cm="1">
        <f t="array" ref="X48">IFERROR(IF(X$41&lt;$K48,0,$F48*_xlfn.XLOOKUP($D48,'Capital Call&amp;Distributions data'!$A:$A,INDEX('Capital Call&amp;Distributions data'!$C:$O,0,MIN(MAX(YEAR(X$41)-YEAR($K48)+$J48+1,1),14)))),0)</f>
        <v>83242.346265199769</v>
      </c>
      <c r="Y48" s="68" cm="1">
        <f t="array" ref="Y48">IFERROR(IF(Y$41&lt;$K48,0,$F48*_xlfn.XLOOKUP($D48,'Capital Call&amp;Distributions data'!$A:$A,INDEX('Capital Call&amp;Distributions data'!$C:$O,0,MIN(MAX(YEAR(Y$41)-YEAR($K48)+$J48+1,1),14)))),0)</f>
        <v>0</v>
      </c>
      <c r="Z48" s="68" cm="1">
        <f t="array" ref="Z48">IFERROR(IF(Z$41&lt;$K48,0,$F48*_xlfn.XLOOKUP($D48,'Capital Call&amp;Distributions data'!$A:$A,INDEX('Capital Call&amp;Distributions data'!$C:$O,0,MIN(MAX(YEAR(Z$41)-YEAR($K48)+$J48+1,1),14)))),0)</f>
        <v>0</v>
      </c>
      <c r="AA48" s="68" cm="1">
        <f t="array" ref="AA48">IFERROR(IF(AA$41&lt;$K48,0,$F48*_xlfn.XLOOKUP($D48,'Capital Call&amp;Distributions data'!$A:$A,INDEX('Capital Call&amp;Distributions data'!$C:$O,0,MIN(MAX(YEAR(AA$41)-YEAR($K48)+$J48+1,1),14)))),0)</f>
        <v>0</v>
      </c>
      <c r="AB48" s="68" cm="1">
        <f t="array" ref="AB48">IFERROR(IF(AB$41&lt;$K48,0,$F48*_xlfn.XLOOKUP($D48,'Capital Call&amp;Distributions data'!$A:$A,INDEX('Capital Call&amp;Distributions data'!$C:$O,0,MIN(MAX(YEAR(AB$41)-YEAR($K48)+$J48+1,1),14)))),0)</f>
        <v>0</v>
      </c>
      <c r="AC48" s="68" cm="1">
        <f t="array" ref="AC48">IFERROR(IF(AC$41&lt;$K48,0,$F48*_xlfn.XLOOKUP($D48,'Capital Call&amp;Distributions data'!$A:$A,INDEX('Capital Call&amp;Distributions data'!$C:$O,0,MIN(MAX(YEAR(AC$41)-YEAR($K48)+$J48+1,1),14)))),0)</f>
        <v>0</v>
      </c>
      <c r="AD48" s="68" cm="1">
        <f t="array" ref="AD48">IFERROR(IF(AD$41&lt;$K48,0,$F48*_xlfn.XLOOKUP($D48,'Capital Call&amp;Distributions data'!$A:$A,INDEX('Capital Call&amp;Distributions data'!$C:$O,0,MIN(MAX(YEAR(AD$41)-YEAR($K48)+$J48+1,1),14)))),0)</f>
        <v>0</v>
      </c>
      <c r="AE48" s="68" cm="1">
        <f t="array" ref="AE48">IFERROR(IF(AE$41&lt;$K48,0,$F48*_xlfn.XLOOKUP($D48,'Capital Call&amp;Distributions data'!$A:$A,INDEX('Capital Call&amp;Distributions data'!$C:$O,0,MIN(MAX(YEAR(AE$41)-YEAR($K48)+$J48+1,1),14)))),0)</f>
        <v>0</v>
      </c>
      <c r="AF48" s="68" cm="1">
        <f t="array" ref="AF48">IFERROR(IF(AF$41&lt;$K48,0,$F48*_xlfn.XLOOKUP($D48,'Capital Call&amp;Distributions data'!$A:$A,INDEX('Capital Call&amp;Distributions data'!$C:$O,0,MIN(MAX(YEAR(AF$41)-YEAR($K48)+$J48+1,1),14)))),0)</f>
        <v>0</v>
      </c>
      <c r="AG48" s="68" cm="1">
        <f t="array" ref="AG48">IFERROR(IF(AG$41&lt;$K48,0,$F48*_xlfn.XLOOKUP($D48,'Capital Call&amp;Distributions data'!$A:$A,INDEX('Capital Call&amp;Distributions data'!$C:$O,0,MIN(MAX(YEAR(AG$41)-YEAR($K48)+$J48+1,1),14)))),0)</f>
        <v>0</v>
      </c>
      <c r="AH48" s="68" cm="1">
        <f t="array" ref="AH48">IFERROR(IF(AH$41&lt;$K48,0,$F48*_xlfn.XLOOKUP($D48,'Capital Call&amp;Distributions data'!$A:$A,INDEX('Capital Call&amp;Distributions data'!$C:$O,0,MIN(MAX(YEAR(AH$41)-YEAR($K48)+$J48+1,1),14)))),0)</f>
        <v>0</v>
      </c>
      <c r="AI48" s="68" cm="1">
        <f t="array" ref="AI48">IFERROR(IF(AI$41&lt;$K48,0,$F48*_xlfn.XLOOKUP($D48,'Capital Call&amp;Distributions data'!$A:$A,INDEX('Capital Call&amp;Distributions data'!$C:$O,0,MIN(MAX(YEAR(AI$41)-YEAR($K48)+$J48+1,1),14)))),0)</f>
        <v>0</v>
      </c>
      <c r="AJ48" s="68" cm="1">
        <f t="array" ref="AJ48">IFERROR(IF(AJ$41&lt;$K48,0,$F48*_xlfn.XLOOKUP($D48,'Capital Call&amp;Distributions data'!$A:$A,INDEX('Capital Call&amp;Distributions data'!$C:$O,0,MIN(MAX(YEAR(AJ$41)-YEAR($K48)+$J48+1,1),14)))),0)</f>
        <v>0</v>
      </c>
      <c r="AK48" s="68" cm="1">
        <f t="array" ref="AK48">IFERROR(IF(AK$41&lt;$K48,0,$F48*_xlfn.XLOOKUP($D48,'Capital Call&amp;Distributions data'!$A:$A,INDEX('Capital Call&amp;Distributions data'!$C:$O,0,MIN(MAX(YEAR(AK$41)-YEAR($K48)+$J48+1,1),14)))),0)</f>
        <v>0</v>
      </c>
      <c r="AL48" s="68" cm="1">
        <f t="array" ref="AL48">IFERROR(IF(AL$41&lt;$K48,0,$F48*_xlfn.XLOOKUP($D48,'Capital Call&amp;Distributions data'!$A:$A,INDEX('Capital Call&amp;Distributions data'!$C:$O,0,MIN(MAX(YEAR(AL$41)-YEAR($K48)+$J48+1,1),14)))),0)</f>
        <v>0</v>
      </c>
      <c r="AM48" s="68" cm="1">
        <f t="array" ref="AM48">IFERROR(IF(AM$41&lt;$K48,0,$F48*_xlfn.XLOOKUP($D48,'Capital Call&amp;Distributions data'!$A:$A,INDEX('Capital Call&amp;Distributions data'!$C:$O,0,MIN(MAX(YEAR(AM$41)-YEAR($K48)+$J48+1,1),14)))),0)</f>
        <v>0</v>
      </c>
      <c r="AN48" s="68" cm="1">
        <f t="array" ref="AN48">IFERROR(IF(AN$41&lt;$K48,0,$F48*_xlfn.XLOOKUP($D48,'Capital Call&amp;Distributions data'!$A:$A,INDEX('Capital Call&amp;Distributions data'!$C:$O,0,MIN(MAX(YEAR(AN$41)-YEAR($K48)+$J48+1,1),14)))),0)</f>
        <v>0</v>
      </c>
      <c r="AO48" s="68" cm="1">
        <f t="array" ref="AO48">IFERROR(IF(AO$41&lt;$K48,0,$F48*_xlfn.XLOOKUP($D48,'Capital Call&amp;Distributions data'!$A:$A,INDEX('Capital Call&amp;Distributions data'!$C:$O,0,MIN(MAX(YEAR(AO$41)-YEAR($K48)+$J48+1,1),14)))),0)</f>
        <v>0</v>
      </c>
      <c r="AP48" s="68" cm="1">
        <f t="array" ref="AP48">IFERROR(IF(AP$41&lt;$K48,0,$F48*_xlfn.XLOOKUP($D48,'Capital Call&amp;Distributions data'!$A:$A,INDEX('Capital Call&amp;Distributions data'!$C:$O,0,MIN(MAX(YEAR(AP$41)-YEAR($K48)+$J48+1,1),14)))),0)</f>
        <v>0</v>
      </c>
      <c r="AQ48" s="68" cm="1">
        <f t="array" ref="AQ48">IFERROR(IF(AQ$41&lt;$K48,0,$F48*_xlfn.XLOOKUP($D48,'Capital Call&amp;Distributions data'!$A:$A,INDEX('Capital Call&amp;Distributions data'!$C:$O,0,MIN(MAX(YEAR(AQ$41)-YEAR($K48)+$J48+1,1),14)))),0)</f>
        <v>0</v>
      </c>
      <c r="AR48" s="68" cm="1">
        <f t="array" ref="AR48">IFERROR(IF(AR$41&lt;$K48,0,$F48*_xlfn.XLOOKUP($D48,'Capital Call&amp;Distributions data'!$A:$A,INDEX('Capital Call&amp;Distributions data'!$C:$O,0,MIN(MAX(YEAR(AR$41)-YEAR($K48)+$J48+1,1),14)))),0)</f>
        <v>0</v>
      </c>
      <c r="AS48" s="68" cm="1">
        <f t="array" ref="AS48">IFERROR(IF(AS$41&lt;$K48,0,$F48*_xlfn.XLOOKUP($D48,'Capital Call&amp;Distributions data'!$A:$A,INDEX('Capital Call&amp;Distributions data'!$C:$O,0,MIN(MAX(YEAR(AS$41)-YEAR($K48)+$J48+1,1),14)))),0)</f>
        <v>0</v>
      </c>
      <c r="AT48" s="68" cm="1">
        <f t="array" ref="AT48">IFERROR(IF(AT$41&lt;$K48,0,$F48*_xlfn.XLOOKUP($D48,'Capital Call&amp;Distributions data'!$A:$A,INDEX('Capital Call&amp;Distributions data'!$C:$O,0,MIN(MAX(YEAR(AT$41)-YEAR($K48)+$J48+1,1),14)))),0)</f>
        <v>0</v>
      </c>
      <c r="AU48" s="68" cm="1">
        <f t="array" ref="AU48">IFERROR(IF(AU$41&lt;$K48,0,$F48*_xlfn.XLOOKUP($D48,'Capital Call&amp;Distributions data'!$A:$A,INDEX('Capital Call&amp;Distributions data'!$C:$O,0,MIN(MAX(YEAR(AU$41)-YEAR($K48)+$J48+1,1),14)))),0)</f>
        <v>0</v>
      </c>
      <c r="AW48" s="1"/>
      <c r="DJ48" s="11"/>
    </row>
    <row r="49" spans="3:114" ht="29.25" customHeight="1">
      <c r="C49" s="20" t="s">
        <v>141</v>
      </c>
      <c r="D49" s="21" t="str">
        <f>_xlfn.XLOOKUP(C49,Fondsen!B:B,Fondsen!C:C,"0",0,1)</f>
        <v>Secondaries</v>
      </c>
      <c r="E49" s="21" t="s">
        <v>10</v>
      </c>
      <c r="F49" s="83">
        <v>1580000</v>
      </c>
      <c r="G49" s="143" t="str">
        <f ca="1">IFERROR(IF(SUM(OFFSET(INDEX('Capital Call&amp;Distributions data'!A:A,MATCH(D49,'Capital Call&amp;Distributions data'!A:A,0)),-1,2,1,1000))=0,"✔",""),"")</f>
        <v/>
      </c>
      <c r="H49" s="138">
        <f>IFERROR(IRR(L49:AK49),"")</f>
        <v>0.1322930138235805</v>
      </c>
      <c r="I49" s="96">
        <v>47119</v>
      </c>
      <c r="J49" s="70">
        <f t="shared" ref="J49:J100" si="3">YEAR(K49)-YEAR(I49)</f>
        <v>0</v>
      </c>
      <c r="K49" s="96">
        <v>47119</v>
      </c>
      <c r="L49" s="68" cm="1">
        <f t="array" ref="L49">IFERROR(IF(L$41&lt;$K49,0,$F49*_xlfn.XLOOKUP($D49,'Capital Call&amp;Distributions data'!$A:$A,INDEX('Capital Call&amp;Distributions data'!$C:$O,0,MIN(MAX(YEAR(L$41)-YEAR($K49)+$J49+1,1),14)))),0)</f>
        <v>0</v>
      </c>
      <c r="M49" s="68" cm="1">
        <f t="array" ref="M49">IFERROR(IF(M$41&lt;$K49,0,$F49*_xlfn.XLOOKUP($D49,'Capital Call&amp;Distributions data'!$A:$A,INDEX('Capital Call&amp;Distributions data'!$C:$O,0,MIN(MAX(YEAR(M$41)-YEAR($K49)+$J49+1,1),14)))),0)</f>
        <v>0</v>
      </c>
      <c r="N49" s="68" cm="1">
        <f t="array" ref="N49">IFERROR(IF(N$41&lt;$K49,0,$F49*_xlfn.XLOOKUP($D49,'Capital Call&amp;Distributions data'!$A:$A,INDEX('Capital Call&amp;Distributions data'!$C:$O,0,MIN(MAX(YEAR(N$41)-YEAR($K49)+$J49+1,1),14)))),0)</f>
        <v>0</v>
      </c>
      <c r="O49" s="68" cm="1">
        <f t="array" ref="O49">IFERROR(IF(O$41&lt;$K49,0,$F49*_xlfn.XLOOKUP($D49,'Capital Call&amp;Distributions data'!$A:$A,INDEX('Capital Call&amp;Distributions data'!$C:$O,0,MIN(MAX(YEAR(O$41)-YEAR($K49)+$J49+1,1),14)))),0)</f>
        <v>-841010.02419633593</v>
      </c>
      <c r="P49" s="68" cm="1">
        <f t="array" ref="P49">IFERROR(IF(P$41&lt;$K49,0,$F49*_xlfn.XLOOKUP($D49,'Capital Call&amp;Distributions data'!$A:$A,INDEX('Capital Call&amp;Distributions data'!$C:$O,0,MIN(MAX(YEAR(P$41)-YEAR($K49)+$J49+1,1),14)))),0)</f>
        <v>-75389.975803664012</v>
      </c>
      <c r="Q49" s="68" cm="1">
        <f t="array" ref="Q49">IFERROR(IF(Q$41&lt;$K49,0,$F49*_xlfn.XLOOKUP($D49,'Capital Call&amp;Distributions data'!$A:$A,INDEX('Capital Call&amp;Distributions data'!$C:$O,0,MIN(MAX(YEAR(Q$41)-YEAR($K49)+$J49+1,1),14)))),0)</f>
        <v>402795.95868302137</v>
      </c>
      <c r="R49" s="68" cm="1">
        <f t="array" ref="R49">IFERROR(IF(R$41&lt;$K49,0,$F49*_xlfn.XLOOKUP($D49,'Capital Call&amp;Distributions data'!$A:$A,INDEX('Capital Call&amp;Distributions data'!$C:$O,0,MIN(MAX(YEAR(R$41)-YEAR($K49)+$J49+1,1),14)))),0)</f>
        <v>331314.98386055528</v>
      </c>
      <c r="S49" s="68" cm="1">
        <f t="array" ref="S49">IFERROR(IF(S$41&lt;$K49,0,$F49*_xlfn.XLOOKUP($D49,'Capital Call&amp;Distributions data'!$A:$A,INDEX('Capital Call&amp;Distributions data'!$C:$O,0,MIN(MAX(YEAR(S$41)-YEAR($K49)+$J49+1,1),14)))),0)</f>
        <v>229752.98676565525</v>
      </c>
      <c r="T49" s="68" cm="1">
        <f t="array" ref="T49">IFERROR(IF(T$41&lt;$K49,0,$F49*_xlfn.XLOOKUP($D49,'Capital Call&amp;Distributions data'!$A:$A,INDEX('Capital Call&amp;Distributions data'!$C:$O,0,MIN(MAX(YEAR(T$41)-YEAR($K49)+$J49+1,1),14)))),0)</f>
        <v>129387.2200129116</v>
      </c>
      <c r="U49" s="68" cm="1">
        <f t="array" ref="U49">IFERROR(IF(U$41&lt;$K49,0,$F49*_xlfn.XLOOKUP($D49,'Capital Call&amp;Distributions data'!$A:$A,INDEX('Capital Call&amp;Distributions data'!$C:$O,0,MIN(MAX(YEAR(U$41)-YEAR($K49)+$J49+1,1),14)))),0)</f>
        <v>145289.00812136865</v>
      </c>
      <c r="V49" s="68" cm="1">
        <f t="array" ref="V49">IFERROR(IF(V$41&lt;$K49,0,$F49*_xlfn.XLOOKUP($D49,'Capital Call&amp;Distributions data'!$A:$A,INDEX('Capital Call&amp;Distributions data'!$C:$O,0,MIN(MAX(YEAR(V$41)-YEAR($K49)+$J49+1,1),14)))),0)</f>
        <v>120004.17734021951</v>
      </c>
      <c r="W49" s="68" cm="1">
        <f t="array" ref="W49">IFERROR(IF(W$41&lt;$K49,0,$F49*_xlfn.XLOOKUP($D49,'Capital Call&amp;Distributions data'!$A:$A,INDEX('Capital Call&amp;Distributions data'!$C:$O,0,MIN(MAX(YEAR(W$41)-YEAR($K49)+$J49+1,1),14)))),0)</f>
        <v>83262.157611362185</v>
      </c>
      <c r="X49" s="68" cm="1">
        <f t="array" ref="X49">IFERROR(IF(X$41&lt;$K49,0,$F49*_xlfn.XLOOKUP($D49,'Capital Call&amp;Distributions data'!$A:$A,INDEX('Capital Call&amp;Distributions data'!$C:$O,0,MIN(MAX(YEAR(X$41)-YEAR($K49)+$J49+1,1),14)))),0)</f>
        <v>12938.722001291158</v>
      </c>
      <c r="Y49" s="68" cm="1">
        <f t="array" ref="Y49">IFERROR(IF(Y$41&lt;$K49,0,$F49*_xlfn.XLOOKUP($D49,'Capital Call&amp;Distributions data'!$A:$A,INDEX('Capital Call&amp;Distributions data'!$C:$O,0,MIN(MAX(YEAR(Y$41)-YEAR($K49)+$J49+1,1),14)))),0)</f>
        <v>5629.8256036152361</v>
      </c>
      <c r="Z49" s="68" cm="1">
        <f t="array" ref="Z49">IFERROR(IF(Z$41&lt;$K49,0,$F49*_xlfn.XLOOKUP($D49,'Capital Call&amp;Distributions data'!$A:$A,INDEX('Capital Call&amp;Distributions data'!$C:$O,0,MIN(MAX(YEAR(Z$41)-YEAR($K49)+$J49+1,1),14)))),0)</f>
        <v>0</v>
      </c>
      <c r="AA49" s="68" cm="1">
        <f t="array" ref="AA49">IFERROR(IF(AA$41&lt;$K49,0,$F49*_xlfn.XLOOKUP($D49,'Capital Call&amp;Distributions data'!$A:$A,INDEX('Capital Call&amp;Distributions data'!$C:$O,0,MIN(MAX(YEAR(AA$41)-YEAR($K49)+$J49+1,1),14)))),0)</f>
        <v>0</v>
      </c>
      <c r="AB49" s="68" cm="1">
        <f t="array" ref="AB49">IFERROR(IF(AB$41&lt;$K49,0,$F49*_xlfn.XLOOKUP($D49,'Capital Call&amp;Distributions data'!$A:$A,INDEX('Capital Call&amp;Distributions data'!$C:$O,0,MIN(MAX(YEAR(AB$41)-YEAR($K49)+$J49+1,1),14)))),0)</f>
        <v>0</v>
      </c>
      <c r="AC49" s="68" cm="1">
        <f t="array" ref="AC49">IFERROR(IF(AC$41&lt;$K49,0,$F49*_xlfn.XLOOKUP($D49,'Capital Call&amp;Distributions data'!$A:$A,INDEX('Capital Call&amp;Distributions data'!$C:$O,0,MIN(MAX(YEAR(AC$41)-YEAR($K49)+$J49+1,1),14)))),0)</f>
        <v>0</v>
      </c>
      <c r="AD49" s="68" cm="1">
        <f t="array" ref="AD49">IFERROR(IF(AD$41&lt;$K49,0,$F49*_xlfn.XLOOKUP($D49,'Capital Call&amp;Distributions data'!$A:$A,INDEX('Capital Call&amp;Distributions data'!$C:$O,0,MIN(MAX(YEAR(AD$41)-YEAR($K49)+$J49+1,1),14)))),0)</f>
        <v>0</v>
      </c>
      <c r="AE49" s="68" cm="1">
        <f t="array" ref="AE49">IFERROR(IF(AE$41&lt;$K49,0,$F49*_xlfn.XLOOKUP($D49,'Capital Call&amp;Distributions data'!$A:$A,INDEX('Capital Call&amp;Distributions data'!$C:$O,0,MIN(MAX(YEAR(AE$41)-YEAR($K49)+$J49+1,1),14)))),0)</f>
        <v>0</v>
      </c>
      <c r="AF49" s="68" cm="1">
        <f t="array" ref="AF49">IFERROR(IF(AF$41&lt;$K49,0,$F49*_xlfn.XLOOKUP($D49,'Capital Call&amp;Distributions data'!$A:$A,INDEX('Capital Call&amp;Distributions data'!$C:$O,0,MIN(MAX(YEAR(AF$41)-YEAR($K49)+$J49+1,1),14)))),0)</f>
        <v>0</v>
      </c>
      <c r="AG49" s="68" cm="1">
        <f t="array" ref="AG49">IFERROR(IF(AG$41&lt;$K49,0,$F49*_xlfn.XLOOKUP($D49,'Capital Call&amp;Distributions data'!$A:$A,INDEX('Capital Call&amp;Distributions data'!$C:$O,0,MIN(MAX(YEAR(AG$41)-YEAR($K49)+$J49+1,1),14)))),0)</f>
        <v>0</v>
      </c>
      <c r="AH49" s="68" cm="1">
        <f t="array" ref="AH49">IFERROR(IF(AH$41&lt;$K49,0,$F49*_xlfn.XLOOKUP($D49,'Capital Call&amp;Distributions data'!$A:$A,INDEX('Capital Call&amp;Distributions data'!$C:$O,0,MIN(MAX(YEAR(AH$41)-YEAR($K49)+$J49+1,1),14)))),0)</f>
        <v>0</v>
      </c>
      <c r="AI49" s="68" cm="1">
        <f t="array" ref="AI49">IFERROR(IF(AI$41&lt;$K49,0,$F49*_xlfn.XLOOKUP($D49,'Capital Call&amp;Distributions data'!$A:$A,INDEX('Capital Call&amp;Distributions data'!$C:$O,0,MIN(MAX(YEAR(AI$41)-YEAR($K49)+$J49+1,1),14)))),0)</f>
        <v>0</v>
      </c>
      <c r="AJ49" s="68" cm="1">
        <f t="array" ref="AJ49">IFERROR(IF(AJ$41&lt;$K49,0,$F49*_xlfn.XLOOKUP($D49,'Capital Call&amp;Distributions data'!$A:$A,INDEX('Capital Call&amp;Distributions data'!$C:$O,0,MIN(MAX(YEAR(AJ$41)-YEAR($K49)+$J49+1,1),14)))),0)</f>
        <v>0</v>
      </c>
      <c r="AK49" s="68" cm="1">
        <f t="array" ref="AK49">IFERROR(IF(AK$41&lt;$K49,0,$F49*_xlfn.XLOOKUP($D49,'Capital Call&amp;Distributions data'!$A:$A,INDEX('Capital Call&amp;Distributions data'!$C:$O,0,MIN(MAX(YEAR(AK$41)-YEAR($K49)+$J49+1,1),14)))),0)</f>
        <v>0</v>
      </c>
      <c r="AL49" s="68" cm="1">
        <f t="array" ref="AL49">IFERROR(IF(AL$41&lt;$K49,0,$F49*_xlfn.XLOOKUP($D49,'Capital Call&amp;Distributions data'!$A:$A,INDEX('Capital Call&amp;Distributions data'!$C:$O,0,MIN(MAX(YEAR(AL$41)-YEAR($K49)+$J49+1,1),14)))),0)</f>
        <v>0</v>
      </c>
      <c r="AM49" s="68" cm="1">
        <f t="array" ref="AM49">IFERROR(IF(AM$41&lt;$K49,0,$F49*_xlfn.XLOOKUP($D49,'Capital Call&amp;Distributions data'!$A:$A,INDEX('Capital Call&amp;Distributions data'!$C:$O,0,MIN(MAX(YEAR(AM$41)-YEAR($K49)+$J49+1,1),14)))),0)</f>
        <v>0</v>
      </c>
      <c r="AN49" s="68" cm="1">
        <f t="array" ref="AN49">IFERROR(IF(AN$41&lt;$K49,0,$F49*_xlfn.XLOOKUP($D49,'Capital Call&amp;Distributions data'!$A:$A,INDEX('Capital Call&amp;Distributions data'!$C:$O,0,MIN(MAX(YEAR(AN$41)-YEAR($K49)+$J49+1,1),14)))),0)</f>
        <v>0</v>
      </c>
      <c r="AO49" s="68" cm="1">
        <f t="array" ref="AO49">IFERROR(IF(AO$41&lt;$K49,0,$F49*_xlfn.XLOOKUP($D49,'Capital Call&amp;Distributions data'!$A:$A,INDEX('Capital Call&amp;Distributions data'!$C:$O,0,MIN(MAX(YEAR(AO$41)-YEAR($K49)+$J49+1,1),14)))),0)</f>
        <v>0</v>
      </c>
      <c r="AP49" s="68" cm="1">
        <f t="array" ref="AP49">IFERROR(IF(AP$41&lt;$K49,0,$F49*_xlfn.XLOOKUP($D49,'Capital Call&amp;Distributions data'!$A:$A,INDEX('Capital Call&amp;Distributions data'!$C:$O,0,MIN(MAX(YEAR(AP$41)-YEAR($K49)+$J49+1,1),14)))),0)</f>
        <v>0</v>
      </c>
      <c r="AQ49" s="68" cm="1">
        <f t="array" ref="AQ49">IFERROR(IF(AQ$41&lt;$K49,0,$F49*_xlfn.XLOOKUP($D49,'Capital Call&amp;Distributions data'!$A:$A,INDEX('Capital Call&amp;Distributions data'!$C:$O,0,MIN(MAX(YEAR(AQ$41)-YEAR($K49)+$J49+1,1),14)))),0)</f>
        <v>0</v>
      </c>
      <c r="AR49" s="68" cm="1">
        <f t="array" ref="AR49">IFERROR(IF(AR$41&lt;$K49,0,$F49*_xlfn.XLOOKUP($D49,'Capital Call&amp;Distributions data'!$A:$A,INDEX('Capital Call&amp;Distributions data'!$C:$O,0,MIN(MAX(YEAR(AR$41)-YEAR($K49)+$J49+1,1),14)))),0)</f>
        <v>0</v>
      </c>
      <c r="AS49" s="68" cm="1">
        <f t="array" ref="AS49">IFERROR(IF(AS$41&lt;$K49,0,$F49*_xlfn.XLOOKUP($D49,'Capital Call&amp;Distributions data'!$A:$A,INDEX('Capital Call&amp;Distributions data'!$C:$O,0,MIN(MAX(YEAR(AS$41)-YEAR($K49)+$J49+1,1),14)))),0)</f>
        <v>0</v>
      </c>
      <c r="AT49" s="68" cm="1">
        <f t="array" ref="AT49">IFERROR(IF(AT$41&lt;$K49,0,$F49*_xlfn.XLOOKUP($D49,'Capital Call&amp;Distributions data'!$A:$A,INDEX('Capital Call&amp;Distributions data'!$C:$O,0,MIN(MAX(YEAR(AT$41)-YEAR($K49)+$J49+1,1),14)))),0)</f>
        <v>0</v>
      </c>
      <c r="AU49" s="68" cm="1">
        <f t="array" ref="AU49">IFERROR(IF(AU$41&lt;$K49,0,$F49*_xlfn.XLOOKUP($D49,'Capital Call&amp;Distributions data'!$A:$A,INDEX('Capital Call&amp;Distributions data'!$C:$O,0,MIN(MAX(YEAR(AU$41)-YEAR($K49)+$J49+1,1),14)))),0)</f>
        <v>0</v>
      </c>
      <c r="AW49" s="1"/>
      <c r="DJ49" s="11"/>
    </row>
    <row r="50" spans="3:114" ht="29.25" customHeight="1">
      <c r="C50" s="20" t="s">
        <v>11</v>
      </c>
      <c r="D50" s="21" t="str">
        <f>_xlfn.XLOOKUP(C50,Fondsen!B:B,Fondsen!C:C,"0",0,1)</f>
        <v>PE</v>
      </c>
      <c r="E50" s="21" t="s">
        <v>10</v>
      </c>
      <c r="F50" s="83">
        <v>1000000</v>
      </c>
      <c r="G50" s="143" t="str">
        <f ca="1">IFERROR(IF(SUM(OFFSET(INDEX('Capital Call&amp;Distributions data'!A:A,MATCH(D50,'Capital Call&amp;Distributions data'!A:A,0)),-1,2,1,1000))=0,"✔",""),"")</f>
        <v/>
      </c>
      <c r="H50" s="138">
        <f>IFERROR(IRR(L50:AL50),"")</f>
        <v>0.14724510427160875</v>
      </c>
      <c r="I50" s="96">
        <v>47119</v>
      </c>
      <c r="J50" s="70">
        <f t="shared" si="3"/>
        <v>0</v>
      </c>
      <c r="K50" s="96">
        <v>47119</v>
      </c>
      <c r="L50" s="68" cm="1">
        <f t="array" ref="L50">IFERROR(IF(L$41&lt;$K50,0,$F50*_xlfn.XLOOKUP($D50,'Capital Call&amp;Distributions data'!$A:$A,INDEX('Capital Call&amp;Distributions data'!$C:$O,0,MIN(MAX(YEAR(L$41)-YEAR($K50)+$J50+1,1),14)))),0)</f>
        <v>0</v>
      </c>
      <c r="M50" s="68" cm="1">
        <f t="array" ref="M50">IFERROR(IF(M$41&lt;$K50,0,$F50*_xlfn.XLOOKUP($D50,'Capital Call&amp;Distributions data'!$A:$A,INDEX('Capital Call&amp;Distributions data'!$C:$O,0,MIN(MAX(YEAR(M$41)-YEAR($K50)+$J50+1,1),14)))),0)</f>
        <v>0</v>
      </c>
      <c r="N50" s="68" cm="1">
        <f t="array" ref="N50">IFERROR(IF(N$41&lt;$K50,0,$F50*_xlfn.XLOOKUP($D50,'Capital Call&amp;Distributions data'!$A:$A,INDEX('Capital Call&amp;Distributions data'!$C:$O,0,MIN(MAX(YEAR(N$41)-YEAR($K50)+$J50+1,1),14)))),0)</f>
        <v>0</v>
      </c>
      <c r="O50" s="68" cm="1">
        <f t="array" ref="O50">IFERROR(IF(O$41&lt;$K50,0,$F50*_xlfn.XLOOKUP($D50,'Capital Call&amp;Distributions data'!$A:$A,INDEX('Capital Call&amp;Distributions data'!$C:$O,0,MIN(MAX(YEAR(O$41)-YEAR($K50)+$J50+1,1),14)))),0)</f>
        <v>-314617.31493099127</v>
      </c>
      <c r="P50" s="68" cm="1">
        <f t="array" ref="P50">IFERROR(IF(P$41&lt;$K50,0,$F50*_xlfn.XLOOKUP($D50,'Capital Call&amp;Distributions data'!$A:$A,INDEX('Capital Call&amp;Distributions data'!$C:$O,0,MIN(MAX(YEAR(P$41)-YEAR($K50)+$J50+1,1),14)))),0)</f>
        <v>-218632.37139272271</v>
      </c>
      <c r="Q50" s="68" cm="1">
        <f t="array" ref="Q50">IFERROR(IF(Q$41&lt;$K50,0,$F50*_xlfn.XLOOKUP($D50,'Capital Call&amp;Distributions data'!$A:$A,INDEX('Capital Call&amp;Distributions data'!$C:$O,0,MIN(MAX(YEAR(Q$41)-YEAR($K50)+$J50+1,1),14)))),0)</f>
        <v>-218632.37139272271</v>
      </c>
      <c r="R50" s="68" cm="1">
        <f t="array" ref="R50">IFERROR(IF(R$41&lt;$K50,0,$F50*_xlfn.XLOOKUP($D50,'Capital Call&amp;Distributions data'!$A:$A,INDEX('Capital Call&amp;Distributions data'!$C:$O,0,MIN(MAX(YEAR(R$41)-YEAR($K50)+$J50+1,1),14)))),0)</f>
        <v>-98117.942283563374</v>
      </c>
      <c r="S50" s="68" cm="1">
        <f t="array" ref="S50">IFERROR(IF(S$41&lt;$K50,0,$F50*_xlfn.XLOOKUP($D50,'Capital Call&amp;Distributions data'!$A:$A,INDEX('Capital Call&amp;Distributions data'!$C:$O,0,MIN(MAX(YEAR(S$41)-YEAR($K50)+$J50+1,1),14)))),0)</f>
        <v>253597.27851766074</v>
      </c>
      <c r="T50" s="68" cm="1">
        <f t="array" ref="T50">IFERROR(IF(T$41&lt;$K50,0,$F50*_xlfn.XLOOKUP($D50,'Capital Call&amp;Distributions data'!$A:$A,INDEX('Capital Call&amp;Distributions data'!$C:$O,0,MIN(MAX(YEAR(T$41)-YEAR($K50)+$J50+1,1),14)))),0)</f>
        <v>418601.62130862765</v>
      </c>
      <c r="U50" s="68" cm="1">
        <f t="array" ref="U50">IFERROR(IF(U$41&lt;$K50,0,$F50*_xlfn.XLOOKUP($D50,'Capital Call&amp;Distributions data'!$A:$A,INDEX('Capital Call&amp;Distributions data'!$C:$O,0,MIN(MAX(YEAR(U$41)-YEAR($K50)+$J50+1,1),14)))),0)</f>
        <v>417065.59525188192</v>
      </c>
      <c r="V50" s="68" cm="1">
        <f t="array" ref="V50">IFERROR(IF(V$41&lt;$K50,0,$F50*_xlfn.XLOOKUP($D50,'Capital Call&amp;Distributions data'!$A:$A,INDEX('Capital Call&amp;Distributions data'!$C:$O,0,MIN(MAX(YEAR(V$41)-YEAR($K50)+$J50+1,1),14)))),0)</f>
        <v>251425.86218876662</v>
      </c>
      <c r="W50" s="68" cm="1">
        <f t="array" ref="W50">IFERROR(IF(W$41&lt;$K50,0,$F50*_xlfn.XLOOKUP($D50,'Capital Call&amp;Distributions data'!$A:$A,INDEX('Capital Call&amp;Distributions data'!$C:$O,0,MIN(MAX(YEAR(W$41)-YEAR($K50)+$J50+1,1),14)))),0)</f>
        <v>146948.22350897506</v>
      </c>
      <c r="X50" s="68" cm="1">
        <f t="array" ref="X50">IFERROR(IF(X$41&lt;$K50,0,$F50*_xlfn.XLOOKUP($D50,'Capital Call&amp;Distributions data'!$A:$A,INDEX('Capital Call&amp;Distributions data'!$C:$O,0,MIN(MAX(YEAR(X$41)-YEAR($K50)+$J50+1,1),14)))),0)</f>
        <v>140152.92993630574</v>
      </c>
      <c r="Y50" s="68" cm="1">
        <f t="array" ref="Y50">IFERROR(IF(Y$41&lt;$K50,0,$F50*_xlfn.XLOOKUP($D50,'Capital Call&amp;Distributions data'!$A:$A,INDEX('Capital Call&amp;Distributions data'!$C:$O,0,MIN(MAX(YEAR(Y$41)-YEAR($K50)+$J50+1,1),14)))),0)</f>
        <v>41621.173132599884</v>
      </c>
      <c r="Z50" s="68" cm="1">
        <f t="array" ref="Z50">IFERROR(IF(Z$41&lt;$K50,0,$F50*_xlfn.XLOOKUP($D50,'Capital Call&amp;Distributions data'!$A:$A,INDEX('Capital Call&amp;Distributions data'!$C:$O,0,MIN(MAX(YEAR(Z$41)-YEAR($K50)+$J50+1,1),14)))),0)</f>
        <v>0</v>
      </c>
      <c r="AA50" s="68" cm="1">
        <f t="array" ref="AA50">IFERROR(IF(AA$41&lt;$K50,0,$F50*_xlfn.XLOOKUP($D50,'Capital Call&amp;Distributions data'!$A:$A,INDEX('Capital Call&amp;Distributions data'!$C:$O,0,MIN(MAX(YEAR(AA$41)-YEAR($K50)+$J50+1,1),14)))),0)</f>
        <v>0</v>
      </c>
      <c r="AB50" s="68" cm="1">
        <f t="array" ref="AB50">IFERROR(IF(AB$41&lt;$K50,0,$F50*_xlfn.XLOOKUP($D50,'Capital Call&amp;Distributions data'!$A:$A,INDEX('Capital Call&amp;Distributions data'!$C:$O,0,MIN(MAX(YEAR(AB$41)-YEAR($K50)+$J50+1,1),14)))),0)</f>
        <v>0</v>
      </c>
      <c r="AC50" s="68" cm="1">
        <f t="array" ref="AC50">IFERROR(IF(AC$41&lt;$K50,0,$F50*_xlfn.XLOOKUP($D50,'Capital Call&amp;Distributions data'!$A:$A,INDEX('Capital Call&amp;Distributions data'!$C:$O,0,MIN(MAX(YEAR(AC$41)-YEAR($K50)+$J50+1,1),14)))),0)</f>
        <v>0</v>
      </c>
      <c r="AD50" s="68" cm="1">
        <f t="array" ref="AD50">IFERROR(IF(AD$41&lt;$K50,0,$F50*_xlfn.XLOOKUP($D50,'Capital Call&amp;Distributions data'!$A:$A,INDEX('Capital Call&amp;Distributions data'!$C:$O,0,MIN(MAX(YEAR(AD$41)-YEAR($K50)+$J50+1,1),14)))),0)</f>
        <v>0</v>
      </c>
      <c r="AE50" s="68" cm="1">
        <f t="array" ref="AE50">IFERROR(IF(AE$41&lt;$K50,0,$F50*_xlfn.XLOOKUP($D50,'Capital Call&amp;Distributions data'!$A:$A,INDEX('Capital Call&amp;Distributions data'!$C:$O,0,MIN(MAX(YEAR(AE$41)-YEAR($K50)+$J50+1,1),14)))),0)</f>
        <v>0</v>
      </c>
      <c r="AF50" s="68" cm="1">
        <f t="array" ref="AF50">IFERROR(IF(AF$41&lt;$K50,0,$F50*_xlfn.XLOOKUP($D50,'Capital Call&amp;Distributions data'!$A:$A,INDEX('Capital Call&amp;Distributions data'!$C:$O,0,MIN(MAX(YEAR(AF$41)-YEAR($K50)+$J50+1,1),14)))),0)</f>
        <v>0</v>
      </c>
      <c r="AG50" s="68" cm="1">
        <f t="array" ref="AG50">IFERROR(IF(AG$41&lt;$K50,0,$F50*_xlfn.XLOOKUP($D50,'Capital Call&amp;Distributions data'!$A:$A,INDEX('Capital Call&amp;Distributions data'!$C:$O,0,MIN(MAX(YEAR(AG$41)-YEAR($K50)+$J50+1,1),14)))),0)</f>
        <v>0</v>
      </c>
      <c r="AH50" s="68" cm="1">
        <f t="array" ref="AH50">IFERROR(IF(AH$41&lt;$K50,0,$F50*_xlfn.XLOOKUP($D50,'Capital Call&amp;Distributions data'!$A:$A,INDEX('Capital Call&amp;Distributions data'!$C:$O,0,MIN(MAX(YEAR(AH$41)-YEAR($K50)+$J50+1,1),14)))),0)</f>
        <v>0</v>
      </c>
      <c r="AI50" s="68" cm="1">
        <f t="array" ref="AI50">IFERROR(IF(AI$41&lt;$K50,0,$F50*_xlfn.XLOOKUP($D50,'Capital Call&amp;Distributions data'!$A:$A,INDEX('Capital Call&amp;Distributions data'!$C:$O,0,MIN(MAX(YEAR(AI$41)-YEAR($K50)+$J50+1,1),14)))),0)</f>
        <v>0</v>
      </c>
      <c r="AJ50" s="68" cm="1">
        <f t="array" ref="AJ50">IFERROR(IF(AJ$41&lt;$K50,0,$F50*_xlfn.XLOOKUP($D50,'Capital Call&amp;Distributions data'!$A:$A,INDEX('Capital Call&amp;Distributions data'!$C:$O,0,MIN(MAX(YEAR(AJ$41)-YEAR($K50)+$J50+1,1),14)))),0)</f>
        <v>0</v>
      </c>
      <c r="AK50" s="68" cm="1">
        <f t="array" ref="AK50">IFERROR(IF(AK$41&lt;$K50,0,$F50*_xlfn.XLOOKUP($D50,'Capital Call&amp;Distributions data'!$A:$A,INDEX('Capital Call&amp;Distributions data'!$C:$O,0,MIN(MAX(YEAR(AK$41)-YEAR($K50)+$J50+1,1),14)))),0)</f>
        <v>0</v>
      </c>
      <c r="AL50" s="68" cm="1">
        <f t="array" ref="AL50">IFERROR(IF(AL$41&lt;$K50,0,$F50*_xlfn.XLOOKUP($D50,'Capital Call&amp;Distributions data'!$A:$A,INDEX('Capital Call&amp;Distributions data'!$C:$O,0,MIN(MAX(YEAR(AL$41)-YEAR($K50)+$J50+1,1),14)))),0)</f>
        <v>0</v>
      </c>
      <c r="AM50" s="68" cm="1">
        <f t="array" ref="AM50">IFERROR(IF(AM$41&lt;$K50,0,$F50*_xlfn.XLOOKUP($D50,'Capital Call&amp;Distributions data'!$A:$A,INDEX('Capital Call&amp;Distributions data'!$C:$O,0,MIN(MAX(YEAR(AM$41)-YEAR($K50)+$J50+1,1),14)))),0)</f>
        <v>0</v>
      </c>
      <c r="AN50" s="68" cm="1">
        <f t="array" ref="AN50">IFERROR(IF(AN$41&lt;$K50,0,$F50*_xlfn.XLOOKUP($D50,'Capital Call&amp;Distributions data'!$A:$A,INDEX('Capital Call&amp;Distributions data'!$C:$O,0,MIN(MAX(YEAR(AN$41)-YEAR($K50)+$J50+1,1),14)))),0)</f>
        <v>0</v>
      </c>
      <c r="AO50" s="68" cm="1">
        <f t="array" ref="AO50">IFERROR(IF(AO$41&lt;$K50,0,$F50*_xlfn.XLOOKUP($D50,'Capital Call&amp;Distributions data'!$A:$A,INDEX('Capital Call&amp;Distributions data'!$C:$O,0,MIN(MAX(YEAR(AO$41)-YEAR($K50)+$J50+1,1),14)))),0)</f>
        <v>0</v>
      </c>
      <c r="AP50" s="68" cm="1">
        <f t="array" ref="AP50">IFERROR(IF(AP$41&lt;$K50,0,$F50*_xlfn.XLOOKUP($D50,'Capital Call&amp;Distributions data'!$A:$A,INDEX('Capital Call&amp;Distributions data'!$C:$O,0,MIN(MAX(YEAR(AP$41)-YEAR($K50)+$J50+1,1),14)))),0)</f>
        <v>0</v>
      </c>
      <c r="AQ50" s="68" cm="1">
        <f t="array" ref="AQ50">IFERROR(IF(AQ$41&lt;$K50,0,$F50*_xlfn.XLOOKUP($D50,'Capital Call&amp;Distributions data'!$A:$A,INDEX('Capital Call&amp;Distributions data'!$C:$O,0,MIN(MAX(YEAR(AQ$41)-YEAR($K50)+$J50+1,1),14)))),0)</f>
        <v>0</v>
      </c>
      <c r="AR50" s="68" cm="1">
        <f t="array" ref="AR50">IFERROR(IF(AR$41&lt;$K50,0,$F50*_xlfn.XLOOKUP($D50,'Capital Call&amp;Distributions data'!$A:$A,INDEX('Capital Call&amp;Distributions data'!$C:$O,0,MIN(MAX(YEAR(AR$41)-YEAR($K50)+$J50+1,1),14)))),0)</f>
        <v>0</v>
      </c>
      <c r="AS50" s="68" cm="1">
        <f t="array" ref="AS50">IFERROR(IF(AS$41&lt;$K50,0,$F50*_xlfn.XLOOKUP($D50,'Capital Call&amp;Distributions data'!$A:$A,INDEX('Capital Call&amp;Distributions data'!$C:$O,0,MIN(MAX(YEAR(AS$41)-YEAR($K50)+$J50+1,1),14)))),0)</f>
        <v>0</v>
      </c>
      <c r="AT50" s="68" cm="1">
        <f t="array" ref="AT50">IFERROR(IF(AT$41&lt;$K50,0,$F50*_xlfn.XLOOKUP($D50,'Capital Call&amp;Distributions data'!$A:$A,INDEX('Capital Call&amp;Distributions data'!$C:$O,0,MIN(MAX(YEAR(AT$41)-YEAR($K50)+$J50+1,1),14)))),0)</f>
        <v>0</v>
      </c>
      <c r="AU50" s="68" cm="1">
        <f t="array" ref="AU50">IFERROR(IF(AU$41&lt;$K50,0,$F50*_xlfn.XLOOKUP($D50,'Capital Call&amp;Distributions data'!$A:$A,INDEX('Capital Call&amp;Distributions data'!$C:$O,0,MIN(MAX(YEAR(AU$41)-YEAR($K50)+$J50+1,1),14)))),0)</f>
        <v>0</v>
      </c>
      <c r="AW50" s="1"/>
      <c r="DJ50" s="11"/>
    </row>
    <row r="51" spans="3:114" ht="29.25" customHeight="1">
      <c r="C51" s="20" t="s">
        <v>141</v>
      </c>
      <c r="D51" s="21" t="str">
        <f>_xlfn.XLOOKUP(C51,Fondsen!B:B,Fondsen!C:C,"0",0,1)</f>
        <v>Secondaries</v>
      </c>
      <c r="E51" s="21" t="s">
        <v>10</v>
      </c>
      <c r="F51" s="83">
        <v>3280000</v>
      </c>
      <c r="G51" s="143" t="str">
        <f ca="1">IFERROR(IF(SUM(OFFSET(INDEX('Capital Call&amp;Distributions data'!A:A,MATCH(D51,'Capital Call&amp;Distributions data'!A:A,0)),-1,2,1,1000))=0,"✔",""),"")</f>
        <v/>
      </c>
      <c r="H51" s="138">
        <f t="shared" ref="H51:H100" si="4">IFERROR(IRR(L51:AD51),"")</f>
        <v>0.13229301382358027</v>
      </c>
      <c r="I51" s="96">
        <v>47484</v>
      </c>
      <c r="J51" s="70">
        <f t="shared" si="3"/>
        <v>0</v>
      </c>
      <c r="K51" s="96">
        <v>47484</v>
      </c>
      <c r="L51" s="68" cm="1">
        <f t="array" ref="L51">IFERROR(IF(L$41&lt;$K51,0,$F51*_xlfn.XLOOKUP($D51,'Capital Call&amp;Distributions data'!$A:$A,INDEX('Capital Call&amp;Distributions data'!$C:$O,0,MIN(MAX(YEAR(L$41)-YEAR($K51)+$J51+1,1),14)))),0)</f>
        <v>0</v>
      </c>
      <c r="M51" s="68" cm="1">
        <f t="array" ref="M51">IFERROR(IF(M$41&lt;$K51,0,$F51*_xlfn.XLOOKUP($D51,'Capital Call&amp;Distributions data'!$A:$A,INDEX('Capital Call&amp;Distributions data'!$C:$O,0,MIN(MAX(YEAR(M$41)-YEAR($K51)+$J51+1,1),14)))),0)</f>
        <v>0</v>
      </c>
      <c r="N51" s="68" cm="1">
        <f t="array" ref="N51">IFERROR(IF(N$41&lt;$K51,0,$F51*_xlfn.XLOOKUP($D51,'Capital Call&amp;Distributions data'!$A:$A,INDEX('Capital Call&amp;Distributions data'!$C:$O,0,MIN(MAX(YEAR(N$41)-YEAR($K51)+$J51+1,1),14)))),0)</f>
        <v>0</v>
      </c>
      <c r="O51" s="68" cm="1">
        <f t="array" ref="O51">IFERROR(IF(O$41&lt;$K51,0,$F51*_xlfn.XLOOKUP($D51,'Capital Call&amp;Distributions data'!$A:$A,INDEX('Capital Call&amp;Distributions data'!$C:$O,0,MIN(MAX(YEAR(O$41)-YEAR($K51)+$J51+1,1),14)))),0)</f>
        <v>0</v>
      </c>
      <c r="P51" s="68" cm="1">
        <f t="array" ref="P51">IFERROR(IF(P$41&lt;$K51,0,$F51*_xlfn.XLOOKUP($D51,'Capital Call&amp;Distributions data'!$A:$A,INDEX('Capital Call&amp;Distributions data'!$C:$O,0,MIN(MAX(YEAR(P$41)-YEAR($K51)+$J51+1,1),14)))),0)</f>
        <v>-1745894.2274455582</v>
      </c>
      <c r="Q51" s="68" cm="1">
        <f t="array" ref="Q51">IFERROR(IF(Q$41&lt;$K51,0,$F51*_xlfn.XLOOKUP($D51,'Capital Call&amp;Distributions data'!$A:$A,INDEX('Capital Call&amp;Distributions data'!$C:$O,0,MIN(MAX(YEAR(Q$41)-YEAR($K51)+$J51+1,1),14)))),0)</f>
        <v>-156505.77255444176</v>
      </c>
      <c r="R51" s="68" cm="1">
        <f t="array" ref="R51">IFERROR(IF(R$41&lt;$K51,0,$F51*_xlfn.XLOOKUP($D51,'Capital Call&amp;Distributions data'!$A:$A,INDEX('Capital Call&amp;Distributions data'!$C:$O,0,MIN(MAX(YEAR(R$41)-YEAR($K51)+$J51+1,1),14)))),0)</f>
        <v>836184.0154938671</v>
      </c>
      <c r="S51" s="68" cm="1">
        <f t="array" ref="S51">IFERROR(IF(S$41&lt;$K51,0,$F51*_xlfn.XLOOKUP($D51,'Capital Call&amp;Distributions data'!$A:$A,INDEX('Capital Call&amp;Distributions data'!$C:$O,0,MIN(MAX(YEAR(S$41)-YEAR($K51)+$J51+1,1),14)))),0)</f>
        <v>687793.13105229195</v>
      </c>
      <c r="T51" s="68" cm="1">
        <f t="array" ref="T51">IFERROR(IF(T$41&lt;$K51,0,$F51*_xlfn.XLOOKUP($D51,'Capital Call&amp;Distributions data'!$A:$A,INDEX('Capital Call&amp;Distributions data'!$C:$O,0,MIN(MAX(YEAR(T$41)-YEAR($K51)+$J51+1,1),14)))),0)</f>
        <v>476955.56746287923</v>
      </c>
      <c r="U51" s="68" cm="1">
        <f t="array" ref="U51">IFERROR(IF(U$41&lt;$K51,0,$F51*_xlfn.XLOOKUP($D51,'Capital Call&amp;Distributions data'!$A:$A,INDEX('Capital Call&amp;Distributions data'!$C:$O,0,MIN(MAX(YEAR(U$41)-YEAR($K51)+$J51+1,1),14)))),0)</f>
        <v>268601.31749515823</v>
      </c>
      <c r="V51" s="68" cm="1">
        <f t="array" ref="V51">IFERROR(IF(V$41&lt;$K51,0,$F51*_xlfn.XLOOKUP($D51,'Capital Call&amp;Distributions data'!$A:$A,INDEX('Capital Call&amp;Distributions data'!$C:$O,0,MIN(MAX(YEAR(V$41)-YEAR($K51)+$J51+1,1),14)))),0)</f>
        <v>301612.62445448682</v>
      </c>
      <c r="W51" s="68" cm="1">
        <f t="array" ref="W51">IFERROR(IF(W$41&lt;$K51,0,$F51*_xlfn.XLOOKUP($D51,'Capital Call&amp;Distributions data'!$A:$A,INDEX('Capital Call&amp;Distributions data'!$C:$O,0,MIN(MAX(YEAR(W$41)-YEAR($K51)+$J51+1,1),14)))),0)</f>
        <v>249122.59599741772</v>
      </c>
      <c r="X51" s="68" cm="1">
        <f t="array" ref="X51">IFERROR(IF(X$41&lt;$K51,0,$F51*_xlfn.XLOOKUP($D51,'Capital Call&amp;Distributions data'!$A:$A,INDEX('Capital Call&amp;Distributions data'!$C:$O,0,MIN(MAX(YEAR(X$41)-YEAR($K51)+$J51+1,1),14)))),0)</f>
        <v>172848.0233957392</v>
      </c>
      <c r="Y51" s="68" cm="1">
        <f t="array" ref="Y51">IFERROR(IF(Y$41&lt;$K51,0,$F51*_xlfn.XLOOKUP($D51,'Capital Call&amp;Distributions data'!$A:$A,INDEX('Capital Call&amp;Distributions data'!$C:$O,0,MIN(MAX(YEAR(Y$41)-YEAR($K51)+$J51+1,1),14)))),0)</f>
        <v>26860.131749515826</v>
      </c>
      <c r="Z51" s="68" cm="1">
        <f t="array" ref="Z51">IFERROR(IF(Z$41&lt;$K51,0,$F51*_xlfn.XLOOKUP($D51,'Capital Call&amp;Distributions data'!$A:$A,INDEX('Capital Call&amp;Distributions data'!$C:$O,0,MIN(MAX(YEAR(Z$41)-YEAR($K51)+$J51+1,1),14)))),0)</f>
        <v>11687.232898644288</v>
      </c>
      <c r="AA51" s="68" cm="1">
        <f t="array" ref="AA51">IFERROR(IF(AA$41&lt;$K51,0,$F51*_xlfn.XLOOKUP($D51,'Capital Call&amp;Distributions data'!$A:$A,INDEX('Capital Call&amp;Distributions data'!$C:$O,0,MIN(MAX(YEAR(AA$41)-YEAR($K51)+$J51+1,1),14)))),0)</f>
        <v>0</v>
      </c>
      <c r="AB51" s="68" cm="1">
        <f t="array" ref="AB51">IFERROR(IF(AB$41&lt;$K51,0,$F51*_xlfn.XLOOKUP($D51,'Capital Call&amp;Distributions data'!$A:$A,INDEX('Capital Call&amp;Distributions data'!$C:$O,0,MIN(MAX(YEAR(AB$41)-YEAR($K51)+$J51+1,1),14)))),0)</f>
        <v>0</v>
      </c>
      <c r="AC51" s="68" cm="1">
        <f t="array" ref="AC51">IFERROR(IF(AC$41&lt;$K51,0,$F51*_xlfn.XLOOKUP($D51,'Capital Call&amp;Distributions data'!$A:$A,INDEX('Capital Call&amp;Distributions data'!$C:$O,0,MIN(MAX(YEAR(AC$41)-YEAR($K51)+$J51+1,1),14)))),0)</f>
        <v>0</v>
      </c>
      <c r="AD51" s="68" cm="1">
        <f t="array" ref="AD51">IFERROR(IF(AD$41&lt;$K51,0,$F51*_xlfn.XLOOKUP($D51,'Capital Call&amp;Distributions data'!$A:$A,INDEX('Capital Call&amp;Distributions data'!$C:$O,0,MIN(MAX(YEAR(AD$41)-YEAR($K51)+$J51+1,1),14)))),0)</f>
        <v>0</v>
      </c>
      <c r="AE51" s="68" cm="1">
        <f t="array" ref="AE51">IFERROR(IF(AE$41&lt;$K51,0,$F51*_xlfn.XLOOKUP($D51,'Capital Call&amp;Distributions data'!$A:$A,INDEX('Capital Call&amp;Distributions data'!$C:$O,0,MIN(MAX(YEAR(AE$41)-YEAR($K51)+$J51+1,1),14)))),0)</f>
        <v>0</v>
      </c>
      <c r="AF51" s="68" cm="1">
        <f t="array" ref="AF51">IFERROR(IF(AF$41&lt;$K51,0,$F51*_xlfn.XLOOKUP($D51,'Capital Call&amp;Distributions data'!$A:$A,INDEX('Capital Call&amp;Distributions data'!$C:$O,0,MIN(MAX(YEAR(AF$41)-YEAR($K51)+$J51+1,1),14)))),0)</f>
        <v>0</v>
      </c>
      <c r="AG51" s="68" cm="1">
        <f t="array" ref="AG51">IFERROR(IF(AG$41&lt;$K51,0,$F51*_xlfn.XLOOKUP($D51,'Capital Call&amp;Distributions data'!$A:$A,INDEX('Capital Call&amp;Distributions data'!$C:$O,0,MIN(MAX(YEAR(AG$41)-YEAR($K51)+$J51+1,1),14)))),0)</f>
        <v>0</v>
      </c>
      <c r="AH51" s="68" cm="1">
        <f t="array" ref="AH51">IFERROR(IF(AH$41&lt;$K51,0,$F51*_xlfn.XLOOKUP($D51,'Capital Call&amp;Distributions data'!$A:$A,INDEX('Capital Call&amp;Distributions data'!$C:$O,0,MIN(MAX(YEAR(AH$41)-YEAR($K51)+$J51+1,1),14)))),0)</f>
        <v>0</v>
      </c>
      <c r="AI51" s="68" cm="1">
        <f t="array" ref="AI51">IFERROR(IF(AI$41&lt;$K51,0,$F51*_xlfn.XLOOKUP($D51,'Capital Call&amp;Distributions data'!$A:$A,INDEX('Capital Call&amp;Distributions data'!$C:$O,0,MIN(MAX(YEAR(AI$41)-YEAR($K51)+$J51+1,1),14)))),0)</f>
        <v>0</v>
      </c>
      <c r="AJ51" s="68" cm="1">
        <f t="array" ref="AJ51">IFERROR(IF(AJ$41&lt;$K51,0,$F51*_xlfn.XLOOKUP($D51,'Capital Call&amp;Distributions data'!$A:$A,INDEX('Capital Call&amp;Distributions data'!$C:$O,0,MIN(MAX(YEAR(AJ$41)-YEAR($K51)+$J51+1,1),14)))),0)</f>
        <v>0</v>
      </c>
      <c r="AK51" s="68" cm="1">
        <f t="array" ref="AK51">IFERROR(IF(AK$41&lt;$K51,0,$F51*_xlfn.XLOOKUP($D51,'Capital Call&amp;Distributions data'!$A:$A,INDEX('Capital Call&amp;Distributions data'!$C:$O,0,MIN(MAX(YEAR(AK$41)-YEAR($K51)+$J51+1,1),14)))),0)</f>
        <v>0</v>
      </c>
      <c r="AL51" s="68" cm="1">
        <f t="array" ref="AL51">IFERROR(IF(AL$41&lt;$K51,0,$F51*_xlfn.XLOOKUP($D51,'Capital Call&amp;Distributions data'!$A:$A,INDEX('Capital Call&amp;Distributions data'!$C:$O,0,MIN(MAX(YEAR(AL$41)-YEAR($K51)+$J51+1,1),14)))),0)</f>
        <v>0</v>
      </c>
      <c r="AM51" s="68" cm="1">
        <f t="array" ref="AM51">IFERROR(IF(AM$41&lt;$K51,0,$F51*_xlfn.XLOOKUP($D51,'Capital Call&amp;Distributions data'!$A:$A,INDEX('Capital Call&amp;Distributions data'!$C:$O,0,MIN(MAX(YEAR(AM$41)-YEAR($K51)+$J51+1,1),14)))),0)</f>
        <v>0</v>
      </c>
      <c r="AN51" s="68" cm="1">
        <f t="array" ref="AN51">IFERROR(IF(AN$41&lt;$K51,0,$F51*_xlfn.XLOOKUP($D51,'Capital Call&amp;Distributions data'!$A:$A,INDEX('Capital Call&amp;Distributions data'!$C:$O,0,MIN(MAX(YEAR(AN$41)-YEAR($K51)+$J51+1,1),14)))),0)</f>
        <v>0</v>
      </c>
      <c r="AO51" s="68" cm="1">
        <f t="array" ref="AO51">IFERROR(IF(AO$41&lt;$K51,0,$F51*_xlfn.XLOOKUP($D51,'Capital Call&amp;Distributions data'!$A:$A,INDEX('Capital Call&amp;Distributions data'!$C:$O,0,MIN(MAX(YEAR(AO$41)-YEAR($K51)+$J51+1,1),14)))),0)</f>
        <v>0</v>
      </c>
      <c r="AP51" s="68" cm="1">
        <f t="array" ref="AP51">IFERROR(IF(AP$41&lt;$K51,0,$F51*_xlfn.XLOOKUP($D51,'Capital Call&amp;Distributions data'!$A:$A,INDEX('Capital Call&amp;Distributions data'!$C:$O,0,MIN(MAX(YEAR(AP$41)-YEAR($K51)+$J51+1,1),14)))),0)</f>
        <v>0</v>
      </c>
      <c r="AQ51" s="68" cm="1">
        <f t="array" ref="AQ51">IFERROR(IF(AQ$41&lt;$K51,0,$F51*_xlfn.XLOOKUP($D51,'Capital Call&amp;Distributions data'!$A:$A,INDEX('Capital Call&amp;Distributions data'!$C:$O,0,MIN(MAX(YEAR(AQ$41)-YEAR($K51)+$J51+1,1),14)))),0)</f>
        <v>0</v>
      </c>
      <c r="AR51" s="68" cm="1">
        <f t="array" ref="AR51">IFERROR(IF(AR$41&lt;$K51,0,$F51*_xlfn.XLOOKUP($D51,'Capital Call&amp;Distributions data'!$A:$A,INDEX('Capital Call&amp;Distributions data'!$C:$O,0,MIN(MAX(YEAR(AR$41)-YEAR($K51)+$J51+1,1),14)))),0)</f>
        <v>0</v>
      </c>
      <c r="AS51" s="68" cm="1">
        <f t="array" ref="AS51">IFERROR(IF(AS$41&lt;$K51,0,$F51*_xlfn.XLOOKUP($D51,'Capital Call&amp;Distributions data'!$A:$A,INDEX('Capital Call&amp;Distributions data'!$C:$O,0,MIN(MAX(YEAR(AS$41)-YEAR($K51)+$J51+1,1),14)))),0)</f>
        <v>0</v>
      </c>
      <c r="AT51" s="68" cm="1">
        <f t="array" ref="AT51">IFERROR(IF(AT$41&lt;$K51,0,$F51*_xlfn.XLOOKUP($D51,'Capital Call&amp;Distributions data'!$A:$A,INDEX('Capital Call&amp;Distributions data'!$C:$O,0,MIN(MAX(YEAR(AT$41)-YEAR($K51)+$J51+1,1),14)))),0)</f>
        <v>0</v>
      </c>
      <c r="AU51" s="68" cm="1">
        <f t="array" ref="AU51">IFERROR(IF(AU$41&lt;$K51,0,$F51*_xlfn.XLOOKUP($D51,'Capital Call&amp;Distributions data'!$A:$A,INDEX('Capital Call&amp;Distributions data'!$C:$O,0,MIN(MAX(YEAR(AU$41)-YEAR($K51)+$J51+1,1),14)))),0)</f>
        <v>0</v>
      </c>
      <c r="AW51" s="1"/>
      <c r="DJ51" s="11"/>
    </row>
    <row r="52" spans="3:114" ht="29.25" customHeight="1">
      <c r="C52" s="20" t="s">
        <v>11</v>
      </c>
      <c r="D52" s="21" t="str">
        <f>_xlfn.XLOOKUP(C52,Fondsen!B:B,Fondsen!C:C,"0",0,1)</f>
        <v>PE</v>
      </c>
      <c r="E52" s="21" t="s">
        <v>10</v>
      </c>
      <c r="F52" s="83">
        <v>2000000</v>
      </c>
      <c r="G52" s="143" t="str">
        <f ca="1">IFERROR(IF(SUM(OFFSET(INDEX('Capital Call&amp;Distributions data'!A:A,MATCH(D52,'Capital Call&amp;Distributions data'!A:A,0)),-1,2,1,1000))=0,"✔",""),"")</f>
        <v/>
      </c>
      <c r="H52" s="138">
        <f t="shared" si="4"/>
        <v>0.14724510427160875</v>
      </c>
      <c r="I52" s="96">
        <v>47484</v>
      </c>
      <c r="J52" s="70">
        <f t="shared" si="3"/>
        <v>0</v>
      </c>
      <c r="K52" s="96">
        <v>47484</v>
      </c>
      <c r="L52" s="68" cm="1">
        <f t="array" ref="L52">IFERROR(IF(L$41&lt;$K52,0,$F52*_xlfn.XLOOKUP($D52,'Capital Call&amp;Distributions data'!$A:$A,INDEX('Capital Call&amp;Distributions data'!$C:$O,0,MIN(MAX(YEAR(L$41)-YEAR($K52)+$J52+1,1),14)))),0)</f>
        <v>0</v>
      </c>
      <c r="M52" s="68" cm="1">
        <f t="array" ref="M52">IFERROR(IF(M$41&lt;$K52,0,$F52*_xlfn.XLOOKUP($D52,'Capital Call&amp;Distributions data'!$A:$A,INDEX('Capital Call&amp;Distributions data'!$C:$O,0,MIN(MAX(YEAR(M$41)-YEAR($K52)+$J52+1,1),14)))),0)</f>
        <v>0</v>
      </c>
      <c r="N52" s="68" cm="1">
        <f t="array" ref="N52">IFERROR(IF(N$41&lt;$K52,0,$F52*_xlfn.XLOOKUP($D52,'Capital Call&amp;Distributions data'!$A:$A,INDEX('Capital Call&amp;Distributions data'!$C:$O,0,MIN(MAX(YEAR(N$41)-YEAR($K52)+$J52+1,1),14)))),0)</f>
        <v>0</v>
      </c>
      <c r="O52" s="68" cm="1">
        <f t="array" ref="O52">IFERROR(IF(O$41&lt;$K52,0,$F52*_xlfn.XLOOKUP($D52,'Capital Call&amp;Distributions data'!$A:$A,INDEX('Capital Call&amp;Distributions data'!$C:$O,0,MIN(MAX(YEAR(O$41)-YEAR($K52)+$J52+1,1),14)))),0)</f>
        <v>0</v>
      </c>
      <c r="P52" s="68" cm="1">
        <f t="array" ref="P52">IFERROR(IF(P$41&lt;$K52,0,$F52*_xlfn.XLOOKUP($D52,'Capital Call&amp;Distributions data'!$A:$A,INDEX('Capital Call&amp;Distributions data'!$C:$O,0,MIN(MAX(YEAR(P$41)-YEAR($K52)+$J52+1,1),14)))),0)</f>
        <v>-629234.62986198254</v>
      </c>
      <c r="Q52" s="68" cm="1">
        <f t="array" ref="Q52">IFERROR(IF(Q$41&lt;$K52,0,$F52*_xlfn.XLOOKUP($D52,'Capital Call&amp;Distributions data'!$A:$A,INDEX('Capital Call&amp;Distributions data'!$C:$O,0,MIN(MAX(YEAR(Q$41)-YEAR($K52)+$J52+1,1),14)))),0)</f>
        <v>-437264.74278544541</v>
      </c>
      <c r="R52" s="68" cm="1">
        <f t="array" ref="R52">IFERROR(IF(R$41&lt;$K52,0,$F52*_xlfn.XLOOKUP($D52,'Capital Call&amp;Distributions data'!$A:$A,INDEX('Capital Call&amp;Distributions data'!$C:$O,0,MIN(MAX(YEAR(R$41)-YEAR($K52)+$J52+1,1),14)))),0)</f>
        <v>-437264.74278544541</v>
      </c>
      <c r="S52" s="68" cm="1">
        <f t="array" ref="S52">IFERROR(IF(S$41&lt;$K52,0,$F52*_xlfn.XLOOKUP($D52,'Capital Call&amp;Distributions data'!$A:$A,INDEX('Capital Call&amp;Distributions data'!$C:$O,0,MIN(MAX(YEAR(S$41)-YEAR($K52)+$J52+1,1),14)))),0)</f>
        <v>-196235.88456712675</v>
      </c>
      <c r="T52" s="68" cm="1">
        <f t="array" ref="T52">IFERROR(IF(T$41&lt;$K52,0,$F52*_xlfn.XLOOKUP($D52,'Capital Call&amp;Distributions data'!$A:$A,INDEX('Capital Call&amp;Distributions data'!$C:$O,0,MIN(MAX(YEAR(T$41)-YEAR($K52)+$J52+1,1),14)))),0)</f>
        <v>507194.55703532149</v>
      </c>
      <c r="U52" s="68" cm="1">
        <f t="array" ref="U52">IFERROR(IF(U$41&lt;$K52,0,$F52*_xlfn.XLOOKUP($D52,'Capital Call&amp;Distributions data'!$A:$A,INDEX('Capital Call&amp;Distributions data'!$C:$O,0,MIN(MAX(YEAR(U$41)-YEAR($K52)+$J52+1,1),14)))),0)</f>
        <v>837203.24261725531</v>
      </c>
      <c r="V52" s="68" cm="1">
        <f t="array" ref="V52">IFERROR(IF(V$41&lt;$K52,0,$F52*_xlfn.XLOOKUP($D52,'Capital Call&amp;Distributions data'!$A:$A,INDEX('Capital Call&amp;Distributions data'!$C:$O,0,MIN(MAX(YEAR(V$41)-YEAR($K52)+$J52+1,1),14)))),0)</f>
        <v>834131.19050376385</v>
      </c>
      <c r="W52" s="68" cm="1">
        <f t="array" ref="W52">IFERROR(IF(W$41&lt;$K52,0,$F52*_xlfn.XLOOKUP($D52,'Capital Call&amp;Distributions data'!$A:$A,INDEX('Capital Call&amp;Distributions data'!$C:$O,0,MIN(MAX(YEAR(W$41)-YEAR($K52)+$J52+1,1),14)))),0)</f>
        <v>502851.72437753325</v>
      </c>
      <c r="X52" s="68" cm="1">
        <f t="array" ref="X52">IFERROR(IF(X$41&lt;$K52,0,$F52*_xlfn.XLOOKUP($D52,'Capital Call&amp;Distributions data'!$A:$A,INDEX('Capital Call&amp;Distributions data'!$C:$O,0,MIN(MAX(YEAR(X$41)-YEAR($K52)+$J52+1,1),14)))),0)</f>
        <v>293896.44701795012</v>
      </c>
      <c r="Y52" s="68" cm="1">
        <f t="array" ref="Y52">IFERROR(IF(Y$41&lt;$K52,0,$F52*_xlfn.XLOOKUP($D52,'Capital Call&amp;Distributions data'!$A:$A,INDEX('Capital Call&amp;Distributions data'!$C:$O,0,MIN(MAX(YEAR(Y$41)-YEAR($K52)+$J52+1,1),14)))),0)</f>
        <v>280305.85987261147</v>
      </c>
      <c r="Z52" s="68" cm="1">
        <f t="array" ref="Z52">IFERROR(IF(Z$41&lt;$K52,0,$F52*_xlfn.XLOOKUP($D52,'Capital Call&amp;Distributions data'!$A:$A,INDEX('Capital Call&amp;Distributions data'!$C:$O,0,MIN(MAX(YEAR(Z$41)-YEAR($K52)+$J52+1,1),14)))),0)</f>
        <v>83242.346265199769</v>
      </c>
      <c r="AA52" s="68" cm="1">
        <f t="array" ref="AA52">IFERROR(IF(AA$41&lt;$K52,0,$F52*_xlfn.XLOOKUP($D52,'Capital Call&amp;Distributions data'!$A:$A,INDEX('Capital Call&amp;Distributions data'!$C:$O,0,MIN(MAX(YEAR(AA$41)-YEAR($K52)+$J52+1,1),14)))),0)</f>
        <v>0</v>
      </c>
      <c r="AB52" s="68" cm="1">
        <f t="array" ref="AB52">IFERROR(IF(AB$41&lt;$K52,0,$F52*_xlfn.XLOOKUP($D52,'Capital Call&amp;Distributions data'!$A:$A,INDEX('Capital Call&amp;Distributions data'!$C:$O,0,MIN(MAX(YEAR(AB$41)-YEAR($K52)+$J52+1,1),14)))),0)</f>
        <v>0</v>
      </c>
      <c r="AC52" s="68" cm="1">
        <f t="array" ref="AC52">IFERROR(IF(AC$41&lt;$K52,0,$F52*_xlfn.XLOOKUP($D52,'Capital Call&amp;Distributions data'!$A:$A,INDEX('Capital Call&amp;Distributions data'!$C:$O,0,MIN(MAX(YEAR(AC$41)-YEAR($K52)+$J52+1,1),14)))),0)</f>
        <v>0</v>
      </c>
      <c r="AD52" s="68" cm="1">
        <f t="array" ref="AD52">IFERROR(IF(AD$41&lt;$K52,0,$F52*_xlfn.XLOOKUP($D52,'Capital Call&amp;Distributions data'!$A:$A,INDEX('Capital Call&amp;Distributions data'!$C:$O,0,MIN(MAX(YEAR(AD$41)-YEAR($K52)+$J52+1,1),14)))),0)</f>
        <v>0</v>
      </c>
      <c r="AE52" s="68" cm="1">
        <f t="array" ref="AE52">IFERROR(IF(AE$41&lt;$K52,0,$F52*_xlfn.XLOOKUP($D52,'Capital Call&amp;Distributions data'!$A:$A,INDEX('Capital Call&amp;Distributions data'!$C:$O,0,MIN(MAX(YEAR(AE$41)-YEAR($K52)+$J52+1,1),14)))),0)</f>
        <v>0</v>
      </c>
      <c r="AF52" s="68" cm="1">
        <f t="array" ref="AF52">IFERROR(IF(AF$41&lt;$K52,0,$F52*_xlfn.XLOOKUP($D52,'Capital Call&amp;Distributions data'!$A:$A,INDEX('Capital Call&amp;Distributions data'!$C:$O,0,MIN(MAX(YEAR(AF$41)-YEAR($K52)+$J52+1,1),14)))),0)</f>
        <v>0</v>
      </c>
      <c r="AG52" s="68" cm="1">
        <f t="array" ref="AG52">IFERROR(IF(AG$41&lt;$K52,0,$F52*_xlfn.XLOOKUP($D52,'Capital Call&amp;Distributions data'!$A:$A,INDEX('Capital Call&amp;Distributions data'!$C:$O,0,MIN(MAX(YEAR(AG$41)-YEAR($K52)+$J52+1,1),14)))),0)</f>
        <v>0</v>
      </c>
      <c r="AH52" s="68" cm="1">
        <f t="array" ref="AH52">IFERROR(IF(AH$41&lt;$K52,0,$F52*_xlfn.XLOOKUP($D52,'Capital Call&amp;Distributions data'!$A:$A,INDEX('Capital Call&amp;Distributions data'!$C:$O,0,MIN(MAX(YEAR(AH$41)-YEAR($K52)+$J52+1,1),14)))),0)</f>
        <v>0</v>
      </c>
      <c r="AI52" s="68" cm="1">
        <f t="array" ref="AI52">IFERROR(IF(AI$41&lt;$K52,0,$F52*_xlfn.XLOOKUP($D52,'Capital Call&amp;Distributions data'!$A:$A,INDEX('Capital Call&amp;Distributions data'!$C:$O,0,MIN(MAX(YEAR(AI$41)-YEAR($K52)+$J52+1,1),14)))),0)</f>
        <v>0</v>
      </c>
      <c r="AJ52" s="68" cm="1">
        <f t="array" ref="AJ52">IFERROR(IF(AJ$41&lt;$K52,0,$F52*_xlfn.XLOOKUP($D52,'Capital Call&amp;Distributions data'!$A:$A,INDEX('Capital Call&amp;Distributions data'!$C:$O,0,MIN(MAX(YEAR(AJ$41)-YEAR($K52)+$J52+1,1),14)))),0)</f>
        <v>0</v>
      </c>
      <c r="AK52" s="68" cm="1">
        <f t="array" ref="AK52">IFERROR(IF(AK$41&lt;$K52,0,$F52*_xlfn.XLOOKUP($D52,'Capital Call&amp;Distributions data'!$A:$A,INDEX('Capital Call&amp;Distributions data'!$C:$O,0,MIN(MAX(YEAR(AK$41)-YEAR($K52)+$J52+1,1),14)))),0)</f>
        <v>0</v>
      </c>
      <c r="AL52" s="68" cm="1">
        <f t="array" ref="AL52">IFERROR(IF(AL$41&lt;$K52,0,$F52*_xlfn.XLOOKUP($D52,'Capital Call&amp;Distributions data'!$A:$A,INDEX('Capital Call&amp;Distributions data'!$C:$O,0,MIN(MAX(YEAR(AL$41)-YEAR($K52)+$J52+1,1),14)))),0)</f>
        <v>0</v>
      </c>
      <c r="AM52" s="68" cm="1">
        <f t="array" ref="AM52">IFERROR(IF(AM$41&lt;$K52,0,$F52*_xlfn.XLOOKUP($D52,'Capital Call&amp;Distributions data'!$A:$A,INDEX('Capital Call&amp;Distributions data'!$C:$O,0,MIN(MAX(YEAR(AM$41)-YEAR($K52)+$J52+1,1),14)))),0)</f>
        <v>0</v>
      </c>
      <c r="AN52" s="68" cm="1">
        <f t="array" ref="AN52">IFERROR(IF(AN$41&lt;$K52,0,$F52*_xlfn.XLOOKUP($D52,'Capital Call&amp;Distributions data'!$A:$A,INDEX('Capital Call&amp;Distributions data'!$C:$O,0,MIN(MAX(YEAR(AN$41)-YEAR($K52)+$J52+1,1),14)))),0)</f>
        <v>0</v>
      </c>
      <c r="AO52" s="68" cm="1">
        <f t="array" ref="AO52">IFERROR(IF(AO$41&lt;$K52,0,$F52*_xlfn.XLOOKUP($D52,'Capital Call&amp;Distributions data'!$A:$A,INDEX('Capital Call&amp;Distributions data'!$C:$O,0,MIN(MAX(YEAR(AO$41)-YEAR($K52)+$J52+1,1),14)))),0)</f>
        <v>0</v>
      </c>
      <c r="AP52" s="68" cm="1">
        <f t="array" ref="AP52">IFERROR(IF(AP$41&lt;$K52,0,$F52*_xlfn.XLOOKUP($D52,'Capital Call&amp;Distributions data'!$A:$A,INDEX('Capital Call&amp;Distributions data'!$C:$O,0,MIN(MAX(YEAR(AP$41)-YEAR($K52)+$J52+1,1),14)))),0)</f>
        <v>0</v>
      </c>
      <c r="AQ52" s="68" cm="1">
        <f t="array" ref="AQ52">IFERROR(IF(AQ$41&lt;$K52,0,$F52*_xlfn.XLOOKUP($D52,'Capital Call&amp;Distributions data'!$A:$A,INDEX('Capital Call&amp;Distributions data'!$C:$O,0,MIN(MAX(YEAR(AQ$41)-YEAR($K52)+$J52+1,1),14)))),0)</f>
        <v>0</v>
      </c>
      <c r="AR52" s="68" cm="1">
        <f t="array" ref="AR52">IFERROR(IF(AR$41&lt;$K52,0,$F52*_xlfn.XLOOKUP($D52,'Capital Call&amp;Distributions data'!$A:$A,INDEX('Capital Call&amp;Distributions data'!$C:$O,0,MIN(MAX(YEAR(AR$41)-YEAR($K52)+$J52+1,1),14)))),0)</f>
        <v>0</v>
      </c>
      <c r="AS52" s="68" cm="1">
        <f t="array" ref="AS52">IFERROR(IF(AS$41&lt;$K52,0,$F52*_xlfn.XLOOKUP($D52,'Capital Call&amp;Distributions data'!$A:$A,INDEX('Capital Call&amp;Distributions data'!$C:$O,0,MIN(MAX(YEAR(AS$41)-YEAR($K52)+$J52+1,1),14)))),0)</f>
        <v>0</v>
      </c>
      <c r="AT52" s="68" cm="1">
        <f t="array" ref="AT52">IFERROR(IF(AT$41&lt;$K52,0,$F52*_xlfn.XLOOKUP($D52,'Capital Call&amp;Distributions data'!$A:$A,INDEX('Capital Call&amp;Distributions data'!$C:$O,0,MIN(MAX(YEAR(AT$41)-YEAR($K52)+$J52+1,1),14)))),0)</f>
        <v>0</v>
      </c>
      <c r="AU52" s="68" cm="1">
        <f t="array" ref="AU52">IFERROR(IF(AU$41&lt;$K52,0,$F52*_xlfn.XLOOKUP($D52,'Capital Call&amp;Distributions data'!$A:$A,INDEX('Capital Call&amp;Distributions data'!$C:$O,0,MIN(MAX(YEAR(AU$41)-YEAR($K52)+$J52+1,1),14)))),0)</f>
        <v>0</v>
      </c>
      <c r="AW52" s="1"/>
      <c r="DJ52" s="11"/>
    </row>
    <row r="53" spans="3:114" ht="29.25" customHeight="1">
      <c r="C53" s="20" t="s">
        <v>141</v>
      </c>
      <c r="D53" s="21" t="str">
        <f>_xlfn.XLOOKUP(C53,Fondsen!B:B,Fondsen!C:C,"0",0,1)</f>
        <v>Secondaries</v>
      </c>
      <c r="E53" s="21" t="s">
        <v>10</v>
      </c>
      <c r="F53" s="83">
        <v>4000000</v>
      </c>
      <c r="G53" s="143" t="str">
        <f ca="1">IFERROR(IF(SUM(OFFSET(INDEX('Capital Call&amp;Distributions data'!A:A,MATCH(D53,'Capital Call&amp;Distributions data'!A:A,0)),-1,2,1,1000))=0,"✔",""),"")</f>
        <v/>
      </c>
      <c r="H53" s="138">
        <f t="shared" si="4"/>
        <v>0.13229301382358005</v>
      </c>
      <c r="I53" s="96">
        <v>47849</v>
      </c>
      <c r="J53" s="70">
        <f t="shared" si="3"/>
        <v>0</v>
      </c>
      <c r="K53" s="96">
        <v>47849</v>
      </c>
      <c r="L53" s="68" cm="1">
        <f t="array" ref="L53">IFERROR(IF(L$41&lt;$K53,0,$F53*_xlfn.XLOOKUP($D53,'Capital Call&amp;Distributions data'!$A:$A,INDEX('Capital Call&amp;Distributions data'!$C:$O,0,MIN(MAX(YEAR(L$41)-YEAR($K53)+$J53+1,1),14)))),0)</f>
        <v>0</v>
      </c>
      <c r="M53" s="68" cm="1">
        <f t="array" ref="M53">IFERROR(IF(M$41&lt;$K53,0,$F53*_xlfn.XLOOKUP($D53,'Capital Call&amp;Distributions data'!$A:$A,INDEX('Capital Call&amp;Distributions data'!$C:$O,0,MIN(MAX(YEAR(M$41)-YEAR($K53)+$J53+1,1),14)))),0)</f>
        <v>0</v>
      </c>
      <c r="N53" s="68" cm="1">
        <f t="array" ref="N53">IFERROR(IF(N$41&lt;$K53,0,$F53*_xlfn.XLOOKUP($D53,'Capital Call&amp;Distributions data'!$A:$A,INDEX('Capital Call&amp;Distributions data'!$C:$O,0,MIN(MAX(YEAR(N$41)-YEAR($K53)+$J53+1,1),14)))),0)</f>
        <v>0</v>
      </c>
      <c r="O53" s="68" cm="1">
        <f t="array" ref="O53">IFERROR(IF(O$41&lt;$K53,0,$F53*_xlfn.XLOOKUP($D53,'Capital Call&amp;Distributions data'!$A:$A,INDEX('Capital Call&amp;Distributions data'!$C:$O,0,MIN(MAX(YEAR(O$41)-YEAR($K53)+$J53+1,1),14)))),0)</f>
        <v>0</v>
      </c>
      <c r="P53" s="68" cm="1">
        <f t="array" ref="P53">IFERROR(IF(P$41&lt;$K53,0,$F53*_xlfn.XLOOKUP($D53,'Capital Call&amp;Distributions data'!$A:$A,INDEX('Capital Call&amp;Distributions data'!$C:$O,0,MIN(MAX(YEAR(P$41)-YEAR($K53)+$J53+1,1),14)))),0)</f>
        <v>0</v>
      </c>
      <c r="Q53" s="68" cm="1">
        <f t="array" ref="Q53">IFERROR(IF(Q$41&lt;$K53,0,$F53*_xlfn.XLOOKUP($D53,'Capital Call&amp;Distributions data'!$A:$A,INDEX('Capital Call&amp;Distributions data'!$C:$O,0,MIN(MAX(YEAR(Q$41)-YEAR($K53)+$J53+1,1),14)))),0)</f>
        <v>-2129139.3017628761</v>
      </c>
      <c r="R53" s="68" cm="1">
        <f t="array" ref="R53">IFERROR(IF(R$41&lt;$K53,0,$F53*_xlfn.XLOOKUP($D53,'Capital Call&amp;Distributions data'!$A:$A,INDEX('Capital Call&amp;Distributions data'!$C:$O,0,MIN(MAX(YEAR(R$41)-YEAR($K53)+$J53+1,1),14)))),0)</f>
        <v>-190860.6982371241</v>
      </c>
      <c r="S53" s="68" cm="1">
        <f t="array" ref="S53">IFERROR(IF(S$41&lt;$K53,0,$F53*_xlfn.XLOOKUP($D53,'Capital Call&amp;Distributions data'!$A:$A,INDEX('Capital Call&amp;Distributions data'!$C:$O,0,MIN(MAX(YEAR(S$41)-YEAR($K53)+$J53+1,1),14)))),0)</f>
        <v>1019736.6042608136</v>
      </c>
      <c r="T53" s="68" cm="1">
        <f t="array" ref="T53">IFERROR(IF(T$41&lt;$K53,0,$F53*_xlfn.XLOOKUP($D53,'Capital Call&amp;Distributions data'!$A:$A,INDEX('Capital Call&amp;Distributions data'!$C:$O,0,MIN(MAX(YEAR(T$41)-YEAR($K53)+$J53+1,1),14)))),0)</f>
        <v>838772.11103938043</v>
      </c>
      <c r="U53" s="68" cm="1">
        <f t="array" ref="U53">IFERROR(IF(U$41&lt;$K53,0,$F53*_xlfn.XLOOKUP($D53,'Capital Call&amp;Distributions data'!$A:$A,INDEX('Capital Call&amp;Distributions data'!$C:$O,0,MIN(MAX(YEAR(U$41)-YEAR($K53)+$J53+1,1),14)))),0)</f>
        <v>581653.13105229172</v>
      </c>
      <c r="V53" s="68" cm="1">
        <f t="array" ref="V53">IFERROR(IF(V$41&lt;$K53,0,$F53*_xlfn.XLOOKUP($D53,'Capital Call&amp;Distributions data'!$A:$A,INDEX('Capital Call&amp;Distributions data'!$C:$O,0,MIN(MAX(YEAR(V$41)-YEAR($K53)+$J53+1,1),14)))),0)</f>
        <v>327562.5823111686</v>
      </c>
      <c r="W53" s="68" cm="1">
        <f t="array" ref="W53">IFERROR(IF(W$41&lt;$K53,0,$F53*_xlfn.XLOOKUP($D53,'Capital Call&amp;Distributions data'!$A:$A,INDEX('Capital Call&amp;Distributions data'!$C:$O,0,MIN(MAX(YEAR(W$41)-YEAR($K53)+$J53+1,1),14)))),0)</f>
        <v>367820.27372498391</v>
      </c>
      <c r="X53" s="68" cm="1">
        <f t="array" ref="X53">IFERROR(IF(X$41&lt;$K53,0,$F53*_xlfn.XLOOKUP($D53,'Capital Call&amp;Distributions data'!$A:$A,INDEX('Capital Call&amp;Distributions data'!$C:$O,0,MIN(MAX(YEAR(X$41)-YEAR($K53)+$J53+1,1),14)))),0)</f>
        <v>303808.04389928991</v>
      </c>
      <c r="Y53" s="68" cm="1">
        <f t="array" ref="Y53">IFERROR(IF(Y$41&lt;$K53,0,$F53*_xlfn.XLOOKUP($D53,'Capital Call&amp;Distributions data'!$A:$A,INDEX('Capital Call&amp;Distributions data'!$C:$O,0,MIN(MAX(YEAR(Y$41)-YEAR($K53)+$J53+1,1),14)))),0)</f>
        <v>210790.2724338283</v>
      </c>
      <c r="Z53" s="68" cm="1">
        <f t="array" ref="Z53">IFERROR(IF(Z$41&lt;$K53,0,$F53*_xlfn.XLOOKUP($D53,'Capital Call&amp;Distributions data'!$A:$A,INDEX('Capital Call&amp;Distributions data'!$C:$O,0,MIN(MAX(YEAR(Z$41)-YEAR($K53)+$J53+1,1),14)))),0)</f>
        <v>32756.258231116859</v>
      </c>
      <c r="AA53" s="68" cm="1">
        <f t="array" ref="AA53">IFERROR(IF(AA$41&lt;$K53,0,$F53*_xlfn.XLOOKUP($D53,'Capital Call&amp;Distributions data'!$A:$A,INDEX('Capital Call&amp;Distributions data'!$C:$O,0,MIN(MAX(YEAR(AA$41)-YEAR($K53)+$J53+1,1),14)))),0)</f>
        <v>14252.723047127181</v>
      </c>
      <c r="AB53" s="68" cm="1">
        <f t="array" ref="AB53">IFERROR(IF(AB$41&lt;$K53,0,$F53*_xlfn.XLOOKUP($D53,'Capital Call&amp;Distributions data'!$A:$A,INDEX('Capital Call&amp;Distributions data'!$C:$O,0,MIN(MAX(YEAR(AB$41)-YEAR($K53)+$J53+1,1),14)))),0)</f>
        <v>0</v>
      </c>
      <c r="AC53" s="68" cm="1">
        <f t="array" ref="AC53">IFERROR(IF(AC$41&lt;$K53,0,$F53*_xlfn.XLOOKUP($D53,'Capital Call&amp;Distributions data'!$A:$A,INDEX('Capital Call&amp;Distributions data'!$C:$O,0,MIN(MAX(YEAR(AC$41)-YEAR($K53)+$J53+1,1),14)))),0)</f>
        <v>0</v>
      </c>
      <c r="AD53" s="68" cm="1">
        <f t="array" ref="AD53">IFERROR(IF(AD$41&lt;$K53,0,$F53*_xlfn.XLOOKUP($D53,'Capital Call&amp;Distributions data'!$A:$A,INDEX('Capital Call&amp;Distributions data'!$C:$O,0,MIN(MAX(YEAR(AD$41)-YEAR($K53)+$J53+1,1),14)))),0)</f>
        <v>0</v>
      </c>
      <c r="AE53" s="68" cm="1">
        <f t="array" ref="AE53">IFERROR(IF(AE$41&lt;$K53,0,$F53*_xlfn.XLOOKUP($D53,'Capital Call&amp;Distributions data'!$A:$A,INDEX('Capital Call&amp;Distributions data'!$C:$O,0,MIN(MAX(YEAR(AE$41)-YEAR($K53)+$J53+1,1),14)))),0)</f>
        <v>0</v>
      </c>
      <c r="AF53" s="68" cm="1">
        <f t="array" ref="AF53">IFERROR(IF(AF$41&lt;$K53,0,$F53*_xlfn.XLOOKUP($D53,'Capital Call&amp;Distributions data'!$A:$A,INDEX('Capital Call&amp;Distributions data'!$C:$O,0,MIN(MAX(YEAR(AF$41)-YEAR($K53)+$J53+1,1),14)))),0)</f>
        <v>0</v>
      </c>
      <c r="AG53" s="68" cm="1">
        <f t="array" ref="AG53">IFERROR(IF(AG$41&lt;$K53,0,$F53*_xlfn.XLOOKUP($D53,'Capital Call&amp;Distributions data'!$A:$A,INDEX('Capital Call&amp;Distributions data'!$C:$O,0,MIN(MAX(YEAR(AG$41)-YEAR($K53)+$J53+1,1),14)))),0)</f>
        <v>0</v>
      </c>
      <c r="AH53" s="68" cm="1">
        <f t="array" ref="AH53">IFERROR(IF(AH$41&lt;$K53,0,$F53*_xlfn.XLOOKUP($D53,'Capital Call&amp;Distributions data'!$A:$A,INDEX('Capital Call&amp;Distributions data'!$C:$O,0,MIN(MAX(YEAR(AH$41)-YEAR($K53)+$J53+1,1),14)))),0)</f>
        <v>0</v>
      </c>
      <c r="AI53" s="68" cm="1">
        <f t="array" ref="AI53">IFERROR(IF(AI$41&lt;$K53,0,$F53*_xlfn.XLOOKUP($D53,'Capital Call&amp;Distributions data'!$A:$A,INDEX('Capital Call&amp;Distributions data'!$C:$O,0,MIN(MAX(YEAR(AI$41)-YEAR($K53)+$J53+1,1),14)))),0)</f>
        <v>0</v>
      </c>
      <c r="AJ53" s="68" cm="1">
        <f t="array" ref="AJ53">IFERROR(IF(AJ$41&lt;$K53,0,$F53*_xlfn.XLOOKUP($D53,'Capital Call&amp;Distributions data'!$A:$A,INDEX('Capital Call&amp;Distributions data'!$C:$O,0,MIN(MAX(YEAR(AJ$41)-YEAR($K53)+$J53+1,1),14)))),0)</f>
        <v>0</v>
      </c>
      <c r="AK53" s="68" cm="1">
        <f t="array" ref="AK53">IFERROR(IF(AK$41&lt;$K53,0,$F53*_xlfn.XLOOKUP($D53,'Capital Call&amp;Distributions data'!$A:$A,INDEX('Capital Call&amp;Distributions data'!$C:$O,0,MIN(MAX(YEAR(AK$41)-YEAR($K53)+$J53+1,1),14)))),0)</f>
        <v>0</v>
      </c>
      <c r="AL53" s="68" cm="1">
        <f t="array" ref="AL53">IFERROR(IF(AL$41&lt;$K53,0,$F53*_xlfn.XLOOKUP($D53,'Capital Call&amp;Distributions data'!$A:$A,INDEX('Capital Call&amp;Distributions data'!$C:$O,0,MIN(MAX(YEAR(AL$41)-YEAR($K53)+$J53+1,1),14)))),0)</f>
        <v>0</v>
      </c>
      <c r="AM53" s="68" cm="1">
        <f t="array" ref="AM53">IFERROR(IF(AM$41&lt;$K53,0,$F53*_xlfn.XLOOKUP($D53,'Capital Call&amp;Distributions data'!$A:$A,INDEX('Capital Call&amp;Distributions data'!$C:$O,0,MIN(MAX(YEAR(AM$41)-YEAR($K53)+$J53+1,1),14)))),0)</f>
        <v>0</v>
      </c>
      <c r="AN53" s="68" cm="1">
        <f t="array" ref="AN53">IFERROR(IF(AN$41&lt;$K53,0,$F53*_xlfn.XLOOKUP($D53,'Capital Call&amp;Distributions data'!$A:$A,INDEX('Capital Call&amp;Distributions data'!$C:$O,0,MIN(MAX(YEAR(AN$41)-YEAR($K53)+$J53+1,1),14)))),0)</f>
        <v>0</v>
      </c>
      <c r="AO53" s="68" cm="1">
        <f t="array" ref="AO53">IFERROR(IF(AO$41&lt;$K53,0,$F53*_xlfn.XLOOKUP($D53,'Capital Call&amp;Distributions data'!$A:$A,INDEX('Capital Call&amp;Distributions data'!$C:$O,0,MIN(MAX(YEAR(AO$41)-YEAR($K53)+$J53+1,1),14)))),0)</f>
        <v>0</v>
      </c>
      <c r="AP53" s="68" cm="1">
        <f t="array" ref="AP53">IFERROR(IF(AP$41&lt;$K53,0,$F53*_xlfn.XLOOKUP($D53,'Capital Call&amp;Distributions data'!$A:$A,INDEX('Capital Call&amp;Distributions data'!$C:$O,0,MIN(MAX(YEAR(AP$41)-YEAR($K53)+$J53+1,1),14)))),0)</f>
        <v>0</v>
      </c>
      <c r="AQ53" s="68" cm="1">
        <f t="array" ref="AQ53">IFERROR(IF(AQ$41&lt;$K53,0,$F53*_xlfn.XLOOKUP($D53,'Capital Call&amp;Distributions data'!$A:$A,INDEX('Capital Call&amp;Distributions data'!$C:$O,0,MIN(MAX(YEAR(AQ$41)-YEAR($K53)+$J53+1,1),14)))),0)</f>
        <v>0</v>
      </c>
      <c r="AR53" s="68" cm="1">
        <f t="array" ref="AR53">IFERROR(IF(AR$41&lt;$K53,0,$F53*_xlfn.XLOOKUP($D53,'Capital Call&amp;Distributions data'!$A:$A,INDEX('Capital Call&amp;Distributions data'!$C:$O,0,MIN(MAX(YEAR(AR$41)-YEAR($K53)+$J53+1,1),14)))),0)</f>
        <v>0</v>
      </c>
      <c r="AS53" s="68" cm="1">
        <f t="array" ref="AS53">IFERROR(IF(AS$41&lt;$K53,0,$F53*_xlfn.XLOOKUP($D53,'Capital Call&amp;Distributions data'!$A:$A,INDEX('Capital Call&amp;Distributions data'!$C:$O,0,MIN(MAX(YEAR(AS$41)-YEAR($K53)+$J53+1,1),14)))),0)</f>
        <v>0</v>
      </c>
      <c r="AT53" s="68" cm="1">
        <f t="array" ref="AT53">IFERROR(IF(AT$41&lt;$K53,0,$F53*_xlfn.XLOOKUP($D53,'Capital Call&amp;Distributions data'!$A:$A,INDEX('Capital Call&amp;Distributions data'!$C:$O,0,MIN(MAX(YEAR(AT$41)-YEAR($K53)+$J53+1,1),14)))),0)</f>
        <v>0</v>
      </c>
      <c r="AU53" s="68" cm="1">
        <f t="array" ref="AU53">IFERROR(IF(AU$41&lt;$K53,0,$F53*_xlfn.XLOOKUP($D53,'Capital Call&amp;Distributions data'!$A:$A,INDEX('Capital Call&amp;Distributions data'!$C:$O,0,MIN(MAX(YEAR(AU$41)-YEAR($K53)+$J53+1,1),14)))),0)</f>
        <v>0</v>
      </c>
      <c r="AW53" s="1"/>
      <c r="DJ53" s="11"/>
    </row>
    <row r="54" spans="3:114" ht="29.25" customHeight="1">
      <c r="C54" s="20" t="s">
        <v>11</v>
      </c>
      <c r="D54" s="21" t="str">
        <f>_xlfn.XLOOKUP(C54,Fondsen!B:B,Fondsen!C:C,"0",0,1)</f>
        <v>PE</v>
      </c>
      <c r="E54" s="21" t="s">
        <v>10</v>
      </c>
      <c r="F54" s="83">
        <v>2150000</v>
      </c>
      <c r="G54" s="143" t="str">
        <f ca="1">IFERROR(IF(SUM(OFFSET(INDEX('Capital Call&amp;Distributions data'!A:A,MATCH(D54,'Capital Call&amp;Distributions data'!A:A,0)),-1,2,1,1000))=0,"✔",""),"")</f>
        <v/>
      </c>
      <c r="H54" s="138">
        <f t="shared" si="4"/>
        <v>0.14724510427160875</v>
      </c>
      <c r="I54" s="96">
        <v>47849</v>
      </c>
      <c r="J54" s="70">
        <f t="shared" si="3"/>
        <v>0</v>
      </c>
      <c r="K54" s="96">
        <v>47849</v>
      </c>
      <c r="L54" s="68" cm="1">
        <f t="array" ref="L54">IFERROR(IF(L$41&lt;$K54,0,$F54*_xlfn.XLOOKUP($D54,'Capital Call&amp;Distributions data'!$A:$A,INDEX('Capital Call&amp;Distributions data'!$C:$O,0,MIN(MAX(YEAR(L$41)-YEAR($K54)+$J54+1,1),14)))),0)</f>
        <v>0</v>
      </c>
      <c r="M54" s="68" cm="1">
        <f t="array" ref="M54">IFERROR(IF(M$41&lt;$K54,0,$F54*_xlfn.XLOOKUP($D54,'Capital Call&amp;Distributions data'!$A:$A,INDEX('Capital Call&amp;Distributions data'!$C:$O,0,MIN(MAX(YEAR(M$41)-YEAR($K54)+$J54+1,1),14)))),0)</f>
        <v>0</v>
      </c>
      <c r="N54" s="68" cm="1">
        <f t="array" ref="N54">IFERROR(IF(N$41&lt;$K54,0,$F54*_xlfn.XLOOKUP($D54,'Capital Call&amp;Distributions data'!$A:$A,INDEX('Capital Call&amp;Distributions data'!$C:$O,0,MIN(MAX(YEAR(N$41)-YEAR($K54)+$J54+1,1),14)))),0)</f>
        <v>0</v>
      </c>
      <c r="O54" s="68" cm="1">
        <f t="array" ref="O54">IFERROR(IF(O$41&lt;$K54,0,$F54*_xlfn.XLOOKUP($D54,'Capital Call&amp;Distributions data'!$A:$A,INDEX('Capital Call&amp;Distributions data'!$C:$O,0,MIN(MAX(YEAR(O$41)-YEAR($K54)+$J54+1,1),14)))),0)</f>
        <v>0</v>
      </c>
      <c r="P54" s="68" cm="1">
        <f t="array" ref="P54">IFERROR(IF(P$41&lt;$K54,0,$F54*_xlfn.XLOOKUP($D54,'Capital Call&amp;Distributions data'!$A:$A,INDEX('Capital Call&amp;Distributions data'!$C:$O,0,MIN(MAX(YEAR(P$41)-YEAR($K54)+$J54+1,1),14)))),0)</f>
        <v>0</v>
      </c>
      <c r="Q54" s="68" cm="1">
        <f t="array" ref="Q54">IFERROR(IF(Q$41&lt;$K54,0,$F54*_xlfn.XLOOKUP($D54,'Capital Call&amp;Distributions data'!$A:$A,INDEX('Capital Call&amp;Distributions data'!$C:$O,0,MIN(MAX(YEAR(Q$41)-YEAR($K54)+$J54+1,1),14)))),0)</f>
        <v>-676427.22710163123</v>
      </c>
      <c r="R54" s="68" cm="1">
        <f t="array" ref="R54">IFERROR(IF(R$41&lt;$K54,0,$F54*_xlfn.XLOOKUP($D54,'Capital Call&amp;Distributions data'!$A:$A,INDEX('Capital Call&amp;Distributions data'!$C:$O,0,MIN(MAX(YEAR(R$41)-YEAR($K54)+$J54+1,1),14)))),0)</f>
        <v>-470059.59849435382</v>
      </c>
      <c r="S54" s="68" cm="1">
        <f t="array" ref="S54">IFERROR(IF(S$41&lt;$K54,0,$F54*_xlfn.XLOOKUP($D54,'Capital Call&amp;Distributions data'!$A:$A,INDEX('Capital Call&amp;Distributions data'!$C:$O,0,MIN(MAX(YEAR(S$41)-YEAR($K54)+$J54+1,1),14)))),0)</f>
        <v>-470059.59849435382</v>
      </c>
      <c r="T54" s="68" cm="1">
        <f t="array" ref="T54">IFERROR(IF(T$41&lt;$K54,0,$F54*_xlfn.XLOOKUP($D54,'Capital Call&amp;Distributions data'!$A:$A,INDEX('Capital Call&amp;Distributions data'!$C:$O,0,MIN(MAX(YEAR(T$41)-YEAR($K54)+$J54+1,1),14)))),0)</f>
        <v>-210953.57590966125</v>
      </c>
      <c r="U54" s="68" cm="1">
        <f t="array" ref="U54">IFERROR(IF(U$41&lt;$K54,0,$F54*_xlfn.XLOOKUP($D54,'Capital Call&amp;Distributions data'!$A:$A,INDEX('Capital Call&amp;Distributions data'!$C:$O,0,MIN(MAX(YEAR(U$41)-YEAR($K54)+$J54+1,1),14)))),0)</f>
        <v>545234.14881297061</v>
      </c>
      <c r="V54" s="68" cm="1">
        <f t="array" ref="V54">IFERROR(IF(V$41&lt;$K54,0,$F54*_xlfn.XLOOKUP($D54,'Capital Call&amp;Distributions data'!$A:$A,INDEX('Capital Call&amp;Distributions data'!$C:$O,0,MIN(MAX(YEAR(V$41)-YEAR($K54)+$J54+1,1),14)))),0)</f>
        <v>899993.48581354949</v>
      </c>
      <c r="W54" s="68" cm="1">
        <f t="array" ref="W54">IFERROR(IF(W$41&lt;$K54,0,$F54*_xlfn.XLOOKUP($D54,'Capital Call&amp;Distributions data'!$A:$A,INDEX('Capital Call&amp;Distributions data'!$C:$O,0,MIN(MAX(YEAR(W$41)-YEAR($K54)+$J54+1,1),14)))),0)</f>
        <v>896691.02979154617</v>
      </c>
      <c r="X54" s="68" cm="1">
        <f t="array" ref="X54">IFERROR(IF(X$41&lt;$K54,0,$F54*_xlfn.XLOOKUP($D54,'Capital Call&amp;Distributions data'!$A:$A,INDEX('Capital Call&amp;Distributions data'!$C:$O,0,MIN(MAX(YEAR(X$41)-YEAR($K54)+$J54+1,1),14)))),0)</f>
        <v>540565.60370584822</v>
      </c>
      <c r="Y54" s="68" cm="1">
        <f t="array" ref="Y54">IFERROR(IF(Y$41&lt;$K54,0,$F54*_xlfn.XLOOKUP($D54,'Capital Call&amp;Distributions data'!$A:$A,INDEX('Capital Call&amp;Distributions data'!$C:$O,0,MIN(MAX(YEAR(Y$41)-YEAR($K54)+$J54+1,1),14)))),0)</f>
        <v>315938.6805442964</v>
      </c>
      <c r="Z54" s="68" cm="1">
        <f t="array" ref="Z54">IFERROR(IF(Z$41&lt;$K54,0,$F54*_xlfn.XLOOKUP($D54,'Capital Call&amp;Distributions data'!$A:$A,INDEX('Capital Call&amp;Distributions data'!$C:$O,0,MIN(MAX(YEAR(Z$41)-YEAR($K54)+$J54+1,1),14)))),0)</f>
        <v>301328.79936305736</v>
      </c>
      <c r="AA54" s="68" cm="1">
        <f t="array" ref="AA54">IFERROR(IF(AA$41&lt;$K54,0,$F54*_xlfn.XLOOKUP($D54,'Capital Call&amp;Distributions data'!$A:$A,INDEX('Capital Call&amp;Distributions data'!$C:$O,0,MIN(MAX(YEAR(AA$41)-YEAR($K54)+$J54+1,1),14)))),0)</f>
        <v>89485.522235089753</v>
      </c>
      <c r="AB54" s="68" cm="1">
        <f t="array" ref="AB54">IFERROR(IF(AB$41&lt;$K54,0,$F54*_xlfn.XLOOKUP($D54,'Capital Call&amp;Distributions data'!$A:$A,INDEX('Capital Call&amp;Distributions data'!$C:$O,0,MIN(MAX(YEAR(AB$41)-YEAR($K54)+$J54+1,1),14)))),0)</f>
        <v>0</v>
      </c>
      <c r="AC54" s="68" cm="1">
        <f t="array" ref="AC54">IFERROR(IF(AC$41&lt;$K54,0,$F54*_xlfn.XLOOKUP($D54,'Capital Call&amp;Distributions data'!$A:$A,INDEX('Capital Call&amp;Distributions data'!$C:$O,0,MIN(MAX(YEAR(AC$41)-YEAR($K54)+$J54+1,1),14)))),0)</f>
        <v>0</v>
      </c>
      <c r="AD54" s="68" cm="1">
        <f t="array" ref="AD54">IFERROR(IF(AD$41&lt;$K54,0,$F54*_xlfn.XLOOKUP($D54,'Capital Call&amp;Distributions data'!$A:$A,INDEX('Capital Call&amp;Distributions data'!$C:$O,0,MIN(MAX(YEAR(AD$41)-YEAR($K54)+$J54+1,1),14)))),0)</f>
        <v>0</v>
      </c>
      <c r="AE54" s="68" cm="1">
        <f t="array" ref="AE54">IFERROR(IF(AE$41&lt;$K54,0,$F54*_xlfn.XLOOKUP($D54,'Capital Call&amp;Distributions data'!$A:$A,INDEX('Capital Call&amp;Distributions data'!$C:$O,0,MIN(MAX(YEAR(AE$41)-YEAR($K54)+$J54+1,1),14)))),0)</f>
        <v>0</v>
      </c>
      <c r="AF54" s="68" cm="1">
        <f t="array" ref="AF54">IFERROR(IF(AF$41&lt;$K54,0,$F54*_xlfn.XLOOKUP($D54,'Capital Call&amp;Distributions data'!$A:$A,INDEX('Capital Call&amp;Distributions data'!$C:$O,0,MIN(MAX(YEAR(AF$41)-YEAR($K54)+$J54+1,1),14)))),0)</f>
        <v>0</v>
      </c>
      <c r="AG54" s="68" cm="1">
        <f t="array" ref="AG54">IFERROR(IF(AG$41&lt;$K54,0,$F54*_xlfn.XLOOKUP($D54,'Capital Call&amp;Distributions data'!$A:$A,INDEX('Capital Call&amp;Distributions data'!$C:$O,0,MIN(MAX(YEAR(AG$41)-YEAR($K54)+$J54+1,1),14)))),0)</f>
        <v>0</v>
      </c>
      <c r="AH54" s="68" cm="1">
        <f t="array" ref="AH54">IFERROR(IF(AH$41&lt;$K54,0,$F54*_xlfn.XLOOKUP($D54,'Capital Call&amp;Distributions data'!$A:$A,INDEX('Capital Call&amp;Distributions data'!$C:$O,0,MIN(MAX(YEAR(AH$41)-YEAR($K54)+$J54+1,1),14)))),0)</f>
        <v>0</v>
      </c>
      <c r="AI54" s="68" cm="1">
        <f t="array" ref="AI54">IFERROR(IF(AI$41&lt;$K54,0,$F54*_xlfn.XLOOKUP($D54,'Capital Call&amp;Distributions data'!$A:$A,INDEX('Capital Call&amp;Distributions data'!$C:$O,0,MIN(MAX(YEAR(AI$41)-YEAR($K54)+$J54+1,1),14)))),0)</f>
        <v>0</v>
      </c>
      <c r="AJ54" s="68" cm="1">
        <f t="array" ref="AJ54">IFERROR(IF(AJ$41&lt;$K54,0,$F54*_xlfn.XLOOKUP($D54,'Capital Call&amp;Distributions data'!$A:$A,INDEX('Capital Call&amp;Distributions data'!$C:$O,0,MIN(MAX(YEAR(AJ$41)-YEAR($K54)+$J54+1,1),14)))),0)</f>
        <v>0</v>
      </c>
      <c r="AK54" s="68" cm="1">
        <f t="array" ref="AK54">IFERROR(IF(AK$41&lt;$K54,0,$F54*_xlfn.XLOOKUP($D54,'Capital Call&amp;Distributions data'!$A:$A,INDEX('Capital Call&amp;Distributions data'!$C:$O,0,MIN(MAX(YEAR(AK$41)-YEAR($K54)+$J54+1,1),14)))),0)</f>
        <v>0</v>
      </c>
      <c r="AL54" s="68" cm="1">
        <f t="array" ref="AL54">IFERROR(IF(AL$41&lt;$K54,0,$F54*_xlfn.XLOOKUP($D54,'Capital Call&amp;Distributions data'!$A:$A,INDEX('Capital Call&amp;Distributions data'!$C:$O,0,MIN(MAX(YEAR(AL$41)-YEAR($K54)+$J54+1,1),14)))),0)</f>
        <v>0</v>
      </c>
      <c r="AM54" s="68" cm="1">
        <f t="array" ref="AM54">IFERROR(IF(AM$41&lt;$K54,0,$F54*_xlfn.XLOOKUP($D54,'Capital Call&amp;Distributions data'!$A:$A,INDEX('Capital Call&amp;Distributions data'!$C:$O,0,MIN(MAX(YEAR(AM$41)-YEAR($K54)+$J54+1,1),14)))),0)</f>
        <v>0</v>
      </c>
      <c r="AN54" s="68" cm="1">
        <f t="array" ref="AN54">IFERROR(IF(AN$41&lt;$K54,0,$F54*_xlfn.XLOOKUP($D54,'Capital Call&amp;Distributions data'!$A:$A,INDEX('Capital Call&amp;Distributions data'!$C:$O,0,MIN(MAX(YEAR(AN$41)-YEAR($K54)+$J54+1,1),14)))),0)</f>
        <v>0</v>
      </c>
      <c r="AO54" s="68" cm="1">
        <f t="array" ref="AO54">IFERROR(IF(AO$41&lt;$K54,0,$F54*_xlfn.XLOOKUP($D54,'Capital Call&amp;Distributions data'!$A:$A,INDEX('Capital Call&amp;Distributions data'!$C:$O,0,MIN(MAX(YEAR(AO$41)-YEAR($K54)+$J54+1,1),14)))),0)</f>
        <v>0</v>
      </c>
      <c r="AP54" s="68" cm="1">
        <f t="array" ref="AP54">IFERROR(IF(AP$41&lt;$K54,0,$F54*_xlfn.XLOOKUP($D54,'Capital Call&amp;Distributions data'!$A:$A,INDEX('Capital Call&amp;Distributions data'!$C:$O,0,MIN(MAX(YEAR(AP$41)-YEAR($K54)+$J54+1,1),14)))),0)</f>
        <v>0</v>
      </c>
      <c r="AQ54" s="68" cm="1">
        <f t="array" ref="AQ54">IFERROR(IF(AQ$41&lt;$K54,0,$F54*_xlfn.XLOOKUP($D54,'Capital Call&amp;Distributions data'!$A:$A,INDEX('Capital Call&amp;Distributions data'!$C:$O,0,MIN(MAX(YEAR(AQ$41)-YEAR($K54)+$J54+1,1),14)))),0)</f>
        <v>0</v>
      </c>
      <c r="AR54" s="68" cm="1">
        <f t="array" ref="AR54">IFERROR(IF(AR$41&lt;$K54,0,$F54*_xlfn.XLOOKUP($D54,'Capital Call&amp;Distributions data'!$A:$A,INDEX('Capital Call&amp;Distributions data'!$C:$O,0,MIN(MAX(YEAR(AR$41)-YEAR($K54)+$J54+1,1),14)))),0)</f>
        <v>0</v>
      </c>
      <c r="AS54" s="68" cm="1">
        <f t="array" ref="AS54">IFERROR(IF(AS$41&lt;$K54,0,$F54*_xlfn.XLOOKUP($D54,'Capital Call&amp;Distributions data'!$A:$A,INDEX('Capital Call&amp;Distributions data'!$C:$O,0,MIN(MAX(YEAR(AS$41)-YEAR($K54)+$J54+1,1),14)))),0)</f>
        <v>0</v>
      </c>
      <c r="AT54" s="68" cm="1">
        <f t="array" ref="AT54">IFERROR(IF(AT$41&lt;$K54,0,$F54*_xlfn.XLOOKUP($D54,'Capital Call&amp;Distributions data'!$A:$A,INDEX('Capital Call&amp;Distributions data'!$C:$O,0,MIN(MAX(YEAR(AT$41)-YEAR($K54)+$J54+1,1),14)))),0)</f>
        <v>0</v>
      </c>
      <c r="AU54" s="68" cm="1">
        <f t="array" ref="AU54">IFERROR(IF(AU$41&lt;$K54,0,$F54*_xlfn.XLOOKUP($D54,'Capital Call&amp;Distributions data'!$A:$A,INDEX('Capital Call&amp;Distributions data'!$C:$O,0,MIN(MAX(YEAR(AU$41)-YEAR($K54)+$J54+1,1),14)))),0)</f>
        <v>0</v>
      </c>
      <c r="AW54" s="1"/>
      <c r="DJ54" s="11"/>
    </row>
    <row r="55" spans="3:114" ht="29.25" customHeight="1">
      <c r="C55" s="20" t="s">
        <v>141</v>
      </c>
      <c r="D55" s="21" t="str">
        <f>_xlfn.XLOOKUP(C55,Fondsen!B:B,Fondsen!C:C,"0",0,1)</f>
        <v>Secondaries</v>
      </c>
      <c r="E55" s="21" t="s">
        <v>10</v>
      </c>
      <c r="F55" s="83">
        <v>5265000</v>
      </c>
      <c r="G55" s="143" t="str">
        <f ca="1">IFERROR(IF(SUM(OFFSET(INDEX('Capital Call&amp;Distributions data'!A:A,MATCH(D55,'Capital Call&amp;Distributions data'!A:A,0)),-1,2,1,1000))=0,"✔",""),"")</f>
        <v/>
      </c>
      <c r="H55" s="138">
        <f t="shared" si="4"/>
        <v>0.1322930138235805</v>
      </c>
      <c r="I55" s="96">
        <v>48214</v>
      </c>
      <c r="J55" s="70">
        <f t="shared" si="3"/>
        <v>0</v>
      </c>
      <c r="K55" s="96">
        <v>48214</v>
      </c>
      <c r="L55" s="68" cm="1">
        <f t="array" ref="L55">IFERROR(IF(L$41&lt;$K55,0,$F55*_xlfn.XLOOKUP($D55,'Capital Call&amp;Distributions data'!$A:$A,INDEX('Capital Call&amp;Distributions data'!$C:$O,0,MIN(MAX(YEAR(L$41)-YEAR($K55)+$J55+1,1),14)))),0)</f>
        <v>0</v>
      </c>
      <c r="M55" s="68" cm="1">
        <f t="array" ref="M55">IFERROR(IF(M$41&lt;$K55,0,$F55*_xlfn.XLOOKUP($D55,'Capital Call&amp;Distributions data'!$A:$A,INDEX('Capital Call&amp;Distributions data'!$C:$O,0,MIN(MAX(YEAR(M$41)-YEAR($K55)+$J55+1,1),14)))),0)</f>
        <v>0</v>
      </c>
      <c r="N55" s="68" cm="1">
        <f t="array" ref="N55">IFERROR(IF(N$41&lt;$K55,0,$F55*_xlfn.XLOOKUP($D55,'Capital Call&amp;Distributions data'!$A:$A,INDEX('Capital Call&amp;Distributions data'!$C:$O,0,MIN(MAX(YEAR(N$41)-YEAR($K55)+$J55+1,1),14)))),0)</f>
        <v>0</v>
      </c>
      <c r="O55" s="68" cm="1">
        <f t="array" ref="O55">IFERROR(IF(O$41&lt;$K55,0,$F55*_xlfn.XLOOKUP($D55,'Capital Call&amp;Distributions data'!$A:$A,INDEX('Capital Call&amp;Distributions data'!$C:$O,0,MIN(MAX(YEAR(O$41)-YEAR($K55)+$J55+1,1),14)))),0)</f>
        <v>0</v>
      </c>
      <c r="P55" s="68" cm="1">
        <f t="array" ref="P55">IFERROR(IF(P$41&lt;$K55,0,$F55*_xlfn.XLOOKUP($D55,'Capital Call&amp;Distributions data'!$A:$A,INDEX('Capital Call&amp;Distributions data'!$C:$O,0,MIN(MAX(YEAR(P$41)-YEAR($K55)+$J55+1,1),14)))),0)</f>
        <v>0</v>
      </c>
      <c r="Q55" s="68" cm="1">
        <f t="array" ref="Q55">IFERROR(IF(Q$41&lt;$K55,0,$F55*_xlfn.XLOOKUP($D55,'Capital Call&amp;Distributions data'!$A:$A,INDEX('Capital Call&amp;Distributions data'!$C:$O,0,MIN(MAX(YEAR(Q$41)-YEAR($K55)+$J55+1,1),14)))),0)</f>
        <v>0</v>
      </c>
      <c r="R55" s="68" cm="1">
        <f t="array" ref="R55">IFERROR(IF(R$41&lt;$K55,0,$F55*_xlfn.XLOOKUP($D55,'Capital Call&amp;Distributions data'!$A:$A,INDEX('Capital Call&amp;Distributions data'!$C:$O,0,MIN(MAX(YEAR(R$41)-YEAR($K55)+$J55+1,1),14)))),0)</f>
        <v>-2802479.6059453855</v>
      </c>
      <c r="S55" s="68" cm="1">
        <f t="array" ref="S55">IFERROR(IF(S$41&lt;$K55,0,$F55*_xlfn.XLOOKUP($D55,'Capital Call&amp;Distributions data'!$A:$A,INDEX('Capital Call&amp;Distributions data'!$C:$O,0,MIN(MAX(YEAR(S$41)-YEAR($K55)+$J55+1,1),14)))),0)</f>
        <v>-251220.39405461459</v>
      </c>
      <c r="T55" s="68" cm="1">
        <f t="array" ref="T55">IFERROR(IF(T$41&lt;$K55,0,$F55*_xlfn.XLOOKUP($D55,'Capital Call&amp;Distributions data'!$A:$A,INDEX('Capital Call&amp;Distributions data'!$C:$O,0,MIN(MAX(YEAR(T$41)-YEAR($K55)+$J55+1,1),14)))),0)</f>
        <v>1342228.3053582958</v>
      </c>
      <c r="U55" s="68" cm="1">
        <f t="array" ref="U55">IFERROR(IF(U$41&lt;$K55,0,$F55*_xlfn.XLOOKUP($D55,'Capital Call&amp;Distributions data'!$A:$A,INDEX('Capital Call&amp;Distributions data'!$C:$O,0,MIN(MAX(YEAR(U$41)-YEAR($K55)+$J55+1,1),14)))),0)</f>
        <v>1104033.7911555844</v>
      </c>
      <c r="V55" s="68" cm="1">
        <f t="array" ref="V55">IFERROR(IF(V$41&lt;$K55,0,$F55*_xlfn.XLOOKUP($D55,'Capital Call&amp;Distributions data'!$A:$A,INDEX('Capital Call&amp;Distributions data'!$C:$O,0,MIN(MAX(YEAR(V$41)-YEAR($K55)+$J55+1,1),14)))),0)</f>
        <v>765600.93374757899</v>
      </c>
      <c r="W55" s="68" cm="1">
        <f t="array" ref="W55">IFERROR(IF(W$41&lt;$K55,0,$F55*_xlfn.XLOOKUP($D55,'Capital Call&amp;Distributions data'!$A:$A,INDEX('Capital Call&amp;Distributions data'!$C:$O,0,MIN(MAX(YEAR(W$41)-YEAR($K55)+$J55+1,1),14)))),0)</f>
        <v>431154.24896707566</v>
      </c>
      <c r="X55" s="68" cm="1">
        <f t="array" ref="X55">IFERROR(IF(X$41&lt;$K55,0,$F55*_xlfn.XLOOKUP($D55,'Capital Call&amp;Distributions data'!$A:$A,INDEX('Capital Call&amp;Distributions data'!$C:$O,0,MIN(MAX(YEAR(X$41)-YEAR($K55)+$J55+1,1),14)))),0)</f>
        <v>484143.43529051013</v>
      </c>
      <c r="Y55" s="68" cm="1">
        <f t="array" ref="Y55">IFERROR(IF(Y$41&lt;$K55,0,$F55*_xlfn.XLOOKUP($D55,'Capital Call&amp;Distributions data'!$A:$A,INDEX('Capital Call&amp;Distributions data'!$C:$O,0,MIN(MAX(YEAR(Y$41)-YEAR($K55)+$J55+1,1),14)))),0)</f>
        <v>399887.3377824403</v>
      </c>
      <c r="Z55" s="68" cm="1">
        <f t="array" ref="Z55">IFERROR(IF(Z$41&lt;$K55,0,$F55*_xlfn.XLOOKUP($D55,'Capital Call&amp;Distributions data'!$A:$A,INDEX('Capital Call&amp;Distributions data'!$C:$O,0,MIN(MAX(YEAR(Z$41)-YEAR($K55)+$J55+1,1),14)))),0)</f>
        <v>277452.69609102653</v>
      </c>
      <c r="AA55" s="68" cm="1">
        <f t="array" ref="AA55">IFERROR(IF(AA$41&lt;$K55,0,$F55*_xlfn.XLOOKUP($D55,'Capital Call&amp;Distributions data'!$A:$A,INDEX('Capital Call&amp;Distributions data'!$C:$O,0,MIN(MAX(YEAR(AA$41)-YEAR($K55)+$J55+1,1),14)))),0)</f>
        <v>43115.424896707562</v>
      </c>
      <c r="AB55" s="68" cm="1">
        <f t="array" ref="AB55">IFERROR(IF(AB$41&lt;$K55,0,$F55*_xlfn.XLOOKUP($D55,'Capital Call&amp;Distributions data'!$A:$A,INDEX('Capital Call&amp;Distributions data'!$C:$O,0,MIN(MAX(YEAR(AB$41)-YEAR($K55)+$J55+1,1),14)))),0)</f>
        <v>18760.146710781151</v>
      </c>
      <c r="AC55" s="68" cm="1">
        <f t="array" ref="AC55">IFERROR(IF(AC$41&lt;$K55,0,$F55*_xlfn.XLOOKUP($D55,'Capital Call&amp;Distributions data'!$A:$A,INDEX('Capital Call&amp;Distributions data'!$C:$O,0,MIN(MAX(YEAR(AC$41)-YEAR($K55)+$J55+1,1),14)))),0)</f>
        <v>0</v>
      </c>
      <c r="AD55" s="68" cm="1">
        <f t="array" ref="AD55">IFERROR(IF(AD$41&lt;$K55,0,$F55*_xlfn.XLOOKUP($D55,'Capital Call&amp;Distributions data'!$A:$A,INDEX('Capital Call&amp;Distributions data'!$C:$O,0,MIN(MAX(YEAR(AD$41)-YEAR($K55)+$J55+1,1),14)))),0)</f>
        <v>0</v>
      </c>
      <c r="AE55" s="68" cm="1">
        <f t="array" ref="AE55">IFERROR(IF(AE$41&lt;$K55,0,$F55*_xlfn.XLOOKUP($D55,'Capital Call&amp;Distributions data'!$A:$A,INDEX('Capital Call&amp;Distributions data'!$C:$O,0,MIN(MAX(YEAR(AE$41)-YEAR($K55)+$J55+1,1),14)))),0)</f>
        <v>0</v>
      </c>
      <c r="AF55" s="68" cm="1">
        <f t="array" ref="AF55">IFERROR(IF(AF$41&lt;$K55,0,$F55*_xlfn.XLOOKUP($D55,'Capital Call&amp;Distributions data'!$A:$A,INDEX('Capital Call&amp;Distributions data'!$C:$O,0,MIN(MAX(YEAR(AF$41)-YEAR($K55)+$J55+1,1),14)))),0)</f>
        <v>0</v>
      </c>
      <c r="AG55" s="68" cm="1">
        <f t="array" ref="AG55">IFERROR(IF(AG$41&lt;$K55,0,$F55*_xlfn.XLOOKUP($D55,'Capital Call&amp;Distributions data'!$A:$A,INDEX('Capital Call&amp;Distributions data'!$C:$O,0,MIN(MAX(YEAR(AG$41)-YEAR($K55)+$J55+1,1),14)))),0)</f>
        <v>0</v>
      </c>
      <c r="AH55" s="68" cm="1">
        <f t="array" ref="AH55">IFERROR(IF(AH$41&lt;$K55,0,$F55*_xlfn.XLOOKUP($D55,'Capital Call&amp;Distributions data'!$A:$A,INDEX('Capital Call&amp;Distributions data'!$C:$O,0,MIN(MAX(YEAR(AH$41)-YEAR($K55)+$J55+1,1),14)))),0)</f>
        <v>0</v>
      </c>
      <c r="AI55" s="68" cm="1">
        <f t="array" ref="AI55">IFERROR(IF(AI$41&lt;$K55,0,$F55*_xlfn.XLOOKUP($D55,'Capital Call&amp;Distributions data'!$A:$A,INDEX('Capital Call&amp;Distributions data'!$C:$O,0,MIN(MAX(YEAR(AI$41)-YEAR($K55)+$J55+1,1),14)))),0)</f>
        <v>0</v>
      </c>
      <c r="AJ55" s="68" cm="1">
        <f t="array" ref="AJ55">IFERROR(IF(AJ$41&lt;$K55,0,$F55*_xlfn.XLOOKUP($D55,'Capital Call&amp;Distributions data'!$A:$A,INDEX('Capital Call&amp;Distributions data'!$C:$O,0,MIN(MAX(YEAR(AJ$41)-YEAR($K55)+$J55+1,1),14)))),0)</f>
        <v>0</v>
      </c>
      <c r="AK55" s="68" cm="1">
        <f t="array" ref="AK55">IFERROR(IF(AK$41&lt;$K55,0,$F55*_xlfn.XLOOKUP($D55,'Capital Call&amp;Distributions data'!$A:$A,INDEX('Capital Call&amp;Distributions data'!$C:$O,0,MIN(MAX(YEAR(AK$41)-YEAR($K55)+$J55+1,1),14)))),0)</f>
        <v>0</v>
      </c>
      <c r="AL55" s="68" cm="1">
        <f t="array" ref="AL55">IFERROR(IF(AL$41&lt;$K55,0,$F55*_xlfn.XLOOKUP($D55,'Capital Call&amp;Distributions data'!$A:$A,INDEX('Capital Call&amp;Distributions data'!$C:$O,0,MIN(MAX(YEAR(AL$41)-YEAR($K55)+$J55+1,1),14)))),0)</f>
        <v>0</v>
      </c>
      <c r="AM55" s="68" cm="1">
        <f t="array" ref="AM55">IFERROR(IF(AM$41&lt;$K55,0,$F55*_xlfn.XLOOKUP($D55,'Capital Call&amp;Distributions data'!$A:$A,INDEX('Capital Call&amp;Distributions data'!$C:$O,0,MIN(MAX(YEAR(AM$41)-YEAR($K55)+$J55+1,1),14)))),0)</f>
        <v>0</v>
      </c>
      <c r="AN55" s="68" cm="1">
        <f t="array" ref="AN55">IFERROR(IF(AN$41&lt;$K55,0,$F55*_xlfn.XLOOKUP($D55,'Capital Call&amp;Distributions data'!$A:$A,INDEX('Capital Call&amp;Distributions data'!$C:$O,0,MIN(MAX(YEAR(AN$41)-YEAR($K55)+$J55+1,1),14)))),0)</f>
        <v>0</v>
      </c>
      <c r="AO55" s="68" cm="1">
        <f t="array" ref="AO55">IFERROR(IF(AO$41&lt;$K55,0,$F55*_xlfn.XLOOKUP($D55,'Capital Call&amp;Distributions data'!$A:$A,INDEX('Capital Call&amp;Distributions data'!$C:$O,0,MIN(MAX(YEAR(AO$41)-YEAR($K55)+$J55+1,1),14)))),0)</f>
        <v>0</v>
      </c>
      <c r="AP55" s="68" cm="1">
        <f t="array" ref="AP55">IFERROR(IF(AP$41&lt;$K55,0,$F55*_xlfn.XLOOKUP($D55,'Capital Call&amp;Distributions data'!$A:$A,INDEX('Capital Call&amp;Distributions data'!$C:$O,0,MIN(MAX(YEAR(AP$41)-YEAR($K55)+$J55+1,1),14)))),0)</f>
        <v>0</v>
      </c>
      <c r="AQ55" s="68" cm="1">
        <f t="array" ref="AQ55">IFERROR(IF(AQ$41&lt;$K55,0,$F55*_xlfn.XLOOKUP($D55,'Capital Call&amp;Distributions data'!$A:$A,INDEX('Capital Call&amp;Distributions data'!$C:$O,0,MIN(MAX(YEAR(AQ$41)-YEAR($K55)+$J55+1,1),14)))),0)</f>
        <v>0</v>
      </c>
      <c r="AR55" s="68" cm="1">
        <f t="array" ref="AR55">IFERROR(IF(AR$41&lt;$K55,0,$F55*_xlfn.XLOOKUP($D55,'Capital Call&amp;Distributions data'!$A:$A,INDEX('Capital Call&amp;Distributions data'!$C:$O,0,MIN(MAX(YEAR(AR$41)-YEAR($K55)+$J55+1,1),14)))),0)</f>
        <v>0</v>
      </c>
      <c r="AS55" s="68" cm="1">
        <f t="array" ref="AS55">IFERROR(IF(AS$41&lt;$K55,0,$F55*_xlfn.XLOOKUP($D55,'Capital Call&amp;Distributions data'!$A:$A,INDEX('Capital Call&amp;Distributions data'!$C:$O,0,MIN(MAX(YEAR(AS$41)-YEAR($K55)+$J55+1,1),14)))),0)</f>
        <v>0</v>
      </c>
      <c r="AT55" s="68" cm="1">
        <f t="array" ref="AT55">IFERROR(IF(AT$41&lt;$K55,0,$F55*_xlfn.XLOOKUP($D55,'Capital Call&amp;Distributions data'!$A:$A,INDEX('Capital Call&amp;Distributions data'!$C:$O,0,MIN(MAX(YEAR(AT$41)-YEAR($K55)+$J55+1,1),14)))),0)</f>
        <v>0</v>
      </c>
      <c r="AU55" s="68" cm="1">
        <f t="array" ref="AU55">IFERROR(IF(AU$41&lt;$K55,0,$F55*_xlfn.XLOOKUP($D55,'Capital Call&amp;Distributions data'!$A:$A,INDEX('Capital Call&amp;Distributions data'!$C:$O,0,MIN(MAX(YEAR(AU$41)-YEAR($K55)+$J55+1,1),14)))),0)</f>
        <v>0</v>
      </c>
      <c r="AW55" s="1"/>
      <c r="DJ55" s="11"/>
    </row>
    <row r="56" spans="3:114" ht="29.25" customHeight="1">
      <c r="C56" s="20" t="s">
        <v>11</v>
      </c>
      <c r="D56" s="21" t="str">
        <f>_xlfn.XLOOKUP(C56,Fondsen!B:B,Fondsen!C:C,"0",0,1)</f>
        <v>PE</v>
      </c>
      <c r="E56" s="21" t="s">
        <v>10</v>
      </c>
      <c r="F56" s="83">
        <v>3000000</v>
      </c>
      <c r="G56" s="143" t="str">
        <f ca="1">IFERROR(IF(SUM(OFFSET(INDEX('Capital Call&amp;Distributions data'!A:A,MATCH(D56,'Capital Call&amp;Distributions data'!A:A,0)),-1,2,1,1000))=0,"✔",""),"")</f>
        <v/>
      </c>
      <c r="H56" s="138">
        <f t="shared" si="4"/>
        <v>0.14724510427160875</v>
      </c>
      <c r="I56" s="96">
        <v>48214</v>
      </c>
      <c r="J56" s="70">
        <f t="shared" si="3"/>
        <v>0</v>
      </c>
      <c r="K56" s="96">
        <v>48214</v>
      </c>
      <c r="L56" s="68" cm="1">
        <f t="array" ref="L56">IFERROR(IF(L$41&lt;$K56,0,$F56*_xlfn.XLOOKUP($D56,'Capital Call&amp;Distributions data'!$A:$A,INDEX('Capital Call&amp;Distributions data'!$C:$O,0,MIN(MAX(YEAR(L$41)-YEAR($K56)+$J56+1,1),14)))),0)</f>
        <v>0</v>
      </c>
      <c r="M56" s="68" cm="1">
        <f t="array" ref="M56">IFERROR(IF(M$41&lt;$K56,0,$F56*_xlfn.XLOOKUP($D56,'Capital Call&amp;Distributions data'!$A:$A,INDEX('Capital Call&amp;Distributions data'!$C:$O,0,MIN(MAX(YEAR(M$41)-YEAR($K56)+$J56+1,1),14)))),0)</f>
        <v>0</v>
      </c>
      <c r="N56" s="68" cm="1">
        <f t="array" ref="N56">IFERROR(IF(N$41&lt;$K56,0,$F56*_xlfn.XLOOKUP($D56,'Capital Call&amp;Distributions data'!$A:$A,INDEX('Capital Call&amp;Distributions data'!$C:$O,0,MIN(MAX(YEAR(N$41)-YEAR($K56)+$J56+1,1),14)))),0)</f>
        <v>0</v>
      </c>
      <c r="O56" s="68" cm="1">
        <f t="array" ref="O56">IFERROR(IF(O$41&lt;$K56,0,$F56*_xlfn.XLOOKUP($D56,'Capital Call&amp;Distributions data'!$A:$A,INDEX('Capital Call&amp;Distributions data'!$C:$O,0,MIN(MAX(YEAR(O$41)-YEAR($K56)+$J56+1,1),14)))),0)</f>
        <v>0</v>
      </c>
      <c r="P56" s="68" cm="1">
        <f t="array" ref="P56">IFERROR(IF(P$41&lt;$K56,0,$F56*_xlfn.XLOOKUP($D56,'Capital Call&amp;Distributions data'!$A:$A,INDEX('Capital Call&amp;Distributions data'!$C:$O,0,MIN(MAX(YEAR(P$41)-YEAR($K56)+$J56+1,1),14)))),0)</f>
        <v>0</v>
      </c>
      <c r="Q56" s="68" cm="1">
        <f t="array" ref="Q56">IFERROR(IF(Q$41&lt;$K56,0,$F56*_xlfn.XLOOKUP($D56,'Capital Call&amp;Distributions data'!$A:$A,INDEX('Capital Call&amp;Distributions data'!$C:$O,0,MIN(MAX(YEAR(Q$41)-YEAR($K56)+$J56+1,1),14)))),0)</f>
        <v>0</v>
      </c>
      <c r="R56" s="68" cm="1">
        <f t="array" ref="R56">IFERROR(IF(R$41&lt;$K56,0,$F56*_xlfn.XLOOKUP($D56,'Capital Call&amp;Distributions data'!$A:$A,INDEX('Capital Call&amp;Distributions data'!$C:$O,0,MIN(MAX(YEAR(R$41)-YEAR($K56)+$J56+1,1),14)))),0)</f>
        <v>-943851.94479297381</v>
      </c>
      <c r="S56" s="68" cm="1">
        <f t="array" ref="S56">IFERROR(IF(S$41&lt;$K56,0,$F56*_xlfn.XLOOKUP($D56,'Capital Call&amp;Distributions data'!$A:$A,INDEX('Capital Call&amp;Distributions data'!$C:$O,0,MIN(MAX(YEAR(S$41)-YEAR($K56)+$J56+1,1),14)))),0)</f>
        <v>-655897.11417816812</v>
      </c>
      <c r="T56" s="68" cm="1">
        <f t="array" ref="T56">IFERROR(IF(T$41&lt;$K56,0,$F56*_xlfn.XLOOKUP($D56,'Capital Call&amp;Distributions data'!$A:$A,INDEX('Capital Call&amp;Distributions data'!$C:$O,0,MIN(MAX(YEAR(T$41)-YEAR($K56)+$J56+1,1),14)))),0)</f>
        <v>-655897.11417816812</v>
      </c>
      <c r="U56" s="68" cm="1">
        <f t="array" ref="U56">IFERROR(IF(U$41&lt;$K56,0,$F56*_xlfn.XLOOKUP($D56,'Capital Call&amp;Distributions data'!$A:$A,INDEX('Capital Call&amp;Distributions data'!$C:$O,0,MIN(MAX(YEAR(U$41)-YEAR($K56)+$J56+1,1),14)))),0)</f>
        <v>-294353.82685069012</v>
      </c>
      <c r="V56" s="68" cm="1">
        <f t="array" ref="V56">IFERROR(IF(V$41&lt;$K56,0,$F56*_xlfn.XLOOKUP($D56,'Capital Call&amp;Distributions data'!$A:$A,INDEX('Capital Call&amp;Distributions data'!$C:$O,0,MIN(MAX(YEAR(V$41)-YEAR($K56)+$J56+1,1),14)))),0)</f>
        <v>760791.83555298217</v>
      </c>
      <c r="W56" s="68" cm="1">
        <f t="array" ref="W56">IFERROR(IF(W$41&lt;$K56,0,$F56*_xlfn.XLOOKUP($D56,'Capital Call&amp;Distributions data'!$A:$A,INDEX('Capital Call&amp;Distributions data'!$C:$O,0,MIN(MAX(YEAR(W$41)-YEAR($K56)+$J56+1,1),14)))),0)</f>
        <v>1255804.8639258831</v>
      </c>
      <c r="X56" s="68" cm="1">
        <f t="array" ref="X56">IFERROR(IF(X$41&lt;$K56,0,$F56*_xlfn.XLOOKUP($D56,'Capital Call&amp;Distributions data'!$A:$A,INDEX('Capital Call&amp;Distributions data'!$C:$O,0,MIN(MAX(YEAR(X$41)-YEAR($K56)+$J56+1,1),14)))),0)</f>
        <v>1251196.7857556457</v>
      </c>
      <c r="Y56" s="68" cm="1">
        <f t="array" ref="Y56">IFERROR(IF(Y$41&lt;$K56,0,$F56*_xlfn.XLOOKUP($D56,'Capital Call&amp;Distributions data'!$A:$A,INDEX('Capital Call&amp;Distributions data'!$C:$O,0,MIN(MAX(YEAR(Y$41)-YEAR($K56)+$J56+1,1),14)))),0)</f>
        <v>754277.58656629978</v>
      </c>
      <c r="Z56" s="68" cm="1">
        <f t="array" ref="Z56">IFERROR(IF(Z$41&lt;$K56,0,$F56*_xlfn.XLOOKUP($D56,'Capital Call&amp;Distributions data'!$A:$A,INDEX('Capital Call&amp;Distributions data'!$C:$O,0,MIN(MAX(YEAR(Z$41)-YEAR($K56)+$J56+1,1),14)))),0)</f>
        <v>440844.67052692524</v>
      </c>
      <c r="AA56" s="68" cm="1">
        <f t="array" ref="AA56">IFERROR(IF(AA$41&lt;$K56,0,$F56*_xlfn.XLOOKUP($D56,'Capital Call&amp;Distributions data'!$A:$A,INDEX('Capital Call&amp;Distributions data'!$C:$O,0,MIN(MAX(YEAR(AA$41)-YEAR($K56)+$J56+1,1),14)))),0)</f>
        <v>420458.78980891721</v>
      </c>
      <c r="AB56" s="68" cm="1">
        <f t="array" ref="AB56">IFERROR(IF(AB$41&lt;$K56,0,$F56*_xlfn.XLOOKUP($D56,'Capital Call&amp;Distributions data'!$A:$A,INDEX('Capital Call&amp;Distributions data'!$C:$O,0,MIN(MAX(YEAR(AB$41)-YEAR($K56)+$J56+1,1),14)))),0)</f>
        <v>124863.51939779965</v>
      </c>
      <c r="AC56" s="68" cm="1">
        <f t="array" ref="AC56">IFERROR(IF(AC$41&lt;$K56,0,$F56*_xlfn.XLOOKUP($D56,'Capital Call&amp;Distributions data'!$A:$A,INDEX('Capital Call&amp;Distributions data'!$C:$O,0,MIN(MAX(YEAR(AC$41)-YEAR($K56)+$J56+1,1),14)))),0)</f>
        <v>0</v>
      </c>
      <c r="AD56" s="68" cm="1">
        <f t="array" ref="AD56">IFERROR(IF(AD$41&lt;$K56,0,$F56*_xlfn.XLOOKUP($D56,'Capital Call&amp;Distributions data'!$A:$A,INDEX('Capital Call&amp;Distributions data'!$C:$O,0,MIN(MAX(YEAR(AD$41)-YEAR($K56)+$J56+1,1),14)))),0)</f>
        <v>0</v>
      </c>
      <c r="AE56" s="68" cm="1">
        <f t="array" ref="AE56">IFERROR(IF(AE$41&lt;$K56,0,$F56*_xlfn.XLOOKUP($D56,'Capital Call&amp;Distributions data'!$A:$A,INDEX('Capital Call&amp;Distributions data'!$C:$O,0,MIN(MAX(YEAR(AE$41)-YEAR($K56)+$J56+1,1),14)))),0)</f>
        <v>0</v>
      </c>
      <c r="AF56" s="68" cm="1">
        <f t="array" ref="AF56">IFERROR(IF(AF$41&lt;$K56,0,$F56*_xlfn.XLOOKUP($D56,'Capital Call&amp;Distributions data'!$A:$A,INDEX('Capital Call&amp;Distributions data'!$C:$O,0,MIN(MAX(YEAR(AF$41)-YEAR($K56)+$J56+1,1),14)))),0)</f>
        <v>0</v>
      </c>
      <c r="AG56" s="68" cm="1">
        <f t="array" ref="AG56">IFERROR(IF(AG$41&lt;$K56,0,$F56*_xlfn.XLOOKUP($D56,'Capital Call&amp;Distributions data'!$A:$A,INDEX('Capital Call&amp;Distributions data'!$C:$O,0,MIN(MAX(YEAR(AG$41)-YEAR($K56)+$J56+1,1),14)))),0)</f>
        <v>0</v>
      </c>
      <c r="AH56" s="68" cm="1">
        <f t="array" ref="AH56">IFERROR(IF(AH$41&lt;$K56,0,$F56*_xlfn.XLOOKUP($D56,'Capital Call&amp;Distributions data'!$A:$A,INDEX('Capital Call&amp;Distributions data'!$C:$O,0,MIN(MAX(YEAR(AH$41)-YEAR($K56)+$J56+1,1),14)))),0)</f>
        <v>0</v>
      </c>
      <c r="AI56" s="68" cm="1">
        <f t="array" ref="AI56">IFERROR(IF(AI$41&lt;$K56,0,$F56*_xlfn.XLOOKUP($D56,'Capital Call&amp;Distributions data'!$A:$A,INDEX('Capital Call&amp;Distributions data'!$C:$O,0,MIN(MAX(YEAR(AI$41)-YEAR($K56)+$J56+1,1),14)))),0)</f>
        <v>0</v>
      </c>
      <c r="AJ56" s="68" cm="1">
        <f t="array" ref="AJ56">IFERROR(IF(AJ$41&lt;$K56,0,$F56*_xlfn.XLOOKUP($D56,'Capital Call&amp;Distributions data'!$A:$A,INDEX('Capital Call&amp;Distributions data'!$C:$O,0,MIN(MAX(YEAR(AJ$41)-YEAR($K56)+$J56+1,1),14)))),0)</f>
        <v>0</v>
      </c>
      <c r="AK56" s="68" cm="1">
        <f t="array" ref="AK56">IFERROR(IF(AK$41&lt;$K56,0,$F56*_xlfn.XLOOKUP($D56,'Capital Call&amp;Distributions data'!$A:$A,INDEX('Capital Call&amp;Distributions data'!$C:$O,0,MIN(MAX(YEAR(AK$41)-YEAR($K56)+$J56+1,1),14)))),0)</f>
        <v>0</v>
      </c>
      <c r="AL56" s="68" cm="1">
        <f t="array" ref="AL56">IFERROR(IF(AL$41&lt;$K56,0,$F56*_xlfn.XLOOKUP($D56,'Capital Call&amp;Distributions data'!$A:$A,INDEX('Capital Call&amp;Distributions data'!$C:$O,0,MIN(MAX(YEAR(AL$41)-YEAR($K56)+$J56+1,1),14)))),0)</f>
        <v>0</v>
      </c>
      <c r="AM56" s="68" cm="1">
        <f t="array" ref="AM56">IFERROR(IF(AM$41&lt;$K56,0,$F56*_xlfn.XLOOKUP($D56,'Capital Call&amp;Distributions data'!$A:$A,INDEX('Capital Call&amp;Distributions data'!$C:$O,0,MIN(MAX(YEAR(AM$41)-YEAR($K56)+$J56+1,1),14)))),0)</f>
        <v>0</v>
      </c>
      <c r="AN56" s="68" cm="1">
        <f t="array" ref="AN56">IFERROR(IF(AN$41&lt;$K56,0,$F56*_xlfn.XLOOKUP($D56,'Capital Call&amp;Distributions data'!$A:$A,INDEX('Capital Call&amp;Distributions data'!$C:$O,0,MIN(MAX(YEAR(AN$41)-YEAR($K56)+$J56+1,1),14)))),0)</f>
        <v>0</v>
      </c>
      <c r="AO56" s="68" cm="1">
        <f t="array" ref="AO56">IFERROR(IF(AO$41&lt;$K56,0,$F56*_xlfn.XLOOKUP($D56,'Capital Call&amp;Distributions data'!$A:$A,INDEX('Capital Call&amp;Distributions data'!$C:$O,0,MIN(MAX(YEAR(AO$41)-YEAR($K56)+$J56+1,1),14)))),0)</f>
        <v>0</v>
      </c>
      <c r="AP56" s="68" cm="1">
        <f t="array" ref="AP56">IFERROR(IF(AP$41&lt;$K56,0,$F56*_xlfn.XLOOKUP($D56,'Capital Call&amp;Distributions data'!$A:$A,INDEX('Capital Call&amp;Distributions data'!$C:$O,0,MIN(MAX(YEAR(AP$41)-YEAR($K56)+$J56+1,1),14)))),0)</f>
        <v>0</v>
      </c>
      <c r="AQ56" s="68" cm="1">
        <f t="array" ref="AQ56">IFERROR(IF(AQ$41&lt;$K56,0,$F56*_xlfn.XLOOKUP($D56,'Capital Call&amp;Distributions data'!$A:$A,INDEX('Capital Call&amp;Distributions data'!$C:$O,0,MIN(MAX(YEAR(AQ$41)-YEAR($K56)+$J56+1,1),14)))),0)</f>
        <v>0</v>
      </c>
      <c r="AR56" s="68" cm="1">
        <f t="array" ref="AR56">IFERROR(IF(AR$41&lt;$K56,0,$F56*_xlfn.XLOOKUP($D56,'Capital Call&amp;Distributions data'!$A:$A,INDEX('Capital Call&amp;Distributions data'!$C:$O,0,MIN(MAX(YEAR(AR$41)-YEAR($K56)+$J56+1,1),14)))),0)</f>
        <v>0</v>
      </c>
      <c r="AS56" s="68" cm="1">
        <f t="array" ref="AS56">IFERROR(IF(AS$41&lt;$K56,0,$F56*_xlfn.XLOOKUP($D56,'Capital Call&amp;Distributions data'!$A:$A,INDEX('Capital Call&amp;Distributions data'!$C:$O,0,MIN(MAX(YEAR(AS$41)-YEAR($K56)+$J56+1,1),14)))),0)</f>
        <v>0</v>
      </c>
      <c r="AT56" s="68" cm="1">
        <f t="array" ref="AT56">IFERROR(IF(AT$41&lt;$K56,0,$F56*_xlfn.XLOOKUP($D56,'Capital Call&amp;Distributions data'!$A:$A,INDEX('Capital Call&amp;Distributions data'!$C:$O,0,MIN(MAX(YEAR(AT$41)-YEAR($K56)+$J56+1,1),14)))),0)</f>
        <v>0</v>
      </c>
      <c r="AU56" s="68" cm="1">
        <f t="array" ref="AU56">IFERROR(IF(AU$41&lt;$K56,0,$F56*_xlfn.XLOOKUP($D56,'Capital Call&amp;Distributions data'!$A:$A,INDEX('Capital Call&amp;Distributions data'!$C:$O,0,MIN(MAX(YEAR(AU$41)-YEAR($K56)+$J56+1,1),14)))),0)</f>
        <v>0</v>
      </c>
      <c r="AW56" s="1"/>
      <c r="DJ56" s="11"/>
    </row>
    <row r="57" spans="3:114" ht="29.25" customHeight="1">
      <c r="C57" s="20" t="s">
        <v>141</v>
      </c>
      <c r="D57" s="21" t="str">
        <f>_xlfn.XLOOKUP(C57,Fondsen!B:B,Fondsen!C:C,"0",0,1)</f>
        <v>Secondaries</v>
      </c>
      <c r="E57" s="21" t="s">
        <v>10</v>
      </c>
      <c r="F57" s="83">
        <v>6000000</v>
      </c>
      <c r="G57" s="143" t="str">
        <f ca="1">IFERROR(IF(SUM(OFFSET(INDEX('Capital Call&amp;Distributions data'!A:A,MATCH(D57,'Capital Call&amp;Distributions data'!A:A,0)),-1,2,1,1000))=0,"✔",""),"")</f>
        <v/>
      </c>
      <c r="H57" s="138">
        <f t="shared" si="4"/>
        <v>0.1322930138235805</v>
      </c>
      <c r="I57" s="96">
        <v>48580</v>
      </c>
      <c r="J57" s="70">
        <f t="shared" si="3"/>
        <v>0</v>
      </c>
      <c r="K57" s="96">
        <v>48580</v>
      </c>
      <c r="L57" s="68" cm="1">
        <f t="array" ref="L57">IFERROR(IF(L$41&lt;$K57,0,$F57*_xlfn.XLOOKUP($D57,'Capital Call&amp;Distributions data'!$A:$A,INDEX('Capital Call&amp;Distributions data'!$C:$O,0,MIN(MAX(YEAR(L$41)-YEAR($K57)+$J57+1,1),14)))),0)</f>
        <v>0</v>
      </c>
      <c r="M57" s="68" cm="1">
        <f t="array" ref="M57">IFERROR(IF(M$41&lt;$K57,0,$F57*_xlfn.XLOOKUP($D57,'Capital Call&amp;Distributions data'!$A:$A,INDEX('Capital Call&amp;Distributions data'!$C:$O,0,MIN(MAX(YEAR(M$41)-YEAR($K57)+$J57+1,1),14)))),0)</f>
        <v>0</v>
      </c>
      <c r="N57" s="68" cm="1">
        <f t="array" ref="N57">IFERROR(IF(N$41&lt;$K57,0,$F57*_xlfn.XLOOKUP($D57,'Capital Call&amp;Distributions data'!$A:$A,INDEX('Capital Call&amp;Distributions data'!$C:$O,0,MIN(MAX(YEAR(N$41)-YEAR($K57)+$J57+1,1),14)))),0)</f>
        <v>0</v>
      </c>
      <c r="O57" s="68" cm="1">
        <f t="array" ref="O57">IFERROR(IF(O$41&lt;$K57,0,$F57*_xlfn.XLOOKUP($D57,'Capital Call&amp;Distributions data'!$A:$A,INDEX('Capital Call&amp;Distributions data'!$C:$O,0,MIN(MAX(YEAR(O$41)-YEAR($K57)+$J57+1,1),14)))),0)</f>
        <v>0</v>
      </c>
      <c r="P57" s="68" cm="1">
        <f t="array" ref="P57">IFERROR(IF(P$41&lt;$K57,0,$F57*_xlfn.XLOOKUP($D57,'Capital Call&amp;Distributions data'!$A:$A,INDEX('Capital Call&amp;Distributions data'!$C:$O,0,MIN(MAX(YEAR(P$41)-YEAR($K57)+$J57+1,1),14)))),0)</f>
        <v>0</v>
      </c>
      <c r="Q57" s="68" cm="1">
        <f t="array" ref="Q57">IFERROR(IF(Q$41&lt;$K57,0,$F57*_xlfn.XLOOKUP($D57,'Capital Call&amp;Distributions data'!$A:$A,INDEX('Capital Call&amp;Distributions data'!$C:$O,0,MIN(MAX(YEAR(Q$41)-YEAR($K57)+$J57+1,1),14)))),0)</f>
        <v>0</v>
      </c>
      <c r="R57" s="68" cm="1">
        <f t="array" ref="R57">IFERROR(IF(R$41&lt;$K57,0,$F57*_xlfn.XLOOKUP($D57,'Capital Call&amp;Distributions data'!$A:$A,INDEX('Capital Call&amp;Distributions data'!$C:$O,0,MIN(MAX(YEAR(R$41)-YEAR($K57)+$J57+1,1),14)))),0)</f>
        <v>0</v>
      </c>
      <c r="S57" s="68" cm="1">
        <f t="array" ref="S57">IFERROR(IF(S$41&lt;$K57,0,$F57*_xlfn.XLOOKUP($D57,'Capital Call&amp;Distributions data'!$A:$A,INDEX('Capital Call&amp;Distributions data'!$C:$O,0,MIN(MAX(YEAR(S$41)-YEAR($K57)+$J57+1,1),14)))),0)</f>
        <v>-3193708.9526443137</v>
      </c>
      <c r="T57" s="68" cm="1">
        <f t="array" ref="T57">IFERROR(IF(T$41&lt;$K57,0,$F57*_xlfn.XLOOKUP($D57,'Capital Call&amp;Distributions data'!$A:$A,INDEX('Capital Call&amp;Distributions data'!$C:$O,0,MIN(MAX(YEAR(T$41)-YEAR($K57)+$J57+1,1),14)))),0)</f>
        <v>-286291.04735568614</v>
      </c>
      <c r="U57" s="68" cm="1">
        <f t="array" ref="U57">IFERROR(IF(U$41&lt;$K57,0,$F57*_xlfn.XLOOKUP($D57,'Capital Call&amp;Distributions data'!$A:$A,INDEX('Capital Call&amp;Distributions data'!$C:$O,0,MIN(MAX(YEAR(U$41)-YEAR($K57)+$J57+1,1),14)))),0)</f>
        <v>1529604.9063912204</v>
      </c>
      <c r="V57" s="68" cm="1">
        <f t="array" ref="V57">IFERROR(IF(V$41&lt;$K57,0,$F57*_xlfn.XLOOKUP($D57,'Capital Call&amp;Distributions data'!$A:$A,INDEX('Capital Call&amp;Distributions data'!$C:$O,0,MIN(MAX(YEAR(V$41)-YEAR($K57)+$J57+1,1),14)))),0)</f>
        <v>1258158.1665590706</v>
      </c>
      <c r="W57" s="68" cm="1">
        <f t="array" ref="W57">IFERROR(IF(W$41&lt;$K57,0,$F57*_xlfn.XLOOKUP($D57,'Capital Call&amp;Distributions data'!$A:$A,INDEX('Capital Call&amp;Distributions data'!$C:$O,0,MIN(MAX(YEAR(W$41)-YEAR($K57)+$J57+1,1),14)))),0)</f>
        <v>872479.6965784377</v>
      </c>
      <c r="X57" s="68" cm="1">
        <f t="array" ref="X57">IFERROR(IF(X$41&lt;$K57,0,$F57*_xlfn.XLOOKUP($D57,'Capital Call&amp;Distributions data'!$A:$A,INDEX('Capital Call&amp;Distributions data'!$C:$O,0,MIN(MAX(YEAR(X$41)-YEAR($K57)+$J57+1,1),14)))),0)</f>
        <v>491343.87346675288</v>
      </c>
      <c r="Y57" s="68" cm="1">
        <f t="array" ref="Y57">IFERROR(IF(Y$41&lt;$K57,0,$F57*_xlfn.XLOOKUP($D57,'Capital Call&amp;Distributions data'!$A:$A,INDEX('Capital Call&amp;Distributions data'!$C:$O,0,MIN(MAX(YEAR(Y$41)-YEAR($K57)+$J57+1,1),14)))),0)</f>
        <v>551730.41058747587</v>
      </c>
      <c r="Z57" s="68" cm="1">
        <f t="array" ref="Z57">IFERROR(IF(Z$41&lt;$K57,0,$F57*_xlfn.XLOOKUP($D57,'Capital Call&amp;Distributions data'!$A:$A,INDEX('Capital Call&amp;Distributions data'!$C:$O,0,MIN(MAX(YEAR(Z$41)-YEAR($K57)+$J57+1,1),14)))),0)</f>
        <v>455712.06584893481</v>
      </c>
      <c r="AA57" s="68" cm="1">
        <f t="array" ref="AA57">IFERROR(IF(AA$41&lt;$K57,0,$F57*_xlfn.XLOOKUP($D57,'Capital Call&amp;Distributions data'!$A:$A,INDEX('Capital Call&amp;Distributions data'!$C:$O,0,MIN(MAX(YEAR(AA$41)-YEAR($K57)+$J57+1,1),14)))),0)</f>
        <v>316185.40865074244</v>
      </c>
      <c r="AB57" s="68" cm="1">
        <f t="array" ref="AB57">IFERROR(IF(AB$41&lt;$K57,0,$F57*_xlfn.XLOOKUP($D57,'Capital Call&amp;Distributions data'!$A:$A,INDEX('Capital Call&amp;Distributions data'!$C:$O,0,MIN(MAX(YEAR(AB$41)-YEAR($K57)+$J57+1,1),14)))),0)</f>
        <v>49134.387346675285</v>
      </c>
      <c r="AC57" s="68" cm="1">
        <f t="array" ref="AC57">IFERROR(IF(AC$41&lt;$K57,0,$F57*_xlfn.XLOOKUP($D57,'Capital Call&amp;Distributions data'!$A:$A,INDEX('Capital Call&amp;Distributions data'!$C:$O,0,MIN(MAX(YEAR(AC$41)-YEAR($K57)+$J57+1,1),14)))),0)</f>
        <v>21379.084570690771</v>
      </c>
      <c r="AD57" s="68" cm="1">
        <f t="array" ref="AD57">IFERROR(IF(AD$41&lt;$K57,0,$F57*_xlfn.XLOOKUP($D57,'Capital Call&amp;Distributions data'!$A:$A,INDEX('Capital Call&amp;Distributions data'!$C:$O,0,MIN(MAX(YEAR(AD$41)-YEAR($K57)+$J57+1,1),14)))),0)</f>
        <v>0</v>
      </c>
      <c r="AE57" s="68" cm="1">
        <f t="array" ref="AE57">IFERROR(IF(AE$41&lt;$K57,0,$F57*_xlfn.XLOOKUP($D57,'Capital Call&amp;Distributions data'!$A:$A,INDEX('Capital Call&amp;Distributions data'!$C:$O,0,MIN(MAX(YEAR(AE$41)-YEAR($K57)+$J57+1,1),14)))),0)</f>
        <v>0</v>
      </c>
      <c r="AF57" s="68" cm="1">
        <f t="array" ref="AF57">IFERROR(IF(AF$41&lt;$K57,0,$F57*_xlfn.XLOOKUP($D57,'Capital Call&amp;Distributions data'!$A:$A,INDEX('Capital Call&amp;Distributions data'!$C:$O,0,MIN(MAX(YEAR(AF$41)-YEAR($K57)+$J57+1,1),14)))),0)</f>
        <v>0</v>
      </c>
      <c r="AG57" s="68" cm="1">
        <f t="array" ref="AG57">IFERROR(IF(AG$41&lt;$K57,0,$F57*_xlfn.XLOOKUP($D57,'Capital Call&amp;Distributions data'!$A:$A,INDEX('Capital Call&amp;Distributions data'!$C:$O,0,MIN(MAX(YEAR(AG$41)-YEAR($K57)+$J57+1,1),14)))),0)</f>
        <v>0</v>
      </c>
      <c r="AH57" s="68" cm="1">
        <f t="array" ref="AH57">IFERROR(IF(AH$41&lt;$K57,0,$F57*_xlfn.XLOOKUP($D57,'Capital Call&amp;Distributions data'!$A:$A,INDEX('Capital Call&amp;Distributions data'!$C:$O,0,MIN(MAX(YEAR(AH$41)-YEAR($K57)+$J57+1,1),14)))),0)</f>
        <v>0</v>
      </c>
      <c r="AI57" s="68" cm="1">
        <f t="array" ref="AI57">IFERROR(IF(AI$41&lt;$K57,0,$F57*_xlfn.XLOOKUP($D57,'Capital Call&amp;Distributions data'!$A:$A,INDEX('Capital Call&amp;Distributions data'!$C:$O,0,MIN(MAX(YEAR(AI$41)-YEAR($K57)+$J57+1,1),14)))),0)</f>
        <v>0</v>
      </c>
      <c r="AJ57" s="68" cm="1">
        <f t="array" ref="AJ57">IFERROR(IF(AJ$41&lt;$K57,0,$F57*_xlfn.XLOOKUP($D57,'Capital Call&amp;Distributions data'!$A:$A,INDEX('Capital Call&amp;Distributions data'!$C:$O,0,MIN(MAX(YEAR(AJ$41)-YEAR($K57)+$J57+1,1),14)))),0)</f>
        <v>0</v>
      </c>
      <c r="AK57" s="68" cm="1">
        <f t="array" ref="AK57">IFERROR(IF(AK$41&lt;$K57,0,$F57*_xlfn.XLOOKUP($D57,'Capital Call&amp;Distributions data'!$A:$A,INDEX('Capital Call&amp;Distributions data'!$C:$O,0,MIN(MAX(YEAR(AK$41)-YEAR($K57)+$J57+1,1),14)))),0)</f>
        <v>0</v>
      </c>
      <c r="AL57" s="68" cm="1">
        <f t="array" ref="AL57">IFERROR(IF(AL$41&lt;$K57,0,$F57*_xlfn.XLOOKUP($D57,'Capital Call&amp;Distributions data'!$A:$A,INDEX('Capital Call&amp;Distributions data'!$C:$O,0,MIN(MAX(YEAR(AL$41)-YEAR($K57)+$J57+1,1),14)))),0)</f>
        <v>0</v>
      </c>
      <c r="AM57" s="68" cm="1">
        <f t="array" ref="AM57">IFERROR(IF(AM$41&lt;$K57,0,$F57*_xlfn.XLOOKUP($D57,'Capital Call&amp;Distributions data'!$A:$A,INDEX('Capital Call&amp;Distributions data'!$C:$O,0,MIN(MAX(YEAR(AM$41)-YEAR($K57)+$J57+1,1),14)))),0)</f>
        <v>0</v>
      </c>
      <c r="AN57" s="68" cm="1">
        <f t="array" ref="AN57">IFERROR(IF(AN$41&lt;$K57,0,$F57*_xlfn.XLOOKUP($D57,'Capital Call&amp;Distributions data'!$A:$A,INDEX('Capital Call&amp;Distributions data'!$C:$O,0,MIN(MAX(YEAR(AN$41)-YEAR($K57)+$J57+1,1),14)))),0)</f>
        <v>0</v>
      </c>
      <c r="AO57" s="68" cm="1">
        <f t="array" ref="AO57">IFERROR(IF(AO$41&lt;$K57,0,$F57*_xlfn.XLOOKUP($D57,'Capital Call&amp;Distributions data'!$A:$A,INDEX('Capital Call&amp;Distributions data'!$C:$O,0,MIN(MAX(YEAR(AO$41)-YEAR($K57)+$J57+1,1),14)))),0)</f>
        <v>0</v>
      </c>
      <c r="AP57" s="68" cm="1">
        <f t="array" ref="AP57">IFERROR(IF(AP$41&lt;$K57,0,$F57*_xlfn.XLOOKUP($D57,'Capital Call&amp;Distributions data'!$A:$A,INDEX('Capital Call&amp;Distributions data'!$C:$O,0,MIN(MAX(YEAR(AP$41)-YEAR($K57)+$J57+1,1),14)))),0)</f>
        <v>0</v>
      </c>
      <c r="AQ57" s="68" cm="1">
        <f t="array" ref="AQ57">IFERROR(IF(AQ$41&lt;$K57,0,$F57*_xlfn.XLOOKUP($D57,'Capital Call&amp;Distributions data'!$A:$A,INDEX('Capital Call&amp;Distributions data'!$C:$O,0,MIN(MAX(YEAR(AQ$41)-YEAR($K57)+$J57+1,1),14)))),0)</f>
        <v>0</v>
      </c>
      <c r="AR57" s="68" cm="1">
        <f t="array" ref="AR57">IFERROR(IF(AR$41&lt;$K57,0,$F57*_xlfn.XLOOKUP($D57,'Capital Call&amp;Distributions data'!$A:$A,INDEX('Capital Call&amp;Distributions data'!$C:$O,0,MIN(MAX(YEAR(AR$41)-YEAR($K57)+$J57+1,1),14)))),0)</f>
        <v>0</v>
      </c>
      <c r="AS57" s="68" cm="1">
        <f t="array" ref="AS57">IFERROR(IF(AS$41&lt;$K57,0,$F57*_xlfn.XLOOKUP($D57,'Capital Call&amp;Distributions data'!$A:$A,INDEX('Capital Call&amp;Distributions data'!$C:$O,0,MIN(MAX(YEAR(AS$41)-YEAR($K57)+$J57+1,1),14)))),0)</f>
        <v>0</v>
      </c>
      <c r="AT57" s="68" cm="1">
        <f t="array" ref="AT57">IFERROR(IF(AT$41&lt;$K57,0,$F57*_xlfn.XLOOKUP($D57,'Capital Call&amp;Distributions data'!$A:$A,INDEX('Capital Call&amp;Distributions data'!$C:$O,0,MIN(MAX(YEAR(AT$41)-YEAR($K57)+$J57+1,1),14)))),0)</f>
        <v>0</v>
      </c>
      <c r="AU57" s="68" cm="1">
        <f t="array" ref="AU57">IFERROR(IF(AU$41&lt;$K57,0,$F57*_xlfn.XLOOKUP($D57,'Capital Call&amp;Distributions data'!$A:$A,INDEX('Capital Call&amp;Distributions data'!$C:$O,0,MIN(MAX(YEAR(AU$41)-YEAR($K57)+$J57+1,1),14)))),0)</f>
        <v>0</v>
      </c>
      <c r="AW57" s="1"/>
      <c r="DJ57" s="11"/>
    </row>
    <row r="58" spans="3:114" ht="29.25" customHeight="1">
      <c r="C58" s="20" t="s">
        <v>11</v>
      </c>
      <c r="D58" s="21" t="str">
        <f>_xlfn.XLOOKUP(C58,Fondsen!B:B,Fondsen!C:C,"0",0,1)</f>
        <v>PE</v>
      </c>
      <c r="E58" s="21" t="s">
        <v>10</v>
      </c>
      <c r="F58" s="83">
        <v>2773000</v>
      </c>
      <c r="G58" s="143" t="str">
        <f ca="1">IFERROR(IF(SUM(OFFSET(INDEX('Capital Call&amp;Distributions data'!A:A,MATCH(D58,'Capital Call&amp;Distributions data'!A:A,0)),-1,2,1,1000))=0,"✔",""),"")</f>
        <v/>
      </c>
      <c r="H58" s="138">
        <f t="shared" si="4"/>
        <v>0.14724510427160875</v>
      </c>
      <c r="I58" s="96">
        <v>48580</v>
      </c>
      <c r="J58" s="70">
        <f t="shared" si="3"/>
        <v>0</v>
      </c>
      <c r="K58" s="96">
        <v>48580</v>
      </c>
      <c r="L58" s="68" cm="1">
        <f t="array" ref="L58">IFERROR(IF(L$41&lt;$K58,0,$F58*_xlfn.XLOOKUP($D58,'Capital Call&amp;Distributions data'!$A:$A,INDEX('Capital Call&amp;Distributions data'!$C:$O,0,MIN(MAX(YEAR(L$41)-YEAR($K58)+$J58+1,1),14)))),0)</f>
        <v>0</v>
      </c>
      <c r="M58" s="68" cm="1">
        <f t="array" ref="M58">IFERROR(IF(M$41&lt;$K58,0,$F58*_xlfn.XLOOKUP($D58,'Capital Call&amp;Distributions data'!$A:$A,INDEX('Capital Call&amp;Distributions data'!$C:$O,0,MIN(MAX(YEAR(M$41)-YEAR($K58)+$J58+1,1),14)))),0)</f>
        <v>0</v>
      </c>
      <c r="N58" s="68" cm="1">
        <f t="array" ref="N58">IFERROR(IF(N$41&lt;$K58,0,$F58*_xlfn.XLOOKUP($D58,'Capital Call&amp;Distributions data'!$A:$A,INDEX('Capital Call&amp;Distributions data'!$C:$O,0,MIN(MAX(YEAR(N$41)-YEAR($K58)+$J58+1,1),14)))),0)</f>
        <v>0</v>
      </c>
      <c r="O58" s="68" cm="1">
        <f t="array" ref="O58">IFERROR(IF(O$41&lt;$K58,0,$F58*_xlfn.XLOOKUP($D58,'Capital Call&amp;Distributions data'!$A:$A,INDEX('Capital Call&amp;Distributions data'!$C:$O,0,MIN(MAX(YEAR(O$41)-YEAR($K58)+$J58+1,1),14)))),0)</f>
        <v>0</v>
      </c>
      <c r="P58" s="68" cm="1">
        <f t="array" ref="P58">IFERROR(IF(P$41&lt;$K58,0,$F58*_xlfn.XLOOKUP($D58,'Capital Call&amp;Distributions data'!$A:$A,INDEX('Capital Call&amp;Distributions data'!$C:$O,0,MIN(MAX(YEAR(P$41)-YEAR($K58)+$J58+1,1),14)))),0)</f>
        <v>0</v>
      </c>
      <c r="Q58" s="68" cm="1">
        <f t="array" ref="Q58">IFERROR(IF(Q$41&lt;$K58,0,$F58*_xlfn.XLOOKUP($D58,'Capital Call&amp;Distributions data'!$A:$A,INDEX('Capital Call&amp;Distributions data'!$C:$O,0,MIN(MAX(YEAR(Q$41)-YEAR($K58)+$J58+1,1),14)))),0)</f>
        <v>0</v>
      </c>
      <c r="R58" s="68" cm="1">
        <f t="array" ref="R58">IFERROR(IF(R$41&lt;$K58,0,$F58*_xlfn.XLOOKUP($D58,'Capital Call&amp;Distributions data'!$A:$A,INDEX('Capital Call&amp;Distributions data'!$C:$O,0,MIN(MAX(YEAR(R$41)-YEAR($K58)+$J58+1,1),14)))),0)</f>
        <v>0</v>
      </c>
      <c r="S58" s="68" cm="1">
        <f t="array" ref="S58">IFERROR(IF(S$41&lt;$K58,0,$F58*_xlfn.XLOOKUP($D58,'Capital Call&amp;Distributions data'!$A:$A,INDEX('Capital Call&amp;Distributions data'!$C:$O,0,MIN(MAX(YEAR(S$41)-YEAR($K58)+$J58+1,1),14)))),0)</f>
        <v>-872433.81430363876</v>
      </c>
      <c r="T58" s="68" cm="1">
        <f t="array" ref="T58">IFERROR(IF(T$41&lt;$K58,0,$F58*_xlfn.XLOOKUP($D58,'Capital Call&amp;Distributions data'!$A:$A,INDEX('Capital Call&amp;Distributions data'!$C:$O,0,MIN(MAX(YEAR(T$41)-YEAR($K58)+$J58+1,1),14)))),0)</f>
        <v>-606267.56587202009</v>
      </c>
      <c r="U58" s="68" cm="1">
        <f t="array" ref="U58">IFERROR(IF(U$41&lt;$K58,0,$F58*_xlfn.XLOOKUP($D58,'Capital Call&amp;Distributions data'!$A:$A,INDEX('Capital Call&amp;Distributions data'!$C:$O,0,MIN(MAX(YEAR(U$41)-YEAR($K58)+$J58+1,1),14)))),0)</f>
        <v>-606267.56587202009</v>
      </c>
      <c r="V58" s="68" cm="1">
        <f t="array" ref="V58">IFERROR(IF(V$41&lt;$K58,0,$F58*_xlfn.XLOOKUP($D58,'Capital Call&amp;Distributions data'!$A:$A,INDEX('Capital Call&amp;Distributions data'!$C:$O,0,MIN(MAX(YEAR(V$41)-YEAR($K58)+$J58+1,1),14)))),0)</f>
        <v>-272081.05395232124</v>
      </c>
      <c r="W58" s="68" cm="1">
        <f t="array" ref="W58">IFERROR(IF(W$41&lt;$K58,0,$F58*_xlfn.XLOOKUP($D58,'Capital Call&amp;Distributions data'!$A:$A,INDEX('Capital Call&amp;Distributions data'!$C:$O,0,MIN(MAX(YEAR(W$41)-YEAR($K58)+$J58+1,1),14)))),0)</f>
        <v>703225.2533294732</v>
      </c>
      <c r="X58" s="68" cm="1">
        <f t="array" ref="X58">IFERROR(IF(X$41&lt;$K58,0,$F58*_xlfn.XLOOKUP($D58,'Capital Call&amp;Distributions data'!$A:$A,INDEX('Capital Call&amp;Distributions data'!$C:$O,0,MIN(MAX(YEAR(X$41)-YEAR($K58)+$J58+1,1),14)))),0)</f>
        <v>1160782.2958888244</v>
      </c>
      <c r="Y58" s="68" cm="1">
        <f t="array" ref="Y58">IFERROR(IF(Y$41&lt;$K58,0,$F58*_xlfn.XLOOKUP($D58,'Capital Call&amp;Distributions data'!$A:$A,INDEX('Capital Call&amp;Distributions data'!$C:$O,0,MIN(MAX(YEAR(Y$41)-YEAR($K58)+$J58+1,1),14)))),0)</f>
        <v>1156522.8956334686</v>
      </c>
      <c r="Z58" s="68" cm="1">
        <f t="array" ref="Z58">IFERROR(IF(Z$41&lt;$K58,0,$F58*_xlfn.XLOOKUP($D58,'Capital Call&amp;Distributions data'!$A:$A,INDEX('Capital Call&amp;Distributions data'!$C:$O,0,MIN(MAX(YEAR(Z$41)-YEAR($K58)+$J58+1,1),14)))),0)</f>
        <v>697203.91584944981</v>
      </c>
      <c r="AA58" s="68" cm="1">
        <f t="array" ref="AA58">IFERROR(IF(AA$41&lt;$K58,0,$F58*_xlfn.XLOOKUP($D58,'Capital Call&amp;Distributions data'!$A:$A,INDEX('Capital Call&amp;Distributions data'!$C:$O,0,MIN(MAX(YEAR(AA$41)-YEAR($K58)+$J58+1,1),14)))),0)</f>
        <v>407487.42379038787</v>
      </c>
      <c r="AB58" s="68" cm="1">
        <f t="array" ref="AB58">IFERROR(IF(AB$41&lt;$K58,0,$F58*_xlfn.XLOOKUP($D58,'Capital Call&amp;Distributions data'!$A:$A,INDEX('Capital Call&amp;Distributions data'!$C:$O,0,MIN(MAX(YEAR(AB$41)-YEAR($K58)+$J58+1,1),14)))),0)</f>
        <v>388644.07471337583</v>
      </c>
      <c r="AC58" s="68" cm="1">
        <f t="array" ref="AC58">IFERROR(IF(AC$41&lt;$K58,0,$F58*_xlfn.XLOOKUP($D58,'Capital Call&amp;Distributions data'!$A:$A,INDEX('Capital Call&amp;Distributions data'!$C:$O,0,MIN(MAX(YEAR(AC$41)-YEAR($K58)+$J58+1,1),14)))),0)</f>
        <v>115415.51309669949</v>
      </c>
      <c r="AD58" s="68" cm="1">
        <f t="array" ref="AD58">IFERROR(IF(AD$41&lt;$K58,0,$F58*_xlfn.XLOOKUP($D58,'Capital Call&amp;Distributions data'!$A:$A,INDEX('Capital Call&amp;Distributions data'!$C:$O,0,MIN(MAX(YEAR(AD$41)-YEAR($K58)+$J58+1,1),14)))),0)</f>
        <v>0</v>
      </c>
      <c r="AE58" s="68" cm="1">
        <f t="array" ref="AE58">IFERROR(IF(AE$41&lt;$K58,0,$F58*_xlfn.XLOOKUP($D58,'Capital Call&amp;Distributions data'!$A:$A,INDEX('Capital Call&amp;Distributions data'!$C:$O,0,MIN(MAX(YEAR(AE$41)-YEAR($K58)+$J58+1,1),14)))),0)</f>
        <v>0</v>
      </c>
      <c r="AF58" s="68" cm="1">
        <f t="array" ref="AF58">IFERROR(IF(AF$41&lt;$K58,0,$F58*_xlfn.XLOOKUP($D58,'Capital Call&amp;Distributions data'!$A:$A,INDEX('Capital Call&amp;Distributions data'!$C:$O,0,MIN(MAX(YEAR(AF$41)-YEAR($K58)+$J58+1,1),14)))),0)</f>
        <v>0</v>
      </c>
      <c r="AG58" s="68" cm="1">
        <f t="array" ref="AG58">IFERROR(IF(AG$41&lt;$K58,0,$F58*_xlfn.XLOOKUP($D58,'Capital Call&amp;Distributions data'!$A:$A,INDEX('Capital Call&amp;Distributions data'!$C:$O,0,MIN(MAX(YEAR(AG$41)-YEAR($K58)+$J58+1,1),14)))),0)</f>
        <v>0</v>
      </c>
      <c r="AH58" s="68" cm="1">
        <f t="array" ref="AH58">IFERROR(IF(AH$41&lt;$K58,0,$F58*_xlfn.XLOOKUP($D58,'Capital Call&amp;Distributions data'!$A:$A,INDEX('Capital Call&amp;Distributions data'!$C:$O,0,MIN(MAX(YEAR(AH$41)-YEAR($K58)+$J58+1,1),14)))),0)</f>
        <v>0</v>
      </c>
      <c r="AI58" s="68" cm="1">
        <f t="array" ref="AI58">IFERROR(IF(AI$41&lt;$K58,0,$F58*_xlfn.XLOOKUP($D58,'Capital Call&amp;Distributions data'!$A:$A,INDEX('Capital Call&amp;Distributions data'!$C:$O,0,MIN(MAX(YEAR(AI$41)-YEAR($K58)+$J58+1,1),14)))),0)</f>
        <v>0</v>
      </c>
      <c r="AJ58" s="68" cm="1">
        <f t="array" ref="AJ58">IFERROR(IF(AJ$41&lt;$K58,0,$F58*_xlfn.XLOOKUP($D58,'Capital Call&amp;Distributions data'!$A:$A,INDEX('Capital Call&amp;Distributions data'!$C:$O,0,MIN(MAX(YEAR(AJ$41)-YEAR($K58)+$J58+1,1),14)))),0)</f>
        <v>0</v>
      </c>
      <c r="AK58" s="68" cm="1">
        <f t="array" ref="AK58">IFERROR(IF(AK$41&lt;$K58,0,$F58*_xlfn.XLOOKUP($D58,'Capital Call&amp;Distributions data'!$A:$A,INDEX('Capital Call&amp;Distributions data'!$C:$O,0,MIN(MAX(YEAR(AK$41)-YEAR($K58)+$J58+1,1),14)))),0)</f>
        <v>0</v>
      </c>
      <c r="AL58" s="68" cm="1">
        <f t="array" ref="AL58">IFERROR(IF(AL$41&lt;$K58,0,$F58*_xlfn.XLOOKUP($D58,'Capital Call&amp;Distributions data'!$A:$A,INDEX('Capital Call&amp;Distributions data'!$C:$O,0,MIN(MAX(YEAR(AL$41)-YEAR($K58)+$J58+1,1),14)))),0)</f>
        <v>0</v>
      </c>
      <c r="AM58" s="68" cm="1">
        <f t="array" ref="AM58">IFERROR(IF(AM$41&lt;$K58,0,$F58*_xlfn.XLOOKUP($D58,'Capital Call&amp;Distributions data'!$A:$A,INDEX('Capital Call&amp;Distributions data'!$C:$O,0,MIN(MAX(YEAR(AM$41)-YEAR($K58)+$J58+1,1),14)))),0)</f>
        <v>0</v>
      </c>
      <c r="AN58" s="68" cm="1">
        <f t="array" ref="AN58">IFERROR(IF(AN$41&lt;$K58,0,$F58*_xlfn.XLOOKUP($D58,'Capital Call&amp;Distributions data'!$A:$A,INDEX('Capital Call&amp;Distributions data'!$C:$O,0,MIN(MAX(YEAR(AN$41)-YEAR($K58)+$J58+1,1),14)))),0)</f>
        <v>0</v>
      </c>
      <c r="AO58" s="68" cm="1">
        <f t="array" ref="AO58">IFERROR(IF(AO$41&lt;$K58,0,$F58*_xlfn.XLOOKUP($D58,'Capital Call&amp;Distributions data'!$A:$A,INDEX('Capital Call&amp;Distributions data'!$C:$O,0,MIN(MAX(YEAR(AO$41)-YEAR($K58)+$J58+1,1),14)))),0)</f>
        <v>0</v>
      </c>
      <c r="AP58" s="68" cm="1">
        <f t="array" ref="AP58">IFERROR(IF(AP$41&lt;$K58,0,$F58*_xlfn.XLOOKUP($D58,'Capital Call&amp;Distributions data'!$A:$A,INDEX('Capital Call&amp;Distributions data'!$C:$O,0,MIN(MAX(YEAR(AP$41)-YEAR($K58)+$J58+1,1),14)))),0)</f>
        <v>0</v>
      </c>
      <c r="AQ58" s="68" cm="1">
        <f t="array" ref="AQ58">IFERROR(IF(AQ$41&lt;$K58,0,$F58*_xlfn.XLOOKUP($D58,'Capital Call&amp;Distributions data'!$A:$A,INDEX('Capital Call&amp;Distributions data'!$C:$O,0,MIN(MAX(YEAR(AQ$41)-YEAR($K58)+$J58+1,1),14)))),0)</f>
        <v>0</v>
      </c>
      <c r="AR58" s="68" cm="1">
        <f t="array" ref="AR58">IFERROR(IF(AR$41&lt;$K58,0,$F58*_xlfn.XLOOKUP($D58,'Capital Call&amp;Distributions data'!$A:$A,INDEX('Capital Call&amp;Distributions data'!$C:$O,0,MIN(MAX(YEAR(AR$41)-YEAR($K58)+$J58+1,1),14)))),0)</f>
        <v>0</v>
      </c>
      <c r="AS58" s="68" cm="1">
        <f t="array" ref="AS58">IFERROR(IF(AS$41&lt;$K58,0,$F58*_xlfn.XLOOKUP($D58,'Capital Call&amp;Distributions data'!$A:$A,INDEX('Capital Call&amp;Distributions data'!$C:$O,0,MIN(MAX(YEAR(AS$41)-YEAR($K58)+$J58+1,1),14)))),0)</f>
        <v>0</v>
      </c>
      <c r="AT58" s="68" cm="1">
        <f t="array" ref="AT58">IFERROR(IF(AT$41&lt;$K58,0,$F58*_xlfn.XLOOKUP($D58,'Capital Call&amp;Distributions data'!$A:$A,INDEX('Capital Call&amp;Distributions data'!$C:$O,0,MIN(MAX(YEAR(AT$41)-YEAR($K58)+$J58+1,1),14)))),0)</f>
        <v>0</v>
      </c>
      <c r="AU58" s="68" cm="1">
        <f t="array" ref="AU58">IFERROR(IF(AU$41&lt;$K58,0,$F58*_xlfn.XLOOKUP($D58,'Capital Call&amp;Distributions data'!$A:$A,INDEX('Capital Call&amp;Distributions data'!$C:$O,0,MIN(MAX(YEAR(AU$41)-YEAR($K58)+$J58+1,1),14)))),0)</f>
        <v>0</v>
      </c>
      <c r="AW58" s="1"/>
      <c r="DJ58" s="11"/>
    </row>
    <row r="59" spans="3:114" ht="29.25" hidden="1" customHeight="1" outlineLevel="1">
      <c r="C59" s="20"/>
      <c r="D59" s="21">
        <f>_xlfn.XLOOKUP(C59,Fondsen!B:B,Fondsen!C:C,"0",0,1)</f>
        <v>0</v>
      </c>
      <c r="E59" s="21" t="s">
        <v>10</v>
      </c>
      <c r="F59" s="83"/>
      <c r="G59" s="143" t="str">
        <f ca="1">IFERROR(IF(SUM(OFFSET(INDEX('Capital Call&amp;Distributions data'!A:A,MATCH(D59,'Capital Call&amp;Distributions data'!A:A,0)),-1,2,1,1000))=0,"✔",""),"")</f>
        <v/>
      </c>
      <c r="H59" s="138" t="str">
        <f t="shared" si="4"/>
        <v/>
      </c>
      <c r="I59" s="96">
        <v>47484</v>
      </c>
      <c r="J59" s="70">
        <f t="shared" si="3"/>
        <v>0</v>
      </c>
      <c r="K59" s="96">
        <v>47484</v>
      </c>
      <c r="L59" s="68" cm="1">
        <f t="array" ref="L59">IFERROR(IF(L$41&lt;$K59,0,$F59*_xlfn.XLOOKUP($D59,'Capital Call&amp;Distributions data'!$A:$A,INDEX('Capital Call&amp;Distributions data'!$C:$O,0,MIN(MAX(YEAR(L$41)-YEAR($K59)+$J59+1,1),14)))),0)</f>
        <v>0</v>
      </c>
      <c r="M59" s="68" cm="1">
        <f t="array" ref="M59">IFERROR(IF(M$41&lt;$K59,0,$F59*_xlfn.XLOOKUP($D59,'Capital Call&amp;Distributions data'!$A:$A,INDEX('Capital Call&amp;Distributions data'!$C:$O,0,MIN(MAX(YEAR(M$41)-YEAR($K59)+$J59+1,1),14)))),0)</f>
        <v>0</v>
      </c>
      <c r="N59" s="68" cm="1">
        <f t="array" ref="N59">IFERROR(IF(N$41&lt;$K59,0,$F59*_xlfn.XLOOKUP($D59,'Capital Call&amp;Distributions data'!$A:$A,INDEX('Capital Call&amp;Distributions data'!$C:$O,0,MIN(MAX(YEAR(N$41)-YEAR($K59)+$J59+1,1),14)))),0)</f>
        <v>0</v>
      </c>
      <c r="O59" s="68" cm="1">
        <f t="array" ref="O59">IFERROR(IF(O$41&lt;$K59,0,$F59*_xlfn.XLOOKUP($D59,'Capital Call&amp;Distributions data'!$A:$A,INDEX('Capital Call&amp;Distributions data'!$C:$O,0,MIN(MAX(YEAR(O$41)-YEAR($K59)+$J59+1,1),14)))),0)</f>
        <v>0</v>
      </c>
      <c r="P59" s="68" cm="1">
        <f t="array" ref="P59">IFERROR(IF(P$41&lt;$K59,0,$F59*_xlfn.XLOOKUP($D59,'Capital Call&amp;Distributions data'!$A:$A,INDEX('Capital Call&amp;Distributions data'!$C:$O,0,MIN(MAX(YEAR(P$41)-YEAR($K59)+$J59+1,1),14)))),0)</f>
        <v>0</v>
      </c>
      <c r="Q59" s="68" cm="1">
        <f t="array" ref="Q59">IFERROR(IF(Q$41&lt;$K59,0,$F59*_xlfn.XLOOKUP($D59,'Capital Call&amp;Distributions data'!$A:$A,INDEX('Capital Call&amp;Distributions data'!$C:$O,0,MIN(MAX(YEAR(Q$41)-YEAR($K59)+$J59+1,1),14)))),0)</f>
        <v>0</v>
      </c>
      <c r="R59" s="68" cm="1">
        <f t="array" ref="R59">IFERROR(IF(R$41&lt;$K59,0,$F59*_xlfn.XLOOKUP($D59,'Capital Call&amp;Distributions data'!$A:$A,INDEX('Capital Call&amp;Distributions data'!$C:$O,0,MIN(MAX(YEAR(R$41)-YEAR($K59)+$J59+1,1),14)))),0)</f>
        <v>0</v>
      </c>
      <c r="S59" s="68" cm="1">
        <f t="array" ref="S59">IFERROR(IF(S$41&lt;$K59,0,$F59*_xlfn.XLOOKUP($D59,'Capital Call&amp;Distributions data'!$A:$A,INDEX('Capital Call&amp;Distributions data'!$C:$O,0,MIN(MAX(YEAR(S$41)-YEAR($K59)+$J59+1,1),14)))),0)</f>
        <v>0</v>
      </c>
      <c r="T59" s="68" cm="1">
        <f t="array" ref="T59">IFERROR(IF(T$41&lt;$K59,0,$F59*_xlfn.XLOOKUP($D59,'Capital Call&amp;Distributions data'!$A:$A,INDEX('Capital Call&amp;Distributions data'!$C:$O,0,MIN(MAX(YEAR(T$41)-YEAR($K59)+$J59+1,1),14)))),0)</f>
        <v>0</v>
      </c>
      <c r="U59" s="68" cm="1">
        <f t="array" ref="U59">IFERROR(IF(U$41&lt;$K59,0,$F59*_xlfn.XLOOKUP($D59,'Capital Call&amp;Distributions data'!$A:$A,INDEX('Capital Call&amp;Distributions data'!$C:$O,0,MIN(MAX(YEAR(U$41)-YEAR($K59)+$J59+1,1),14)))),0)</f>
        <v>0</v>
      </c>
      <c r="V59" s="68" cm="1">
        <f t="array" ref="V59">IFERROR(IF(V$41&lt;$K59,0,$F59*_xlfn.XLOOKUP($D59,'Capital Call&amp;Distributions data'!$A:$A,INDEX('Capital Call&amp;Distributions data'!$C:$O,0,MIN(MAX(YEAR(V$41)-YEAR($K59)+$J59+1,1),14)))),0)</f>
        <v>0</v>
      </c>
      <c r="W59" s="68" cm="1">
        <f t="array" ref="W59">IFERROR(IF(W$41&lt;$K59,0,$F59*_xlfn.XLOOKUP($D59,'Capital Call&amp;Distributions data'!$A:$A,INDEX('Capital Call&amp;Distributions data'!$C:$O,0,MIN(MAX(YEAR(W$41)-YEAR($K59)+$J59+1,1),14)))),0)</f>
        <v>0</v>
      </c>
      <c r="X59" s="68" cm="1">
        <f t="array" ref="X59">IFERROR(IF(X$41&lt;$K59,0,$F59*_xlfn.XLOOKUP($D59,'Capital Call&amp;Distributions data'!$A:$A,INDEX('Capital Call&amp;Distributions data'!$C:$O,0,MIN(MAX(YEAR(X$41)-YEAR($K59)+$J59+1,1),14)))),0)</f>
        <v>0</v>
      </c>
      <c r="Y59" s="68" cm="1">
        <f t="array" ref="Y59">IFERROR(IF(Y$41&lt;$K59,0,$F59*_xlfn.XLOOKUP($D59,'Capital Call&amp;Distributions data'!$A:$A,INDEX('Capital Call&amp;Distributions data'!$C:$O,0,MIN(MAX(YEAR(Y$41)-YEAR($K59)+$J59+1,1),14)))),0)</f>
        <v>0</v>
      </c>
      <c r="Z59" s="68" cm="1">
        <f t="array" ref="Z59">IFERROR(IF(Z$41&lt;$K59,0,$F59*_xlfn.XLOOKUP($D59,'Capital Call&amp;Distributions data'!$A:$A,INDEX('Capital Call&amp;Distributions data'!$C:$O,0,MIN(MAX(YEAR(Z$41)-YEAR($K59)+$J59+1,1),14)))),0)</f>
        <v>0</v>
      </c>
      <c r="AA59" s="68" cm="1">
        <f t="array" ref="AA59">IFERROR(IF(AA$41&lt;$K59,0,$F59*_xlfn.XLOOKUP($D59,'Capital Call&amp;Distributions data'!$A:$A,INDEX('Capital Call&amp;Distributions data'!$C:$O,0,MIN(MAX(YEAR(AA$41)-YEAR($K59)+$J59+1,1),14)))),0)</f>
        <v>0</v>
      </c>
      <c r="AB59" s="68" cm="1">
        <f t="array" ref="AB59">IFERROR(IF(AB$41&lt;$K59,0,$F59*_xlfn.XLOOKUP($D59,'Capital Call&amp;Distributions data'!$A:$A,INDEX('Capital Call&amp;Distributions data'!$C:$O,0,MIN(MAX(YEAR(AB$41)-YEAR($K59)+$J59+1,1),14)))),0)</f>
        <v>0</v>
      </c>
      <c r="AC59" s="68" cm="1">
        <f t="array" ref="AC59">IFERROR(IF(AC$41&lt;$K59,0,$F59*_xlfn.XLOOKUP($D59,'Capital Call&amp;Distributions data'!$A:$A,INDEX('Capital Call&amp;Distributions data'!$C:$O,0,MIN(MAX(YEAR(AC$41)-YEAR($K59)+$J59+1,1),14)))),0)</f>
        <v>0</v>
      </c>
      <c r="AD59" s="68" cm="1">
        <f t="array" ref="AD59">IFERROR(IF(AD$41&lt;$K59,0,$F59*_xlfn.XLOOKUP($D59,'Capital Call&amp;Distributions data'!$A:$A,INDEX('Capital Call&amp;Distributions data'!$C:$O,0,MIN(MAX(YEAR(AD$41)-YEAR($K59)+$J59+1,1),14)))),0)</f>
        <v>0</v>
      </c>
      <c r="AE59" s="68" cm="1">
        <f t="array" ref="AE59">IFERROR(IF(AE$41&lt;$K59,0,$F59*_xlfn.XLOOKUP($D59,'Capital Call&amp;Distributions data'!$A:$A,INDEX('Capital Call&amp;Distributions data'!$C:$O,0,MIN(MAX(YEAR(AE$41)-YEAR($K59)+$J59+1,1),14)))),0)</f>
        <v>0</v>
      </c>
      <c r="AF59" s="68" cm="1">
        <f t="array" ref="AF59">IFERROR(IF(AF$41&lt;$K59,0,$F59*_xlfn.XLOOKUP($D59,'Capital Call&amp;Distributions data'!$A:$A,INDEX('Capital Call&amp;Distributions data'!$C:$O,0,MIN(MAX(YEAR(AF$41)-YEAR($K59)+$J59+1,1),14)))),0)</f>
        <v>0</v>
      </c>
      <c r="AG59" s="68" cm="1">
        <f t="array" ref="AG59">IFERROR(IF(AG$41&lt;$K59,0,$F59*_xlfn.XLOOKUP($D59,'Capital Call&amp;Distributions data'!$A:$A,INDEX('Capital Call&amp;Distributions data'!$C:$O,0,MIN(MAX(YEAR(AG$41)-YEAR($K59)+$J59+1,1),14)))),0)</f>
        <v>0</v>
      </c>
      <c r="AH59" s="68" cm="1">
        <f t="array" ref="AH59">IFERROR(IF(AH$41&lt;$K59,0,$F59*_xlfn.XLOOKUP($D59,'Capital Call&amp;Distributions data'!$A:$A,INDEX('Capital Call&amp;Distributions data'!$C:$O,0,MIN(MAX(YEAR(AH$41)-YEAR($K59)+$J59+1,1),14)))),0)</f>
        <v>0</v>
      </c>
      <c r="AI59" s="68" cm="1">
        <f t="array" ref="AI59">IFERROR(IF(AI$41&lt;$K59,0,$F59*_xlfn.XLOOKUP($D59,'Capital Call&amp;Distributions data'!$A:$A,INDEX('Capital Call&amp;Distributions data'!$C:$O,0,MIN(MAX(YEAR(AI$41)-YEAR($K59)+$J59+1,1),14)))),0)</f>
        <v>0</v>
      </c>
      <c r="AJ59" s="68" cm="1">
        <f t="array" ref="AJ59">IFERROR(IF(AJ$41&lt;$K59,0,$F59*_xlfn.XLOOKUP($D59,'Capital Call&amp;Distributions data'!$A:$A,INDEX('Capital Call&amp;Distributions data'!$C:$O,0,MIN(MAX(YEAR(AJ$41)-YEAR($K59)+$J59+1,1),14)))),0)</f>
        <v>0</v>
      </c>
      <c r="AK59" s="68" cm="1">
        <f t="array" ref="AK59">IFERROR(IF(AK$41&lt;$K59,0,$F59*_xlfn.XLOOKUP($D59,'Capital Call&amp;Distributions data'!$A:$A,INDEX('Capital Call&amp;Distributions data'!$C:$O,0,MIN(MAX(YEAR(AK$41)-YEAR($K59)+$J59+1,1),14)))),0)</f>
        <v>0</v>
      </c>
      <c r="AL59" s="68" cm="1">
        <f t="array" ref="AL59">IFERROR(IF(AL$41&lt;$K59,0,$F59*_xlfn.XLOOKUP($D59,'Capital Call&amp;Distributions data'!$A:$A,INDEX('Capital Call&amp;Distributions data'!$C:$O,0,MIN(MAX(YEAR(AL$41)-YEAR($K59)+$J59+1,1),14)))),0)</f>
        <v>0</v>
      </c>
      <c r="AM59" s="68" cm="1">
        <f t="array" ref="AM59">IFERROR(IF(AM$41&lt;$K59,0,$F59*_xlfn.XLOOKUP($D59,'Capital Call&amp;Distributions data'!$A:$A,INDEX('Capital Call&amp;Distributions data'!$C:$O,0,MIN(MAX(YEAR(AM$41)-YEAR($K59)+$J59+1,1),14)))),0)</f>
        <v>0</v>
      </c>
      <c r="AN59" s="68" cm="1">
        <f t="array" ref="AN59">IFERROR(IF(AN$41&lt;$K59,0,$F59*_xlfn.XLOOKUP($D59,'Capital Call&amp;Distributions data'!$A:$A,INDEX('Capital Call&amp;Distributions data'!$C:$O,0,MIN(MAX(YEAR(AN$41)-YEAR($K59)+$J59+1,1),14)))),0)</f>
        <v>0</v>
      </c>
      <c r="AO59" s="68" cm="1">
        <f t="array" ref="AO59">IFERROR(IF(AO$41&lt;$K59,0,$F59*_xlfn.XLOOKUP($D59,'Capital Call&amp;Distributions data'!$A:$A,INDEX('Capital Call&amp;Distributions data'!$C:$O,0,MIN(MAX(YEAR(AO$41)-YEAR($K59)+$J59+1,1),14)))),0)</f>
        <v>0</v>
      </c>
      <c r="AP59" s="68" cm="1">
        <f t="array" ref="AP59">IFERROR(IF(AP$41&lt;$K59,0,$F59*_xlfn.XLOOKUP($D59,'Capital Call&amp;Distributions data'!$A:$A,INDEX('Capital Call&amp;Distributions data'!$C:$O,0,MIN(MAX(YEAR(AP$41)-YEAR($K59)+$J59+1,1),14)))),0)</f>
        <v>0</v>
      </c>
      <c r="AQ59" s="68" cm="1">
        <f t="array" ref="AQ59">IFERROR(IF(AQ$41&lt;$K59,0,$F59*_xlfn.XLOOKUP($D59,'Capital Call&amp;Distributions data'!$A:$A,INDEX('Capital Call&amp;Distributions data'!$C:$O,0,MIN(MAX(YEAR(AQ$41)-YEAR($K59)+$J59+1,1),14)))),0)</f>
        <v>0</v>
      </c>
      <c r="AR59" s="68" cm="1">
        <f t="array" ref="AR59">IFERROR(IF(AR$41&lt;$K59,0,$F59*_xlfn.XLOOKUP($D59,'Capital Call&amp;Distributions data'!$A:$A,INDEX('Capital Call&amp;Distributions data'!$C:$O,0,MIN(MAX(YEAR(AR$41)-YEAR($K59)+$J59+1,1),14)))),0)</f>
        <v>0</v>
      </c>
      <c r="AS59" s="68" cm="1">
        <f t="array" ref="AS59">IFERROR(IF(AS$41&lt;$K59,0,$F59*_xlfn.XLOOKUP($D59,'Capital Call&amp;Distributions data'!$A:$A,INDEX('Capital Call&amp;Distributions data'!$C:$O,0,MIN(MAX(YEAR(AS$41)-YEAR($K59)+$J59+1,1),14)))),0)</f>
        <v>0</v>
      </c>
      <c r="AT59" s="68" cm="1">
        <f t="array" ref="AT59">IFERROR(IF(AT$41&lt;$K59,0,$F59*_xlfn.XLOOKUP($D59,'Capital Call&amp;Distributions data'!$A:$A,INDEX('Capital Call&amp;Distributions data'!$C:$O,0,MIN(MAX(YEAR(AT$41)-YEAR($K59)+$J59+1,1),14)))),0)</f>
        <v>0</v>
      </c>
      <c r="AU59" s="68" cm="1">
        <f t="array" ref="AU59">IFERROR(IF(AU$41&lt;$K59,0,$F59*_xlfn.XLOOKUP($D59,'Capital Call&amp;Distributions data'!$A:$A,INDEX('Capital Call&amp;Distributions data'!$C:$O,0,MIN(MAX(YEAR(AU$41)-YEAR($K59)+$J59+1,1),14)))),0)</f>
        <v>0</v>
      </c>
      <c r="AW59" s="1"/>
      <c r="DJ59" s="11"/>
    </row>
    <row r="60" spans="3:114" ht="29.25" hidden="1" customHeight="1" outlineLevel="1">
      <c r="C60" s="20"/>
      <c r="D60" s="21">
        <f>_xlfn.XLOOKUP(C60,Fondsen!B:B,Fondsen!C:C,"0",0,1)</f>
        <v>0</v>
      </c>
      <c r="E60" s="21" t="s">
        <v>10</v>
      </c>
      <c r="F60" s="83"/>
      <c r="G60" s="143" t="str">
        <f ca="1">IFERROR(IF(SUM(OFFSET(INDEX('Capital Call&amp;Distributions data'!A:A,MATCH(D60,'Capital Call&amp;Distributions data'!A:A,0)),-1,2,1,1000))=0,"✔",""),"")</f>
        <v/>
      </c>
      <c r="H60" s="138" t="str">
        <f t="shared" si="4"/>
        <v/>
      </c>
      <c r="I60" s="96">
        <v>47484</v>
      </c>
      <c r="J60" s="70">
        <f t="shared" si="3"/>
        <v>0</v>
      </c>
      <c r="K60" s="96">
        <v>47484</v>
      </c>
      <c r="L60" s="68" cm="1">
        <f t="array" ref="L60">IFERROR(IF(L$41&lt;$K60,0,$F60*_xlfn.XLOOKUP($D60,'Capital Call&amp;Distributions data'!$A:$A,INDEX('Capital Call&amp;Distributions data'!$C:$O,0,MIN(MAX(YEAR(L$41)-YEAR($K60)+$J60+1,1),14)))),0)</f>
        <v>0</v>
      </c>
      <c r="M60" s="68" cm="1">
        <f t="array" ref="M60">IFERROR(IF(M$41&lt;$K60,0,$F60*_xlfn.XLOOKUP($D60,'Capital Call&amp;Distributions data'!$A:$A,INDEX('Capital Call&amp;Distributions data'!$C:$O,0,MIN(MAX(YEAR(M$41)-YEAR($K60)+$J60+1,1),14)))),0)</f>
        <v>0</v>
      </c>
      <c r="N60" s="68" cm="1">
        <f t="array" ref="N60">IFERROR(IF(N$41&lt;$K60,0,$F60*_xlfn.XLOOKUP($D60,'Capital Call&amp;Distributions data'!$A:$A,INDEX('Capital Call&amp;Distributions data'!$C:$O,0,MIN(MAX(YEAR(N$41)-YEAR($K60)+$J60+1,1),14)))),0)</f>
        <v>0</v>
      </c>
      <c r="O60" s="68" cm="1">
        <f t="array" ref="O60">IFERROR(IF(O$41&lt;$K60,0,$F60*_xlfn.XLOOKUP($D60,'Capital Call&amp;Distributions data'!$A:$A,INDEX('Capital Call&amp;Distributions data'!$C:$O,0,MIN(MAX(YEAR(O$41)-YEAR($K60)+$J60+1,1),14)))),0)</f>
        <v>0</v>
      </c>
      <c r="P60" s="68" cm="1">
        <f t="array" ref="P60">IFERROR(IF(P$41&lt;$K60,0,$F60*_xlfn.XLOOKUP($D60,'Capital Call&amp;Distributions data'!$A:$A,INDEX('Capital Call&amp;Distributions data'!$C:$O,0,MIN(MAX(YEAR(P$41)-YEAR($K60)+$J60+1,1),14)))),0)</f>
        <v>0</v>
      </c>
      <c r="Q60" s="68" cm="1">
        <f t="array" ref="Q60">IFERROR(IF(Q$41&lt;$K60,0,$F60*_xlfn.XLOOKUP($D60,'Capital Call&amp;Distributions data'!$A:$A,INDEX('Capital Call&amp;Distributions data'!$C:$O,0,MIN(MAX(YEAR(Q$41)-YEAR($K60)+$J60+1,1),14)))),0)</f>
        <v>0</v>
      </c>
      <c r="R60" s="68" cm="1">
        <f t="array" ref="R60">IFERROR(IF(R$41&lt;$K60,0,$F60*_xlfn.XLOOKUP($D60,'Capital Call&amp;Distributions data'!$A:$A,INDEX('Capital Call&amp;Distributions data'!$C:$O,0,MIN(MAX(YEAR(R$41)-YEAR($K60)+$J60+1,1),14)))),0)</f>
        <v>0</v>
      </c>
      <c r="S60" s="68" cm="1">
        <f t="array" ref="S60">IFERROR(IF(S$41&lt;$K60,0,$F60*_xlfn.XLOOKUP($D60,'Capital Call&amp;Distributions data'!$A:$A,INDEX('Capital Call&amp;Distributions data'!$C:$O,0,MIN(MAX(YEAR(S$41)-YEAR($K60)+$J60+1,1),14)))),0)</f>
        <v>0</v>
      </c>
      <c r="T60" s="68" cm="1">
        <f t="array" ref="T60">IFERROR(IF(T$41&lt;$K60,0,$F60*_xlfn.XLOOKUP($D60,'Capital Call&amp;Distributions data'!$A:$A,INDEX('Capital Call&amp;Distributions data'!$C:$O,0,MIN(MAX(YEAR(T$41)-YEAR($K60)+$J60+1,1),14)))),0)</f>
        <v>0</v>
      </c>
      <c r="U60" s="68" cm="1">
        <f t="array" ref="U60">IFERROR(IF(U$41&lt;$K60,0,$F60*_xlfn.XLOOKUP($D60,'Capital Call&amp;Distributions data'!$A:$A,INDEX('Capital Call&amp;Distributions data'!$C:$O,0,MIN(MAX(YEAR(U$41)-YEAR($K60)+$J60+1,1),14)))),0)</f>
        <v>0</v>
      </c>
      <c r="V60" s="68" cm="1">
        <f t="array" ref="V60">IFERROR(IF(V$41&lt;$K60,0,$F60*_xlfn.XLOOKUP($D60,'Capital Call&amp;Distributions data'!$A:$A,INDEX('Capital Call&amp;Distributions data'!$C:$O,0,MIN(MAX(YEAR(V$41)-YEAR($K60)+$J60+1,1),14)))),0)</f>
        <v>0</v>
      </c>
      <c r="W60" s="68" cm="1">
        <f t="array" ref="W60">IFERROR(IF(W$41&lt;$K60,0,$F60*_xlfn.XLOOKUP($D60,'Capital Call&amp;Distributions data'!$A:$A,INDEX('Capital Call&amp;Distributions data'!$C:$O,0,MIN(MAX(YEAR(W$41)-YEAR($K60)+$J60+1,1),14)))),0)</f>
        <v>0</v>
      </c>
      <c r="X60" s="68" cm="1">
        <f t="array" ref="X60">IFERROR(IF(X$41&lt;$K60,0,$F60*_xlfn.XLOOKUP($D60,'Capital Call&amp;Distributions data'!$A:$A,INDEX('Capital Call&amp;Distributions data'!$C:$O,0,MIN(MAX(YEAR(X$41)-YEAR($K60)+$J60+1,1),14)))),0)</f>
        <v>0</v>
      </c>
      <c r="Y60" s="68" cm="1">
        <f t="array" ref="Y60">IFERROR(IF(Y$41&lt;$K60,0,$F60*_xlfn.XLOOKUP($D60,'Capital Call&amp;Distributions data'!$A:$A,INDEX('Capital Call&amp;Distributions data'!$C:$O,0,MIN(MAX(YEAR(Y$41)-YEAR($K60)+$J60+1,1),14)))),0)</f>
        <v>0</v>
      </c>
      <c r="Z60" s="68" cm="1">
        <f t="array" ref="Z60">IFERROR(IF(Z$41&lt;$K60,0,$F60*_xlfn.XLOOKUP($D60,'Capital Call&amp;Distributions data'!$A:$A,INDEX('Capital Call&amp;Distributions data'!$C:$O,0,MIN(MAX(YEAR(Z$41)-YEAR($K60)+$J60+1,1),14)))),0)</f>
        <v>0</v>
      </c>
      <c r="AA60" s="68" cm="1">
        <f t="array" ref="AA60">IFERROR(IF(AA$41&lt;$K60,0,$F60*_xlfn.XLOOKUP($D60,'Capital Call&amp;Distributions data'!$A:$A,INDEX('Capital Call&amp;Distributions data'!$C:$O,0,MIN(MAX(YEAR(AA$41)-YEAR($K60)+$J60+1,1),14)))),0)</f>
        <v>0</v>
      </c>
      <c r="AB60" s="68" cm="1">
        <f t="array" ref="AB60">IFERROR(IF(AB$41&lt;$K60,0,$F60*_xlfn.XLOOKUP($D60,'Capital Call&amp;Distributions data'!$A:$A,INDEX('Capital Call&amp;Distributions data'!$C:$O,0,MIN(MAX(YEAR(AB$41)-YEAR($K60)+$J60+1,1),14)))),0)</f>
        <v>0</v>
      </c>
      <c r="AC60" s="68" cm="1">
        <f t="array" ref="AC60">IFERROR(IF(AC$41&lt;$K60,0,$F60*_xlfn.XLOOKUP($D60,'Capital Call&amp;Distributions data'!$A:$A,INDEX('Capital Call&amp;Distributions data'!$C:$O,0,MIN(MAX(YEAR(AC$41)-YEAR($K60)+$J60+1,1),14)))),0)</f>
        <v>0</v>
      </c>
      <c r="AD60" s="68" cm="1">
        <f t="array" ref="AD60">IFERROR(IF(AD$41&lt;$K60,0,$F60*_xlfn.XLOOKUP($D60,'Capital Call&amp;Distributions data'!$A:$A,INDEX('Capital Call&amp;Distributions data'!$C:$O,0,MIN(MAX(YEAR(AD$41)-YEAR($K60)+$J60+1,1),14)))),0)</f>
        <v>0</v>
      </c>
      <c r="AE60" s="68" cm="1">
        <f t="array" ref="AE60">IFERROR(IF(AE$41&lt;$K60,0,$F60*_xlfn.XLOOKUP($D60,'Capital Call&amp;Distributions data'!$A:$A,INDEX('Capital Call&amp;Distributions data'!$C:$O,0,MIN(MAX(YEAR(AE$41)-YEAR($K60)+$J60+1,1),14)))),0)</f>
        <v>0</v>
      </c>
      <c r="AF60" s="68" cm="1">
        <f t="array" ref="AF60">IFERROR(IF(AF$41&lt;$K60,0,$F60*_xlfn.XLOOKUP($D60,'Capital Call&amp;Distributions data'!$A:$A,INDEX('Capital Call&amp;Distributions data'!$C:$O,0,MIN(MAX(YEAR(AF$41)-YEAR($K60)+$J60+1,1),14)))),0)</f>
        <v>0</v>
      </c>
      <c r="AG60" s="68" cm="1">
        <f t="array" ref="AG60">IFERROR(IF(AG$41&lt;$K60,0,$F60*_xlfn.XLOOKUP($D60,'Capital Call&amp;Distributions data'!$A:$A,INDEX('Capital Call&amp;Distributions data'!$C:$O,0,MIN(MAX(YEAR(AG$41)-YEAR($K60)+$J60+1,1),14)))),0)</f>
        <v>0</v>
      </c>
      <c r="AH60" s="68" cm="1">
        <f t="array" ref="AH60">IFERROR(IF(AH$41&lt;$K60,0,$F60*_xlfn.XLOOKUP($D60,'Capital Call&amp;Distributions data'!$A:$A,INDEX('Capital Call&amp;Distributions data'!$C:$O,0,MIN(MAX(YEAR(AH$41)-YEAR($K60)+$J60+1,1),14)))),0)</f>
        <v>0</v>
      </c>
      <c r="AI60" s="68" cm="1">
        <f t="array" ref="AI60">IFERROR(IF(AI$41&lt;$K60,0,$F60*_xlfn.XLOOKUP($D60,'Capital Call&amp;Distributions data'!$A:$A,INDEX('Capital Call&amp;Distributions data'!$C:$O,0,MIN(MAX(YEAR(AI$41)-YEAR($K60)+$J60+1,1),14)))),0)</f>
        <v>0</v>
      </c>
      <c r="AJ60" s="68" cm="1">
        <f t="array" ref="AJ60">IFERROR(IF(AJ$41&lt;$K60,0,$F60*_xlfn.XLOOKUP($D60,'Capital Call&amp;Distributions data'!$A:$A,INDEX('Capital Call&amp;Distributions data'!$C:$O,0,MIN(MAX(YEAR(AJ$41)-YEAR($K60)+$J60+1,1),14)))),0)</f>
        <v>0</v>
      </c>
      <c r="AK60" s="68" cm="1">
        <f t="array" ref="AK60">IFERROR(IF(AK$41&lt;$K60,0,$F60*_xlfn.XLOOKUP($D60,'Capital Call&amp;Distributions data'!$A:$A,INDEX('Capital Call&amp;Distributions data'!$C:$O,0,MIN(MAX(YEAR(AK$41)-YEAR($K60)+$J60+1,1),14)))),0)</f>
        <v>0</v>
      </c>
      <c r="AL60" s="68" cm="1">
        <f t="array" ref="AL60">IFERROR(IF(AL$41&lt;$K60,0,$F60*_xlfn.XLOOKUP($D60,'Capital Call&amp;Distributions data'!$A:$A,INDEX('Capital Call&amp;Distributions data'!$C:$O,0,MIN(MAX(YEAR(AL$41)-YEAR($K60)+$J60+1,1),14)))),0)</f>
        <v>0</v>
      </c>
      <c r="AM60" s="68" cm="1">
        <f t="array" ref="AM60">IFERROR(IF(AM$41&lt;$K60,0,$F60*_xlfn.XLOOKUP($D60,'Capital Call&amp;Distributions data'!$A:$A,INDEX('Capital Call&amp;Distributions data'!$C:$O,0,MIN(MAX(YEAR(AM$41)-YEAR($K60)+$J60+1,1),14)))),0)</f>
        <v>0</v>
      </c>
      <c r="AN60" s="68" cm="1">
        <f t="array" ref="AN60">IFERROR(IF(AN$41&lt;$K60,0,$F60*_xlfn.XLOOKUP($D60,'Capital Call&amp;Distributions data'!$A:$A,INDEX('Capital Call&amp;Distributions data'!$C:$O,0,MIN(MAX(YEAR(AN$41)-YEAR($K60)+$J60+1,1),14)))),0)</f>
        <v>0</v>
      </c>
      <c r="AO60" s="68" cm="1">
        <f t="array" ref="AO60">IFERROR(IF(AO$41&lt;$K60,0,$F60*_xlfn.XLOOKUP($D60,'Capital Call&amp;Distributions data'!$A:$A,INDEX('Capital Call&amp;Distributions data'!$C:$O,0,MIN(MAX(YEAR(AO$41)-YEAR($K60)+$J60+1,1),14)))),0)</f>
        <v>0</v>
      </c>
      <c r="AP60" s="68" cm="1">
        <f t="array" ref="AP60">IFERROR(IF(AP$41&lt;$K60,0,$F60*_xlfn.XLOOKUP($D60,'Capital Call&amp;Distributions data'!$A:$A,INDEX('Capital Call&amp;Distributions data'!$C:$O,0,MIN(MAX(YEAR(AP$41)-YEAR($K60)+$J60+1,1),14)))),0)</f>
        <v>0</v>
      </c>
      <c r="AQ60" s="68" cm="1">
        <f t="array" ref="AQ60">IFERROR(IF(AQ$41&lt;$K60,0,$F60*_xlfn.XLOOKUP($D60,'Capital Call&amp;Distributions data'!$A:$A,INDEX('Capital Call&amp;Distributions data'!$C:$O,0,MIN(MAX(YEAR(AQ$41)-YEAR($K60)+$J60+1,1),14)))),0)</f>
        <v>0</v>
      </c>
      <c r="AR60" s="68" cm="1">
        <f t="array" ref="AR60">IFERROR(IF(AR$41&lt;$K60,0,$F60*_xlfn.XLOOKUP($D60,'Capital Call&amp;Distributions data'!$A:$A,INDEX('Capital Call&amp;Distributions data'!$C:$O,0,MIN(MAX(YEAR(AR$41)-YEAR($K60)+$J60+1,1),14)))),0)</f>
        <v>0</v>
      </c>
      <c r="AS60" s="68" cm="1">
        <f t="array" ref="AS60">IFERROR(IF(AS$41&lt;$K60,0,$F60*_xlfn.XLOOKUP($D60,'Capital Call&amp;Distributions data'!$A:$A,INDEX('Capital Call&amp;Distributions data'!$C:$O,0,MIN(MAX(YEAR(AS$41)-YEAR($K60)+$J60+1,1),14)))),0)</f>
        <v>0</v>
      </c>
      <c r="AT60" s="68" cm="1">
        <f t="array" ref="AT60">IFERROR(IF(AT$41&lt;$K60,0,$F60*_xlfn.XLOOKUP($D60,'Capital Call&amp;Distributions data'!$A:$A,INDEX('Capital Call&amp;Distributions data'!$C:$O,0,MIN(MAX(YEAR(AT$41)-YEAR($K60)+$J60+1,1),14)))),0)</f>
        <v>0</v>
      </c>
      <c r="AU60" s="68" cm="1">
        <f t="array" ref="AU60">IFERROR(IF(AU$41&lt;$K60,0,$F60*_xlfn.XLOOKUP($D60,'Capital Call&amp;Distributions data'!$A:$A,INDEX('Capital Call&amp;Distributions data'!$C:$O,0,MIN(MAX(YEAR(AU$41)-YEAR($K60)+$J60+1,1),14)))),0)</f>
        <v>0</v>
      </c>
      <c r="AW60" s="1"/>
      <c r="DJ60" s="11"/>
    </row>
    <row r="61" spans="3:114" ht="29.25" hidden="1" customHeight="1" outlineLevel="1">
      <c r="C61" s="20"/>
      <c r="D61" s="21">
        <f>_xlfn.XLOOKUP(C61,Fondsen!B:B,Fondsen!C:C,"0",0,1)</f>
        <v>0</v>
      </c>
      <c r="E61" s="21" t="s">
        <v>10</v>
      </c>
      <c r="F61" s="83"/>
      <c r="G61" s="143" t="str">
        <f ca="1">IFERROR(IF(SUM(OFFSET(INDEX('Capital Call&amp;Distributions data'!A:A,MATCH(D61,'Capital Call&amp;Distributions data'!A:A,0)),-1,2,1,1000))=0,"✔",""),"")</f>
        <v/>
      </c>
      <c r="H61" s="138" t="str">
        <f t="shared" si="4"/>
        <v/>
      </c>
      <c r="I61" s="96">
        <v>47849</v>
      </c>
      <c r="J61" s="107">
        <f t="shared" si="3"/>
        <v>0</v>
      </c>
      <c r="K61" s="96">
        <v>47849</v>
      </c>
      <c r="L61" s="68" cm="1">
        <f t="array" ref="L61">IFERROR(IF(L$41&lt;$K61,0,$F61*_xlfn.XLOOKUP($D61,'Capital Call&amp;Distributions data'!$A:$A,INDEX('Capital Call&amp;Distributions data'!$C:$O,0,MIN(MAX(YEAR(L$41)-YEAR($K61)+$J61+1,1),14)))),0)</f>
        <v>0</v>
      </c>
      <c r="M61" s="68" cm="1">
        <f t="array" ref="M61">IFERROR(IF(M$41&lt;$K61,0,$F61*_xlfn.XLOOKUP($D61,'Capital Call&amp;Distributions data'!$A:$A,INDEX('Capital Call&amp;Distributions data'!$C:$O,0,MIN(MAX(YEAR(M$41)-YEAR($K61)+$J61+1,1),14)))),0)</f>
        <v>0</v>
      </c>
      <c r="N61" s="68" cm="1">
        <f t="array" ref="N61">IFERROR(IF(N$41&lt;$K61,0,$F61*_xlfn.XLOOKUP($D61,'Capital Call&amp;Distributions data'!$A:$A,INDEX('Capital Call&amp;Distributions data'!$C:$O,0,MIN(MAX(YEAR(N$41)-YEAR($K61)+$J61+1,1),14)))),0)</f>
        <v>0</v>
      </c>
      <c r="O61" s="68" cm="1">
        <f t="array" ref="O61">IFERROR(IF(O$41&lt;$K61,0,$F61*_xlfn.XLOOKUP($D61,'Capital Call&amp;Distributions data'!$A:$A,INDEX('Capital Call&amp;Distributions data'!$C:$O,0,MIN(MAX(YEAR(O$41)-YEAR($K61)+$J61+1,1),14)))),0)</f>
        <v>0</v>
      </c>
      <c r="P61" s="68" cm="1">
        <f t="array" ref="P61">IFERROR(IF(P$41&lt;$K61,0,$F61*_xlfn.XLOOKUP($D61,'Capital Call&amp;Distributions data'!$A:$A,INDEX('Capital Call&amp;Distributions data'!$C:$O,0,MIN(MAX(YEAR(P$41)-YEAR($K61)+$J61+1,1),14)))),0)</f>
        <v>0</v>
      </c>
      <c r="Q61" s="68" cm="1">
        <f t="array" ref="Q61">IFERROR(IF(Q$41&lt;$K61,0,$F61*_xlfn.XLOOKUP($D61,'Capital Call&amp;Distributions data'!$A:$A,INDEX('Capital Call&amp;Distributions data'!$C:$O,0,MIN(MAX(YEAR(Q$41)-YEAR($K61)+$J61+1,1),14)))),0)</f>
        <v>0</v>
      </c>
      <c r="R61" s="68" cm="1">
        <f t="array" ref="R61">IFERROR(IF(R$41&lt;$K61,0,$F61*_xlfn.XLOOKUP($D61,'Capital Call&amp;Distributions data'!$A:$A,INDEX('Capital Call&amp;Distributions data'!$C:$O,0,MIN(MAX(YEAR(R$41)-YEAR($K61)+$J61+1,1),14)))),0)</f>
        <v>0</v>
      </c>
      <c r="S61" s="68" cm="1">
        <f t="array" ref="S61">IFERROR(IF(S$41&lt;$K61,0,$F61*_xlfn.XLOOKUP($D61,'Capital Call&amp;Distributions data'!$A:$A,INDEX('Capital Call&amp;Distributions data'!$C:$O,0,MIN(MAX(YEAR(S$41)-YEAR($K61)+$J61+1,1),14)))),0)</f>
        <v>0</v>
      </c>
      <c r="T61" s="68" cm="1">
        <f t="array" ref="T61">IFERROR(IF(T$41&lt;$K61,0,$F61*_xlfn.XLOOKUP($D61,'Capital Call&amp;Distributions data'!$A:$A,INDEX('Capital Call&amp;Distributions data'!$C:$O,0,MIN(MAX(YEAR(T$41)-YEAR($K61)+$J61+1,1),14)))),0)</f>
        <v>0</v>
      </c>
      <c r="U61" s="68" cm="1">
        <f t="array" ref="U61">IFERROR(IF(U$41&lt;$K61,0,$F61*_xlfn.XLOOKUP($D61,'Capital Call&amp;Distributions data'!$A:$A,INDEX('Capital Call&amp;Distributions data'!$C:$O,0,MIN(MAX(YEAR(U$41)-YEAR($K61)+$J61+1,1),14)))),0)</f>
        <v>0</v>
      </c>
      <c r="V61" s="68" cm="1">
        <f t="array" ref="V61">IFERROR(IF(V$41&lt;$K61,0,$F61*_xlfn.XLOOKUP($D61,'Capital Call&amp;Distributions data'!$A:$A,INDEX('Capital Call&amp;Distributions data'!$C:$O,0,MIN(MAX(YEAR(V$41)-YEAR($K61)+$J61+1,1),14)))),0)</f>
        <v>0</v>
      </c>
      <c r="W61" s="68" cm="1">
        <f t="array" ref="W61">IFERROR(IF(W$41&lt;$K61,0,$F61*_xlfn.XLOOKUP($D61,'Capital Call&amp;Distributions data'!$A:$A,INDEX('Capital Call&amp;Distributions data'!$C:$O,0,MIN(MAX(YEAR(W$41)-YEAR($K61)+$J61+1,1),14)))),0)</f>
        <v>0</v>
      </c>
      <c r="X61" s="68" cm="1">
        <f t="array" ref="X61">IFERROR(IF(X$41&lt;$K61,0,$F61*_xlfn.XLOOKUP($D61,'Capital Call&amp;Distributions data'!$A:$A,INDEX('Capital Call&amp;Distributions data'!$C:$O,0,MIN(MAX(YEAR(X$41)-YEAR($K61)+$J61+1,1),14)))),0)</f>
        <v>0</v>
      </c>
      <c r="Y61" s="68" cm="1">
        <f t="array" ref="Y61">IFERROR(IF(Y$41&lt;$K61,0,$F61*_xlfn.XLOOKUP($D61,'Capital Call&amp;Distributions data'!$A:$A,INDEX('Capital Call&amp;Distributions data'!$C:$O,0,MIN(MAX(YEAR(Y$41)-YEAR($K61)+$J61+1,1),14)))),0)</f>
        <v>0</v>
      </c>
      <c r="Z61" s="68" cm="1">
        <f t="array" ref="Z61">IFERROR(IF(Z$41&lt;$K61,0,$F61*_xlfn.XLOOKUP($D61,'Capital Call&amp;Distributions data'!$A:$A,INDEX('Capital Call&amp;Distributions data'!$C:$O,0,MIN(MAX(YEAR(Z$41)-YEAR($K61)+$J61+1,1),14)))),0)</f>
        <v>0</v>
      </c>
      <c r="AA61" s="68" cm="1">
        <f t="array" ref="AA61">IFERROR(IF(AA$41&lt;$K61,0,$F61*_xlfn.XLOOKUP($D61,'Capital Call&amp;Distributions data'!$A:$A,INDEX('Capital Call&amp;Distributions data'!$C:$O,0,MIN(MAX(YEAR(AA$41)-YEAR($K61)+$J61+1,1),14)))),0)</f>
        <v>0</v>
      </c>
      <c r="AB61" s="68" cm="1">
        <f t="array" ref="AB61">IFERROR(IF(AB$41&lt;$K61,0,$F61*_xlfn.XLOOKUP($D61,'Capital Call&amp;Distributions data'!$A:$A,INDEX('Capital Call&amp;Distributions data'!$C:$O,0,MIN(MAX(YEAR(AB$41)-YEAR($K61)+$J61+1,1),14)))),0)</f>
        <v>0</v>
      </c>
      <c r="AC61" s="68" cm="1">
        <f t="array" ref="AC61">IFERROR(IF(AC$41&lt;$K61,0,$F61*_xlfn.XLOOKUP($D61,'Capital Call&amp;Distributions data'!$A:$A,INDEX('Capital Call&amp;Distributions data'!$C:$O,0,MIN(MAX(YEAR(AC$41)-YEAR($K61)+$J61+1,1),14)))),0)</f>
        <v>0</v>
      </c>
      <c r="AD61" s="68" cm="1">
        <f t="array" ref="AD61">IFERROR(IF(AD$41&lt;$K61,0,$F61*_xlfn.XLOOKUP($D61,'Capital Call&amp;Distributions data'!$A:$A,INDEX('Capital Call&amp;Distributions data'!$C:$O,0,MIN(MAX(YEAR(AD$41)-YEAR($K61)+$J61+1,1),14)))),0)</f>
        <v>0</v>
      </c>
      <c r="AE61" s="68" cm="1">
        <f t="array" ref="AE61">IFERROR(IF(AE$41&lt;$K61,0,$F61*_xlfn.XLOOKUP($D61,'Capital Call&amp;Distributions data'!$A:$A,INDEX('Capital Call&amp;Distributions data'!$C:$O,0,MIN(MAX(YEAR(AE$41)-YEAR($K61)+$J61+1,1),14)))),0)</f>
        <v>0</v>
      </c>
      <c r="AF61" s="68" cm="1">
        <f t="array" ref="AF61">IFERROR(IF(AF$41&lt;$K61,0,$F61*_xlfn.XLOOKUP($D61,'Capital Call&amp;Distributions data'!$A:$A,INDEX('Capital Call&amp;Distributions data'!$C:$O,0,MIN(MAX(YEAR(AF$41)-YEAR($K61)+$J61+1,1),14)))),0)</f>
        <v>0</v>
      </c>
      <c r="AG61" s="68" cm="1">
        <f t="array" ref="AG61">IFERROR(IF(AG$41&lt;$K61,0,$F61*_xlfn.XLOOKUP($D61,'Capital Call&amp;Distributions data'!$A:$A,INDEX('Capital Call&amp;Distributions data'!$C:$O,0,MIN(MAX(YEAR(AG$41)-YEAR($K61)+$J61+1,1),14)))),0)</f>
        <v>0</v>
      </c>
      <c r="AH61" s="68" cm="1">
        <f t="array" ref="AH61">IFERROR(IF(AH$41&lt;$K61,0,$F61*_xlfn.XLOOKUP($D61,'Capital Call&amp;Distributions data'!$A:$A,INDEX('Capital Call&amp;Distributions data'!$C:$O,0,MIN(MAX(YEAR(AH$41)-YEAR($K61)+$J61+1,1),14)))),0)</f>
        <v>0</v>
      </c>
      <c r="AI61" s="68" cm="1">
        <f t="array" ref="AI61">IFERROR(IF(AI$41&lt;$K61,0,$F61*_xlfn.XLOOKUP($D61,'Capital Call&amp;Distributions data'!$A:$A,INDEX('Capital Call&amp;Distributions data'!$C:$O,0,MIN(MAX(YEAR(AI$41)-YEAR($K61)+$J61+1,1),14)))),0)</f>
        <v>0</v>
      </c>
      <c r="AJ61" s="68" cm="1">
        <f t="array" ref="AJ61">IFERROR(IF(AJ$41&lt;$K61,0,$F61*_xlfn.XLOOKUP($D61,'Capital Call&amp;Distributions data'!$A:$A,INDEX('Capital Call&amp;Distributions data'!$C:$O,0,MIN(MAX(YEAR(AJ$41)-YEAR($K61)+$J61+1,1),14)))),0)</f>
        <v>0</v>
      </c>
      <c r="AK61" s="68" cm="1">
        <f t="array" ref="AK61">IFERROR(IF(AK$41&lt;$K61,0,$F61*_xlfn.XLOOKUP($D61,'Capital Call&amp;Distributions data'!$A:$A,INDEX('Capital Call&amp;Distributions data'!$C:$O,0,MIN(MAX(YEAR(AK$41)-YEAR($K61)+$J61+1,1),14)))),0)</f>
        <v>0</v>
      </c>
      <c r="AL61" s="68" cm="1">
        <f t="array" ref="AL61">IFERROR(IF(AL$41&lt;$K61,0,$F61*_xlfn.XLOOKUP($D61,'Capital Call&amp;Distributions data'!$A:$A,INDEX('Capital Call&amp;Distributions data'!$C:$O,0,MIN(MAX(YEAR(AL$41)-YEAR($K61)+$J61+1,1),14)))),0)</f>
        <v>0</v>
      </c>
      <c r="AM61" s="68" cm="1">
        <f t="array" ref="AM61">IFERROR(IF(AM$41&lt;$K61,0,$F61*_xlfn.XLOOKUP($D61,'Capital Call&amp;Distributions data'!$A:$A,INDEX('Capital Call&amp;Distributions data'!$C:$O,0,MIN(MAX(YEAR(AM$41)-YEAR($K61)+$J61+1,1),14)))),0)</f>
        <v>0</v>
      </c>
      <c r="AN61" s="68" cm="1">
        <f t="array" ref="AN61">IFERROR(IF(AN$41&lt;$K61,0,$F61*_xlfn.XLOOKUP($D61,'Capital Call&amp;Distributions data'!$A:$A,INDEX('Capital Call&amp;Distributions data'!$C:$O,0,MIN(MAX(YEAR(AN$41)-YEAR($K61)+$J61+1,1),14)))),0)</f>
        <v>0</v>
      </c>
      <c r="AO61" s="68" cm="1">
        <f t="array" ref="AO61">IFERROR(IF(AO$41&lt;$K61,0,$F61*_xlfn.XLOOKUP($D61,'Capital Call&amp;Distributions data'!$A:$A,INDEX('Capital Call&amp;Distributions data'!$C:$O,0,MIN(MAX(YEAR(AO$41)-YEAR($K61)+$J61+1,1),14)))),0)</f>
        <v>0</v>
      </c>
      <c r="AP61" s="68" cm="1">
        <f t="array" ref="AP61">IFERROR(IF(AP$41&lt;$K61,0,$F61*_xlfn.XLOOKUP($D61,'Capital Call&amp;Distributions data'!$A:$A,INDEX('Capital Call&amp;Distributions data'!$C:$O,0,MIN(MAX(YEAR(AP$41)-YEAR($K61)+$J61+1,1),14)))),0)</f>
        <v>0</v>
      </c>
      <c r="AQ61" s="68" cm="1">
        <f t="array" ref="AQ61">IFERROR(IF(AQ$41&lt;$K61,0,$F61*_xlfn.XLOOKUP($D61,'Capital Call&amp;Distributions data'!$A:$A,INDEX('Capital Call&amp;Distributions data'!$C:$O,0,MIN(MAX(YEAR(AQ$41)-YEAR($K61)+$J61+1,1),14)))),0)</f>
        <v>0</v>
      </c>
      <c r="AR61" s="68" cm="1">
        <f t="array" ref="AR61">IFERROR(IF(AR$41&lt;$K61,0,$F61*_xlfn.XLOOKUP($D61,'Capital Call&amp;Distributions data'!$A:$A,INDEX('Capital Call&amp;Distributions data'!$C:$O,0,MIN(MAX(YEAR(AR$41)-YEAR($K61)+$J61+1,1),14)))),0)</f>
        <v>0</v>
      </c>
      <c r="AS61" s="68" cm="1">
        <f t="array" ref="AS61">IFERROR(IF(AS$41&lt;$K61,0,$F61*_xlfn.XLOOKUP($D61,'Capital Call&amp;Distributions data'!$A:$A,INDEX('Capital Call&amp;Distributions data'!$C:$O,0,MIN(MAX(YEAR(AS$41)-YEAR($K61)+$J61+1,1),14)))),0)</f>
        <v>0</v>
      </c>
      <c r="AT61" s="68" cm="1">
        <f t="array" ref="AT61">IFERROR(IF(AT$41&lt;$K61,0,$F61*_xlfn.XLOOKUP($D61,'Capital Call&amp;Distributions data'!$A:$A,INDEX('Capital Call&amp;Distributions data'!$C:$O,0,MIN(MAX(YEAR(AT$41)-YEAR($K61)+$J61+1,1),14)))),0)</f>
        <v>0</v>
      </c>
      <c r="AU61" s="68" cm="1">
        <f t="array" ref="AU61">IFERROR(IF(AU$41&lt;$K61,0,$F61*_xlfn.XLOOKUP($D61,'Capital Call&amp;Distributions data'!$A:$A,INDEX('Capital Call&amp;Distributions data'!$C:$O,0,MIN(MAX(YEAR(AU$41)-YEAR($K61)+$J61+1,1),14)))),0)</f>
        <v>0</v>
      </c>
      <c r="AW61" s="1"/>
      <c r="DJ61" s="11"/>
    </row>
    <row r="62" spans="3:114" ht="29.25" hidden="1" customHeight="1" outlineLevel="1">
      <c r="C62" s="20"/>
      <c r="D62" s="21">
        <f>_xlfn.XLOOKUP(C62,Fondsen!B:B,Fondsen!C:C,"0",0,1)</f>
        <v>0</v>
      </c>
      <c r="E62" s="21" t="s">
        <v>10</v>
      </c>
      <c r="F62" s="83"/>
      <c r="G62" s="143" t="str">
        <f ca="1">IFERROR(IF(SUM(OFFSET(INDEX('Capital Call&amp;Distributions data'!A:A,MATCH(D62,'Capital Call&amp;Distributions data'!A:A,0)),-1,2,1,1000))=0,"✔",""),"")</f>
        <v/>
      </c>
      <c r="H62" s="138" t="str">
        <f t="shared" si="4"/>
        <v/>
      </c>
      <c r="I62" s="96">
        <v>47849</v>
      </c>
      <c r="J62" s="107">
        <f t="shared" si="3"/>
        <v>0</v>
      </c>
      <c r="K62" s="96">
        <v>47849</v>
      </c>
      <c r="L62" s="68" cm="1">
        <f t="array" ref="L62">IFERROR(IF(L$41&lt;$K62,0,$F62*_xlfn.XLOOKUP($D62,'Capital Call&amp;Distributions data'!$A:$A,INDEX('Capital Call&amp;Distributions data'!$C:$O,0,MIN(MAX(YEAR(L$41)-YEAR($K62)+$J62+1,1),14)))),0)</f>
        <v>0</v>
      </c>
      <c r="M62" s="68" cm="1">
        <f t="array" ref="M62">IFERROR(IF(M$41&lt;$K62,0,$F62*_xlfn.XLOOKUP($D62,'Capital Call&amp;Distributions data'!$A:$A,INDEX('Capital Call&amp;Distributions data'!$C:$O,0,MIN(MAX(YEAR(M$41)-YEAR($K62)+$J62+1,1),14)))),0)</f>
        <v>0</v>
      </c>
      <c r="N62" s="68" cm="1">
        <f t="array" ref="N62">IFERROR(IF(N$41&lt;$K62,0,$F62*_xlfn.XLOOKUP($D62,'Capital Call&amp;Distributions data'!$A:$A,INDEX('Capital Call&amp;Distributions data'!$C:$O,0,MIN(MAX(YEAR(N$41)-YEAR($K62)+$J62+1,1),14)))),0)</f>
        <v>0</v>
      </c>
      <c r="O62" s="68" cm="1">
        <f t="array" ref="O62">IFERROR(IF(O$41&lt;$K62,0,$F62*_xlfn.XLOOKUP($D62,'Capital Call&amp;Distributions data'!$A:$A,INDEX('Capital Call&amp;Distributions data'!$C:$O,0,MIN(MAX(YEAR(O$41)-YEAR($K62)+$J62+1,1),14)))),0)</f>
        <v>0</v>
      </c>
      <c r="P62" s="68" cm="1">
        <f t="array" ref="P62">IFERROR(IF(P$41&lt;$K62,0,$F62*_xlfn.XLOOKUP($D62,'Capital Call&amp;Distributions data'!$A:$A,INDEX('Capital Call&amp;Distributions data'!$C:$O,0,MIN(MAX(YEAR(P$41)-YEAR($K62)+$J62+1,1),14)))),0)</f>
        <v>0</v>
      </c>
      <c r="Q62" s="68" cm="1">
        <f t="array" ref="Q62">IFERROR(IF(Q$41&lt;$K62,0,$F62*_xlfn.XLOOKUP($D62,'Capital Call&amp;Distributions data'!$A:$A,INDEX('Capital Call&amp;Distributions data'!$C:$O,0,MIN(MAX(YEAR(Q$41)-YEAR($K62)+$J62+1,1),14)))),0)</f>
        <v>0</v>
      </c>
      <c r="R62" s="68" cm="1">
        <f t="array" ref="R62">IFERROR(IF(R$41&lt;$K62,0,$F62*_xlfn.XLOOKUP($D62,'Capital Call&amp;Distributions data'!$A:$A,INDEX('Capital Call&amp;Distributions data'!$C:$O,0,MIN(MAX(YEAR(R$41)-YEAR($K62)+$J62+1,1),14)))),0)</f>
        <v>0</v>
      </c>
      <c r="S62" s="68" cm="1">
        <f t="array" ref="S62">IFERROR(IF(S$41&lt;$K62,0,$F62*_xlfn.XLOOKUP($D62,'Capital Call&amp;Distributions data'!$A:$A,INDEX('Capital Call&amp;Distributions data'!$C:$O,0,MIN(MAX(YEAR(S$41)-YEAR($K62)+$J62+1,1),14)))),0)</f>
        <v>0</v>
      </c>
      <c r="T62" s="68" cm="1">
        <f t="array" ref="T62">IFERROR(IF(T$41&lt;$K62,0,$F62*_xlfn.XLOOKUP($D62,'Capital Call&amp;Distributions data'!$A:$A,INDEX('Capital Call&amp;Distributions data'!$C:$O,0,MIN(MAX(YEAR(T$41)-YEAR($K62)+$J62+1,1),14)))),0)</f>
        <v>0</v>
      </c>
      <c r="U62" s="68" cm="1">
        <f t="array" ref="U62">IFERROR(IF(U$41&lt;$K62,0,$F62*_xlfn.XLOOKUP($D62,'Capital Call&amp;Distributions data'!$A:$A,INDEX('Capital Call&amp;Distributions data'!$C:$O,0,MIN(MAX(YEAR(U$41)-YEAR($K62)+$J62+1,1),14)))),0)</f>
        <v>0</v>
      </c>
      <c r="V62" s="68" cm="1">
        <f t="array" ref="V62">IFERROR(IF(V$41&lt;$K62,0,$F62*_xlfn.XLOOKUP($D62,'Capital Call&amp;Distributions data'!$A:$A,INDEX('Capital Call&amp;Distributions data'!$C:$O,0,MIN(MAX(YEAR(V$41)-YEAR($K62)+$J62+1,1),14)))),0)</f>
        <v>0</v>
      </c>
      <c r="W62" s="68" cm="1">
        <f t="array" ref="W62">IFERROR(IF(W$41&lt;$K62,0,$F62*_xlfn.XLOOKUP($D62,'Capital Call&amp;Distributions data'!$A:$A,INDEX('Capital Call&amp;Distributions data'!$C:$O,0,MIN(MAX(YEAR(W$41)-YEAR($K62)+$J62+1,1),14)))),0)</f>
        <v>0</v>
      </c>
      <c r="X62" s="68" cm="1">
        <f t="array" ref="X62">IFERROR(IF(X$41&lt;$K62,0,$F62*_xlfn.XLOOKUP($D62,'Capital Call&amp;Distributions data'!$A:$A,INDEX('Capital Call&amp;Distributions data'!$C:$O,0,MIN(MAX(YEAR(X$41)-YEAR($K62)+$J62+1,1),14)))),0)</f>
        <v>0</v>
      </c>
      <c r="Y62" s="68" cm="1">
        <f t="array" ref="Y62">IFERROR(IF(Y$41&lt;$K62,0,$F62*_xlfn.XLOOKUP($D62,'Capital Call&amp;Distributions data'!$A:$A,INDEX('Capital Call&amp;Distributions data'!$C:$O,0,MIN(MAX(YEAR(Y$41)-YEAR($K62)+$J62+1,1),14)))),0)</f>
        <v>0</v>
      </c>
      <c r="Z62" s="68" cm="1">
        <f t="array" ref="Z62">IFERROR(IF(Z$41&lt;$K62,0,$F62*_xlfn.XLOOKUP($D62,'Capital Call&amp;Distributions data'!$A:$A,INDEX('Capital Call&amp;Distributions data'!$C:$O,0,MIN(MAX(YEAR(Z$41)-YEAR($K62)+$J62+1,1),14)))),0)</f>
        <v>0</v>
      </c>
      <c r="AA62" s="68" cm="1">
        <f t="array" ref="AA62">IFERROR(IF(AA$41&lt;$K62,0,$F62*_xlfn.XLOOKUP($D62,'Capital Call&amp;Distributions data'!$A:$A,INDEX('Capital Call&amp;Distributions data'!$C:$O,0,MIN(MAX(YEAR(AA$41)-YEAR($K62)+$J62+1,1),14)))),0)</f>
        <v>0</v>
      </c>
      <c r="AB62" s="68" cm="1">
        <f t="array" ref="AB62">IFERROR(IF(AB$41&lt;$K62,0,$F62*_xlfn.XLOOKUP($D62,'Capital Call&amp;Distributions data'!$A:$A,INDEX('Capital Call&amp;Distributions data'!$C:$O,0,MIN(MAX(YEAR(AB$41)-YEAR($K62)+$J62+1,1),14)))),0)</f>
        <v>0</v>
      </c>
      <c r="AC62" s="68" cm="1">
        <f t="array" ref="AC62">IFERROR(IF(AC$41&lt;$K62,0,$F62*_xlfn.XLOOKUP($D62,'Capital Call&amp;Distributions data'!$A:$A,INDEX('Capital Call&amp;Distributions data'!$C:$O,0,MIN(MAX(YEAR(AC$41)-YEAR($K62)+$J62+1,1),14)))),0)</f>
        <v>0</v>
      </c>
      <c r="AD62" s="68" cm="1">
        <f t="array" ref="AD62">IFERROR(IF(AD$41&lt;$K62,0,$F62*_xlfn.XLOOKUP($D62,'Capital Call&amp;Distributions data'!$A:$A,INDEX('Capital Call&amp;Distributions data'!$C:$O,0,MIN(MAX(YEAR(AD$41)-YEAR($K62)+$J62+1,1),14)))),0)</f>
        <v>0</v>
      </c>
      <c r="AE62" s="68" cm="1">
        <f t="array" ref="AE62">IFERROR(IF(AE$41&lt;$K62,0,$F62*_xlfn.XLOOKUP($D62,'Capital Call&amp;Distributions data'!$A:$A,INDEX('Capital Call&amp;Distributions data'!$C:$O,0,MIN(MAX(YEAR(AE$41)-YEAR($K62)+$J62+1,1),14)))),0)</f>
        <v>0</v>
      </c>
      <c r="AF62" s="68" cm="1">
        <f t="array" ref="AF62">IFERROR(IF(AF$41&lt;$K62,0,$F62*_xlfn.XLOOKUP($D62,'Capital Call&amp;Distributions data'!$A:$A,INDEX('Capital Call&amp;Distributions data'!$C:$O,0,MIN(MAX(YEAR(AF$41)-YEAR($K62)+$J62+1,1),14)))),0)</f>
        <v>0</v>
      </c>
      <c r="AG62" s="68" cm="1">
        <f t="array" ref="AG62">IFERROR(IF(AG$41&lt;$K62,0,$F62*_xlfn.XLOOKUP($D62,'Capital Call&amp;Distributions data'!$A:$A,INDEX('Capital Call&amp;Distributions data'!$C:$O,0,MIN(MAX(YEAR(AG$41)-YEAR($K62)+$J62+1,1),14)))),0)</f>
        <v>0</v>
      </c>
      <c r="AH62" s="68" cm="1">
        <f t="array" ref="AH62">IFERROR(IF(AH$41&lt;$K62,0,$F62*_xlfn.XLOOKUP($D62,'Capital Call&amp;Distributions data'!$A:$A,INDEX('Capital Call&amp;Distributions data'!$C:$O,0,MIN(MAX(YEAR(AH$41)-YEAR($K62)+$J62+1,1),14)))),0)</f>
        <v>0</v>
      </c>
      <c r="AI62" s="68" cm="1">
        <f t="array" ref="AI62">IFERROR(IF(AI$41&lt;$K62,0,$F62*_xlfn.XLOOKUP($D62,'Capital Call&amp;Distributions data'!$A:$A,INDEX('Capital Call&amp;Distributions data'!$C:$O,0,MIN(MAX(YEAR(AI$41)-YEAR($K62)+$J62+1,1),14)))),0)</f>
        <v>0</v>
      </c>
      <c r="AJ62" s="68" cm="1">
        <f t="array" ref="AJ62">IFERROR(IF(AJ$41&lt;$K62,0,$F62*_xlfn.XLOOKUP($D62,'Capital Call&amp;Distributions data'!$A:$A,INDEX('Capital Call&amp;Distributions data'!$C:$O,0,MIN(MAX(YEAR(AJ$41)-YEAR($K62)+$J62+1,1),14)))),0)</f>
        <v>0</v>
      </c>
      <c r="AK62" s="68" cm="1">
        <f t="array" ref="AK62">IFERROR(IF(AK$41&lt;$K62,0,$F62*_xlfn.XLOOKUP($D62,'Capital Call&amp;Distributions data'!$A:$A,INDEX('Capital Call&amp;Distributions data'!$C:$O,0,MIN(MAX(YEAR(AK$41)-YEAR($K62)+$J62+1,1),14)))),0)</f>
        <v>0</v>
      </c>
      <c r="AL62" s="68" cm="1">
        <f t="array" ref="AL62">IFERROR(IF(AL$41&lt;$K62,0,$F62*_xlfn.XLOOKUP($D62,'Capital Call&amp;Distributions data'!$A:$A,INDEX('Capital Call&amp;Distributions data'!$C:$O,0,MIN(MAX(YEAR(AL$41)-YEAR($K62)+$J62+1,1),14)))),0)</f>
        <v>0</v>
      </c>
      <c r="AM62" s="68" cm="1">
        <f t="array" ref="AM62">IFERROR(IF(AM$41&lt;$K62,0,$F62*_xlfn.XLOOKUP($D62,'Capital Call&amp;Distributions data'!$A:$A,INDEX('Capital Call&amp;Distributions data'!$C:$O,0,MIN(MAX(YEAR(AM$41)-YEAR($K62)+$J62+1,1),14)))),0)</f>
        <v>0</v>
      </c>
      <c r="AN62" s="68" cm="1">
        <f t="array" ref="AN62">IFERROR(IF(AN$41&lt;$K62,0,$F62*_xlfn.XLOOKUP($D62,'Capital Call&amp;Distributions data'!$A:$A,INDEX('Capital Call&amp;Distributions data'!$C:$O,0,MIN(MAX(YEAR(AN$41)-YEAR($K62)+$J62+1,1),14)))),0)</f>
        <v>0</v>
      </c>
      <c r="AO62" s="68" cm="1">
        <f t="array" ref="AO62">IFERROR(IF(AO$41&lt;$K62,0,$F62*_xlfn.XLOOKUP($D62,'Capital Call&amp;Distributions data'!$A:$A,INDEX('Capital Call&amp;Distributions data'!$C:$O,0,MIN(MAX(YEAR(AO$41)-YEAR($K62)+$J62+1,1),14)))),0)</f>
        <v>0</v>
      </c>
      <c r="AP62" s="68" cm="1">
        <f t="array" ref="AP62">IFERROR(IF(AP$41&lt;$K62,0,$F62*_xlfn.XLOOKUP($D62,'Capital Call&amp;Distributions data'!$A:$A,INDEX('Capital Call&amp;Distributions data'!$C:$O,0,MIN(MAX(YEAR(AP$41)-YEAR($K62)+$J62+1,1),14)))),0)</f>
        <v>0</v>
      </c>
      <c r="AQ62" s="68" cm="1">
        <f t="array" ref="AQ62">IFERROR(IF(AQ$41&lt;$K62,0,$F62*_xlfn.XLOOKUP($D62,'Capital Call&amp;Distributions data'!$A:$A,INDEX('Capital Call&amp;Distributions data'!$C:$O,0,MIN(MAX(YEAR(AQ$41)-YEAR($K62)+$J62+1,1),14)))),0)</f>
        <v>0</v>
      </c>
      <c r="AR62" s="68" cm="1">
        <f t="array" ref="AR62">IFERROR(IF(AR$41&lt;$K62,0,$F62*_xlfn.XLOOKUP($D62,'Capital Call&amp;Distributions data'!$A:$A,INDEX('Capital Call&amp;Distributions data'!$C:$O,0,MIN(MAX(YEAR(AR$41)-YEAR($K62)+$J62+1,1),14)))),0)</f>
        <v>0</v>
      </c>
      <c r="AS62" s="68" cm="1">
        <f t="array" ref="AS62">IFERROR(IF(AS$41&lt;$K62,0,$F62*_xlfn.XLOOKUP($D62,'Capital Call&amp;Distributions data'!$A:$A,INDEX('Capital Call&amp;Distributions data'!$C:$O,0,MIN(MAX(YEAR(AS$41)-YEAR($K62)+$J62+1,1),14)))),0)</f>
        <v>0</v>
      </c>
      <c r="AT62" s="68" cm="1">
        <f t="array" ref="AT62">IFERROR(IF(AT$41&lt;$K62,0,$F62*_xlfn.XLOOKUP($D62,'Capital Call&amp;Distributions data'!$A:$A,INDEX('Capital Call&amp;Distributions data'!$C:$O,0,MIN(MAX(YEAR(AT$41)-YEAR($K62)+$J62+1,1),14)))),0)</f>
        <v>0</v>
      </c>
      <c r="AU62" s="68" cm="1">
        <f t="array" ref="AU62">IFERROR(IF(AU$41&lt;$K62,0,$F62*_xlfn.XLOOKUP($D62,'Capital Call&amp;Distributions data'!$A:$A,INDEX('Capital Call&amp;Distributions data'!$C:$O,0,MIN(MAX(YEAR(AU$41)-YEAR($K62)+$J62+1,1),14)))),0)</f>
        <v>0</v>
      </c>
      <c r="AW62" s="1"/>
      <c r="DJ62" s="11"/>
    </row>
    <row r="63" spans="3:114" ht="29.25" hidden="1" customHeight="1" outlineLevel="1">
      <c r="C63" s="20"/>
      <c r="D63" s="21">
        <f>_xlfn.XLOOKUP(C63,Fondsen!B:B,Fondsen!C:C,"0",0,1)</f>
        <v>0</v>
      </c>
      <c r="E63" s="21" t="s">
        <v>10</v>
      </c>
      <c r="F63" s="83"/>
      <c r="G63" s="143" t="str">
        <f ca="1">IFERROR(IF(SUM(OFFSET(INDEX('Capital Call&amp;Distributions data'!A:A,MATCH(D63,'Capital Call&amp;Distributions data'!A:A,0)),-1,2,1,1000))=0,"✔",""),"")</f>
        <v/>
      </c>
      <c r="H63" s="138" t="str">
        <f t="shared" si="4"/>
        <v/>
      </c>
      <c r="I63" s="96">
        <v>47849</v>
      </c>
      <c r="J63" s="107">
        <f t="shared" si="3"/>
        <v>0</v>
      </c>
      <c r="K63" s="96">
        <v>47849</v>
      </c>
      <c r="L63" s="68" cm="1">
        <f t="array" ref="L63">IFERROR(IF(L$41&lt;$K63,0,$F63*_xlfn.XLOOKUP($D63,'Capital Call&amp;Distributions data'!$A:$A,INDEX('Capital Call&amp;Distributions data'!$C:$O,0,MIN(MAX(YEAR(L$41)-YEAR($K63)+$J63+1,1),14)))),0)</f>
        <v>0</v>
      </c>
      <c r="M63" s="68" cm="1">
        <f t="array" ref="M63">IFERROR(IF(M$41&lt;$K63,0,$F63*_xlfn.XLOOKUP($D63,'Capital Call&amp;Distributions data'!$A:$A,INDEX('Capital Call&amp;Distributions data'!$C:$O,0,MIN(MAX(YEAR(M$41)-YEAR($K63)+$J63+1,1),14)))),0)</f>
        <v>0</v>
      </c>
      <c r="N63" s="68" cm="1">
        <f t="array" ref="N63">IFERROR(IF(N$41&lt;$K63,0,$F63*_xlfn.XLOOKUP($D63,'Capital Call&amp;Distributions data'!$A:$A,INDEX('Capital Call&amp;Distributions data'!$C:$O,0,MIN(MAX(YEAR(N$41)-YEAR($K63)+$J63+1,1),14)))),0)</f>
        <v>0</v>
      </c>
      <c r="O63" s="68" cm="1">
        <f t="array" ref="O63">IFERROR(IF(O$41&lt;$K63,0,$F63*_xlfn.XLOOKUP($D63,'Capital Call&amp;Distributions data'!$A:$A,INDEX('Capital Call&amp;Distributions data'!$C:$O,0,MIN(MAX(YEAR(O$41)-YEAR($K63)+$J63+1,1),14)))),0)</f>
        <v>0</v>
      </c>
      <c r="P63" s="68" cm="1">
        <f t="array" ref="P63">IFERROR(IF(P$41&lt;$K63,0,$F63*_xlfn.XLOOKUP($D63,'Capital Call&amp;Distributions data'!$A:$A,INDEX('Capital Call&amp;Distributions data'!$C:$O,0,MIN(MAX(YEAR(P$41)-YEAR($K63)+$J63+1,1),14)))),0)</f>
        <v>0</v>
      </c>
      <c r="Q63" s="68" cm="1">
        <f t="array" ref="Q63">IFERROR(IF(Q$41&lt;$K63,0,$F63*_xlfn.XLOOKUP($D63,'Capital Call&amp;Distributions data'!$A:$A,INDEX('Capital Call&amp;Distributions data'!$C:$O,0,MIN(MAX(YEAR(Q$41)-YEAR($K63)+$J63+1,1),14)))),0)</f>
        <v>0</v>
      </c>
      <c r="R63" s="68" cm="1">
        <f t="array" ref="R63">IFERROR(IF(R$41&lt;$K63,0,$F63*_xlfn.XLOOKUP($D63,'Capital Call&amp;Distributions data'!$A:$A,INDEX('Capital Call&amp;Distributions data'!$C:$O,0,MIN(MAX(YEAR(R$41)-YEAR($K63)+$J63+1,1),14)))),0)</f>
        <v>0</v>
      </c>
      <c r="S63" s="68" cm="1">
        <f t="array" ref="S63">IFERROR(IF(S$41&lt;$K63,0,$F63*_xlfn.XLOOKUP($D63,'Capital Call&amp;Distributions data'!$A:$A,INDEX('Capital Call&amp;Distributions data'!$C:$O,0,MIN(MAX(YEAR(S$41)-YEAR($K63)+$J63+1,1),14)))),0)</f>
        <v>0</v>
      </c>
      <c r="T63" s="68" cm="1">
        <f t="array" ref="T63">IFERROR(IF(T$41&lt;$K63,0,$F63*_xlfn.XLOOKUP($D63,'Capital Call&amp;Distributions data'!$A:$A,INDEX('Capital Call&amp;Distributions data'!$C:$O,0,MIN(MAX(YEAR(T$41)-YEAR($K63)+$J63+1,1),14)))),0)</f>
        <v>0</v>
      </c>
      <c r="U63" s="68" cm="1">
        <f t="array" ref="U63">IFERROR(IF(U$41&lt;$K63,0,$F63*_xlfn.XLOOKUP($D63,'Capital Call&amp;Distributions data'!$A:$A,INDEX('Capital Call&amp;Distributions data'!$C:$O,0,MIN(MAX(YEAR(U$41)-YEAR($K63)+$J63+1,1),14)))),0)</f>
        <v>0</v>
      </c>
      <c r="V63" s="68" cm="1">
        <f t="array" ref="V63">IFERROR(IF(V$41&lt;$K63,0,$F63*_xlfn.XLOOKUP($D63,'Capital Call&amp;Distributions data'!$A:$A,INDEX('Capital Call&amp;Distributions data'!$C:$O,0,MIN(MAX(YEAR(V$41)-YEAR($K63)+$J63+1,1),14)))),0)</f>
        <v>0</v>
      </c>
      <c r="W63" s="68" cm="1">
        <f t="array" ref="W63">IFERROR(IF(W$41&lt;$K63,0,$F63*_xlfn.XLOOKUP($D63,'Capital Call&amp;Distributions data'!$A:$A,INDEX('Capital Call&amp;Distributions data'!$C:$O,0,MIN(MAX(YEAR(W$41)-YEAR($K63)+$J63+1,1),14)))),0)</f>
        <v>0</v>
      </c>
      <c r="X63" s="68" cm="1">
        <f t="array" ref="X63">IFERROR(IF(X$41&lt;$K63,0,$F63*_xlfn.XLOOKUP($D63,'Capital Call&amp;Distributions data'!$A:$A,INDEX('Capital Call&amp;Distributions data'!$C:$O,0,MIN(MAX(YEAR(X$41)-YEAR($K63)+$J63+1,1),14)))),0)</f>
        <v>0</v>
      </c>
      <c r="Y63" s="68" cm="1">
        <f t="array" ref="Y63">IFERROR(IF(Y$41&lt;$K63,0,$F63*_xlfn.XLOOKUP($D63,'Capital Call&amp;Distributions data'!$A:$A,INDEX('Capital Call&amp;Distributions data'!$C:$O,0,MIN(MAX(YEAR(Y$41)-YEAR($K63)+$J63+1,1),14)))),0)</f>
        <v>0</v>
      </c>
      <c r="Z63" s="68" cm="1">
        <f t="array" ref="Z63">IFERROR(IF(Z$41&lt;$K63,0,$F63*_xlfn.XLOOKUP($D63,'Capital Call&amp;Distributions data'!$A:$A,INDEX('Capital Call&amp;Distributions data'!$C:$O,0,MIN(MAX(YEAR(Z$41)-YEAR($K63)+$J63+1,1),14)))),0)</f>
        <v>0</v>
      </c>
      <c r="AA63" s="68" cm="1">
        <f t="array" ref="AA63">IFERROR(IF(AA$41&lt;$K63,0,$F63*_xlfn.XLOOKUP($D63,'Capital Call&amp;Distributions data'!$A:$A,INDEX('Capital Call&amp;Distributions data'!$C:$O,0,MIN(MAX(YEAR(AA$41)-YEAR($K63)+$J63+1,1),14)))),0)</f>
        <v>0</v>
      </c>
      <c r="AB63" s="68" cm="1">
        <f t="array" ref="AB63">IFERROR(IF(AB$41&lt;$K63,0,$F63*_xlfn.XLOOKUP($D63,'Capital Call&amp;Distributions data'!$A:$A,INDEX('Capital Call&amp;Distributions data'!$C:$O,0,MIN(MAX(YEAR(AB$41)-YEAR($K63)+$J63+1,1),14)))),0)</f>
        <v>0</v>
      </c>
      <c r="AC63" s="68" cm="1">
        <f t="array" ref="AC63">IFERROR(IF(AC$41&lt;$K63,0,$F63*_xlfn.XLOOKUP($D63,'Capital Call&amp;Distributions data'!$A:$A,INDEX('Capital Call&amp;Distributions data'!$C:$O,0,MIN(MAX(YEAR(AC$41)-YEAR($K63)+$J63+1,1),14)))),0)</f>
        <v>0</v>
      </c>
      <c r="AD63" s="68" cm="1">
        <f t="array" ref="AD63">IFERROR(IF(AD$41&lt;$K63,0,$F63*_xlfn.XLOOKUP($D63,'Capital Call&amp;Distributions data'!$A:$A,INDEX('Capital Call&amp;Distributions data'!$C:$O,0,MIN(MAX(YEAR(AD$41)-YEAR($K63)+$J63+1,1),14)))),0)</f>
        <v>0</v>
      </c>
      <c r="AE63" s="68" cm="1">
        <f t="array" ref="AE63">IFERROR(IF(AE$41&lt;$K63,0,$F63*_xlfn.XLOOKUP($D63,'Capital Call&amp;Distributions data'!$A:$A,INDEX('Capital Call&amp;Distributions data'!$C:$O,0,MIN(MAX(YEAR(AE$41)-YEAR($K63)+$J63+1,1),14)))),0)</f>
        <v>0</v>
      </c>
      <c r="AF63" s="68" cm="1">
        <f t="array" ref="AF63">IFERROR(IF(AF$41&lt;$K63,0,$F63*_xlfn.XLOOKUP($D63,'Capital Call&amp;Distributions data'!$A:$A,INDEX('Capital Call&amp;Distributions data'!$C:$O,0,MIN(MAX(YEAR(AF$41)-YEAR($K63)+$J63+1,1),14)))),0)</f>
        <v>0</v>
      </c>
      <c r="AG63" s="68" cm="1">
        <f t="array" ref="AG63">IFERROR(IF(AG$41&lt;$K63,0,$F63*_xlfn.XLOOKUP($D63,'Capital Call&amp;Distributions data'!$A:$A,INDEX('Capital Call&amp;Distributions data'!$C:$O,0,MIN(MAX(YEAR(AG$41)-YEAR($K63)+$J63+1,1),14)))),0)</f>
        <v>0</v>
      </c>
      <c r="AH63" s="68" cm="1">
        <f t="array" ref="AH63">IFERROR(IF(AH$41&lt;$K63,0,$F63*_xlfn.XLOOKUP($D63,'Capital Call&amp;Distributions data'!$A:$A,INDEX('Capital Call&amp;Distributions data'!$C:$O,0,MIN(MAX(YEAR(AH$41)-YEAR($K63)+$J63+1,1),14)))),0)</f>
        <v>0</v>
      </c>
      <c r="AI63" s="68" cm="1">
        <f t="array" ref="AI63">IFERROR(IF(AI$41&lt;$K63,0,$F63*_xlfn.XLOOKUP($D63,'Capital Call&amp;Distributions data'!$A:$A,INDEX('Capital Call&amp;Distributions data'!$C:$O,0,MIN(MAX(YEAR(AI$41)-YEAR($K63)+$J63+1,1),14)))),0)</f>
        <v>0</v>
      </c>
      <c r="AJ63" s="68" cm="1">
        <f t="array" ref="AJ63">IFERROR(IF(AJ$41&lt;$K63,0,$F63*_xlfn.XLOOKUP($D63,'Capital Call&amp;Distributions data'!$A:$A,INDEX('Capital Call&amp;Distributions data'!$C:$O,0,MIN(MAX(YEAR(AJ$41)-YEAR($K63)+$J63+1,1),14)))),0)</f>
        <v>0</v>
      </c>
      <c r="AK63" s="68" cm="1">
        <f t="array" ref="AK63">IFERROR(IF(AK$41&lt;$K63,0,$F63*_xlfn.XLOOKUP($D63,'Capital Call&amp;Distributions data'!$A:$A,INDEX('Capital Call&amp;Distributions data'!$C:$O,0,MIN(MAX(YEAR(AK$41)-YEAR($K63)+$J63+1,1),14)))),0)</f>
        <v>0</v>
      </c>
      <c r="AL63" s="68" cm="1">
        <f t="array" ref="AL63">IFERROR(IF(AL$41&lt;$K63,0,$F63*_xlfn.XLOOKUP($D63,'Capital Call&amp;Distributions data'!$A:$A,INDEX('Capital Call&amp;Distributions data'!$C:$O,0,MIN(MAX(YEAR(AL$41)-YEAR($K63)+$J63+1,1),14)))),0)</f>
        <v>0</v>
      </c>
      <c r="AM63" s="68" cm="1">
        <f t="array" ref="AM63">IFERROR(IF(AM$41&lt;$K63,0,$F63*_xlfn.XLOOKUP($D63,'Capital Call&amp;Distributions data'!$A:$A,INDEX('Capital Call&amp;Distributions data'!$C:$O,0,MIN(MAX(YEAR(AM$41)-YEAR($K63)+$J63+1,1),14)))),0)</f>
        <v>0</v>
      </c>
      <c r="AN63" s="68" cm="1">
        <f t="array" ref="AN63">IFERROR(IF(AN$41&lt;$K63,0,$F63*_xlfn.XLOOKUP($D63,'Capital Call&amp;Distributions data'!$A:$A,INDEX('Capital Call&amp;Distributions data'!$C:$O,0,MIN(MAX(YEAR(AN$41)-YEAR($K63)+$J63+1,1),14)))),0)</f>
        <v>0</v>
      </c>
      <c r="AO63" s="68" cm="1">
        <f t="array" ref="AO63">IFERROR(IF(AO$41&lt;$K63,0,$F63*_xlfn.XLOOKUP($D63,'Capital Call&amp;Distributions data'!$A:$A,INDEX('Capital Call&amp;Distributions data'!$C:$O,0,MIN(MAX(YEAR(AO$41)-YEAR($K63)+$J63+1,1),14)))),0)</f>
        <v>0</v>
      </c>
      <c r="AP63" s="68" cm="1">
        <f t="array" ref="AP63">IFERROR(IF(AP$41&lt;$K63,0,$F63*_xlfn.XLOOKUP($D63,'Capital Call&amp;Distributions data'!$A:$A,INDEX('Capital Call&amp;Distributions data'!$C:$O,0,MIN(MAX(YEAR(AP$41)-YEAR($K63)+$J63+1,1),14)))),0)</f>
        <v>0</v>
      </c>
      <c r="AQ63" s="68" cm="1">
        <f t="array" ref="AQ63">IFERROR(IF(AQ$41&lt;$K63,0,$F63*_xlfn.XLOOKUP($D63,'Capital Call&amp;Distributions data'!$A:$A,INDEX('Capital Call&amp;Distributions data'!$C:$O,0,MIN(MAX(YEAR(AQ$41)-YEAR($K63)+$J63+1,1),14)))),0)</f>
        <v>0</v>
      </c>
      <c r="AR63" s="68" cm="1">
        <f t="array" ref="AR63">IFERROR(IF(AR$41&lt;$K63,0,$F63*_xlfn.XLOOKUP($D63,'Capital Call&amp;Distributions data'!$A:$A,INDEX('Capital Call&amp;Distributions data'!$C:$O,0,MIN(MAX(YEAR(AR$41)-YEAR($K63)+$J63+1,1),14)))),0)</f>
        <v>0</v>
      </c>
      <c r="AS63" s="68" cm="1">
        <f t="array" ref="AS63">IFERROR(IF(AS$41&lt;$K63,0,$F63*_xlfn.XLOOKUP($D63,'Capital Call&amp;Distributions data'!$A:$A,INDEX('Capital Call&amp;Distributions data'!$C:$O,0,MIN(MAX(YEAR(AS$41)-YEAR($K63)+$J63+1,1),14)))),0)</f>
        <v>0</v>
      </c>
      <c r="AT63" s="68" cm="1">
        <f t="array" ref="AT63">IFERROR(IF(AT$41&lt;$K63,0,$F63*_xlfn.XLOOKUP($D63,'Capital Call&amp;Distributions data'!$A:$A,INDEX('Capital Call&amp;Distributions data'!$C:$O,0,MIN(MAX(YEAR(AT$41)-YEAR($K63)+$J63+1,1),14)))),0)</f>
        <v>0</v>
      </c>
      <c r="AU63" s="68" cm="1">
        <f t="array" ref="AU63">IFERROR(IF(AU$41&lt;$K63,0,$F63*_xlfn.XLOOKUP($D63,'Capital Call&amp;Distributions data'!$A:$A,INDEX('Capital Call&amp;Distributions data'!$C:$O,0,MIN(MAX(YEAR(AU$41)-YEAR($K63)+$J63+1,1),14)))),0)</f>
        <v>0</v>
      </c>
      <c r="AW63" s="1"/>
      <c r="DJ63" s="11"/>
    </row>
    <row r="64" spans="3:114" ht="29.25" hidden="1" customHeight="1" outlineLevel="1">
      <c r="C64" s="20"/>
      <c r="D64" s="21">
        <f>_xlfn.XLOOKUP(C64,Fondsen!B:B,Fondsen!C:C,"0",0,1)</f>
        <v>0</v>
      </c>
      <c r="E64" s="21" t="s">
        <v>10</v>
      </c>
      <c r="F64" s="83"/>
      <c r="G64" s="143" t="str">
        <f ca="1">IFERROR(IF(SUM(OFFSET(INDEX('Capital Call&amp;Distributions data'!A:A,MATCH(D64,'Capital Call&amp;Distributions data'!A:A,0)),-1,2,1,1000))=0,"✔",""),"")</f>
        <v/>
      </c>
      <c r="H64" s="138" t="str">
        <f t="shared" si="4"/>
        <v/>
      </c>
      <c r="I64" s="96">
        <v>48214</v>
      </c>
      <c r="J64" s="107">
        <f t="shared" si="3"/>
        <v>0</v>
      </c>
      <c r="K64" s="96">
        <v>48214</v>
      </c>
      <c r="L64" s="68" cm="1">
        <f t="array" ref="L64">IFERROR(IF(L$41&lt;$K64,0,$F64*_xlfn.XLOOKUP($D64,'Capital Call&amp;Distributions data'!$A:$A,INDEX('Capital Call&amp;Distributions data'!$C:$O,0,MIN(MAX(YEAR(L$41)-YEAR($K64)+$J64+1,1),14)))),0)</f>
        <v>0</v>
      </c>
      <c r="M64" s="68" cm="1">
        <f t="array" ref="M64">IFERROR(IF(M$41&lt;$K64,0,$F64*_xlfn.XLOOKUP($D64,'Capital Call&amp;Distributions data'!$A:$A,INDEX('Capital Call&amp;Distributions data'!$C:$O,0,MIN(MAX(YEAR(M$41)-YEAR($K64)+$J64+1,1),14)))),0)</f>
        <v>0</v>
      </c>
      <c r="N64" s="68" cm="1">
        <f t="array" ref="N64">IFERROR(IF(N$41&lt;$K64,0,$F64*_xlfn.XLOOKUP($D64,'Capital Call&amp;Distributions data'!$A:$A,INDEX('Capital Call&amp;Distributions data'!$C:$O,0,MIN(MAX(YEAR(N$41)-YEAR($K64)+$J64+1,1),14)))),0)</f>
        <v>0</v>
      </c>
      <c r="O64" s="68" cm="1">
        <f t="array" ref="O64">IFERROR(IF(O$41&lt;$K64,0,$F64*_xlfn.XLOOKUP($D64,'Capital Call&amp;Distributions data'!$A:$A,INDEX('Capital Call&amp;Distributions data'!$C:$O,0,MIN(MAX(YEAR(O$41)-YEAR($K64)+$J64+1,1),14)))),0)</f>
        <v>0</v>
      </c>
      <c r="P64" s="68" cm="1">
        <f t="array" ref="P64">IFERROR(IF(P$41&lt;$K64,0,$F64*_xlfn.XLOOKUP($D64,'Capital Call&amp;Distributions data'!$A:$A,INDEX('Capital Call&amp;Distributions data'!$C:$O,0,MIN(MAX(YEAR(P$41)-YEAR($K64)+$J64+1,1),14)))),0)</f>
        <v>0</v>
      </c>
      <c r="Q64" s="68" cm="1">
        <f t="array" ref="Q64">IFERROR(IF(Q$41&lt;$K64,0,$F64*_xlfn.XLOOKUP($D64,'Capital Call&amp;Distributions data'!$A:$A,INDEX('Capital Call&amp;Distributions data'!$C:$O,0,MIN(MAX(YEAR(Q$41)-YEAR($K64)+$J64+1,1),14)))),0)</f>
        <v>0</v>
      </c>
      <c r="R64" s="68" cm="1">
        <f t="array" ref="R64">IFERROR(IF(R$41&lt;$K64,0,$F64*_xlfn.XLOOKUP($D64,'Capital Call&amp;Distributions data'!$A:$A,INDEX('Capital Call&amp;Distributions data'!$C:$O,0,MIN(MAX(YEAR(R$41)-YEAR($K64)+$J64+1,1),14)))),0)</f>
        <v>0</v>
      </c>
      <c r="S64" s="68" cm="1">
        <f t="array" ref="S64">IFERROR(IF(S$41&lt;$K64,0,$F64*_xlfn.XLOOKUP($D64,'Capital Call&amp;Distributions data'!$A:$A,INDEX('Capital Call&amp;Distributions data'!$C:$O,0,MIN(MAX(YEAR(S$41)-YEAR($K64)+$J64+1,1),14)))),0)</f>
        <v>0</v>
      </c>
      <c r="T64" s="68" cm="1">
        <f t="array" ref="T64">IFERROR(IF(T$41&lt;$K64,0,$F64*_xlfn.XLOOKUP($D64,'Capital Call&amp;Distributions data'!$A:$A,INDEX('Capital Call&amp;Distributions data'!$C:$O,0,MIN(MAX(YEAR(T$41)-YEAR($K64)+$J64+1,1),14)))),0)</f>
        <v>0</v>
      </c>
      <c r="U64" s="68" cm="1">
        <f t="array" ref="U64">IFERROR(IF(U$41&lt;$K64,0,$F64*_xlfn.XLOOKUP($D64,'Capital Call&amp;Distributions data'!$A:$A,INDEX('Capital Call&amp;Distributions data'!$C:$O,0,MIN(MAX(YEAR(U$41)-YEAR($K64)+$J64+1,1),14)))),0)</f>
        <v>0</v>
      </c>
      <c r="V64" s="68" cm="1">
        <f t="array" ref="V64">IFERROR(IF(V$41&lt;$K64,0,$F64*_xlfn.XLOOKUP($D64,'Capital Call&amp;Distributions data'!$A:$A,INDEX('Capital Call&amp;Distributions data'!$C:$O,0,MIN(MAX(YEAR(V$41)-YEAR($K64)+$J64+1,1),14)))),0)</f>
        <v>0</v>
      </c>
      <c r="W64" s="68" cm="1">
        <f t="array" ref="W64">IFERROR(IF(W$41&lt;$K64,0,$F64*_xlfn.XLOOKUP($D64,'Capital Call&amp;Distributions data'!$A:$A,INDEX('Capital Call&amp;Distributions data'!$C:$O,0,MIN(MAX(YEAR(W$41)-YEAR($K64)+$J64+1,1),14)))),0)</f>
        <v>0</v>
      </c>
      <c r="X64" s="68" cm="1">
        <f t="array" ref="X64">IFERROR(IF(X$41&lt;$K64,0,$F64*_xlfn.XLOOKUP($D64,'Capital Call&amp;Distributions data'!$A:$A,INDEX('Capital Call&amp;Distributions data'!$C:$O,0,MIN(MAX(YEAR(X$41)-YEAR($K64)+$J64+1,1),14)))),0)</f>
        <v>0</v>
      </c>
      <c r="Y64" s="68" cm="1">
        <f t="array" ref="Y64">IFERROR(IF(Y$41&lt;$K64,0,$F64*_xlfn.XLOOKUP($D64,'Capital Call&amp;Distributions data'!$A:$A,INDEX('Capital Call&amp;Distributions data'!$C:$O,0,MIN(MAX(YEAR(Y$41)-YEAR($K64)+$J64+1,1),14)))),0)</f>
        <v>0</v>
      </c>
      <c r="Z64" s="68" cm="1">
        <f t="array" ref="Z64">IFERROR(IF(Z$41&lt;$K64,0,$F64*_xlfn.XLOOKUP($D64,'Capital Call&amp;Distributions data'!$A:$A,INDEX('Capital Call&amp;Distributions data'!$C:$O,0,MIN(MAX(YEAR(Z$41)-YEAR($K64)+$J64+1,1),14)))),0)</f>
        <v>0</v>
      </c>
      <c r="AA64" s="68" cm="1">
        <f t="array" ref="AA64">IFERROR(IF(AA$41&lt;$K64,0,$F64*_xlfn.XLOOKUP($D64,'Capital Call&amp;Distributions data'!$A:$A,INDEX('Capital Call&amp;Distributions data'!$C:$O,0,MIN(MAX(YEAR(AA$41)-YEAR($K64)+$J64+1,1),14)))),0)</f>
        <v>0</v>
      </c>
      <c r="AB64" s="68" cm="1">
        <f t="array" ref="AB64">IFERROR(IF(AB$41&lt;$K64,0,$F64*_xlfn.XLOOKUP($D64,'Capital Call&amp;Distributions data'!$A:$A,INDEX('Capital Call&amp;Distributions data'!$C:$O,0,MIN(MAX(YEAR(AB$41)-YEAR($K64)+$J64+1,1),14)))),0)</f>
        <v>0</v>
      </c>
      <c r="AC64" s="68" cm="1">
        <f t="array" ref="AC64">IFERROR(IF(AC$41&lt;$K64,0,$F64*_xlfn.XLOOKUP($D64,'Capital Call&amp;Distributions data'!$A:$A,INDEX('Capital Call&amp;Distributions data'!$C:$O,0,MIN(MAX(YEAR(AC$41)-YEAR($K64)+$J64+1,1),14)))),0)</f>
        <v>0</v>
      </c>
      <c r="AD64" s="68" cm="1">
        <f t="array" ref="AD64">IFERROR(IF(AD$41&lt;$K64,0,$F64*_xlfn.XLOOKUP($D64,'Capital Call&amp;Distributions data'!$A:$A,INDEX('Capital Call&amp;Distributions data'!$C:$O,0,MIN(MAX(YEAR(AD$41)-YEAR($K64)+$J64+1,1),14)))),0)</f>
        <v>0</v>
      </c>
      <c r="AE64" s="68" cm="1">
        <f t="array" ref="AE64">IFERROR(IF(AE$41&lt;$K64,0,$F64*_xlfn.XLOOKUP($D64,'Capital Call&amp;Distributions data'!$A:$A,INDEX('Capital Call&amp;Distributions data'!$C:$O,0,MIN(MAX(YEAR(AE$41)-YEAR($K64)+$J64+1,1),14)))),0)</f>
        <v>0</v>
      </c>
      <c r="AF64" s="68" cm="1">
        <f t="array" ref="AF64">IFERROR(IF(AF$41&lt;$K64,0,$F64*_xlfn.XLOOKUP($D64,'Capital Call&amp;Distributions data'!$A:$A,INDEX('Capital Call&amp;Distributions data'!$C:$O,0,MIN(MAX(YEAR(AF$41)-YEAR($K64)+$J64+1,1),14)))),0)</f>
        <v>0</v>
      </c>
      <c r="AG64" s="68" cm="1">
        <f t="array" ref="AG64">IFERROR(IF(AG$41&lt;$K64,0,$F64*_xlfn.XLOOKUP($D64,'Capital Call&amp;Distributions data'!$A:$A,INDEX('Capital Call&amp;Distributions data'!$C:$O,0,MIN(MAX(YEAR(AG$41)-YEAR($K64)+$J64+1,1),14)))),0)</f>
        <v>0</v>
      </c>
      <c r="AH64" s="68" cm="1">
        <f t="array" ref="AH64">IFERROR(IF(AH$41&lt;$K64,0,$F64*_xlfn.XLOOKUP($D64,'Capital Call&amp;Distributions data'!$A:$A,INDEX('Capital Call&amp;Distributions data'!$C:$O,0,MIN(MAX(YEAR(AH$41)-YEAR($K64)+$J64+1,1),14)))),0)</f>
        <v>0</v>
      </c>
      <c r="AI64" s="68" cm="1">
        <f t="array" ref="AI64">IFERROR(IF(AI$41&lt;$K64,0,$F64*_xlfn.XLOOKUP($D64,'Capital Call&amp;Distributions data'!$A:$A,INDEX('Capital Call&amp;Distributions data'!$C:$O,0,MIN(MAX(YEAR(AI$41)-YEAR($K64)+$J64+1,1),14)))),0)</f>
        <v>0</v>
      </c>
      <c r="AJ64" s="68" cm="1">
        <f t="array" ref="AJ64">IFERROR(IF(AJ$41&lt;$K64,0,$F64*_xlfn.XLOOKUP($D64,'Capital Call&amp;Distributions data'!$A:$A,INDEX('Capital Call&amp;Distributions data'!$C:$O,0,MIN(MAX(YEAR(AJ$41)-YEAR($K64)+$J64+1,1),14)))),0)</f>
        <v>0</v>
      </c>
      <c r="AK64" s="68" cm="1">
        <f t="array" ref="AK64">IFERROR(IF(AK$41&lt;$K64,0,$F64*_xlfn.XLOOKUP($D64,'Capital Call&amp;Distributions data'!$A:$A,INDEX('Capital Call&amp;Distributions data'!$C:$O,0,MIN(MAX(YEAR(AK$41)-YEAR($K64)+$J64+1,1),14)))),0)</f>
        <v>0</v>
      </c>
      <c r="AL64" s="68" cm="1">
        <f t="array" ref="AL64">IFERROR(IF(AL$41&lt;$K64,0,$F64*_xlfn.XLOOKUP($D64,'Capital Call&amp;Distributions data'!$A:$A,INDEX('Capital Call&amp;Distributions data'!$C:$O,0,MIN(MAX(YEAR(AL$41)-YEAR($K64)+$J64+1,1),14)))),0)</f>
        <v>0</v>
      </c>
      <c r="AM64" s="68" cm="1">
        <f t="array" ref="AM64">IFERROR(IF(AM$41&lt;$K64,0,$F64*_xlfn.XLOOKUP($D64,'Capital Call&amp;Distributions data'!$A:$A,INDEX('Capital Call&amp;Distributions data'!$C:$O,0,MIN(MAX(YEAR(AM$41)-YEAR($K64)+$J64+1,1),14)))),0)</f>
        <v>0</v>
      </c>
      <c r="AN64" s="68" cm="1">
        <f t="array" ref="AN64">IFERROR(IF(AN$41&lt;$K64,0,$F64*_xlfn.XLOOKUP($D64,'Capital Call&amp;Distributions data'!$A:$A,INDEX('Capital Call&amp;Distributions data'!$C:$O,0,MIN(MAX(YEAR(AN$41)-YEAR($K64)+$J64+1,1),14)))),0)</f>
        <v>0</v>
      </c>
      <c r="AO64" s="68" cm="1">
        <f t="array" ref="AO64">IFERROR(IF(AO$41&lt;$K64,0,$F64*_xlfn.XLOOKUP($D64,'Capital Call&amp;Distributions data'!$A:$A,INDEX('Capital Call&amp;Distributions data'!$C:$O,0,MIN(MAX(YEAR(AO$41)-YEAR($K64)+$J64+1,1),14)))),0)</f>
        <v>0</v>
      </c>
      <c r="AP64" s="68" cm="1">
        <f t="array" ref="AP64">IFERROR(IF(AP$41&lt;$K64,0,$F64*_xlfn.XLOOKUP($D64,'Capital Call&amp;Distributions data'!$A:$A,INDEX('Capital Call&amp;Distributions data'!$C:$O,0,MIN(MAX(YEAR(AP$41)-YEAR($K64)+$J64+1,1),14)))),0)</f>
        <v>0</v>
      </c>
      <c r="AQ64" s="68" cm="1">
        <f t="array" ref="AQ64">IFERROR(IF(AQ$41&lt;$K64,0,$F64*_xlfn.XLOOKUP($D64,'Capital Call&amp;Distributions data'!$A:$A,INDEX('Capital Call&amp;Distributions data'!$C:$O,0,MIN(MAX(YEAR(AQ$41)-YEAR($K64)+$J64+1,1),14)))),0)</f>
        <v>0</v>
      </c>
      <c r="AR64" s="68" cm="1">
        <f t="array" ref="AR64">IFERROR(IF(AR$41&lt;$K64,0,$F64*_xlfn.XLOOKUP($D64,'Capital Call&amp;Distributions data'!$A:$A,INDEX('Capital Call&amp;Distributions data'!$C:$O,0,MIN(MAX(YEAR(AR$41)-YEAR($K64)+$J64+1,1),14)))),0)</f>
        <v>0</v>
      </c>
      <c r="AS64" s="68" cm="1">
        <f t="array" ref="AS64">IFERROR(IF(AS$41&lt;$K64,0,$F64*_xlfn.XLOOKUP($D64,'Capital Call&amp;Distributions data'!$A:$A,INDEX('Capital Call&amp;Distributions data'!$C:$O,0,MIN(MAX(YEAR(AS$41)-YEAR($K64)+$J64+1,1),14)))),0)</f>
        <v>0</v>
      </c>
      <c r="AT64" s="68" cm="1">
        <f t="array" ref="AT64">IFERROR(IF(AT$41&lt;$K64,0,$F64*_xlfn.XLOOKUP($D64,'Capital Call&amp;Distributions data'!$A:$A,INDEX('Capital Call&amp;Distributions data'!$C:$O,0,MIN(MAX(YEAR(AT$41)-YEAR($K64)+$J64+1,1),14)))),0)</f>
        <v>0</v>
      </c>
      <c r="AU64" s="68" cm="1">
        <f t="array" ref="AU64">IFERROR(IF(AU$41&lt;$K64,0,$F64*_xlfn.XLOOKUP($D64,'Capital Call&amp;Distributions data'!$A:$A,INDEX('Capital Call&amp;Distributions data'!$C:$O,0,MIN(MAX(YEAR(AU$41)-YEAR($K64)+$J64+1,1),14)))),0)</f>
        <v>0</v>
      </c>
      <c r="AW64" s="1"/>
      <c r="DJ64" s="11"/>
    </row>
    <row r="65" spans="3:114" ht="29.25" hidden="1" customHeight="1" outlineLevel="1">
      <c r="C65" s="20"/>
      <c r="D65" s="21">
        <f>_xlfn.XLOOKUP(C65,Fondsen!B:B,Fondsen!C:C,"0",0,1)</f>
        <v>0</v>
      </c>
      <c r="E65" s="21" t="s">
        <v>10</v>
      </c>
      <c r="F65" s="83"/>
      <c r="G65" s="143" t="str">
        <f ca="1">IFERROR(IF(SUM(OFFSET(INDEX('Capital Call&amp;Distributions data'!A:A,MATCH(D65,'Capital Call&amp;Distributions data'!A:A,0)),-1,2,1,1000))=0,"✔",""),"")</f>
        <v/>
      </c>
      <c r="H65" s="138" t="str">
        <f t="shared" si="4"/>
        <v/>
      </c>
      <c r="I65" s="96">
        <v>48214</v>
      </c>
      <c r="J65" s="107">
        <f t="shared" si="3"/>
        <v>0</v>
      </c>
      <c r="K65" s="96">
        <v>48214</v>
      </c>
      <c r="L65" s="68" cm="1">
        <f t="array" ref="L65">IFERROR(IF(L$41&lt;$K65,0,$F65*_xlfn.XLOOKUP($D65,'Capital Call&amp;Distributions data'!$A:$A,INDEX('Capital Call&amp;Distributions data'!$C:$O,0,MIN(MAX(YEAR(L$41)-YEAR($K65)+$J65+1,1),14)))),0)</f>
        <v>0</v>
      </c>
      <c r="M65" s="68" cm="1">
        <f t="array" ref="M65">IFERROR(IF(M$41&lt;$K65,0,$F65*_xlfn.XLOOKUP($D65,'Capital Call&amp;Distributions data'!$A:$A,INDEX('Capital Call&amp;Distributions data'!$C:$O,0,MIN(MAX(YEAR(M$41)-YEAR($K65)+$J65+1,1),14)))),0)</f>
        <v>0</v>
      </c>
      <c r="N65" s="68" cm="1">
        <f t="array" ref="N65">IFERROR(IF(N$41&lt;$K65,0,$F65*_xlfn.XLOOKUP($D65,'Capital Call&amp;Distributions data'!$A:$A,INDEX('Capital Call&amp;Distributions data'!$C:$O,0,MIN(MAX(YEAR(N$41)-YEAR($K65)+$J65+1,1),14)))),0)</f>
        <v>0</v>
      </c>
      <c r="O65" s="68" cm="1">
        <f t="array" ref="O65">IFERROR(IF(O$41&lt;$K65,0,$F65*_xlfn.XLOOKUP($D65,'Capital Call&amp;Distributions data'!$A:$A,INDEX('Capital Call&amp;Distributions data'!$C:$O,0,MIN(MAX(YEAR(O$41)-YEAR($K65)+$J65+1,1),14)))),0)</f>
        <v>0</v>
      </c>
      <c r="P65" s="68" cm="1">
        <f t="array" ref="P65">IFERROR(IF(P$41&lt;$K65,0,$F65*_xlfn.XLOOKUP($D65,'Capital Call&amp;Distributions data'!$A:$A,INDEX('Capital Call&amp;Distributions data'!$C:$O,0,MIN(MAX(YEAR(P$41)-YEAR($K65)+$J65+1,1),14)))),0)</f>
        <v>0</v>
      </c>
      <c r="Q65" s="68" cm="1">
        <f t="array" ref="Q65">IFERROR(IF(Q$41&lt;$K65,0,$F65*_xlfn.XLOOKUP($D65,'Capital Call&amp;Distributions data'!$A:$A,INDEX('Capital Call&amp;Distributions data'!$C:$O,0,MIN(MAX(YEAR(Q$41)-YEAR($K65)+$J65+1,1),14)))),0)</f>
        <v>0</v>
      </c>
      <c r="R65" s="68" cm="1">
        <f t="array" ref="R65">IFERROR(IF(R$41&lt;$K65,0,$F65*_xlfn.XLOOKUP($D65,'Capital Call&amp;Distributions data'!$A:$A,INDEX('Capital Call&amp;Distributions data'!$C:$O,0,MIN(MAX(YEAR(R$41)-YEAR($K65)+$J65+1,1),14)))),0)</f>
        <v>0</v>
      </c>
      <c r="S65" s="68" cm="1">
        <f t="array" ref="S65">IFERROR(IF(S$41&lt;$K65,0,$F65*_xlfn.XLOOKUP($D65,'Capital Call&amp;Distributions data'!$A:$A,INDEX('Capital Call&amp;Distributions data'!$C:$O,0,MIN(MAX(YEAR(S$41)-YEAR($K65)+$J65+1,1),14)))),0)</f>
        <v>0</v>
      </c>
      <c r="T65" s="68" cm="1">
        <f t="array" ref="T65">IFERROR(IF(T$41&lt;$K65,0,$F65*_xlfn.XLOOKUP($D65,'Capital Call&amp;Distributions data'!$A:$A,INDEX('Capital Call&amp;Distributions data'!$C:$O,0,MIN(MAX(YEAR(T$41)-YEAR($K65)+$J65+1,1),14)))),0)</f>
        <v>0</v>
      </c>
      <c r="U65" s="68" cm="1">
        <f t="array" ref="U65">IFERROR(IF(U$41&lt;$K65,0,$F65*_xlfn.XLOOKUP($D65,'Capital Call&amp;Distributions data'!$A:$A,INDEX('Capital Call&amp;Distributions data'!$C:$O,0,MIN(MAX(YEAR(U$41)-YEAR($K65)+$J65+1,1),14)))),0)</f>
        <v>0</v>
      </c>
      <c r="V65" s="68" cm="1">
        <f t="array" ref="V65">IFERROR(IF(V$41&lt;$K65,0,$F65*_xlfn.XLOOKUP($D65,'Capital Call&amp;Distributions data'!$A:$A,INDEX('Capital Call&amp;Distributions data'!$C:$O,0,MIN(MAX(YEAR(V$41)-YEAR($K65)+$J65+1,1),14)))),0)</f>
        <v>0</v>
      </c>
      <c r="W65" s="68" cm="1">
        <f t="array" ref="W65">IFERROR(IF(W$41&lt;$K65,0,$F65*_xlfn.XLOOKUP($D65,'Capital Call&amp;Distributions data'!$A:$A,INDEX('Capital Call&amp;Distributions data'!$C:$O,0,MIN(MAX(YEAR(W$41)-YEAR($K65)+$J65+1,1),14)))),0)</f>
        <v>0</v>
      </c>
      <c r="X65" s="68" cm="1">
        <f t="array" ref="X65">IFERROR(IF(X$41&lt;$K65,0,$F65*_xlfn.XLOOKUP($D65,'Capital Call&amp;Distributions data'!$A:$A,INDEX('Capital Call&amp;Distributions data'!$C:$O,0,MIN(MAX(YEAR(X$41)-YEAR($K65)+$J65+1,1),14)))),0)</f>
        <v>0</v>
      </c>
      <c r="Y65" s="68" cm="1">
        <f t="array" ref="Y65">IFERROR(IF(Y$41&lt;$K65,0,$F65*_xlfn.XLOOKUP($D65,'Capital Call&amp;Distributions data'!$A:$A,INDEX('Capital Call&amp;Distributions data'!$C:$O,0,MIN(MAX(YEAR(Y$41)-YEAR($K65)+$J65+1,1),14)))),0)</f>
        <v>0</v>
      </c>
      <c r="Z65" s="68" cm="1">
        <f t="array" ref="Z65">IFERROR(IF(Z$41&lt;$K65,0,$F65*_xlfn.XLOOKUP($D65,'Capital Call&amp;Distributions data'!$A:$A,INDEX('Capital Call&amp;Distributions data'!$C:$O,0,MIN(MAX(YEAR(Z$41)-YEAR($K65)+$J65+1,1),14)))),0)</f>
        <v>0</v>
      </c>
      <c r="AA65" s="68" cm="1">
        <f t="array" ref="AA65">IFERROR(IF(AA$41&lt;$K65,0,$F65*_xlfn.XLOOKUP($D65,'Capital Call&amp;Distributions data'!$A:$A,INDEX('Capital Call&amp;Distributions data'!$C:$O,0,MIN(MAX(YEAR(AA$41)-YEAR($K65)+$J65+1,1),14)))),0)</f>
        <v>0</v>
      </c>
      <c r="AB65" s="68" cm="1">
        <f t="array" ref="AB65">IFERROR(IF(AB$41&lt;$K65,0,$F65*_xlfn.XLOOKUP($D65,'Capital Call&amp;Distributions data'!$A:$A,INDEX('Capital Call&amp;Distributions data'!$C:$O,0,MIN(MAX(YEAR(AB$41)-YEAR($K65)+$J65+1,1),14)))),0)</f>
        <v>0</v>
      </c>
      <c r="AC65" s="68" cm="1">
        <f t="array" ref="AC65">IFERROR(IF(AC$41&lt;$K65,0,$F65*_xlfn.XLOOKUP($D65,'Capital Call&amp;Distributions data'!$A:$A,INDEX('Capital Call&amp;Distributions data'!$C:$O,0,MIN(MAX(YEAR(AC$41)-YEAR($K65)+$J65+1,1),14)))),0)</f>
        <v>0</v>
      </c>
      <c r="AD65" s="68" cm="1">
        <f t="array" ref="AD65">IFERROR(IF(AD$41&lt;$K65,0,$F65*_xlfn.XLOOKUP($D65,'Capital Call&amp;Distributions data'!$A:$A,INDEX('Capital Call&amp;Distributions data'!$C:$O,0,MIN(MAX(YEAR(AD$41)-YEAR($K65)+$J65+1,1),14)))),0)</f>
        <v>0</v>
      </c>
      <c r="AE65" s="68" cm="1">
        <f t="array" ref="AE65">IFERROR(IF(AE$41&lt;$K65,0,$F65*_xlfn.XLOOKUP($D65,'Capital Call&amp;Distributions data'!$A:$A,INDEX('Capital Call&amp;Distributions data'!$C:$O,0,MIN(MAX(YEAR(AE$41)-YEAR($K65)+$J65+1,1),14)))),0)</f>
        <v>0</v>
      </c>
      <c r="AF65" s="68" cm="1">
        <f t="array" ref="AF65">IFERROR(IF(AF$41&lt;$K65,0,$F65*_xlfn.XLOOKUP($D65,'Capital Call&amp;Distributions data'!$A:$A,INDEX('Capital Call&amp;Distributions data'!$C:$O,0,MIN(MAX(YEAR(AF$41)-YEAR($K65)+$J65+1,1),14)))),0)</f>
        <v>0</v>
      </c>
      <c r="AG65" s="68" cm="1">
        <f t="array" ref="AG65">IFERROR(IF(AG$41&lt;$K65,0,$F65*_xlfn.XLOOKUP($D65,'Capital Call&amp;Distributions data'!$A:$A,INDEX('Capital Call&amp;Distributions data'!$C:$O,0,MIN(MAX(YEAR(AG$41)-YEAR($K65)+$J65+1,1),14)))),0)</f>
        <v>0</v>
      </c>
      <c r="AH65" s="68" cm="1">
        <f t="array" ref="AH65">IFERROR(IF(AH$41&lt;$K65,0,$F65*_xlfn.XLOOKUP($D65,'Capital Call&amp;Distributions data'!$A:$A,INDEX('Capital Call&amp;Distributions data'!$C:$O,0,MIN(MAX(YEAR(AH$41)-YEAR($K65)+$J65+1,1),14)))),0)</f>
        <v>0</v>
      </c>
      <c r="AI65" s="68" cm="1">
        <f t="array" ref="AI65">IFERROR(IF(AI$41&lt;$K65,0,$F65*_xlfn.XLOOKUP($D65,'Capital Call&amp;Distributions data'!$A:$A,INDEX('Capital Call&amp;Distributions data'!$C:$O,0,MIN(MAX(YEAR(AI$41)-YEAR($K65)+$J65+1,1),14)))),0)</f>
        <v>0</v>
      </c>
      <c r="AJ65" s="68" cm="1">
        <f t="array" ref="AJ65">IFERROR(IF(AJ$41&lt;$K65,0,$F65*_xlfn.XLOOKUP($D65,'Capital Call&amp;Distributions data'!$A:$A,INDEX('Capital Call&amp;Distributions data'!$C:$O,0,MIN(MAX(YEAR(AJ$41)-YEAR($K65)+$J65+1,1),14)))),0)</f>
        <v>0</v>
      </c>
      <c r="AK65" s="68" cm="1">
        <f t="array" ref="AK65">IFERROR(IF(AK$41&lt;$K65,0,$F65*_xlfn.XLOOKUP($D65,'Capital Call&amp;Distributions data'!$A:$A,INDEX('Capital Call&amp;Distributions data'!$C:$O,0,MIN(MAX(YEAR(AK$41)-YEAR($K65)+$J65+1,1),14)))),0)</f>
        <v>0</v>
      </c>
      <c r="AL65" s="68" cm="1">
        <f t="array" ref="AL65">IFERROR(IF(AL$41&lt;$K65,0,$F65*_xlfn.XLOOKUP($D65,'Capital Call&amp;Distributions data'!$A:$A,INDEX('Capital Call&amp;Distributions data'!$C:$O,0,MIN(MAX(YEAR(AL$41)-YEAR($K65)+$J65+1,1),14)))),0)</f>
        <v>0</v>
      </c>
      <c r="AM65" s="68" cm="1">
        <f t="array" ref="AM65">IFERROR(IF(AM$41&lt;$K65,0,$F65*_xlfn.XLOOKUP($D65,'Capital Call&amp;Distributions data'!$A:$A,INDEX('Capital Call&amp;Distributions data'!$C:$O,0,MIN(MAX(YEAR(AM$41)-YEAR($K65)+$J65+1,1),14)))),0)</f>
        <v>0</v>
      </c>
      <c r="AN65" s="68" cm="1">
        <f t="array" ref="AN65">IFERROR(IF(AN$41&lt;$K65,0,$F65*_xlfn.XLOOKUP($D65,'Capital Call&amp;Distributions data'!$A:$A,INDEX('Capital Call&amp;Distributions data'!$C:$O,0,MIN(MAX(YEAR(AN$41)-YEAR($K65)+$J65+1,1),14)))),0)</f>
        <v>0</v>
      </c>
      <c r="AO65" s="68" cm="1">
        <f t="array" ref="AO65">IFERROR(IF(AO$41&lt;$K65,0,$F65*_xlfn.XLOOKUP($D65,'Capital Call&amp;Distributions data'!$A:$A,INDEX('Capital Call&amp;Distributions data'!$C:$O,0,MIN(MAX(YEAR(AO$41)-YEAR($K65)+$J65+1,1),14)))),0)</f>
        <v>0</v>
      </c>
      <c r="AP65" s="68" cm="1">
        <f t="array" ref="AP65">IFERROR(IF(AP$41&lt;$K65,0,$F65*_xlfn.XLOOKUP($D65,'Capital Call&amp;Distributions data'!$A:$A,INDEX('Capital Call&amp;Distributions data'!$C:$O,0,MIN(MAX(YEAR(AP$41)-YEAR($K65)+$J65+1,1),14)))),0)</f>
        <v>0</v>
      </c>
      <c r="AQ65" s="68" cm="1">
        <f t="array" ref="AQ65">IFERROR(IF(AQ$41&lt;$K65,0,$F65*_xlfn.XLOOKUP($D65,'Capital Call&amp;Distributions data'!$A:$A,INDEX('Capital Call&amp;Distributions data'!$C:$O,0,MIN(MAX(YEAR(AQ$41)-YEAR($K65)+$J65+1,1),14)))),0)</f>
        <v>0</v>
      </c>
      <c r="AR65" s="68" cm="1">
        <f t="array" ref="AR65">IFERROR(IF(AR$41&lt;$K65,0,$F65*_xlfn.XLOOKUP($D65,'Capital Call&amp;Distributions data'!$A:$A,INDEX('Capital Call&amp;Distributions data'!$C:$O,0,MIN(MAX(YEAR(AR$41)-YEAR($K65)+$J65+1,1),14)))),0)</f>
        <v>0</v>
      </c>
      <c r="AS65" s="68" cm="1">
        <f t="array" ref="AS65">IFERROR(IF(AS$41&lt;$K65,0,$F65*_xlfn.XLOOKUP($D65,'Capital Call&amp;Distributions data'!$A:$A,INDEX('Capital Call&amp;Distributions data'!$C:$O,0,MIN(MAX(YEAR(AS$41)-YEAR($K65)+$J65+1,1),14)))),0)</f>
        <v>0</v>
      </c>
      <c r="AT65" s="68" cm="1">
        <f t="array" ref="AT65">IFERROR(IF(AT$41&lt;$K65,0,$F65*_xlfn.XLOOKUP($D65,'Capital Call&amp;Distributions data'!$A:$A,INDEX('Capital Call&amp;Distributions data'!$C:$O,0,MIN(MAX(YEAR(AT$41)-YEAR($K65)+$J65+1,1),14)))),0)</f>
        <v>0</v>
      </c>
      <c r="AU65" s="68" cm="1">
        <f t="array" ref="AU65">IFERROR(IF(AU$41&lt;$K65,0,$F65*_xlfn.XLOOKUP($D65,'Capital Call&amp;Distributions data'!$A:$A,INDEX('Capital Call&amp;Distributions data'!$C:$O,0,MIN(MAX(YEAR(AU$41)-YEAR($K65)+$J65+1,1),14)))),0)</f>
        <v>0</v>
      </c>
      <c r="AW65" s="1"/>
      <c r="DJ65" s="11"/>
    </row>
    <row r="66" spans="3:114" ht="29.25" hidden="1" customHeight="1" outlineLevel="1">
      <c r="C66" s="20"/>
      <c r="D66" s="21">
        <f>_xlfn.XLOOKUP(C66,Fondsen!B:B,Fondsen!C:C,"0",0,1)</f>
        <v>0</v>
      </c>
      <c r="E66" s="21" t="s">
        <v>10</v>
      </c>
      <c r="F66" s="83"/>
      <c r="G66" s="143" t="str">
        <f ca="1">IFERROR(IF(SUM(OFFSET(INDEX('Capital Call&amp;Distributions data'!A:A,MATCH(D66,'Capital Call&amp;Distributions data'!A:A,0)),-1,2,1,1000))=0,"✔",""),"")</f>
        <v/>
      </c>
      <c r="H66" s="138" t="str">
        <f t="shared" si="4"/>
        <v/>
      </c>
      <c r="I66" s="96">
        <v>48214</v>
      </c>
      <c r="J66" s="107">
        <f t="shared" si="3"/>
        <v>0</v>
      </c>
      <c r="K66" s="96">
        <v>48214</v>
      </c>
      <c r="L66" s="68" cm="1">
        <f t="array" ref="L66">IFERROR(IF(L$41&lt;$K66,0,$F66*_xlfn.XLOOKUP($D66,'Capital Call&amp;Distributions data'!$A:$A,INDEX('Capital Call&amp;Distributions data'!$C:$O,0,MIN(MAX(YEAR(L$41)-YEAR($K66)+$J66+1,1),14)))),0)</f>
        <v>0</v>
      </c>
      <c r="M66" s="68" cm="1">
        <f t="array" ref="M66">IFERROR(IF(M$41&lt;$K66,0,$F66*_xlfn.XLOOKUP($D66,'Capital Call&amp;Distributions data'!$A:$A,INDEX('Capital Call&amp;Distributions data'!$C:$O,0,MIN(MAX(YEAR(M$41)-YEAR($K66)+$J66+1,1),14)))),0)</f>
        <v>0</v>
      </c>
      <c r="N66" s="68" cm="1">
        <f t="array" ref="N66">IFERROR(IF(N$41&lt;$K66,0,$F66*_xlfn.XLOOKUP($D66,'Capital Call&amp;Distributions data'!$A:$A,INDEX('Capital Call&amp;Distributions data'!$C:$O,0,MIN(MAX(YEAR(N$41)-YEAR($K66)+$J66+1,1),14)))),0)</f>
        <v>0</v>
      </c>
      <c r="O66" s="68" cm="1">
        <f t="array" ref="O66">IFERROR(IF(O$41&lt;$K66,0,$F66*_xlfn.XLOOKUP($D66,'Capital Call&amp;Distributions data'!$A:$A,INDEX('Capital Call&amp;Distributions data'!$C:$O,0,MIN(MAX(YEAR(O$41)-YEAR($K66)+$J66+1,1),14)))),0)</f>
        <v>0</v>
      </c>
      <c r="P66" s="68" cm="1">
        <f t="array" ref="P66">IFERROR(IF(P$41&lt;$K66,0,$F66*_xlfn.XLOOKUP($D66,'Capital Call&amp;Distributions data'!$A:$A,INDEX('Capital Call&amp;Distributions data'!$C:$O,0,MIN(MAX(YEAR(P$41)-YEAR($K66)+$J66+1,1),14)))),0)</f>
        <v>0</v>
      </c>
      <c r="Q66" s="68" cm="1">
        <f t="array" ref="Q66">IFERROR(IF(Q$41&lt;$K66,0,$F66*_xlfn.XLOOKUP($D66,'Capital Call&amp;Distributions data'!$A:$A,INDEX('Capital Call&amp;Distributions data'!$C:$O,0,MIN(MAX(YEAR(Q$41)-YEAR($K66)+$J66+1,1),14)))),0)</f>
        <v>0</v>
      </c>
      <c r="R66" s="68" cm="1">
        <f t="array" ref="R66">IFERROR(IF(R$41&lt;$K66,0,$F66*_xlfn.XLOOKUP($D66,'Capital Call&amp;Distributions data'!$A:$A,INDEX('Capital Call&amp;Distributions data'!$C:$O,0,MIN(MAX(YEAR(R$41)-YEAR($K66)+$J66+1,1),14)))),0)</f>
        <v>0</v>
      </c>
      <c r="S66" s="68" cm="1">
        <f t="array" ref="S66">IFERROR(IF(S$41&lt;$K66,0,$F66*_xlfn.XLOOKUP($D66,'Capital Call&amp;Distributions data'!$A:$A,INDEX('Capital Call&amp;Distributions data'!$C:$O,0,MIN(MAX(YEAR(S$41)-YEAR($K66)+$J66+1,1),14)))),0)</f>
        <v>0</v>
      </c>
      <c r="T66" s="68" cm="1">
        <f t="array" ref="T66">IFERROR(IF(T$41&lt;$K66,0,$F66*_xlfn.XLOOKUP($D66,'Capital Call&amp;Distributions data'!$A:$A,INDEX('Capital Call&amp;Distributions data'!$C:$O,0,MIN(MAX(YEAR(T$41)-YEAR($K66)+$J66+1,1),14)))),0)</f>
        <v>0</v>
      </c>
      <c r="U66" s="68" cm="1">
        <f t="array" ref="U66">IFERROR(IF(U$41&lt;$K66,0,$F66*_xlfn.XLOOKUP($D66,'Capital Call&amp;Distributions data'!$A:$A,INDEX('Capital Call&amp;Distributions data'!$C:$O,0,MIN(MAX(YEAR(U$41)-YEAR($K66)+$J66+1,1),14)))),0)</f>
        <v>0</v>
      </c>
      <c r="V66" s="68" cm="1">
        <f t="array" ref="V66">IFERROR(IF(V$41&lt;$K66,0,$F66*_xlfn.XLOOKUP($D66,'Capital Call&amp;Distributions data'!$A:$A,INDEX('Capital Call&amp;Distributions data'!$C:$O,0,MIN(MAX(YEAR(V$41)-YEAR($K66)+$J66+1,1),14)))),0)</f>
        <v>0</v>
      </c>
      <c r="W66" s="68" cm="1">
        <f t="array" ref="W66">IFERROR(IF(W$41&lt;$K66,0,$F66*_xlfn.XLOOKUP($D66,'Capital Call&amp;Distributions data'!$A:$A,INDEX('Capital Call&amp;Distributions data'!$C:$O,0,MIN(MAX(YEAR(W$41)-YEAR($K66)+$J66+1,1),14)))),0)</f>
        <v>0</v>
      </c>
      <c r="X66" s="68" cm="1">
        <f t="array" ref="X66">IFERROR(IF(X$41&lt;$K66,0,$F66*_xlfn.XLOOKUP($D66,'Capital Call&amp;Distributions data'!$A:$A,INDEX('Capital Call&amp;Distributions data'!$C:$O,0,MIN(MAX(YEAR(X$41)-YEAR($K66)+$J66+1,1),14)))),0)</f>
        <v>0</v>
      </c>
      <c r="Y66" s="68" cm="1">
        <f t="array" ref="Y66">IFERROR(IF(Y$41&lt;$K66,0,$F66*_xlfn.XLOOKUP($D66,'Capital Call&amp;Distributions data'!$A:$A,INDEX('Capital Call&amp;Distributions data'!$C:$O,0,MIN(MAX(YEAR(Y$41)-YEAR($K66)+$J66+1,1),14)))),0)</f>
        <v>0</v>
      </c>
      <c r="Z66" s="68" cm="1">
        <f t="array" ref="Z66">IFERROR(IF(Z$41&lt;$K66,0,$F66*_xlfn.XLOOKUP($D66,'Capital Call&amp;Distributions data'!$A:$A,INDEX('Capital Call&amp;Distributions data'!$C:$O,0,MIN(MAX(YEAR(Z$41)-YEAR($K66)+$J66+1,1),14)))),0)</f>
        <v>0</v>
      </c>
      <c r="AA66" s="68" cm="1">
        <f t="array" ref="AA66">IFERROR(IF(AA$41&lt;$K66,0,$F66*_xlfn.XLOOKUP($D66,'Capital Call&amp;Distributions data'!$A:$A,INDEX('Capital Call&amp;Distributions data'!$C:$O,0,MIN(MAX(YEAR(AA$41)-YEAR($K66)+$J66+1,1),14)))),0)</f>
        <v>0</v>
      </c>
      <c r="AB66" s="68" cm="1">
        <f t="array" ref="AB66">IFERROR(IF(AB$41&lt;$K66,0,$F66*_xlfn.XLOOKUP($D66,'Capital Call&amp;Distributions data'!$A:$A,INDEX('Capital Call&amp;Distributions data'!$C:$O,0,MIN(MAX(YEAR(AB$41)-YEAR($K66)+$J66+1,1),14)))),0)</f>
        <v>0</v>
      </c>
      <c r="AC66" s="68" cm="1">
        <f t="array" ref="AC66">IFERROR(IF(AC$41&lt;$K66,0,$F66*_xlfn.XLOOKUP($D66,'Capital Call&amp;Distributions data'!$A:$A,INDEX('Capital Call&amp;Distributions data'!$C:$O,0,MIN(MAX(YEAR(AC$41)-YEAR($K66)+$J66+1,1),14)))),0)</f>
        <v>0</v>
      </c>
      <c r="AD66" s="68" cm="1">
        <f t="array" ref="AD66">IFERROR(IF(AD$41&lt;$K66,0,$F66*_xlfn.XLOOKUP($D66,'Capital Call&amp;Distributions data'!$A:$A,INDEX('Capital Call&amp;Distributions data'!$C:$O,0,MIN(MAX(YEAR(AD$41)-YEAR($K66)+$J66+1,1),14)))),0)</f>
        <v>0</v>
      </c>
      <c r="AE66" s="68" cm="1">
        <f t="array" ref="AE66">IFERROR(IF(AE$41&lt;$K66,0,$F66*_xlfn.XLOOKUP($D66,'Capital Call&amp;Distributions data'!$A:$A,INDEX('Capital Call&amp;Distributions data'!$C:$O,0,MIN(MAX(YEAR(AE$41)-YEAR($K66)+$J66+1,1),14)))),0)</f>
        <v>0</v>
      </c>
      <c r="AF66" s="68" cm="1">
        <f t="array" ref="AF66">IFERROR(IF(AF$41&lt;$K66,0,$F66*_xlfn.XLOOKUP($D66,'Capital Call&amp;Distributions data'!$A:$A,INDEX('Capital Call&amp;Distributions data'!$C:$O,0,MIN(MAX(YEAR(AF$41)-YEAR($K66)+$J66+1,1),14)))),0)</f>
        <v>0</v>
      </c>
      <c r="AG66" s="68" cm="1">
        <f t="array" ref="AG66">IFERROR(IF(AG$41&lt;$K66,0,$F66*_xlfn.XLOOKUP($D66,'Capital Call&amp;Distributions data'!$A:$A,INDEX('Capital Call&amp;Distributions data'!$C:$O,0,MIN(MAX(YEAR(AG$41)-YEAR($K66)+$J66+1,1),14)))),0)</f>
        <v>0</v>
      </c>
      <c r="AH66" s="68" cm="1">
        <f t="array" ref="AH66">IFERROR(IF(AH$41&lt;$K66,0,$F66*_xlfn.XLOOKUP($D66,'Capital Call&amp;Distributions data'!$A:$A,INDEX('Capital Call&amp;Distributions data'!$C:$O,0,MIN(MAX(YEAR(AH$41)-YEAR($K66)+$J66+1,1),14)))),0)</f>
        <v>0</v>
      </c>
      <c r="AI66" s="68" cm="1">
        <f t="array" ref="AI66">IFERROR(IF(AI$41&lt;$K66,0,$F66*_xlfn.XLOOKUP($D66,'Capital Call&amp;Distributions data'!$A:$A,INDEX('Capital Call&amp;Distributions data'!$C:$O,0,MIN(MAX(YEAR(AI$41)-YEAR($K66)+$J66+1,1),14)))),0)</f>
        <v>0</v>
      </c>
      <c r="AJ66" s="68" cm="1">
        <f t="array" ref="AJ66">IFERROR(IF(AJ$41&lt;$K66,0,$F66*_xlfn.XLOOKUP($D66,'Capital Call&amp;Distributions data'!$A:$A,INDEX('Capital Call&amp;Distributions data'!$C:$O,0,MIN(MAX(YEAR(AJ$41)-YEAR($K66)+$J66+1,1),14)))),0)</f>
        <v>0</v>
      </c>
      <c r="AK66" s="68" cm="1">
        <f t="array" ref="AK66">IFERROR(IF(AK$41&lt;$K66,0,$F66*_xlfn.XLOOKUP($D66,'Capital Call&amp;Distributions data'!$A:$A,INDEX('Capital Call&amp;Distributions data'!$C:$O,0,MIN(MAX(YEAR(AK$41)-YEAR($K66)+$J66+1,1),14)))),0)</f>
        <v>0</v>
      </c>
      <c r="AL66" s="68" cm="1">
        <f t="array" ref="AL66">IFERROR(IF(AL$41&lt;$K66,0,$F66*_xlfn.XLOOKUP($D66,'Capital Call&amp;Distributions data'!$A:$A,INDEX('Capital Call&amp;Distributions data'!$C:$O,0,MIN(MAX(YEAR(AL$41)-YEAR($K66)+$J66+1,1),14)))),0)</f>
        <v>0</v>
      </c>
      <c r="AM66" s="68" cm="1">
        <f t="array" ref="AM66">IFERROR(IF(AM$41&lt;$K66,0,$F66*_xlfn.XLOOKUP($D66,'Capital Call&amp;Distributions data'!$A:$A,INDEX('Capital Call&amp;Distributions data'!$C:$O,0,MIN(MAX(YEAR(AM$41)-YEAR($K66)+$J66+1,1),14)))),0)</f>
        <v>0</v>
      </c>
      <c r="AN66" s="68" cm="1">
        <f t="array" ref="AN66">IFERROR(IF(AN$41&lt;$K66,0,$F66*_xlfn.XLOOKUP($D66,'Capital Call&amp;Distributions data'!$A:$A,INDEX('Capital Call&amp;Distributions data'!$C:$O,0,MIN(MAX(YEAR(AN$41)-YEAR($K66)+$J66+1,1),14)))),0)</f>
        <v>0</v>
      </c>
      <c r="AO66" s="68" cm="1">
        <f t="array" ref="AO66">IFERROR(IF(AO$41&lt;$K66,0,$F66*_xlfn.XLOOKUP($D66,'Capital Call&amp;Distributions data'!$A:$A,INDEX('Capital Call&amp;Distributions data'!$C:$O,0,MIN(MAX(YEAR(AO$41)-YEAR($K66)+$J66+1,1),14)))),0)</f>
        <v>0</v>
      </c>
      <c r="AP66" s="68" cm="1">
        <f t="array" ref="AP66">IFERROR(IF(AP$41&lt;$K66,0,$F66*_xlfn.XLOOKUP($D66,'Capital Call&amp;Distributions data'!$A:$A,INDEX('Capital Call&amp;Distributions data'!$C:$O,0,MIN(MAX(YEAR(AP$41)-YEAR($K66)+$J66+1,1),14)))),0)</f>
        <v>0</v>
      </c>
      <c r="AQ66" s="68" cm="1">
        <f t="array" ref="AQ66">IFERROR(IF(AQ$41&lt;$K66,0,$F66*_xlfn.XLOOKUP($D66,'Capital Call&amp;Distributions data'!$A:$A,INDEX('Capital Call&amp;Distributions data'!$C:$O,0,MIN(MAX(YEAR(AQ$41)-YEAR($K66)+$J66+1,1),14)))),0)</f>
        <v>0</v>
      </c>
      <c r="AR66" s="68" cm="1">
        <f t="array" ref="AR66">IFERROR(IF(AR$41&lt;$K66,0,$F66*_xlfn.XLOOKUP($D66,'Capital Call&amp;Distributions data'!$A:$A,INDEX('Capital Call&amp;Distributions data'!$C:$O,0,MIN(MAX(YEAR(AR$41)-YEAR($K66)+$J66+1,1),14)))),0)</f>
        <v>0</v>
      </c>
      <c r="AS66" s="68" cm="1">
        <f t="array" ref="AS66">IFERROR(IF(AS$41&lt;$K66,0,$F66*_xlfn.XLOOKUP($D66,'Capital Call&amp;Distributions data'!$A:$A,INDEX('Capital Call&amp;Distributions data'!$C:$O,0,MIN(MAX(YEAR(AS$41)-YEAR($K66)+$J66+1,1),14)))),0)</f>
        <v>0</v>
      </c>
      <c r="AT66" s="68" cm="1">
        <f t="array" ref="AT66">IFERROR(IF(AT$41&lt;$K66,0,$F66*_xlfn.XLOOKUP($D66,'Capital Call&amp;Distributions data'!$A:$A,INDEX('Capital Call&amp;Distributions data'!$C:$O,0,MIN(MAX(YEAR(AT$41)-YEAR($K66)+$J66+1,1),14)))),0)</f>
        <v>0</v>
      </c>
      <c r="AU66" s="68" cm="1">
        <f t="array" ref="AU66">IFERROR(IF(AU$41&lt;$K66,0,$F66*_xlfn.XLOOKUP($D66,'Capital Call&amp;Distributions data'!$A:$A,INDEX('Capital Call&amp;Distributions data'!$C:$O,0,MIN(MAX(YEAR(AU$41)-YEAR($K66)+$J66+1,1),14)))),0)</f>
        <v>0</v>
      </c>
      <c r="AW66" s="1"/>
      <c r="DJ66" s="11"/>
    </row>
    <row r="67" spans="3:114" ht="29.25" hidden="1" customHeight="1" outlineLevel="1">
      <c r="C67" s="20"/>
      <c r="D67" s="21">
        <f>_xlfn.XLOOKUP(C67,Fondsen!B:B,Fondsen!C:C,"0",0,1)</f>
        <v>0</v>
      </c>
      <c r="E67" s="21" t="s">
        <v>10</v>
      </c>
      <c r="F67" s="83"/>
      <c r="G67" s="143" t="str">
        <f ca="1">IFERROR(IF(SUM(OFFSET(INDEX('Capital Call&amp;Distributions data'!A:A,MATCH(D67,'Capital Call&amp;Distributions data'!A:A,0)),-1,2,1,1000))=0,"✔",""),"")</f>
        <v/>
      </c>
      <c r="H67" s="138" t="str">
        <f t="shared" si="4"/>
        <v/>
      </c>
      <c r="I67" s="96">
        <v>45658</v>
      </c>
      <c r="J67" s="70">
        <f t="shared" si="3"/>
        <v>0</v>
      </c>
      <c r="K67" s="96">
        <v>45658</v>
      </c>
      <c r="L67" s="68" cm="1">
        <f t="array" ref="L67">IFERROR(IF(L$41&lt;$K67,0,$F67*_xlfn.XLOOKUP($D67,'Capital Call&amp;Distributions data'!$A:$A,INDEX('Capital Call&amp;Distributions data'!$C:$O,0,MIN(MAX(YEAR(L$41)-YEAR($K67)+$J67+1,1),14)))),0)</f>
        <v>0</v>
      </c>
      <c r="M67" s="68" cm="1">
        <f t="array" ref="M67">IFERROR(IF(M$41&lt;$K67,0,$F67*_xlfn.XLOOKUP($D67,'Capital Call&amp;Distributions data'!$A:$A,INDEX('Capital Call&amp;Distributions data'!$C:$O,0,MIN(MAX(YEAR(M$41)-YEAR($K67)+$J67+1,1),14)))),0)</f>
        <v>0</v>
      </c>
      <c r="N67" s="68" cm="1">
        <f t="array" ref="N67">IFERROR(IF(N$41&lt;$K67,0,$F67*_xlfn.XLOOKUP($D67,'Capital Call&amp;Distributions data'!$A:$A,INDEX('Capital Call&amp;Distributions data'!$C:$O,0,MIN(MAX(YEAR(N$41)-YEAR($K67)+$J67+1,1),14)))),0)</f>
        <v>0</v>
      </c>
      <c r="O67" s="68" cm="1">
        <f t="array" ref="O67">IFERROR(IF(O$41&lt;$K67,0,$F67*_xlfn.XLOOKUP($D67,'Capital Call&amp;Distributions data'!$A:$A,INDEX('Capital Call&amp;Distributions data'!$C:$O,0,MIN(MAX(YEAR(O$41)-YEAR($K67)+$J67+1,1),14)))),0)</f>
        <v>0</v>
      </c>
      <c r="P67" s="68" cm="1">
        <f t="array" ref="P67">IFERROR(IF(P$41&lt;$K67,0,$F67*_xlfn.XLOOKUP($D67,'Capital Call&amp;Distributions data'!$A:$A,INDEX('Capital Call&amp;Distributions data'!$C:$O,0,MIN(MAX(YEAR(P$41)-YEAR($K67)+$J67+1,1),14)))),0)</f>
        <v>0</v>
      </c>
      <c r="Q67" s="68" cm="1">
        <f t="array" ref="Q67">IFERROR(IF(Q$41&lt;$K67,0,$F67*_xlfn.XLOOKUP($D67,'Capital Call&amp;Distributions data'!$A:$A,INDEX('Capital Call&amp;Distributions data'!$C:$O,0,MIN(MAX(YEAR(Q$41)-YEAR($K67)+$J67+1,1),14)))),0)</f>
        <v>0</v>
      </c>
      <c r="R67" s="68" cm="1">
        <f t="array" ref="R67">IFERROR(IF(R$41&lt;$K67,0,$F67*_xlfn.XLOOKUP($D67,'Capital Call&amp;Distributions data'!$A:$A,INDEX('Capital Call&amp;Distributions data'!$C:$O,0,MIN(MAX(YEAR(R$41)-YEAR($K67)+$J67+1,1),14)))),0)</f>
        <v>0</v>
      </c>
      <c r="S67" s="68" cm="1">
        <f t="array" ref="S67">IFERROR(IF(S$41&lt;$K67,0,$F67*_xlfn.XLOOKUP($D67,'Capital Call&amp;Distributions data'!$A:$A,INDEX('Capital Call&amp;Distributions data'!$C:$O,0,MIN(MAX(YEAR(S$41)-YEAR($K67)+$J67+1,1),14)))),0)</f>
        <v>0</v>
      </c>
      <c r="T67" s="68" cm="1">
        <f t="array" ref="T67">IFERROR(IF(T$41&lt;$K67,0,$F67*_xlfn.XLOOKUP($D67,'Capital Call&amp;Distributions data'!$A:$A,INDEX('Capital Call&amp;Distributions data'!$C:$O,0,MIN(MAX(YEAR(T$41)-YEAR($K67)+$J67+1,1),14)))),0)</f>
        <v>0</v>
      </c>
      <c r="U67" s="68" cm="1">
        <f t="array" ref="U67">IFERROR(IF(U$41&lt;$K67,0,$F67*_xlfn.XLOOKUP($D67,'Capital Call&amp;Distributions data'!$A:$A,INDEX('Capital Call&amp;Distributions data'!$C:$O,0,MIN(MAX(YEAR(U$41)-YEAR($K67)+$J67+1,1),14)))),0)</f>
        <v>0</v>
      </c>
      <c r="V67" s="68" cm="1">
        <f t="array" ref="V67">IFERROR(IF(V$41&lt;$K67,0,$F67*_xlfn.XLOOKUP($D67,'Capital Call&amp;Distributions data'!$A:$A,INDEX('Capital Call&amp;Distributions data'!$C:$O,0,MIN(MAX(YEAR(V$41)-YEAR($K67)+$J67+1,1),14)))),0)</f>
        <v>0</v>
      </c>
      <c r="W67" s="68" cm="1">
        <f t="array" ref="W67">IFERROR(IF(W$41&lt;$K67,0,$F67*_xlfn.XLOOKUP($D67,'Capital Call&amp;Distributions data'!$A:$A,INDEX('Capital Call&amp;Distributions data'!$C:$O,0,MIN(MAX(YEAR(W$41)-YEAR($K67)+$J67+1,1),14)))),0)</f>
        <v>0</v>
      </c>
      <c r="X67" s="68" cm="1">
        <f t="array" ref="X67">IFERROR(IF(X$41&lt;$K67,0,$F67*_xlfn.XLOOKUP($D67,'Capital Call&amp;Distributions data'!$A:$A,INDEX('Capital Call&amp;Distributions data'!$C:$O,0,MIN(MAX(YEAR(X$41)-YEAR($K67)+$J67+1,1),14)))),0)</f>
        <v>0</v>
      </c>
      <c r="Y67" s="68" cm="1">
        <f t="array" ref="Y67">IFERROR(IF(Y$41&lt;$K67,0,$F67*_xlfn.XLOOKUP($D67,'Capital Call&amp;Distributions data'!$A:$A,INDEX('Capital Call&amp;Distributions data'!$C:$O,0,MIN(MAX(YEAR(Y$41)-YEAR($K67)+$J67+1,1),14)))),0)</f>
        <v>0</v>
      </c>
      <c r="Z67" s="68" cm="1">
        <f t="array" ref="Z67">IFERROR(IF(Z$41&lt;$K67,0,$F67*_xlfn.XLOOKUP($D67,'Capital Call&amp;Distributions data'!$A:$A,INDEX('Capital Call&amp;Distributions data'!$C:$O,0,MIN(MAX(YEAR(Z$41)-YEAR($K67)+$J67+1,1),14)))),0)</f>
        <v>0</v>
      </c>
      <c r="AA67" s="68" cm="1">
        <f t="array" ref="AA67">IFERROR(IF(AA$41&lt;$K67,0,$F67*_xlfn.XLOOKUP($D67,'Capital Call&amp;Distributions data'!$A:$A,INDEX('Capital Call&amp;Distributions data'!$C:$O,0,MIN(MAX(YEAR(AA$41)-YEAR($K67)+$J67+1,1),14)))),0)</f>
        <v>0</v>
      </c>
      <c r="AB67" s="68" cm="1">
        <f t="array" ref="AB67">IFERROR(IF(AB$41&lt;$K67,0,$F67*_xlfn.XLOOKUP($D67,'Capital Call&amp;Distributions data'!$A:$A,INDEX('Capital Call&amp;Distributions data'!$C:$O,0,MIN(MAX(YEAR(AB$41)-YEAR($K67)+$J67+1,1),14)))),0)</f>
        <v>0</v>
      </c>
      <c r="AC67" s="68" cm="1">
        <f t="array" ref="AC67">IFERROR(IF(AC$41&lt;$K67,0,$F67*_xlfn.XLOOKUP($D67,'Capital Call&amp;Distributions data'!$A:$A,INDEX('Capital Call&amp;Distributions data'!$C:$O,0,MIN(MAX(YEAR(AC$41)-YEAR($K67)+$J67+1,1),14)))),0)</f>
        <v>0</v>
      </c>
      <c r="AD67" s="68" cm="1">
        <f t="array" ref="AD67">IFERROR(IF(AD$41&lt;$K67,0,$F67*_xlfn.XLOOKUP($D67,'Capital Call&amp;Distributions data'!$A:$A,INDEX('Capital Call&amp;Distributions data'!$C:$O,0,MIN(MAX(YEAR(AD$41)-YEAR($K67)+$J67+1,1),14)))),0)</f>
        <v>0</v>
      </c>
      <c r="AE67" s="68" cm="1">
        <f t="array" ref="AE67">IFERROR(IF(AE$41&lt;$K67,0,$F67*_xlfn.XLOOKUP($D67,'Capital Call&amp;Distributions data'!$A:$A,INDEX('Capital Call&amp;Distributions data'!$C:$O,0,MIN(MAX(YEAR(AE$41)-YEAR($K67)+$J67+1,1),14)))),0)</f>
        <v>0</v>
      </c>
      <c r="AF67" s="68" cm="1">
        <f t="array" ref="AF67">IFERROR(IF(AF$41&lt;$K67,0,$F67*_xlfn.XLOOKUP($D67,'Capital Call&amp;Distributions data'!$A:$A,INDEX('Capital Call&amp;Distributions data'!$C:$O,0,MIN(MAX(YEAR(AF$41)-YEAR($K67)+$J67+1,1),14)))),0)</f>
        <v>0</v>
      </c>
      <c r="AG67" s="68" cm="1">
        <f t="array" ref="AG67">IFERROR(IF(AG$41&lt;$K67,0,$F67*_xlfn.XLOOKUP($D67,'Capital Call&amp;Distributions data'!$A:$A,INDEX('Capital Call&amp;Distributions data'!$C:$O,0,MIN(MAX(YEAR(AG$41)-YEAR($K67)+$J67+1,1),14)))),0)</f>
        <v>0</v>
      </c>
      <c r="AH67" s="68" cm="1">
        <f t="array" ref="AH67">IFERROR(IF(AH$41&lt;$K67,0,$F67*_xlfn.XLOOKUP($D67,'Capital Call&amp;Distributions data'!$A:$A,INDEX('Capital Call&amp;Distributions data'!$C:$O,0,MIN(MAX(YEAR(AH$41)-YEAR($K67)+$J67+1,1),14)))),0)</f>
        <v>0</v>
      </c>
      <c r="AI67" s="68" cm="1">
        <f t="array" ref="AI67">IFERROR(IF(AI$41&lt;$K67,0,$F67*_xlfn.XLOOKUP($D67,'Capital Call&amp;Distributions data'!$A:$A,INDEX('Capital Call&amp;Distributions data'!$C:$O,0,MIN(MAX(YEAR(AI$41)-YEAR($K67)+$J67+1,1),14)))),0)</f>
        <v>0</v>
      </c>
      <c r="AJ67" s="68" cm="1">
        <f t="array" ref="AJ67">IFERROR(IF(AJ$41&lt;$K67,0,$F67*_xlfn.XLOOKUP($D67,'Capital Call&amp;Distributions data'!$A:$A,INDEX('Capital Call&amp;Distributions data'!$C:$O,0,MIN(MAX(YEAR(AJ$41)-YEAR($K67)+$J67+1,1),14)))),0)</f>
        <v>0</v>
      </c>
      <c r="AK67" s="68" cm="1">
        <f t="array" ref="AK67">IFERROR(IF(AK$41&lt;$K67,0,$F67*_xlfn.XLOOKUP($D67,'Capital Call&amp;Distributions data'!$A:$A,INDEX('Capital Call&amp;Distributions data'!$C:$O,0,MIN(MAX(YEAR(AK$41)-YEAR($K67)+$J67+1,1),14)))),0)</f>
        <v>0</v>
      </c>
      <c r="AL67" s="68" cm="1">
        <f t="array" ref="AL67">IFERROR(IF(AL$41&lt;$K67,0,$F67*_xlfn.XLOOKUP($D67,'Capital Call&amp;Distributions data'!$A:$A,INDEX('Capital Call&amp;Distributions data'!$C:$O,0,MIN(MAX(YEAR(AL$41)-YEAR($K67)+$J67+1,1),14)))),0)</f>
        <v>0</v>
      </c>
      <c r="AM67" s="68" cm="1">
        <f t="array" ref="AM67">IFERROR(IF(AM$41&lt;$K67,0,$F67*_xlfn.XLOOKUP($D67,'Capital Call&amp;Distributions data'!$A:$A,INDEX('Capital Call&amp;Distributions data'!$C:$O,0,MIN(MAX(YEAR(AM$41)-YEAR($K67)+$J67+1,1),14)))),0)</f>
        <v>0</v>
      </c>
      <c r="AN67" s="68" cm="1">
        <f t="array" ref="AN67">IFERROR(IF(AN$41&lt;$K67,0,$F67*_xlfn.XLOOKUP($D67,'Capital Call&amp;Distributions data'!$A:$A,INDEX('Capital Call&amp;Distributions data'!$C:$O,0,MIN(MAX(YEAR(AN$41)-YEAR($K67)+$J67+1,1),14)))),0)</f>
        <v>0</v>
      </c>
      <c r="AO67" s="68" cm="1">
        <f t="array" ref="AO67">IFERROR(IF(AO$41&lt;$K67,0,$F67*_xlfn.XLOOKUP($D67,'Capital Call&amp;Distributions data'!$A:$A,INDEX('Capital Call&amp;Distributions data'!$C:$O,0,MIN(MAX(YEAR(AO$41)-YEAR($K67)+$J67+1,1),14)))),0)</f>
        <v>0</v>
      </c>
      <c r="AP67" s="68" cm="1">
        <f t="array" ref="AP67">IFERROR(IF(AP$41&lt;$K67,0,$F67*_xlfn.XLOOKUP($D67,'Capital Call&amp;Distributions data'!$A:$A,INDEX('Capital Call&amp;Distributions data'!$C:$O,0,MIN(MAX(YEAR(AP$41)-YEAR($K67)+$J67+1,1),14)))),0)</f>
        <v>0</v>
      </c>
      <c r="AQ67" s="68" cm="1">
        <f t="array" ref="AQ67">IFERROR(IF(AQ$41&lt;$K67,0,$F67*_xlfn.XLOOKUP($D67,'Capital Call&amp;Distributions data'!$A:$A,INDEX('Capital Call&amp;Distributions data'!$C:$O,0,MIN(MAX(YEAR(AQ$41)-YEAR($K67)+$J67+1,1),14)))),0)</f>
        <v>0</v>
      </c>
      <c r="AR67" s="68" cm="1">
        <f t="array" ref="AR67">IFERROR(IF(AR$41&lt;$K67,0,$F67*_xlfn.XLOOKUP($D67,'Capital Call&amp;Distributions data'!$A:$A,INDEX('Capital Call&amp;Distributions data'!$C:$O,0,MIN(MAX(YEAR(AR$41)-YEAR($K67)+$J67+1,1),14)))),0)</f>
        <v>0</v>
      </c>
      <c r="AS67" s="68" cm="1">
        <f t="array" ref="AS67">IFERROR(IF(AS$41&lt;$K67,0,$F67*_xlfn.XLOOKUP($D67,'Capital Call&amp;Distributions data'!$A:$A,INDEX('Capital Call&amp;Distributions data'!$C:$O,0,MIN(MAX(YEAR(AS$41)-YEAR($K67)+$J67+1,1),14)))),0)</f>
        <v>0</v>
      </c>
      <c r="AT67" s="68" cm="1">
        <f t="array" ref="AT67">IFERROR(IF(AT$41&lt;$K67,0,$F67*_xlfn.XLOOKUP($D67,'Capital Call&amp;Distributions data'!$A:$A,INDEX('Capital Call&amp;Distributions data'!$C:$O,0,MIN(MAX(YEAR(AT$41)-YEAR($K67)+$J67+1,1),14)))),0)</f>
        <v>0</v>
      </c>
      <c r="AU67" s="68" cm="1">
        <f t="array" ref="AU67">IFERROR(IF(AU$41&lt;$K67,0,$F67*_xlfn.XLOOKUP($D67,'Capital Call&amp;Distributions data'!$A:$A,INDEX('Capital Call&amp;Distributions data'!$C:$O,0,MIN(MAX(YEAR(AU$41)-YEAR($K67)+$J67+1,1),14)))),0)</f>
        <v>0</v>
      </c>
      <c r="AW67" s="1"/>
      <c r="DJ67" s="11"/>
    </row>
    <row r="68" spans="3:114" ht="29.25" hidden="1" customHeight="1" outlineLevel="1">
      <c r="C68" s="20"/>
      <c r="D68" s="21">
        <f>_xlfn.XLOOKUP(C68,Fondsen!B:B,Fondsen!C:C,"0",0,1)</f>
        <v>0</v>
      </c>
      <c r="E68" s="21" t="s">
        <v>10</v>
      </c>
      <c r="F68" s="83"/>
      <c r="G68" s="143" t="str">
        <f ca="1">IFERROR(IF(SUM(OFFSET(INDEX('Capital Call&amp;Distributions data'!A:A,MATCH(D68,'Capital Call&amp;Distributions data'!A:A,0)),-1,2,1,1000))=0,"✔",""),"")</f>
        <v/>
      </c>
      <c r="H68" s="138" t="str">
        <f t="shared" si="4"/>
        <v/>
      </c>
      <c r="I68" s="96">
        <v>45658</v>
      </c>
      <c r="J68" s="70">
        <f t="shared" si="3"/>
        <v>0</v>
      </c>
      <c r="K68" s="96">
        <v>45658</v>
      </c>
      <c r="L68" s="68" cm="1">
        <f t="array" ref="L68">IFERROR(IF(L$41&lt;$K68,0,$F68*_xlfn.XLOOKUP($D68,'Capital Call&amp;Distributions data'!$A:$A,INDEX('Capital Call&amp;Distributions data'!$C:$O,0,MIN(MAX(YEAR(L$41)-YEAR($K68)+$J68+1,1),14)))),0)</f>
        <v>0</v>
      </c>
      <c r="M68" s="68" cm="1">
        <f t="array" ref="M68">IFERROR(IF(M$41&lt;$K68,0,$F68*_xlfn.XLOOKUP($D68,'Capital Call&amp;Distributions data'!$A:$A,INDEX('Capital Call&amp;Distributions data'!$C:$O,0,MIN(MAX(YEAR(M$41)-YEAR($K68)+$J68+1,1),14)))),0)</f>
        <v>0</v>
      </c>
      <c r="N68" s="68" cm="1">
        <f t="array" ref="N68">IFERROR(IF(N$41&lt;$K68,0,$F68*_xlfn.XLOOKUP($D68,'Capital Call&amp;Distributions data'!$A:$A,INDEX('Capital Call&amp;Distributions data'!$C:$O,0,MIN(MAX(YEAR(N$41)-YEAR($K68)+$J68+1,1),14)))),0)</f>
        <v>0</v>
      </c>
      <c r="O68" s="68" cm="1">
        <f t="array" ref="O68">IFERROR(IF(O$41&lt;$K68,0,$F68*_xlfn.XLOOKUP($D68,'Capital Call&amp;Distributions data'!$A:$A,INDEX('Capital Call&amp;Distributions data'!$C:$O,0,MIN(MAX(YEAR(O$41)-YEAR($K68)+$J68+1,1),14)))),0)</f>
        <v>0</v>
      </c>
      <c r="P68" s="68" cm="1">
        <f t="array" ref="P68">IFERROR(IF(P$41&lt;$K68,0,$F68*_xlfn.XLOOKUP($D68,'Capital Call&amp;Distributions data'!$A:$A,INDEX('Capital Call&amp;Distributions data'!$C:$O,0,MIN(MAX(YEAR(P$41)-YEAR($K68)+$J68+1,1),14)))),0)</f>
        <v>0</v>
      </c>
      <c r="Q68" s="68" cm="1">
        <f t="array" ref="Q68">IFERROR(IF(Q$41&lt;$K68,0,$F68*_xlfn.XLOOKUP($D68,'Capital Call&amp;Distributions data'!$A:$A,INDEX('Capital Call&amp;Distributions data'!$C:$O,0,MIN(MAX(YEAR(Q$41)-YEAR($K68)+$J68+1,1),14)))),0)</f>
        <v>0</v>
      </c>
      <c r="R68" s="68" cm="1">
        <f t="array" ref="R68">IFERROR(IF(R$41&lt;$K68,0,$F68*_xlfn.XLOOKUP($D68,'Capital Call&amp;Distributions data'!$A:$A,INDEX('Capital Call&amp;Distributions data'!$C:$O,0,MIN(MAX(YEAR(R$41)-YEAR($K68)+$J68+1,1),14)))),0)</f>
        <v>0</v>
      </c>
      <c r="S68" s="68" cm="1">
        <f t="array" ref="S68">IFERROR(IF(S$41&lt;$K68,0,$F68*_xlfn.XLOOKUP($D68,'Capital Call&amp;Distributions data'!$A:$A,INDEX('Capital Call&amp;Distributions data'!$C:$O,0,MIN(MAX(YEAR(S$41)-YEAR($K68)+$J68+1,1),14)))),0)</f>
        <v>0</v>
      </c>
      <c r="T68" s="68" cm="1">
        <f t="array" ref="T68">IFERROR(IF(T$41&lt;$K68,0,$F68*_xlfn.XLOOKUP($D68,'Capital Call&amp;Distributions data'!$A:$A,INDEX('Capital Call&amp;Distributions data'!$C:$O,0,MIN(MAX(YEAR(T$41)-YEAR($K68)+$J68+1,1),14)))),0)</f>
        <v>0</v>
      </c>
      <c r="U68" s="68" cm="1">
        <f t="array" ref="U68">IFERROR(IF(U$41&lt;$K68,0,$F68*_xlfn.XLOOKUP($D68,'Capital Call&amp;Distributions data'!$A:$A,INDEX('Capital Call&amp;Distributions data'!$C:$O,0,MIN(MAX(YEAR(U$41)-YEAR($K68)+$J68+1,1),14)))),0)</f>
        <v>0</v>
      </c>
      <c r="V68" s="68" cm="1">
        <f t="array" ref="V68">IFERROR(IF(V$41&lt;$K68,0,$F68*_xlfn.XLOOKUP($D68,'Capital Call&amp;Distributions data'!$A:$A,INDEX('Capital Call&amp;Distributions data'!$C:$O,0,MIN(MAX(YEAR(V$41)-YEAR($K68)+$J68+1,1),14)))),0)</f>
        <v>0</v>
      </c>
      <c r="W68" s="68" cm="1">
        <f t="array" ref="W68">IFERROR(IF(W$41&lt;$K68,0,$F68*_xlfn.XLOOKUP($D68,'Capital Call&amp;Distributions data'!$A:$A,INDEX('Capital Call&amp;Distributions data'!$C:$O,0,MIN(MAX(YEAR(W$41)-YEAR($K68)+$J68+1,1),14)))),0)</f>
        <v>0</v>
      </c>
      <c r="X68" s="68" cm="1">
        <f t="array" ref="X68">IFERROR(IF(X$41&lt;$K68,0,$F68*_xlfn.XLOOKUP($D68,'Capital Call&amp;Distributions data'!$A:$A,INDEX('Capital Call&amp;Distributions data'!$C:$O,0,MIN(MAX(YEAR(X$41)-YEAR($K68)+$J68+1,1),14)))),0)</f>
        <v>0</v>
      </c>
      <c r="Y68" s="68" cm="1">
        <f t="array" ref="Y68">IFERROR(IF(Y$41&lt;$K68,0,$F68*_xlfn.XLOOKUP($D68,'Capital Call&amp;Distributions data'!$A:$A,INDEX('Capital Call&amp;Distributions data'!$C:$O,0,MIN(MAX(YEAR(Y$41)-YEAR($K68)+$J68+1,1),14)))),0)</f>
        <v>0</v>
      </c>
      <c r="Z68" s="68" cm="1">
        <f t="array" ref="Z68">IFERROR(IF(Z$41&lt;$K68,0,$F68*_xlfn.XLOOKUP($D68,'Capital Call&amp;Distributions data'!$A:$A,INDEX('Capital Call&amp;Distributions data'!$C:$O,0,MIN(MAX(YEAR(Z$41)-YEAR($K68)+$J68+1,1),14)))),0)</f>
        <v>0</v>
      </c>
      <c r="AA68" s="68" cm="1">
        <f t="array" ref="AA68">IFERROR(IF(AA$41&lt;$K68,0,$F68*_xlfn.XLOOKUP($D68,'Capital Call&amp;Distributions data'!$A:$A,INDEX('Capital Call&amp;Distributions data'!$C:$O,0,MIN(MAX(YEAR(AA$41)-YEAR($K68)+$J68+1,1),14)))),0)</f>
        <v>0</v>
      </c>
      <c r="AB68" s="68" cm="1">
        <f t="array" ref="AB68">IFERROR(IF(AB$41&lt;$K68,0,$F68*_xlfn.XLOOKUP($D68,'Capital Call&amp;Distributions data'!$A:$A,INDEX('Capital Call&amp;Distributions data'!$C:$O,0,MIN(MAX(YEAR(AB$41)-YEAR($K68)+$J68+1,1),14)))),0)</f>
        <v>0</v>
      </c>
      <c r="AC68" s="68" cm="1">
        <f t="array" ref="AC68">IFERROR(IF(AC$41&lt;$K68,0,$F68*_xlfn.XLOOKUP($D68,'Capital Call&amp;Distributions data'!$A:$A,INDEX('Capital Call&amp;Distributions data'!$C:$O,0,MIN(MAX(YEAR(AC$41)-YEAR($K68)+$J68+1,1),14)))),0)</f>
        <v>0</v>
      </c>
      <c r="AD68" s="68" cm="1">
        <f t="array" ref="AD68">IFERROR(IF(AD$41&lt;$K68,0,$F68*_xlfn.XLOOKUP($D68,'Capital Call&amp;Distributions data'!$A:$A,INDEX('Capital Call&amp;Distributions data'!$C:$O,0,MIN(MAX(YEAR(AD$41)-YEAR($K68)+$J68+1,1),14)))),0)</f>
        <v>0</v>
      </c>
      <c r="AE68" s="68" cm="1">
        <f t="array" ref="AE68">IFERROR(IF(AE$41&lt;$K68,0,$F68*_xlfn.XLOOKUP($D68,'Capital Call&amp;Distributions data'!$A:$A,INDEX('Capital Call&amp;Distributions data'!$C:$O,0,MIN(MAX(YEAR(AE$41)-YEAR($K68)+$J68+1,1),14)))),0)</f>
        <v>0</v>
      </c>
      <c r="AF68" s="68" cm="1">
        <f t="array" ref="AF68">IFERROR(IF(AF$41&lt;$K68,0,$F68*_xlfn.XLOOKUP($D68,'Capital Call&amp;Distributions data'!$A:$A,INDEX('Capital Call&amp;Distributions data'!$C:$O,0,MIN(MAX(YEAR(AF$41)-YEAR($K68)+$J68+1,1),14)))),0)</f>
        <v>0</v>
      </c>
      <c r="AG68" s="68" cm="1">
        <f t="array" ref="AG68">IFERROR(IF(AG$41&lt;$K68,0,$F68*_xlfn.XLOOKUP($D68,'Capital Call&amp;Distributions data'!$A:$A,INDEX('Capital Call&amp;Distributions data'!$C:$O,0,MIN(MAX(YEAR(AG$41)-YEAR($K68)+$J68+1,1),14)))),0)</f>
        <v>0</v>
      </c>
      <c r="AH68" s="68" cm="1">
        <f t="array" ref="AH68">IFERROR(IF(AH$41&lt;$K68,0,$F68*_xlfn.XLOOKUP($D68,'Capital Call&amp;Distributions data'!$A:$A,INDEX('Capital Call&amp;Distributions data'!$C:$O,0,MIN(MAX(YEAR(AH$41)-YEAR($K68)+$J68+1,1),14)))),0)</f>
        <v>0</v>
      </c>
      <c r="AI68" s="68" cm="1">
        <f t="array" ref="AI68">IFERROR(IF(AI$41&lt;$K68,0,$F68*_xlfn.XLOOKUP($D68,'Capital Call&amp;Distributions data'!$A:$A,INDEX('Capital Call&amp;Distributions data'!$C:$O,0,MIN(MAX(YEAR(AI$41)-YEAR($K68)+$J68+1,1),14)))),0)</f>
        <v>0</v>
      </c>
      <c r="AJ68" s="68" cm="1">
        <f t="array" ref="AJ68">IFERROR(IF(AJ$41&lt;$K68,0,$F68*_xlfn.XLOOKUP($D68,'Capital Call&amp;Distributions data'!$A:$A,INDEX('Capital Call&amp;Distributions data'!$C:$O,0,MIN(MAX(YEAR(AJ$41)-YEAR($K68)+$J68+1,1),14)))),0)</f>
        <v>0</v>
      </c>
      <c r="AK68" s="68" cm="1">
        <f t="array" ref="AK68">IFERROR(IF(AK$41&lt;$K68,0,$F68*_xlfn.XLOOKUP($D68,'Capital Call&amp;Distributions data'!$A:$A,INDEX('Capital Call&amp;Distributions data'!$C:$O,0,MIN(MAX(YEAR(AK$41)-YEAR($K68)+$J68+1,1),14)))),0)</f>
        <v>0</v>
      </c>
      <c r="AL68" s="68" cm="1">
        <f t="array" ref="AL68">IFERROR(IF(AL$41&lt;$K68,0,$F68*_xlfn.XLOOKUP($D68,'Capital Call&amp;Distributions data'!$A:$A,INDEX('Capital Call&amp;Distributions data'!$C:$O,0,MIN(MAX(YEAR(AL$41)-YEAR($K68)+$J68+1,1),14)))),0)</f>
        <v>0</v>
      </c>
      <c r="AM68" s="68" cm="1">
        <f t="array" ref="AM68">IFERROR(IF(AM$41&lt;$K68,0,$F68*_xlfn.XLOOKUP($D68,'Capital Call&amp;Distributions data'!$A:$A,INDEX('Capital Call&amp;Distributions data'!$C:$O,0,MIN(MAX(YEAR(AM$41)-YEAR($K68)+$J68+1,1),14)))),0)</f>
        <v>0</v>
      </c>
      <c r="AN68" s="68" cm="1">
        <f t="array" ref="AN68">IFERROR(IF(AN$41&lt;$K68,0,$F68*_xlfn.XLOOKUP($D68,'Capital Call&amp;Distributions data'!$A:$A,INDEX('Capital Call&amp;Distributions data'!$C:$O,0,MIN(MAX(YEAR(AN$41)-YEAR($K68)+$J68+1,1),14)))),0)</f>
        <v>0</v>
      </c>
      <c r="AO68" s="68" cm="1">
        <f t="array" ref="AO68">IFERROR(IF(AO$41&lt;$K68,0,$F68*_xlfn.XLOOKUP($D68,'Capital Call&amp;Distributions data'!$A:$A,INDEX('Capital Call&amp;Distributions data'!$C:$O,0,MIN(MAX(YEAR(AO$41)-YEAR($K68)+$J68+1,1),14)))),0)</f>
        <v>0</v>
      </c>
      <c r="AP68" s="68" cm="1">
        <f t="array" ref="AP68">IFERROR(IF(AP$41&lt;$K68,0,$F68*_xlfn.XLOOKUP($D68,'Capital Call&amp;Distributions data'!$A:$A,INDEX('Capital Call&amp;Distributions data'!$C:$O,0,MIN(MAX(YEAR(AP$41)-YEAR($K68)+$J68+1,1),14)))),0)</f>
        <v>0</v>
      </c>
      <c r="AQ68" s="68" cm="1">
        <f t="array" ref="AQ68">IFERROR(IF(AQ$41&lt;$K68,0,$F68*_xlfn.XLOOKUP($D68,'Capital Call&amp;Distributions data'!$A:$A,INDEX('Capital Call&amp;Distributions data'!$C:$O,0,MIN(MAX(YEAR(AQ$41)-YEAR($K68)+$J68+1,1),14)))),0)</f>
        <v>0</v>
      </c>
      <c r="AR68" s="68" cm="1">
        <f t="array" ref="AR68">IFERROR(IF(AR$41&lt;$K68,0,$F68*_xlfn.XLOOKUP($D68,'Capital Call&amp;Distributions data'!$A:$A,INDEX('Capital Call&amp;Distributions data'!$C:$O,0,MIN(MAX(YEAR(AR$41)-YEAR($K68)+$J68+1,1),14)))),0)</f>
        <v>0</v>
      </c>
      <c r="AS68" s="68" cm="1">
        <f t="array" ref="AS68">IFERROR(IF(AS$41&lt;$K68,0,$F68*_xlfn.XLOOKUP($D68,'Capital Call&amp;Distributions data'!$A:$A,INDEX('Capital Call&amp;Distributions data'!$C:$O,0,MIN(MAX(YEAR(AS$41)-YEAR($K68)+$J68+1,1),14)))),0)</f>
        <v>0</v>
      </c>
      <c r="AT68" s="68" cm="1">
        <f t="array" ref="AT68">IFERROR(IF(AT$41&lt;$K68,0,$F68*_xlfn.XLOOKUP($D68,'Capital Call&amp;Distributions data'!$A:$A,INDEX('Capital Call&amp;Distributions data'!$C:$O,0,MIN(MAX(YEAR(AT$41)-YEAR($K68)+$J68+1,1),14)))),0)</f>
        <v>0</v>
      </c>
      <c r="AU68" s="68" cm="1">
        <f t="array" ref="AU68">IFERROR(IF(AU$41&lt;$K68,0,$F68*_xlfn.XLOOKUP($D68,'Capital Call&amp;Distributions data'!$A:$A,INDEX('Capital Call&amp;Distributions data'!$C:$O,0,MIN(MAX(YEAR(AU$41)-YEAR($K68)+$J68+1,1),14)))),0)</f>
        <v>0</v>
      </c>
      <c r="AW68" s="1"/>
      <c r="DJ68" s="11"/>
    </row>
    <row r="69" spans="3:114" ht="29.25" hidden="1" customHeight="1" outlineLevel="1">
      <c r="C69" s="20"/>
      <c r="D69" s="21">
        <f>_xlfn.XLOOKUP(C69,Fondsen!B:B,Fondsen!C:C,"0",0,1)</f>
        <v>0</v>
      </c>
      <c r="E69" s="21" t="s">
        <v>10</v>
      </c>
      <c r="F69" s="83"/>
      <c r="G69" s="143" t="str">
        <f ca="1">IFERROR(IF(SUM(OFFSET(INDEX('Capital Call&amp;Distributions data'!A:A,MATCH(D69,'Capital Call&amp;Distributions data'!A:A,0)),-1,2,1,1000))=0,"✔",""),"")</f>
        <v/>
      </c>
      <c r="H69" s="138" t="str">
        <f t="shared" si="4"/>
        <v/>
      </c>
      <c r="I69" s="96">
        <v>45658</v>
      </c>
      <c r="J69" s="70">
        <f t="shared" si="3"/>
        <v>0</v>
      </c>
      <c r="K69" s="96">
        <v>45658</v>
      </c>
      <c r="L69" s="68" cm="1">
        <f t="array" ref="L69">IFERROR(IF(L$41&lt;$K69,0,$F69*_xlfn.XLOOKUP($D69,'Capital Call&amp;Distributions data'!$A:$A,INDEX('Capital Call&amp;Distributions data'!$C:$O,0,MIN(MAX(YEAR(L$41)-YEAR($K69)+$J69+1,1),14)))),0)</f>
        <v>0</v>
      </c>
      <c r="M69" s="68" cm="1">
        <f t="array" ref="M69">IFERROR(IF(M$41&lt;$K69,0,$F69*_xlfn.XLOOKUP($D69,'Capital Call&amp;Distributions data'!$A:$A,INDEX('Capital Call&amp;Distributions data'!$C:$O,0,MIN(MAX(YEAR(M$41)-YEAR($K69)+$J69+1,1),14)))),0)</f>
        <v>0</v>
      </c>
      <c r="N69" s="68" cm="1">
        <f t="array" ref="N69">IFERROR(IF(N$41&lt;$K69,0,$F69*_xlfn.XLOOKUP($D69,'Capital Call&amp;Distributions data'!$A:$A,INDEX('Capital Call&amp;Distributions data'!$C:$O,0,MIN(MAX(YEAR(N$41)-YEAR($K69)+$J69+1,1),14)))),0)</f>
        <v>0</v>
      </c>
      <c r="O69" s="68" cm="1">
        <f t="array" ref="O69">IFERROR(IF(O$41&lt;$K69,0,$F69*_xlfn.XLOOKUP($D69,'Capital Call&amp;Distributions data'!$A:$A,INDEX('Capital Call&amp;Distributions data'!$C:$O,0,MIN(MAX(YEAR(O$41)-YEAR($K69)+$J69+1,1),14)))),0)</f>
        <v>0</v>
      </c>
      <c r="P69" s="68" cm="1">
        <f t="array" ref="P69">IFERROR(IF(P$41&lt;$K69,0,$F69*_xlfn.XLOOKUP($D69,'Capital Call&amp;Distributions data'!$A:$A,INDEX('Capital Call&amp;Distributions data'!$C:$O,0,MIN(MAX(YEAR(P$41)-YEAR($K69)+$J69+1,1),14)))),0)</f>
        <v>0</v>
      </c>
      <c r="Q69" s="68" cm="1">
        <f t="array" ref="Q69">IFERROR(IF(Q$41&lt;$K69,0,$F69*_xlfn.XLOOKUP($D69,'Capital Call&amp;Distributions data'!$A:$A,INDEX('Capital Call&amp;Distributions data'!$C:$O,0,MIN(MAX(YEAR(Q$41)-YEAR($K69)+$J69+1,1),14)))),0)</f>
        <v>0</v>
      </c>
      <c r="R69" s="68" cm="1">
        <f t="array" ref="R69">IFERROR(IF(R$41&lt;$K69,0,$F69*_xlfn.XLOOKUP($D69,'Capital Call&amp;Distributions data'!$A:$A,INDEX('Capital Call&amp;Distributions data'!$C:$O,0,MIN(MAX(YEAR(R$41)-YEAR($K69)+$J69+1,1),14)))),0)</f>
        <v>0</v>
      </c>
      <c r="S69" s="68" cm="1">
        <f t="array" ref="S69">IFERROR(IF(S$41&lt;$K69,0,$F69*_xlfn.XLOOKUP($D69,'Capital Call&amp;Distributions data'!$A:$A,INDEX('Capital Call&amp;Distributions data'!$C:$O,0,MIN(MAX(YEAR(S$41)-YEAR($K69)+$J69+1,1),14)))),0)</f>
        <v>0</v>
      </c>
      <c r="T69" s="68" cm="1">
        <f t="array" ref="T69">IFERROR(IF(T$41&lt;$K69,0,$F69*_xlfn.XLOOKUP($D69,'Capital Call&amp;Distributions data'!$A:$A,INDEX('Capital Call&amp;Distributions data'!$C:$O,0,MIN(MAX(YEAR(T$41)-YEAR($K69)+$J69+1,1),14)))),0)</f>
        <v>0</v>
      </c>
      <c r="U69" s="68" cm="1">
        <f t="array" ref="U69">IFERROR(IF(U$41&lt;$K69,0,$F69*_xlfn.XLOOKUP($D69,'Capital Call&amp;Distributions data'!$A:$A,INDEX('Capital Call&amp;Distributions data'!$C:$O,0,MIN(MAX(YEAR(U$41)-YEAR($K69)+$J69+1,1),14)))),0)</f>
        <v>0</v>
      </c>
      <c r="V69" s="68" cm="1">
        <f t="array" ref="V69">IFERROR(IF(V$41&lt;$K69,0,$F69*_xlfn.XLOOKUP($D69,'Capital Call&amp;Distributions data'!$A:$A,INDEX('Capital Call&amp;Distributions data'!$C:$O,0,MIN(MAX(YEAR(V$41)-YEAR($K69)+$J69+1,1),14)))),0)</f>
        <v>0</v>
      </c>
      <c r="W69" s="68" cm="1">
        <f t="array" ref="W69">IFERROR(IF(W$41&lt;$K69,0,$F69*_xlfn.XLOOKUP($D69,'Capital Call&amp;Distributions data'!$A:$A,INDEX('Capital Call&amp;Distributions data'!$C:$O,0,MIN(MAX(YEAR(W$41)-YEAR($K69)+$J69+1,1),14)))),0)</f>
        <v>0</v>
      </c>
      <c r="X69" s="68" cm="1">
        <f t="array" ref="X69">IFERROR(IF(X$41&lt;$K69,0,$F69*_xlfn.XLOOKUP($D69,'Capital Call&amp;Distributions data'!$A:$A,INDEX('Capital Call&amp;Distributions data'!$C:$O,0,MIN(MAX(YEAR(X$41)-YEAR($K69)+$J69+1,1),14)))),0)</f>
        <v>0</v>
      </c>
      <c r="Y69" s="68" cm="1">
        <f t="array" ref="Y69">IFERROR(IF(Y$41&lt;$K69,0,$F69*_xlfn.XLOOKUP($D69,'Capital Call&amp;Distributions data'!$A:$A,INDEX('Capital Call&amp;Distributions data'!$C:$O,0,MIN(MAX(YEAR(Y$41)-YEAR($K69)+$J69+1,1),14)))),0)</f>
        <v>0</v>
      </c>
      <c r="Z69" s="68" cm="1">
        <f t="array" ref="Z69">IFERROR(IF(Z$41&lt;$K69,0,$F69*_xlfn.XLOOKUP($D69,'Capital Call&amp;Distributions data'!$A:$A,INDEX('Capital Call&amp;Distributions data'!$C:$O,0,MIN(MAX(YEAR(Z$41)-YEAR($K69)+$J69+1,1),14)))),0)</f>
        <v>0</v>
      </c>
      <c r="AA69" s="68" cm="1">
        <f t="array" ref="AA69">IFERROR(IF(AA$41&lt;$K69,0,$F69*_xlfn.XLOOKUP($D69,'Capital Call&amp;Distributions data'!$A:$A,INDEX('Capital Call&amp;Distributions data'!$C:$O,0,MIN(MAX(YEAR(AA$41)-YEAR($K69)+$J69+1,1),14)))),0)</f>
        <v>0</v>
      </c>
      <c r="AB69" s="68" cm="1">
        <f t="array" ref="AB69">IFERROR(IF(AB$41&lt;$K69,0,$F69*_xlfn.XLOOKUP($D69,'Capital Call&amp;Distributions data'!$A:$A,INDEX('Capital Call&amp;Distributions data'!$C:$O,0,MIN(MAX(YEAR(AB$41)-YEAR($K69)+$J69+1,1),14)))),0)</f>
        <v>0</v>
      </c>
      <c r="AC69" s="68" cm="1">
        <f t="array" ref="AC69">IFERROR(IF(AC$41&lt;$K69,0,$F69*_xlfn.XLOOKUP($D69,'Capital Call&amp;Distributions data'!$A:$A,INDEX('Capital Call&amp;Distributions data'!$C:$O,0,MIN(MAX(YEAR(AC$41)-YEAR($K69)+$J69+1,1),14)))),0)</f>
        <v>0</v>
      </c>
      <c r="AD69" s="68" cm="1">
        <f t="array" ref="AD69">IFERROR(IF(AD$41&lt;$K69,0,$F69*_xlfn.XLOOKUP($D69,'Capital Call&amp;Distributions data'!$A:$A,INDEX('Capital Call&amp;Distributions data'!$C:$O,0,MIN(MAX(YEAR(AD$41)-YEAR($K69)+$J69+1,1),14)))),0)</f>
        <v>0</v>
      </c>
      <c r="AE69" s="68" cm="1">
        <f t="array" ref="AE69">IFERROR(IF(AE$41&lt;$K69,0,$F69*_xlfn.XLOOKUP($D69,'Capital Call&amp;Distributions data'!$A:$A,INDEX('Capital Call&amp;Distributions data'!$C:$O,0,MIN(MAX(YEAR(AE$41)-YEAR($K69)+$J69+1,1),14)))),0)</f>
        <v>0</v>
      </c>
      <c r="AF69" s="68" cm="1">
        <f t="array" ref="AF69">IFERROR(IF(AF$41&lt;$K69,0,$F69*_xlfn.XLOOKUP($D69,'Capital Call&amp;Distributions data'!$A:$A,INDEX('Capital Call&amp;Distributions data'!$C:$O,0,MIN(MAX(YEAR(AF$41)-YEAR($K69)+$J69+1,1),14)))),0)</f>
        <v>0</v>
      </c>
      <c r="AG69" s="68" cm="1">
        <f t="array" ref="AG69">IFERROR(IF(AG$41&lt;$K69,0,$F69*_xlfn.XLOOKUP($D69,'Capital Call&amp;Distributions data'!$A:$A,INDEX('Capital Call&amp;Distributions data'!$C:$O,0,MIN(MAX(YEAR(AG$41)-YEAR($K69)+$J69+1,1),14)))),0)</f>
        <v>0</v>
      </c>
      <c r="AH69" s="68" cm="1">
        <f t="array" ref="AH69">IFERROR(IF(AH$41&lt;$K69,0,$F69*_xlfn.XLOOKUP($D69,'Capital Call&amp;Distributions data'!$A:$A,INDEX('Capital Call&amp;Distributions data'!$C:$O,0,MIN(MAX(YEAR(AH$41)-YEAR($K69)+$J69+1,1),14)))),0)</f>
        <v>0</v>
      </c>
      <c r="AI69" s="68" cm="1">
        <f t="array" ref="AI69">IFERROR(IF(AI$41&lt;$K69,0,$F69*_xlfn.XLOOKUP($D69,'Capital Call&amp;Distributions data'!$A:$A,INDEX('Capital Call&amp;Distributions data'!$C:$O,0,MIN(MAX(YEAR(AI$41)-YEAR($K69)+$J69+1,1),14)))),0)</f>
        <v>0</v>
      </c>
      <c r="AJ69" s="68" cm="1">
        <f t="array" ref="AJ69">IFERROR(IF(AJ$41&lt;$K69,0,$F69*_xlfn.XLOOKUP($D69,'Capital Call&amp;Distributions data'!$A:$A,INDEX('Capital Call&amp;Distributions data'!$C:$O,0,MIN(MAX(YEAR(AJ$41)-YEAR($K69)+$J69+1,1),14)))),0)</f>
        <v>0</v>
      </c>
      <c r="AK69" s="68" cm="1">
        <f t="array" ref="AK69">IFERROR(IF(AK$41&lt;$K69,0,$F69*_xlfn.XLOOKUP($D69,'Capital Call&amp;Distributions data'!$A:$A,INDEX('Capital Call&amp;Distributions data'!$C:$O,0,MIN(MAX(YEAR(AK$41)-YEAR($K69)+$J69+1,1),14)))),0)</f>
        <v>0</v>
      </c>
      <c r="AL69" s="68" cm="1">
        <f t="array" ref="AL69">IFERROR(IF(AL$41&lt;$K69,0,$F69*_xlfn.XLOOKUP($D69,'Capital Call&amp;Distributions data'!$A:$A,INDEX('Capital Call&amp;Distributions data'!$C:$O,0,MIN(MAX(YEAR(AL$41)-YEAR($K69)+$J69+1,1),14)))),0)</f>
        <v>0</v>
      </c>
      <c r="AM69" s="68" cm="1">
        <f t="array" ref="AM69">IFERROR(IF(AM$41&lt;$K69,0,$F69*_xlfn.XLOOKUP($D69,'Capital Call&amp;Distributions data'!$A:$A,INDEX('Capital Call&amp;Distributions data'!$C:$O,0,MIN(MAX(YEAR(AM$41)-YEAR($K69)+$J69+1,1),14)))),0)</f>
        <v>0</v>
      </c>
      <c r="AN69" s="68" cm="1">
        <f t="array" ref="AN69">IFERROR(IF(AN$41&lt;$K69,0,$F69*_xlfn.XLOOKUP($D69,'Capital Call&amp;Distributions data'!$A:$A,INDEX('Capital Call&amp;Distributions data'!$C:$O,0,MIN(MAX(YEAR(AN$41)-YEAR($K69)+$J69+1,1),14)))),0)</f>
        <v>0</v>
      </c>
      <c r="AO69" s="68" cm="1">
        <f t="array" ref="AO69">IFERROR(IF(AO$41&lt;$K69,0,$F69*_xlfn.XLOOKUP($D69,'Capital Call&amp;Distributions data'!$A:$A,INDEX('Capital Call&amp;Distributions data'!$C:$O,0,MIN(MAX(YEAR(AO$41)-YEAR($K69)+$J69+1,1),14)))),0)</f>
        <v>0</v>
      </c>
      <c r="AP69" s="68" cm="1">
        <f t="array" ref="AP69">IFERROR(IF(AP$41&lt;$K69,0,$F69*_xlfn.XLOOKUP($D69,'Capital Call&amp;Distributions data'!$A:$A,INDEX('Capital Call&amp;Distributions data'!$C:$O,0,MIN(MAX(YEAR(AP$41)-YEAR($K69)+$J69+1,1),14)))),0)</f>
        <v>0</v>
      </c>
      <c r="AQ69" s="68" cm="1">
        <f t="array" ref="AQ69">IFERROR(IF(AQ$41&lt;$K69,0,$F69*_xlfn.XLOOKUP($D69,'Capital Call&amp;Distributions data'!$A:$A,INDEX('Capital Call&amp;Distributions data'!$C:$O,0,MIN(MAX(YEAR(AQ$41)-YEAR($K69)+$J69+1,1),14)))),0)</f>
        <v>0</v>
      </c>
      <c r="AR69" s="68" cm="1">
        <f t="array" ref="AR69">IFERROR(IF(AR$41&lt;$K69,0,$F69*_xlfn.XLOOKUP($D69,'Capital Call&amp;Distributions data'!$A:$A,INDEX('Capital Call&amp;Distributions data'!$C:$O,0,MIN(MAX(YEAR(AR$41)-YEAR($K69)+$J69+1,1),14)))),0)</f>
        <v>0</v>
      </c>
      <c r="AS69" s="68" cm="1">
        <f t="array" ref="AS69">IFERROR(IF(AS$41&lt;$K69,0,$F69*_xlfn.XLOOKUP($D69,'Capital Call&amp;Distributions data'!$A:$A,INDEX('Capital Call&amp;Distributions data'!$C:$O,0,MIN(MAX(YEAR(AS$41)-YEAR($K69)+$J69+1,1),14)))),0)</f>
        <v>0</v>
      </c>
      <c r="AT69" s="68" cm="1">
        <f t="array" ref="AT69">IFERROR(IF(AT$41&lt;$K69,0,$F69*_xlfn.XLOOKUP($D69,'Capital Call&amp;Distributions data'!$A:$A,INDEX('Capital Call&amp;Distributions data'!$C:$O,0,MIN(MAX(YEAR(AT$41)-YEAR($K69)+$J69+1,1),14)))),0)</f>
        <v>0</v>
      </c>
      <c r="AU69" s="68" cm="1">
        <f t="array" ref="AU69">IFERROR(IF(AU$41&lt;$K69,0,$F69*_xlfn.XLOOKUP($D69,'Capital Call&amp;Distributions data'!$A:$A,INDEX('Capital Call&amp;Distributions data'!$C:$O,0,MIN(MAX(YEAR(AU$41)-YEAR($K69)+$J69+1,1),14)))),0)</f>
        <v>0</v>
      </c>
      <c r="AW69" s="1"/>
      <c r="DJ69" s="11"/>
    </row>
    <row r="70" spans="3:114" ht="29.25" hidden="1" customHeight="1" outlineLevel="1">
      <c r="C70" s="20"/>
      <c r="D70" s="21">
        <f>_xlfn.XLOOKUP(C70,Fondsen!B:B,Fondsen!C:C,"0",0,1)</f>
        <v>0</v>
      </c>
      <c r="E70" s="21" t="s">
        <v>10</v>
      </c>
      <c r="F70" s="83"/>
      <c r="G70" s="143" t="str">
        <f ca="1">IFERROR(IF(SUM(OFFSET(INDEX('Capital Call&amp;Distributions data'!A:A,MATCH(D70,'Capital Call&amp;Distributions data'!A:A,0)),-1,2,1,1000))=0,"✔",""),"")</f>
        <v/>
      </c>
      <c r="H70" s="138" t="str">
        <f t="shared" si="4"/>
        <v/>
      </c>
      <c r="I70" s="96">
        <v>45658</v>
      </c>
      <c r="J70" s="70">
        <f t="shared" si="3"/>
        <v>0</v>
      </c>
      <c r="K70" s="96">
        <v>45658</v>
      </c>
      <c r="L70" s="68" cm="1">
        <f t="array" ref="L70">IFERROR(IF(L$41&lt;$K70,0,$F70*_xlfn.XLOOKUP($D70,'Capital Call&amp;Distributions data'!$A:$A,INDEX('Capital Call&amp;Distributions data'!$C:$O,0,MIN(MAX(YEAR(L$41)-YEAR($K70)+$J70+1,1),14)))),0)</f>
        <v>0</v>
      </c>
      <c r="M70" s="68" cm="1">
        <f t="array" ref="M70">IFERROR(IF(M$41&lt;$K70,0,$F70*_xlfn.XLOOKUP($D70,'Capital Call&amp;Distributions data'!$A:$A,INDEX('Capital Call&amp;Distributions data'!$C:$O,0,MIN(MAX(YEAR(M$41)-YEAR($K70)+$J70+1,1),14)))),0)</f>
        <v>0</v>
      </c>
      <c r="N70" s="68" cm="1">
        <f t="array" ref="N70">IFERROR(IF(N$41&lt;$K70,0,$F70*_xlfn.XLOOKUP($D70,'Capital Call&amp;Distributions data'!$A:$A,INDEX('Capital Call&amp;Distributions data'!$C:$O,0,MIN(MAX(YEAR(N$41)-YEAR($K70)+$J70+1,1),14)))),0)</f>
        <v>0</v>
      </c>
      <c r="O70" s="68" cm="1">
        <f t="array" ref="O70">IFERROR(IF(O$41&lt;$K70,0,$F70*_xlfn.XLOOKUP($D70,'Capital Call&amp;Distributions data'!$A:$A,INDEX('Capital Call&amp;Distributions data'!$C:$O,0,MIN(MAX(YEAR(O$41)-YEAR($K70)+$J70+1,1),14)))),0)</f>
        <v>0</v>
      </c>
      <c r="P70" s="68" cm="1">
        <f t="array" ref="P70">IFERROR(IF(P$41&lt;$K70,0,$F70*_xlfn.XLOOKUP($D70,'Capital Call&amp;Distributions data'!$A:$A,INDEX('Capital Call&amp;Distributions data'!$C:$O,0,MIN(MAX(YEAR(P$41)-YEAR($K70)+$J70+1,1),14)))),0)</f>
        <v>0</v>
      </c>
      <c r="Q70" s="68" cm="1">
        <f t="array" ref="Q70">IFERROR(IF(Q$41&lt;$K70,0,$F70*_xlfn.XLOOKUP($D70,'Capital Call&amp;Distributions data'!$A:$A,INDEX('Capital Call&amp;Distributions data'!$C:$O,0,MIN(MAX(YEAR(Q$41)-YEAR($K70)+$J70+1,1),14)))),0)</f>
        <v>0</v>
      </c>
      <c r="R70" s="68" cm="1">
        <f t="array" ref="R70">IFERROR(IF(R$41&lt;$K70,0,$F70*_xlfn.XLOOKUP($D70,'Capital Call&amp;Distributions data'!$A:$A,INDEX('Capital Call&amp;Distributions data'!$C:$O,0,MIN(MAX(YEAR(R$41)-YEAR($K70)+$J70+1,1),14)))),0)</f>
        <v>0</v>
      </c>
      <c r="S70" s="68" cm="1">
        <f t="array" ref="S70">IFERROR(IF(S$41&lt;$K70,0,$F70*_xlfn.XLOOKUP($D70,'Capital Call&amp;Distributions data'!$A:$A,INDEX('Capital Call&amp;Distributions data'!$C:$O,0,MIN(MAX(YEAR(S$41)-YEAR($K70)+$J70+1,1),14)))),0)</f>
        <v>0</v>
      </c>
      <c r="T70" s="68" cm="1">
        <f t="array" ref="T70">IFERROR(IF(T$41&lt;$K70,0,$F70*_xlfn.XLOOKUP($D70,'Capital Call&amp;Distributions data'!$A:$A,INDEX('Capital Call&amp;Distributions data'!$C:$O,0,MIN(MAX(YEAR(T$41)-YEAR($K70)+$J70+1,1),14)))),0)</f>
        <v>0</v>
      </c>
      <c r="U70" s="68" cm="1">
        <f t="array" ref="U70">IFERROR(IF(U$41&lt;$K70,0,$F70*_xlfn.XLOOKUP($D70,'Capital Call&amp;Distributions data'!$A:$A,INDEX('Capital Call&amp;Distributions data'!$C:$O,0,MIN(MAX(YEAR(U$41)-YEAR($K70)+$J70+1,1),14)))),0)</f>
        <v>0</v>
      </c>
      <c r="V70" s="68" cm="1">
        <f t="array" ref="V70">IFERROR(IF(V$41&lt;$K70,0,$F70*_xlfn.XLOOKUP($D70,'Capital Call&amp;Distributions data'!$A:$A,INDEX('Capital Call&amp;Distributions data'!$C:$O,0,MIN(MAX(YEAR(V$41)-YEAR($K70)+$J70+1,1),14)))),0)</f>
        <v>0</v>
      </c>
      <c r="W70" s="68" cm="1">
        <f t="array" ref="W70">IFERROR(IF(W$41&lt;$K70,0,$F70*_xlfn.XLOOKUP($D70,'Capital Call&amp;Distributions data'!$A:$A,INDEX('Capital Call&amp;Distributions data'!$C:$O,0,MIN(MAX(YEAR(W$41)-YEAR($K70)+$J70+1,1),14)))),0)</f>
        <v>0</v>
      </c>
      <c r="X70" s="68" cm="1">
        <f t="array" ref="X70">IFERROR(IF(X$41&lt;$K70,0,$F70*_xlfn.XLOOKUP($D70,'Capital Call&amp;Distributions data'!$A:$A,INDEX('Capital Call&amp;Distributions data'!$C:$O,0,MIN(MAX(YEAR(X$41)-YEAR($K70)+$J70+1,1),14)))),0)</f>
        <v>0</v>
      </c>
      <c r="Y70" s="68" cm="1">
        <f t="array" ref="Y70">IFERROR(IF(Y$41&lt;$K70,0,$F70*_xlfn.XLOOKUP($D70,'Capital Call&amp;Distributions data'!$A:$A,INDEX('Capital Call&amp;Distributions data'!$C:$O,0,MIN(MAX(YEAR(Y$41)-YEAR($K70)+$J70+1,1),14)))),0)</f>
        <v>0</v>
      </c>
      <c r="Z70" s="68" cm="1">
        <f t="array" ref="Z70">IFERROR(IF(Z$41&lt;$K70,0,$F70*_xlfn.XLOOKUP($D70,'Capital Call&amp;Distributions data'!$A:$A,INDEX('Capital Call&amp;Distributions data'!$C:$O,0,MIN(MAX(YEAR(Z$41)-YEAR($K70)+$J70+1,1),14)))),0)</f>
        <v>0</v>
      </c>
      <c r="AA70" s="68" cm="1">
        <f t="array" ref="AA70">IFERROR(IF(AA$41&lt;$K70,0,$F70*_xlfn.XLOOKUP($D70,'Capital Call&amp;Distributions data'!$A:$A,INDEX('Capital Call&amp;Distributions data'!$C:$O,0,MIN(MAX(YEAR(AA$41)-YEAR($K70)+$J70+1,1),14)))),0)</f>
        <v>0</v>
      </c>
      <c r="AB70" s="68" cm="1">
        <f t="array" ref="AB70">IFERROR(IF(AB$41&lt;$K70,0,$F70*_xlfn.XLOOKUP($D70,'Capital Call&amp;Distributions data'!$A:$A,INDEX('Capital Call&amp;Distributions data'!$C:$O,0,MIN(MAX(YEAR(AB$41)-YEAR($K70)+$J70+1,1),14)))),0)</f>
        <v>0</v>
      </c>
      <c r="AC70" s="68" cm="1">
        <f t="array" ref="AC70">IFERROR(IF(AC$41&lt;$K70,0,$F70*_xlfn.XLOOKUP($D70,'Capital Call&amp;Distributions data'!$A:$A,INDEX('Capital Call&amp;Distributions data'!$C:$O,0,MIN(MAX(YEAR(AC$41)-YEAR($K70)+$J70+1,1),14)))),0)</f>
        <v>0</v>
      </c>
      <c r="AD70" s="68" cm="1">
        <f t="array" ref="AD70">IFERROR(IF(AD$41&lt;$K70,0,$F70*_xlfn.XLOOKUP($D70,'Capital Call&amp;Distributions data'!$A:$A,INDEX('Capital Call&amp;Distributions data'!$C:$O,0,MIN(MAX(YEAR(AD$41)-YEAR($K70)+$J70+1,1),14)))),0)</f>
        <v>0</v>
      </c>
      <c r="AE70" s="68" cm="1">
        <f t="array" ref="AE70">IFERROR(IF(AE$41&lt;$K70,0,$F70*_xlfn.XLOOKUP($D70,'Capital Call&amp;Distributions data'!$A:$A,INDEX('Capital Call&amp;Distributions data'!$C:$O,0,MIN(MAX(YEAR(AE$41)-YEAR($K70)+$J70+1,1),14)))),0)</f>
        <v>0</v>
      </c>
      <c r="AF70" s="68" cm="1">
        <f t="array" ref="AF70">IFERROR(IF(AF$41&lt;$K70,0,$F70*_xlfn.XLOOKUP($D70,'Capital Call&amp;Distributions data'!$A:$A,INDEX('Capital Call&amp;Distributions data'!$C:$O,0,MIN(MAX(YEAR(AF$41)-YEAR($K70)+$J70+1,1),14)))),0)</f>
        <v>0</v>
      </c>
      <c r="AG70" s="68" cm="1">
        <f t="array" ref="AG70">IFERROR(IF(AG$41&lt;$K70,0,$F70*_xlfn.XLOOKUP($D70,'Capital Call&amp;Distributions data'!$A:$A,INDEX('Capital Call&amp;Distributions data'!$C:$O,0,MIN(MAX(YEAR(AG$41)-YEAR($K70)+$J70+1,1),14)))),0)</f>
        <v>0</v>
      </c>
      <c r="AH70" s="68" cm="1">
        <f t="array" ref="AH70">IFERROR(IF(AH$41&lt;$K70,0,$F70*_xlfn.XLOOKUP($D70,'Capital Call&amp;Distributions data'!$A:$A,INDEX('Capital Call&amp;Distributions data'!$C:$O,0,MIN(MAX(YEAR(AH$41)-YEAR($K70)+$J70+1,1),14)))),0)</f>
        <v>0</v>
      </c>
      <c r="AI70" s="68" cm="1">
        <f t="array" ref="AI70">IFERROR(IF(AI$41&lt;$K70,0,$F70*_xlfn.XLOOKUP($D70,'Capital Call&amp;Distributions data'!$A:$A,INDEX('Capital Call&amp;Distributions data'!$C:$O,0,MIN(MAX(YEAR(AI$41)-YEAR($K70)+$J70+1,1),14)))),0)</f>
        <v>0</v>
      </c>
      <c r="AJ70" s="68" cm="1">
        <f t="array" ref="AJ70">IFERROR(IF(AJ$41&lt;$K70,0,$F70*_xlfn.XLOOKUP($D70,'Capital Call&amp;Distributions data'!$A:$A,INDEX('Capital Call&amp;Distributions data'!$C:$O,0,MIN(MAX(YEAR(AJ$41)-YEAR($K70)+$J70+1,1),14)))),0)</f>
        <v>0</v>
      </c>
      <c r="AK70" s="68" cm="1">
        <f t="array" ref="AK70">IFERROR(IF(AK$41&lt;$K70,0,$F70*_xlfn.XLOOKUP($D70,'Capital Call&amp;Distributions data'!$A:$A,INDEX('Capital Call&amp;Distributions data'!$C:$O,0,MIN(MAX(YEAR(AK$41)-YEAR($K70)+$J70+1,1),14)))),0)</f>
        <v>0</v>
      </c>
      <c r="AL70" s="68" cm="1">
        <f t="array" ref="AL70">IFERROR(IF(AL$41&lt;$K70,0,$F70*_xlfn.XLOOKUP($D70,'Capital Call&amp;Distributions data'!$A:$A,INDEX('Capital Call&amp;Distributions data'!$C:$O,0,MIN(MAX(YEAR(AL$41)-YEAR($K70)+$J70+1,1),14)))),0)</f>
        <v>0</v>
      </c>
      <c r="AM70" s="68" cm="1">
        <f t="array" ref="AM70">IFERROR(IF(AM$41&lt;$K70,0,$F70*_xlfn.XLOOKUP($D70,'Capital Call&amp;Distributions data'!$A:$A,INDEX('Capital Call&amp;Distributions data'!$C:$O,0,MIN(MAX(YEAR(AM$41)-YEAR($K70)+$J70+1,1),14)))),0)</f>
        <v>0</v>
      </c>
      <c r="AN70" s="68" cm="1">
        <f t="array" ref="AN70">IFERROR(IF(AN$41&lt;$K70,0,$F70*_xlfn.XLOOKUP($D70,'Capital Call&amp;Distributions data'!$A:$A,INDEX('Capital Call&amp;Distributions data'!$C:$O,0,MIN(MAX(YEAR(AN$41)-YEAR($K70)+$J70+1,1),14)))),0)</f>
        <v>0</v>
      </c>
      <c r="AO70" s="68" cm="1">
        <f t="array" ref="AO70">IFERROR(IF(AO$41&lt;$K70,0,$F70*_xlfn.XLOOKUP($D70,'Capital Call&amp;Distributions data'!$A:$A,INDEX('Capital Call&amp;Distributions data'!$C:$O,0,MIN(MAX(YEAR(AO$41)-YEAR($K70)+$J70+1,1),14)))),0)</f>
        <v>0</v>
      </c>
      <c r="AP70" s="68" cm="1">
        <f t="array" ref="AP70">IFERROR(IF(AP$41&lt;$K70,0,$F70*_xlfn.XLOOKUP($D70,'Capital Call&amp;Distributions data'!$A:$A,INDEX('Capital Call&amp;Distributions data'!$C:$O,0,MIN(MAX(YEAR(AP$41)-YEAR($K70)+$J70+1,1),14)))),0)</f>
        <v>0</v>
      </c>
      <c r="AQ70" s="68" cm="1">
        <f t="array" ref="AQ70">IFERROR(IF(AQ$41&lt;$K70,0,$F70*_xlfn.XLOOKUP($D70,'Capital Call&amp;Distributions data'!$A:$A,INDEX('Capital Call&amp;Distributions data'!$C:$O,0,MIN(MAX(YEAR(AQ$41)-YEAR($K70)+$J70+1,1),14)))),0)</f>
        <v>0</v>
      </c>
      <c r="AR70" s="68" cm="1">
        <f t="array" ref="AR70">IFERROR(IF(AR$41&lt;$K70,0,$F70*_xlfn.XLOOKUP($D70,'Capital Call&amp;Distributions data'!$A:$A,INDEX('Capital Call&amp;Distributions data'!$C:$O,0,MIN(MAX(YEAR(AR$41)-YEAR($K70)+$J70+1,1),14)))),0)</f>
        <v>0</v>
      </c>
      <c r="AS70" s="68" cm="1">
        <f t="array" ref="AS70">IFERROR(IF(AS$41&lt;$K70,0,$F70*_xlfn.XLOOKUP($D70,'Capital Call&amp;Distributions data'!$A:$A,INDEX('Capital Call&amp;Distributions data'!$C:$O,0,MIN(MAX(YEAR(AS$41)-YEAR($K70)+$J70+1,1),14)))),0)</f>
        <v>0</v>
      </c>
      <c r="AT70" s="68" cm="1">
        <f t="array" ref="AT70">IFERROR(IF(AT$41&lt;$K70,0,$F70*_xlfn.XLOOKUP($D70,'Capital Call&amp;Distributions data'!$A:$A,INDEX('Capital Call&amp;Distributions data'!$C:$O,0,MIN(MAX(YEAR(AT$41)-YEAR($K70)+$J70+1,1),14)))),0)</f>
        <v>0</v>
      </c>
      <c r="AU70" s="68" cm="1">
        <f t="array" ref="AU70">IFERROR(IF(AU$41&lt;$K70,0,$F70*_xlfn.XLOOKUP($D70,'Capital Call&amp;Distributions data'!$A:$A,INDEX('Capital Call&amp;Distributions data'!$C:$O,0,MIN(MAX(YEAR(AU$41)-YEAR($K70)+$J70+1,1),14)))),0)</f>
        <v>0</v>
      </c>
      <c r="AW70" s="1"/>
      <c r="DJ70" s="11"/>
    </row>
    <row r="71" spans="3:114" ht="29.25" hidden="1" customHeight="1" outlineLevel="1">
      <c r="C71" s="20"/>
      <c r="D71" s="21">
        <f>_xlfn.XLOOKUP(C71,Fondsen!B:B,Fondsen!C:C,"0",0,1)</f>
        <v>0</v>
      </c>
      <c r="E71" s="21" t="s">
        <v>10</v>
      </c>
      <c r="F71" s="83"/>
      <c r="G71" s="143" t="str">
        <f ca="1">IFERROR(IF(SUM(OFFSET(INDEX('Capital Call&amp;Distributions data'!A:A,MATCH(D71,'Capital Call&amp;Distributions data'!A:A,0)),-1,2,1,1000))=0,"✔",""),"")</f>
        <v/>
      </c>
      <c r="H71" s="138" t="str">
        <f t="shared" si="4"/>
        <v/>
      </c>
      <c r="I71" s="96">
        <v>45658</v>
      </c>
      <c r="J71" s="70">
        <f t="shared" si="3"/>
        <v>0</v>
      </c>
      <c r="K71" s="96">
        <v>45658</v>
      </c>
      <c r="L71" s="68" cm="1">
        <f t="array" ref="L71">IFERROR(IF(L$41&lt;$K71,0,$F71*_xlfn.XLOOKUP($D71,'Capital Call&amp;Distributions data'!$A:$A,INDEX('Capital Call&amp;Distributions data'!$C:$O,0,MIN(MAX(YEAR(L$41)-YEAR($K71)+$J71+1,1),14)))),0)</f>
        <v>0</v>
      </c>
      <c r="M71" s="68" cm="1">
        <f t="array" ref="M71">IFERROR(IF(M$41&lt;$K71,0,$F71*_xlfn.XLOOKUP($D71,'Capital Call&amp;Distributions data'!$A:$A,INDEX('Capital Call&amp;Distributions data'!$C:$O,0,MIN(MAX(YEAR(M$41)-YEAR($K71)+$J71+1,1),14)))),0)</f>
        <v>0</v>
      </c>
      <c r="N71" s="68" cm="1">
        <f t="array" ref="N71">IFERROR(IF(N$41&lt;$K71,0,$F71*_xlfn.XLOOKUP($D71,'Capital Call&amp;Distributions data'!$A:$A,INDEX('Capital Call&amp;Distributions data'!$C:$O,0,MIN(MAX(YEAR(N$41)-YEAR($K71)+$J71+1,1),14)))),0)</f>
        <v>0</v>
      </c>
      <c r="O71" s="68" cm="1">
        <f t="array" ref="O71">IFERROR(IF(O$41&lt;$K71,0,$F71*_xlfn.XLOOKUP($D71,'Capital Call&amp;Distributions data'!$A:$A,INDEX('Capital Call&amp;Distributions data'!$C:$O,0,MIN(MAX(YEAR(O$41)-YEAR($K71)+$J71+1,1),14)))),0)</f>
        <v>0</v>
      </c>
      <c r="P71" s="68" cm="1">
        <f t="array" ref="P71">IFERROR(IF(P$41&lt;$K71,0,$F71*_xlfn.XLOOKUP($D71,'Capital Call&amp;Distributions data'!$A:$A,INDEX('Capital Call&amp;Distributions data'!$C:$O,0,MIN(MAX(YEAR(P$41)-YEAR($K71)+$J71+1,1),14)))),0)</f>
        <v>0</v>
      </c>
      <c r="Q71" s="68" cm="1">
        <f t="array" ref="Q71">IFERROR(IF(Q$41&lt;$K71,0,$F71*_xlfn.XLOOKUP($D71,'Capital Call&amp;Distributions data'!$A:$A,INDEX('Capital Call&amp;Distributions data'!$C:$O,0,MIN(MAX(YEAR(Q$41)-YEAR($K71)+$J71+1,1),14)))),0)</f>
        <v>0</v>
      </c>
      <c r="R71" s="68" cm="1">
        <f t="array" ref="R71">IFERROR(IF(R$41&lt;$K71,0,$F71*_xlfn.XLOOKUP($D71,'Capital Call&amp;Distributions data'!$A:$A,INDEX('Capital Call&amp;Distributions data'!$C:$O,0,MIN(MAX(YEAR(R$41)-YEAR($K71)+$J71+1,1),14)))),0)</f>
        <v>0</v>
      </c>
      <c r="S71" s="68" cm="1">
        <f t="array" ref="S71">IFERROR(IF(S$41&lt;$K71,0,$F71*_xlfn.XLOOKUP($D71,'Capital Call&amp;Distributions data'!$A:$A,INDEX('Capital Call&amp;Distributions data'!$C:$O,0,MIN(MAX(YEAR(S$41)-YEAR($K71)+$J71+1,1),14)))),0)</f>
        <v>0</v>
      </c>
      <c r="T71" s="68" cm="1">
        <f t="array" ref="T71">IFERROR(IF(T$41&lt;$K71,0,$F71*_xlfn.XLOOKUP($D71,'Capital Call&amp;Distributions data'!$A:$A,INDEX('Capital Call&amp;Distributions data'!$C:$O,0,MIN(MAX(YEAR(T$41)-YEAR($K71)+$J71+1,1),14)))),0)</f>
        <v>0</v>
      </c>
      <c r="U71" s="68" cm="1">
        <f t="array" ref="U71">IFERROR(IF(U$41&lt;$K71,0,$F71*_xlfn.XLOOKUP($D71,'Capital Call&amp;Distributions data'!$A:$A,INDEX('Capital Call&amp;Distributions data'!$C:$O,0,MIN(MAX(YEAR(U$41)-YEAR($K71)+$J71+1,1),14)))),0)</f>
        <v>0</v>
      </c>
      <c r="V71" s="68" cm="1">
        <f t="array" ref="V71">IFERROR(IF(V$41&lt;$K71,0,$F71*_xlfn.XLOOKUP($D71,'Capital Call&amp;Distributions data'!$A:$A,INDEX('Capital Call&amp;Distributions data'!$C:$O,0,MIN(MAX(YEAR(V$41)-YEAR($K71)+$J71+1,1),14)))),0)</f>
        <v>0</v>
      </c>
      <c r="W71" s="68" cm="1">
        <f t="array" ref="W71">IFERROR(IF(W$41&lt;$K71,0,$F71*_xlfn.XLOOKUP($D71,'Capital Call&amp;Distributions data'!$A:$A,INDEX('Capital Call&amp;Distributions data'!$C:$O,0,MIN(MAX(YEAR(W$41)-YEAR($K71)+$J71+1,1),14)))),0)</f>
        <v>0</v>
      </c>
      <c r="X71" s="68" cm="1">
        <f t="array" ref="X71">IFERROR(IF(X$41&lt;$K71,0,$F71*_xlfn.XLOOKUP($D71,'Capital Call&amp;Distributions data'!$A:$A,INDEX('Capital Call&amp;Distributions data'!$C:$O,0,MIN(MAX(YEAR(X$41)-YEAR($K71)+$J71+1,1),14)))),0)</f>
        <v>0</v>
      </c>
      <c r="Y71" s="68" cm="1">
        <f t="array" ref="Y71">IFERROR(IF(Y$41&lt;$K71,0,$F71*_xlfn.XLOOKUP($D71,'Capital Call&amp;Distributions data'!$A:$A,INDEX('Capital Call&amp;Distributions data'!$C:$O,0,MIN(MAX(YEAR(Y$41)-YEAR($K71)+$J71+1,1),14)))),0)</f>
        <v>0</v>
      </c>
      <c r="Z71" s="68" cm="1">
        <f t="array" ref="Z71">IFERROR(IF(Z$41&lt;$K71,0,$F71*_xlfn.XLOOKUP($D71,'Capital Call&amp;Distributions data'!$A:$A,INDEX('Capital Call&amp;Distributions data'!$C:$O,0,MIN(MAX(YEAR(Z$41)-YEAR($K71)+$J71+1,1),14)))),0)</f>
        <v>0</v>
      </c>
      <c r="AA71" s="68" cm="1">
        <f t="array" ref="AA71">IFERROR(IF(AA$41&lt;$K71,0,$F71*_xlfn.XLOOKUP($D71,'Capital Call&amp;Distributions data'!$A:$A,INDEX('Capital Call&amp;Distributions data'!$C:$O,0,MIN(MAX(YEAR(AA$41)-YEAR($K71)+$J71+1,1),14)))),0)</f>
        <v>0</v>
      </c>
      <c r="AB71" s="68" cm="1">
        <f t="array" ref="AB71">IFERROR(IF(AB$41&lt;$K71,0,$F71*_xlfn.XLOOKUP($D71,'Capital Call&amp;Distributions data'!$A:$A,INDEX('Capital Call&amp;Distributions data'!$C:$O,0,MIN(MAX(YEAR(AB$41)-YEAR($K71)+$J71+1,1),14)))),0)</f>
        <v>0</v>
      </c>
      <c r="AC71" s="68" cm="1">
        <f t="array" ref="AC71">IFERROR(IF(AC$41&lt;$K71,0,$F71*_xlfn.XLOOKUP($D71,'Capital Call&amp;Distributions data'!$A:$A,INDEX('Capital Call&amp;Distributions data'!$C:$O,0,MIN(MAX(YEAR(AC$41)-YEAR($K71)+$J71+1,1),14)))),0)</f>
        <v>0</v>
      </c>
      <c r="AD71" s="68" cm="1">
        <f t="array" ref="AD71">IFERROR(IF(AD$41&lt;$K71,0,$F71*_xlfn.XLOOKUP($D71,'Capital Call&amp;Distributions data'!$A:$A,INDEX('Capital Call&amp;Distributions data'!$C:$O,0,MIN(MAX(YEAR(AD$41)-YEAR($K71)+$J71+1,1),14)))),0)</f>
        <v>0</v>
      </c>
      <c r="AE71" s="68" cm="1">
        <f t="array" ref="AE71">IFERROR(IF(AE$41&lt;$K71,0,$F71*_xlfn.XLOOKUP($D71,'Capital Call&amp;Distributions data'!$A:$A,INDEX('Capital Call&amp;Distributions data'!$C:$O,0,MIN(MAX(YEAR(AE$41)-YEAR($K71)+$J71+1,1),14)))),0)</f>
        <v>0</v>
      </c>
      <c r="AF71" s="68" cm="1">
        <f t="array" ref="AF71">IFERROR(IF(AF$41&lt;$K71,0,$F71*_xlfn.XLOOKUP($D71,'Capital Call&amp;Distributions data'!$A:$A,INDEX('Capital Call&amp;Distributions data'!$C:$O,0,MIN(MAX(YEAR(AF$41)-YEAR($K71)+$J71+1,1),14)))),0)</f>
        <v>0</v>
      </c>
      <c r="AG71" s="68" cm="1">
        <f t="array" ref="AG71">IFERROR(IF(AG$41&lt;$K71,0,$F71*_xlfn.XLOOKUP($D71,'Capital Call&amp;Distributions data'!$A:$A,INDEX('Capital Call&amp;Distributions data'!$C:$O,0,MIN(MAX(YEAR(AG$41)-YEAR($K71)+$J71+1,1),14)))),0)</f>
        <v>0</v>
      </c>
      <c r="AH71" s="68" cm="1">
        <f t="array" ref="AH71">IFERROR(IF(AH$41&lt;$K71,0,$F71*_xlfn.XLOOKUP($D71,'Capital Call&amp;Distributions data'!$A:$A,INDEX('Capital Call&amp;Distributions data'!$C:$O,0,MIN(MAX(YEAR(AH$41)-YEAR($K71)+$J71+1,1),14)))),0)</f>
        <v>0</v>
      </c>
      <c r="AI71" s="68" cm="1">
        <f t="array" ref="AI71">IFERROR(IF(AI$41&lt;$K71,0,$F71*_xlfn.XLOOKUP($D71,'Capital Call&amp;Distributions data'!$A:$A,INDEX('Capital Call&amp;Distributions data'!$C:$O,0,MIN(MAX(YEAR(AI$41)-YEAR($K71)+$J71+1,1),14)))),0)</f>
        <v>0</v>
      </c>
      <c r="AJ71" s="68" cm="1">
        <f t="array" ref="AJ71">IFERROR(IF(AJ$41&lt;$K71,0,$F71*_xlfn.XLOOKUP($D71,'Capital Call&amp;Distributions data'!$A:$A,INDEX('Capital Call&amp;Distributions data'!$C:$O,0,MIN(MAX(YEAR(AJ$41)-YEAR($K71)+$J71+1,1),14)))),0)</f>
        <v>0</v>
      </c>
      <c r="AK71" s="68" cm="1">
        <f t="array" ref="AK71">IFERROR(IF(AK$41&lt;$K71,0,$F71*_xlfn.XLOOKUP($D71,'Capital Call&amp;Distributions data'!$A:$A,INDEX('Capital Call&amp;Distributions data'!$C:$O,0,MIN(MAX(YEAR(AK$41)-YEAR($K71)+$J71+1,1),14)))),0)</f>
        <v>0</v>
      </c>
      <c r="AL71" s="68" cm="1">
        <f t="array" ref="AL71">IFERROR(IF(AL$41&lt;$K71,0,$F71*_xlfn.XLOOKUP($D71,'Capital Call&amp;Distributions data'!$A:$A,INDEX('Capital Call&amp;Distributions data'!$C:$O,0,MIN(MAX(YEAR(AL$41)-YEAR($K71)+$J71+1,1),14)))),0)</f>
        <v>0</v>
      </c>
      <c r="AM71" s="68" cm="1">
        <f t="array" ref="AM71">IFERROR(IF(AM$41&lt;$K71,0,$F71*_xlfn.XLOOKUP($D71,'Capital Call&amp;Distributions data'!$A:$A,INDEX('Capital Call&amp;Distributions data'!$C:$O,0,MIN(MAX(YEAR(AM$41)-YEAR($K71)+$J71+1,1),14)))),0)</f>
        <v>0</v>
      </c>
      <c r="AN71" s="68" cm="1">
        <f t="array" ref="AN71">IFERROR(IF(AN$41&lt;$K71,0,$F71*_xlfn.XLOOKUP($D71,'Capital Call&amp;Distributions data'!$A:$A,INDEX('Capital Call&amp;Distributions data'!$C:$O,0,MIN(MAX(YEAR(AN$41)-YEAR($K71)+$J71+1,1),14)))),0)</f>
        <v>0</v>
      </c>
      <c r="AO71" s="68" cm="1">
        <f t="array" ref="AO71">IFERROR(IF(AO$41&lt;$K71,0,$F71*_xlfn.XLOOKUP($D71,'Capital Call&amp;Distributions data'!$A:$A,INDEX('Capital Call&amp;Distributions data'!$C:$O,0,MIN(MAX(YEAR(AO$41)-YEAR($K71)+$J71+1,1),14)))),0)</f>
        <v>0</v>
      </c>
      <c r="AP71" s="68" cm="1">
        <f t="array" ref="AP71">IFERROR(IF(AP$41&lt;$K71,0,$F71*_xlfn.XLOOKUP($D71,'Capital Call&amp;Distributions data'!$A:$A,INDEX('Capital Call&amp;Distributions data'!$C:$O,0,MIN(MAX(YEAR(AP$41)-YEAR($K71)+$J71+1,1),14)))),0)</f>
        <v>0</v>
      </c>
      <c r="AQ71" s="68" cm="1">
        <f t="array" ref="AQ71">IFERROR(IF(AQ$41&lt;$K71,0,$F71*_xlfn.XLOOKUP($D71,'Capital Call&amp;Distributions data'!$A:$A,INDEX('Capital Call&amp;Distributions data'!$C:$O,0,MIN(MAX(YEAR(AQ$41)-YEAR($K71)+$J71+1,1),14)))),0)</f>
        <v>0</v>
      </c>
      <c r="AR71" s="68" cm="1">
        <f t="array" ref="AR71">IFERROR(IF(AR$41&lt;$K71,0,$F71*_xlfn.XLOOKUP($D71,'Capital Call&amp;Distributions data'!$A:$A,INDEX('Capital Call&amp;Distributions data'!$C:$O,0,MIN(MAX(YEAR(AR$41)-YEAR($K71)+$J71+1,1),14)))),0)</f>
        <v>0</v>
      </c>
      <c r="AS71" s="68" cm="1">
        <f t="array" ref="AS71">IFERROR(IF(AS$41&lt;$K71,0,$F71*_xlfn.XLOOKUP($D71,'Capital Call&amp;Distributions data'!$A:$A,INDEX('Capital Call&amp;Distributions data'!$C:$O,0,MIN(MAX(YEAR(AS$41)-YEAR($K71)+$J71+1,1),14)))),0)</f>
        <v>0</v>
      </c>
      <c r="AT71" s="68" cm="1">
        <f t="array" ref="AT71">IFERROR(IF(AT$41&lt;$K71,0,$F71*_xlfn.XLOOKUP($D71,'Capital Call&amp;Distributions data'!$A:$A,INDEX('Capital Call&amp;Distributions data'!$C:$O,0,MIN(MAX(YEAR(AT$41)-YEAR($K71)+$J71+1,1),14)))),0)</f>
        <v>0</v>
      </c>
      <c r="AU71" s="68" cm="1">
        <f t="array" ref="AU71">IFERROR(IF(AU$41&lt;$K71,0,$F71*_xlfn.XLOOKUP($D71,'Capital Call&amp;Distributions data'!$A:$A,INDEX('Capital Call&amp;Distributions data'!$C:$O,0,MIN(MAX(YEAR(AU$41)-YEAR($K71)+$J71+1,1),14)))),0)</f>
        <v>0</v>
      </c>
      <c r="AW71" s="1"/>
      <c r="DJ71" s="11"/>
    </row>
    <row r="72" spans="3:114" ht="29.25" hidden="1" customHeight="1" outlineLevel="1">
      <c r="C72" s="20"/>
      <c r="D72" s="21">
        <f>_xlfn.XLOOKUP(C72,Fondsen!B:B,Fondsen!C:C,"0",0,1)</f>
        <v>0</v>
      </c>
      <c r="E72" s="21" t="s">
        <v>10</v>
      </c>
      <c r="F72" s="83"/>
      <c r="G72" s="143" t="str">
        <f ca="1">IFERROR(IF(SUM(OFFSET(INDEX('Capital Call&amp;Distributions data'!A:A,MATCH(D72,'Capital Call&amp;Distributions data'!A:A,0)),-1,2,1,1000))=0,"✔",""),"")</f>
        <v/>
      </c>
      <c r="H72" s="138" t="str">
        <f t="shared" si="4"/>
        <v/>
      </c>
      <c r="I72" s="96">
        <v>45658</v>
      </c>
      <c r="J72" s="70">
        <f t="shared" si="3"/>
        <v>0</v>
      </c>
      <c r="K72" s="96">
        <v>45658</v>
      </c>
      <c r="L72" s="68" cm="1">
        <f t="array" ref="L72">IFERROR(IF(L$41&lt;$K72,0,$F72*_xlfn.XLOOKUP($D72,'Capital Call&amp;Distributions data'!$A:$A,INDEX('Capital Call&amp;Distributions data'!$C:$O,0,MIN(MAX(YEAR(L$41)-YEAR($K72)+$J72+1,1),14)))),0)</f>
        <v>0</v>
      </c>
      <c r="M72" s="68" cm="1">
        <f t="array" ref="M72">IFERROR(IF(M$41&lt;$K72,0,$F72*_xlfn.XLOOKUP($D72,'Capital Call&amp;Distributions data'!$A:$A,INDEX('Capital Call&amp;Distributions data'!$C:$O,0,MIN(MAX(YEAR(M$41)-YEAR($K72)+$J72+1,1),14)))),0)</f>
        <v>0</v>
      </c>
      <c r="N72" s="68" cm="1">
        <f t="array" ref="N72">IFERROR(IF(N$41&lt;$K72,0,$F72*_xlfn.XLOOKUP($D72,'Capital Call&amp;Distributions data'!$A:$A,INDEX('Capital Call&amp;Distributions data'!$C:$O,0,MIN(MAX(YEAR(N$41)-YEAR($K72)+$J72+1,1),14)))),0)</f>
        <v>0</v>
      </c>
      <c r="O72" s="68" cm="1">
        <f t="array" ref="O72">IFERROR(IF(O$41&lt;$K72,0,$F72*_xlfn.XLOOKUP($D72,'Capital Call&amp;Distributions data'!$A:$A,INDEX('Capital Call&amp;Distributions data'!$C:$O,0,MIN(MAX(YEAR(O$41)-YEAR($K72)+$J72+1,1),14)))),0)</f>
        <v>0</v>
      </c>
      <c r="P72" s="68" cm="1">
        <f t="array" ref="P72">IFERROR(IF(P$41&lt;$K72,0,$F72*_xlfn.XLOOKUP($D72,'Capital Call&amp;Distributions data'!$A:$A,INDEX('Capital Call&amp;Distributions data'!$C:$O,0,MIN(MAX(YEAR(P$41)-YEAR($K72)+$J72+1,1),14)))),0)</f>
        <v>0</v>
      </c>
      <c r="Q72" s="68" cm="1">
        <f t="array" ref="Q72">IFERROR(IF(Q$41&lt;$K72,0,$F72*_xlfn.XLOOKUP($D72,'Capital Call&amp;Distributions data'!$A:$A,INDEX('Capital Call&amp;Distributions data'!$C:$O,0,MIN(MAX(YEAR(Q$41)-YEAR($K72)+$J72+1,1),14)))),0)</f>
        <v>0</v>
      </c>
      <c r="R72" s="68" cm="1">
        <f t="array" ref="R72">IFERROR(IF(R$41&lt;$K72,0,$F72*_xlfn.XLOOKUP($D72,'Capital Call&amp;Distributions data'!$A:$A,INDEX('Capital Call&amp;Distributions data'!$C:$O,0,MIN(MAX(YEAR(R$41)-YEAR($K72)+$J72+1,1),14)))),0)</f>
        <v>0</v>
      </c>
      <c r="S72" s="68" cm="1">
        <f t="array" ref="S72">IFERROR(IF(S$41&lt;$K72,0,$F72*_xlfn.XLOOKUP($D72,'Capital Call&amp;Distributions data'!$A:$A,INDEX('Capital Call&amp;Distributions data'!$C:$O,0,MIN(MAX(YEAR(S$41)-YEAR($K72)+$J72+1,1),14)))),0)</f>
        <v>0</v>
      </c>
      <c r="T72" s="68" cm="1">
        <f t="array" ref="T72">IFERROR(IF(T$41&lt;$K72,0,$F72*_xlfn.XLOOKUP($D72,'Capital Call&amp;Distributions data'!$A:$A,INDEX('Capital Call&amp;Distributions data'!$C:$O,0,MIN(MAX(YEAR(T$41)-YEAR($K72)+$J72+1,1),14)))),0)</f>
        <v>0</v>
      </c>
      <c r="U72" s="68" cm="1">
        <f t="array" ref="U72">IFERROR(IF(U$41&lt;$K72,0,$F72*_xlfn.XLOOKUP($D72,'Capital Call&amp;Distributions data'!$A:$A,INDEX('Capital Call&amp;Distributions data'!$C:$O,0,MIN(MAX(YEAR(U$41)-YEAR($K72)+$J72+1,1),14)))),0)</f>
        <v>0</v>
      </c>
      <c r="V72" s="68" cm="1">
        <f t="array" ref="V72">IFERROR(IF(V$41&lt;$K72,0,$F72*_xlfn.XLOOKUP($D72,'Capital Call&amp;Distributions data'!$A:$A,INDEX('Capital Call&amp;Distributions data'!$C:$O,0,MIN(MAX(YEAR(V$41)-YEAR($K72)+$J72+1,1),14)))),0)</f>
        <v>0</v>
      </c>
      <c r="W72" s="68" cm="1">
        <f t="array" ref="W72">IFERROR(IF(W$41&lt;$K72,0,$F72*_xlfn.XLOOKUP($D72,'Capital Call&amp;Distributions data'!$A:$A,INDEX('Capital Call&amp;Distributions data'!$C:$O,0,MIN(MAX(YEAR(W$41)-YEAR($K72)+$J72+1,1),14)))),0)</f>
        <v>0</v>
      </c>
      <c r="X72" s="68" cm="1">
        <f t="array" ref="X72">IFERROR(IF(X$41&lt;$K72,0,$F72*_xlfn.XLOOKUP($D72,'Capital Call&amp;Distributions data'!$A:$A,INDEX('Capital Call&amp;Distributions data'!$C:$O,0,MIN(MAX(YEAR(X$41)-YEAR($K72)+$J72+1,1),14)))),0)</f>
        <v>0</v>
      </c>
      <c r="Y72" s="68" cm="1">
        <f t="array" ref="Y72">IFERROR(IF(Y$41&lt;$K72,0,$F72*_xlfn.XLOOKUP($D72,'Capital Call&amp;Distributions data'!$A:$A,INDEX('Capital Call&amp;Distributions data'!$C:$O,0,MIN(MAX(YEAR(Y$41)-YEAR($K72)+$J72+1,1),14)))),0)</f>
        <v>0</v>
      </c>
      <c r="Z72" s="68" cm="1">
        <f t="array" ref="Z72">IFERROR(IF(Z$41&lt;$K72,0,$F72*_xlfn.XLOOKUP($D72,'Capital Call&amp;Distributions data'!$A:$A,INDEX('Capital Call&amp;Distributions data'!$C:$O,0,MIN(MAX(YEAR(Z$41)-YEAR($K72)+$J72+1,1),14)))),0)</f>
        <v>0</v>
      </c>
      <c r="AA72" s="68" cm="1">
        <f t="array" ref="AA72">IFERROR(IF(AA$41&lt;$K72,0,$F72*_xlfn.XLOOKUP($D72,'Capital Call&amp;Distributions data'!$A:$A,INDEX('Capital Call&amp;Distributions data'!$C:$O,0,MIN(MAX(YEAR(AA$41)-YEAR($K72)+$J72+1,1),14)))),0)</f>
        <v>0</v>
      </c>
      <c r="AB72" s="68" cm="1">
        <f t="array" ref="AB72">IFERROR(IF(AB$41&lt;$K72,0,$F72*_xlfn.XLOOKUP($D72,'Capital Call&amp;Distributions data'!$A:$A,INDEX('Capital Call&amp;Distributions data'!$C:$O,0,MIN(MAX(YEAR(AB$41)-YEAR($K72)+$J72+1,1),14)))),0)</f>
        <v>0</v>
      </c>
      <c r="AC72" s="68" cm="1">
        <f t="array" ref="AC72">IFERROR(IF(AC$41&lt;$K72,0,$F72*_xlfn.XLOOKUP($D72,'Capital Call&amp;Distributions data'!$A:$A,INDEX('Capital Call&amp;Distributions data'!$C:$O,0,MIN(MAX(YEAR(AC$41)-YEAR($K72)+$J72+1,1),14)))),0)</f>
        <v>0</v>
      </c>
      <c r="AD72" s="68" cm="1">
        <f t="array" ref="AD72">IFERROR(IF(AD$41&lt;$K72,0,$F72*_xlfn.XLOOKUP($D72,'Capital Call&amp;Distributions data'!$A:$A,INDEX('Capital Call&amp;Distributions data'!$C:$O,0,MIN(MAX(YEAR(AD$41)-YEAR($K72)+$J72+1,1),14)))),0)</f>
        <v>0</v>
      </c>
      <c r="AE72" s="68" cm="1">
        <f t="array" ref="AE72">IFERROR(IF(AE$41&lt;$K72,0,$F72*_xlfn.XLOOKUP($D72,'Capital Call&amp;Distributions data'!$A:$A,INDEX('Capital Call&amp;Distributions data'!$C:$O,0,MIN(MAX(YEAR(AE$41)-YEAR($K72)+$J72+1,1),14)))),0)</f>
        <v>0</v>
      </c>
      <c r="AF72" s="68" cm="1">
        <f t="array" ref="AF72">IFERROR(IF(AF$41&lt;$K72,0,$F72*_xlfn.XLOOKUP($D72,'Capital Call&amp;Distributions data'!$A:$A,INDEX('Capital Call&amp;Distributions data'!$C:$O,0,MIN(MAX(YEAR(AF$41)-YEAR($K72)+$J72+1,1),14)))),0)</f>
        <v>0</v>
      </c>
      <c r="AG72" s="68" cm="1">
        <f t="array" ref="AG72">IFERROR(IF(AG$41&lt;$K72,0,$F72*_xlfn.XLOOKUP($D72,'Capital Call&amp;Distributions data'!$A:$A,INDEX('Capital Call&amp;Distributions data'!$C:$O,0,MIN(MAX(YEAR(AG$41)-YEAR($K72)+$J72+1,1),14)))),0)</f>
        <v>0</v>
      </c>
      <c r="AH72" s="68" cm="1">
        <f t="array" ref="AH72">IFERROR(IF(AH$41&lt;$K72,0,$F72*_xlfn.XLOOKUP($D72,'Capital Call&amp;Distributions data'!$A:$A,INDEX('Capital Call&amp;Distributions data'!$C:$O,0,MIN(MAX(YEAR(AH$41)-YEAR($K72)+$J72+1,1),14)))),0)</f>
        <v>0</v>
      </c>
      <c r="AI72" s="68" cm="1">
        <f t="array" ref="AI72">IFERROR(IF(AI$41&lt;$K72,0,$F72*_xlfn.XLOOKUP($D72,'Capital Call&amp;Distributions data'!$A:$A,INDEX('Capital Call&amp;Distributions data'!$C:$O,0,MIN(MAX(YEAR(AI$41)-YEAR($K72)+$J72+1,1),14)))),0)</f>
        <v>0</v>
      </c>
      <c r="AJ72" s="68" cm="1">
        <f t="array" ref="AJ72">IFERROR(IF(AJ$41&lt;$K72,0,$F72*_xlfn.XLOOKUP($D72,'Capital Call&amp;Distributions data'!$A:$A,INDEX('Capital Call&amp;Distributions data'!$C:$O,0,MIN(MAX(YEAR(AJ$41)-YEAR($K72)+$J72+1,1),14)))),0)</f>
        <v>0</v>
      </c>
      <c r="AK72" s="68" cm="1">
        <f t="array" ref="AK72">IFERROR(IF(AK$41&lt;$K72,0,$F72*_xlfn.XLOOKUP($D72,'Capital Call&amp;Distributions data'!$A:$A,INDEX('Capital Call&amp;Distributions data'!$C:$O,0,MIN(MAX(YEAR(AK$41)-YEAR($K72)+$J72+1,1),14)))),0)</f>
        <v>0</v>
      </c>
      <c r="AL72" s="68" cm="1">
        <f t="array" ref="AL72">IFERROR(IF(AL$41&lt;$K72,0,$F72*_xlfn.XLOOKUP($D72,'Capital Call&amp;Distributions data'!$A:$A,INDEX('Capital Call&amp;Distributions data'!$C:$O,0,MIN(MAX(YEAR(AL$41)-YEAR($K72)+$J72+1,1),14)))),0)</f>
        <v>0</v>
      </c>
      <c r="AM72" s="68" cm="1">
        <f t="array" ref="AM72">IFERROR(IF(AM$41&lt;$K72,0,$F72*_xlfn.XLOOKUP($D72,'Capital Call&amp;Distributions data'!$A:$A,INDEX('Capital Call&amp;Distributions data'!$C:$O,0,MIN(MAX(YEAR(AM$41)-YEAR($K72)+$J72+1,1),14)))),0)</f>
        <v>0</v>
      </c>
      <c r="AN72" s="68" cm="1">
        <f t="array" ref="AN72">IFERROR(IF(AN$41&lt;$K72,0,$F72*_xlfn.XLOOKUP($D72,'Capital Call&amp;Distributions data'!$A:$A,INDEX('Capital Call&amp;Distributions data'!$C:$O,0,MIN(MAX(YEAR(AN$41)-YEAR($K72)+$J72+1,1),14)))),0)</f>
        <v>0</v>
      </c>
      <c r="AO72" s="68" cm="1">
        <f t="array" ref="AO72">IFERROR(IF(AO$41&lt;$K72,0,$F72*_xlfn.XLOOKUP($D72,'Capital Call&amp;Distributions data'!$A:$A,INDEX('Capital Call&amp;Distributions data'!$C:$O,0,MIN(MAX(YEAR(AO$41)-YEAR($K72)+$J72+1,1),14)))),0)</f>
        <v>0</v>
      </c>
      <c r="AP72" s="68" cm="1">
        <f t="array" ref="AP72">IFERROR(IF(AP$41&lt;$K72,0,$F72*_xlfn.XLOOKUP($D72,'Capital Call&amp;Distributions data'!$A:$A,INDEX('Capital Call&amp;Distributions data'!$C:$O,0,MIN(MAX(YEAR(AP$41)-YEAR($K72)+$J72+1,1),14)))),0)</f>
        <v>0</v>
      </c>
      <c r="AQ72" s="68" cm="1">
        <f t="array" ref="AQ72">IFERROR(IF(AQ$41&lt;$K72,0,$F72*_xlfn.XLOOKUP($D72,'Capital Call&amp;Distributions data'!$A:$A,INDEX('Capital Call&amp;Distributions data'!$C:$O,0,MIN(MAX(YEAR(AQ$41)-YEAR($K72)+$J72+1,1),14)))),0)</f>
        <v>0</v>
      </c>
      <c r="AR72" s="68" cm="1">
        <f t="array" ref="AR72">IFERROR(IF(AR$41&lt;$K72,0,$F72*_xlfn.XLOOKUP($D72,'Capital Call&amp;Distributions data'!$A:$A,INDEX('Capital Call&amp;Distributions data'!$C:$O,0,MIN(MAX(YEAR(AR$41)-YEAR($K72)+$J72+1,1),14)))),0)</f>
        <v>0</v>
      </c>
      <c r="AS72" s="68" cm="1">
        <f t="array" ref="AS72">IFERROR(IF(AS$41&lt;$K72,0,$F72*_xlfn.XLOOKUP($D72,'Capital Call&amp;Distributions data'!$A:$A,INDEX('Capital Call&amp;Distributions data'!$C:$O,0,MIN(MAX(YEAR(AS$41)-YEAR($K72)+$J72+1,1),14)))),0)</f>
        <v>0</v>
      </c>
      <c r="AT72" s="68" cm="1">
        <f t="array" ref="AT72">IFERROR(IF(AT$41&lt;$K72,0,$F72*_xlfn.XLOOKUP($D72,'Capital Call&amp;Distributions data'!$A:$A,INDEX('Capital Call&amp;Distributions data'!$C:$O,0,MIN(MAX(YEAR(AT$41)-YEAR($K72)+$J72+1,1),14)))),0)</f>
        <v>0</v>
      </c>
      <c r="AU72" s="68" cm="1">
        <f t="array" ref="AU72">IFERROR(IF(AU$41&lt;$K72,0,$F72*_xlfn.XLOOKUP($D72,'Capital Call&amp;Distributions data'!$A:$A,INDEX('Capital Call&amp;Distributions data'!$C:$O,0,MIN(MAX(YEAR(AU$41)-YEAR($K72)+$J72+1,1),14)))),0)</f>
        <v>0</v>
      </c>
      <c r="AW72" s="1"/>
      <c r="DJ72" s="11"/>
    </row>
    <row r="73" spans="3:114" ht="29.25" hidden="1" customHeight="1" outlineLevel="1">
      <c r="C73" s="20"/>
      <c r="D73" s="21">
        <f>_xlfn.XLOOKUP(C73,Fondsen!B:B,Fondsen!C:C,"0",0,1)</f>
        <v>0</v>
      </c>
      <c r="E73" s="21" t="s">
        <v>10</v>
      </c>
      <c r="F73" s="83"/>
      <c r="G73" s="143" t="str">
        <f ca="1">IFERROR(IF(SUM(OFFSET(INDEX('Capital Call&amp;Distributions data'!A:A,MATCH(D73,'Capital Call&amp;Distributions data'!A:A,0)),-1,2,1,1000))=0,"✔",""),"")</f>
        <v/>
      </c>
      <c r="H73" s="138" t="str">
        <f t="shared" si="4"/>
        <v/>
      </c>
      <c r="I73" s="96">
        <v>45658</v>
      </c>
      <c r="J73" s="70">
        <f t="shared" si="3"/>
        <v>0</v>
      </c>
      <c r="K73" s="96">
        <v>45658</v>
      </c>
      <c r="L73" s="68" cm="1">
        <f t="array" ref="L73">IFERROR(IF(L$41&lt;$K73,0,$F73*_xlfn.XLOOKUP($D73,'Capital Call&amp;Distributions data'!$A:$A,INDEX('Capital Call&amp;Distributions data'!$C:$O,0,MIN(MAX(YEAR(L$41)-YEAR($K73)+$J73+1,1),14)))),0)</f>
        <v>0</v>
      </c>
      <c r="M73" s="68" cm="1">
        <f t="array" ref="M73">IFERROR(IF(M$41&lt;$K73,0,$F73*_xlfn.XLOOKUP($D73,'Capital Call&amp;Distributions data'!$A:$A,INDEX('Capital Call&amp;Distributions data'!$C:$O,0,MIN(MAX(YEAR(M$41)-YEAR($K73)+$J73+1,1),14)))),0)</f>
        <v>0</v>
      </c>
      <c r="N73" s="68" cm="1">
        <f t="array" ref="N73">IFERROR(IF(N$41&lt;$K73,0,$F73*_xlfn.XLOOKUP($D73,'Capital Call&amp;Distributions data'!$A:$A,INDEX('Capital Call&amp;Distributions data'!$C:$O,0,MIN(MAX(YEAR(N$41)-YEAR($K73)+$J73+1,1),14)))),0)</f>
        <v>0</v>
      </c>
      <c r="O73" s="68" cm="1">
        <f t="array" ref="O73">IFERROR(IF(O$41&lt;$K73,0,$F73*_xlfn.XLOOKUP($D73,'Capital Call&amp;Distributions data'!$A:$A,INDEX('Capital Call&amp;Distributions data'!$C:$O,0,MIN(MAX(YEAR(O$41)-YEAR($K73)+$J73+1,1),14)))),0)</f>
        <v>0</v>
      </c>
      <c r="P73" s="68" cm="1">
        <f t="array" ref="P73">IFERROR(IF(P$41&lt;$K73,0,$F73*_xlfn.XLOOKUP($D73,'Capital Call&amp;Distributions data'!$A:$A,INDEX('Capital Call&amp;Distributions data'!$C:$O,0,MIN(MAX(YEAR(P$41)-YEAR($K73)+$J73+1,1),14)))),0)</f>
        <v>0</v>
      </c>
      <c r="Q73" s="68" cm="1">
        <f t="array" ref="Q73">IFERROR(IF(Q$41&lt;$K73,0,$F73*_xlfn.XLOOKUP($D73,'Capital Call&amp;Distributions data'!$A:$A,INDEX('Capital Call&amp;Distributions data'!$C:$O,0,MIN(MAX(YEAR(Q$41)-YEAR($K73)+$J73+1,1),14)))),0)</f>
        <v>0</v>
      </c>
      <c r="R73" s="68" cm="1">
        <f t="array" ref="R73">IFERROR(IF(R$41&lt;$K73,0,$F73*_xlfn.XLOOKUP($D73,'Capital Call&amp;Distributions data'!$A:$A,INDEX('Capital Call&amp;Distributions data'!$C:$O,0,MIN(MAX(YEAR(R$41)-YEAR($K73)+$J73+1,1),14)))),0)</f>
        <v>0</v>
      </c>
      <c r="S73" s="68" cm="1">
        <f t="array" ref="S73">IFERROR(IF(S$41&lt;$K73,0,$F73*_xlfn.XLOOKUP($D73,'Capital Call&amp;Distributions data'!$A:$A,INDEX('Capital Call&amp;Distributions data'!$C:$O,0,MIN(MAX(YEAR(S$41)-YEAR($K73)+$J73+1,1),14)))),0)</f>
        <v>0</v>
      </c>
      <c r="T73" s="68" cm="1">
        <f t="array" ref="T73">IFERROR(IF(T$41&lt;$K73,0,$F73*_xlfn.XLOOKUP($D73,'Capital Call&amp;Distributions data'!$A:$A,INDEX('Capital Call&amp;Distributions data'!$C:$O,0,MIN(MAX(YEAR(T$41)-YEAR($K73)+$J73+1,1),14)))),0)</f>
        <v>0</v>
      </c>
      <c r="U73" s="68" cm="1">
        <f t="array" ref="U73">IFERROR(IF(U$41&lt;$K73,0,$F73*_xlfn.XLOOKUP($D73,'Capital Call&amp;Distributions data'!$A:$A,INDEX('Capital Call&amp;Distributions data'!$C:$O,0,MIN(MAX(YEAR(U$41)-YEAR($K73)+$J73+1,1),14)))),0)</f>
        <v>0</v>
      </c>
      <c r="V73" s="68" cm="1">
        <f t="array" ref="V73">IFERROR(IF(V$41&lt;$K73,0,$F73*_xlfn.XLOOKUP($D73,'Capital Call&amp;Distributions data'!$A:$A,INDEX('Capital Call&amp;Distributions data'!$C:$O,0,MIN(MAX(YEAR(V$41)-YEAR($K73)+$J73+1,1),14)))),0)</f>
        <v>0</v>
      </c>
      <c r="W73" s="68" cm="1">
        <f t="array" ref="W73">IFERROR(IF(W$41&lt;$K73,0,$F73*_xlfn.XLOOKUP($D73,'Capital Call&amp;Distributions data'!$A:$A,INDEX('Capital Call&amp;Distributions data'!$C:$O,0,MIN(MAX(YEAR(W$41)-YEAR($K73)+$J73+1,1),14)))),0)</f>
        <v>0</v>
      </c>
      <c r="X73" s="68" cm="1">
        <f t="array" ref="X73">IFERROR(IF(X$41&lt;$K73,0,$F73*_xlfn.XLOOKUP($D73,'Capital Call&amp;Distributions data'!$A:$A,INDEX('Capital Call&amp;Distributions data'!$C:$O,0,MIN(MAX(YEAR(X$41)-YEAR($K73)+$J73+1,1),14)))),0)</f>
        <v>0</v>
      </c>
      <c r="Y73" s="68" cm="1">
        <f t="array" ref="Y73">IFERROR(IF(Y$41&lt;$K73,0,$F73*_xlfn.XLOOKUP($D73,'Capital Call&amp;Distributions data'!$A:$A,INDEX('Capital Call&amp;Distributions data'!$C:$O,0,MIN(MAX(YEAR(Y$41)-YEAR($K73)+$J73+1,1),14)))),0)</f>
        <v>0</v>
      </c>
      <c r="Z73" s="68" cm="1">
        <f t="array" ref="Z73">IFERROR(IF(Z$41&lt;$K73,0,$F73*_xlfn.XLOOKUP($D73,'Capital Call&amp;Distributions data'!$A:$A,INDEX('Capital Call&amp;Distributions data'!$C:$O,0,MIN(MAX(YEAR(Z$41)-YEAR($K73)+$J73+1,1),14)))),0)</f>
        <v>0</v>
      </c>
      <c r="AA73" s="68" cm="1">
        <f t="array" ref="AA73">IFERROR(IF(AA$41&lt;$K73,0,$F73*_xlfn.XLOOKUP($D73,'Capital Call&amp;Distributions data'!$A:$A,INDEX('Capital Call&amp;Distributions data'!$C:$O,0,MIN(MAX(YEAR(AA$41)-YEAR($K73)+$J73+1,1),14)))),0)</f>
        <v>0</v>
      </c>
      <c r="AB73" s="68" cm="1">
        <f t="array" ref="AB73">IFERROR(IF(AB$41&lt;$K73,0,$F73*_xlfn.XLOOKUP($D73,'Capital Call&amp;Distributions data'!$A:$A,INDEX('Capital Call&amp;Distributions data'!$C:$O,0,MIN(MAX(YEAR(AB$41)-YEAR($K73)+$J73+1,1),14)))),0)</f>
        <v>0</v>
      </c>
      <c r="AC73" s="68" cm="1">
        <f t="array" ref="AC73">IFERROR(IF(AC$41&lt;$K73,0,$F73*_xlfn.XLOOKUP($D73,'Capital Call&amp;Distributions data'!$A:$A,INDEX('Capital Call&amp;Distributions data'!$C:$O,0,MIN(MAX(YEAR(AC$41)-YEAR($K73)+$J73+1,1),14)))),0)</f>
        <v>0</v>
      </c>
      <c r="AD73" s="68" cm="1">
        <f t="array" ref="AD73">IFERROR(IF(AD$41&lt;$K73,0,$F73*_xlfn.XLOOKUP($D73,'Capital Call&amp;Distributions data'!$A:$A,INDEX('Capital Call&amp;Distributions data'!$C:$O,0,MIN(MAX(YEAR(AD$41)-YEAR($K73)+$J73+1,1),14)))),0)</f>
        <v>0</v>
      </c>
      <c r="AE73" s="68" cm="1">
        <f t="array" ref="AE73">IFERROR(IF(AE$41&lt;$K73,0,$F73*_xlfn.XLOOKUP($D73,'Capital Call&amp;Distributions data'!$A:$A,INDEX('Capital Call&amp;Distributions data'!$C:$O,0,MIN(MAX(YEAR(AE$41)-YEAR($K73)+$J73+1,1),14)))),0)</f>
        <v>0</v>
      </c>
      <c r="AF73" s="68" cm="1">
        <f t="array" ref="AF73">IFERROR(IF(AF$41&lt;$K73,0,$F73*_xlfn.XLOOKUP($D73,'Capital Call&amp;Distributions data'!$A:$A,INDEX('Capital Call&amp;Distributions data'!$C:$O,0,MIN(MAX(YEAR(AF$41)-YEAR($K73)+$J73+1,1),14)))),0)</f>
        <v>0</v>
      </c>
      <c r="AG73" s="68" cm="1">
        <f t="array" ref="AG73">IFERROR(IF(AG$41&lt;$K73,0,$F73*_xlfn.XLOOKUP($D73,'Capital Call&amp;Distributions data'!$A:$A,INDEX('Capital Call&amp;Distributions data'!$C:$O,0,MIN(MAX(YEAR(AG$41)-YEAR($K73)+$J73+1,1),14)))),0)</f>
        <v>0</v>
      </c>
      <c r="AH73" s="68" cm="1">
        <f t="array" ref="AH73">IFERROR(IF(AH$41&lt;$K73,0,$F73*_xlfn.XLOOKUP($D73,'Capital Call&amp;Distributions data'!$A:$A,INDEX('Capital Call&amp;Distributions data'!$C:$O,0,MIN(MAX(YEAR(AH$41)-YEAR($K73)+$J73+1,1),14)))),0)</f>
        <v>0</v>
      </c>
      <c r="AI73" s="68" cm="1">
        <f t="array" ref="AI73">IFERROR(IF(AI$41&lt;$K73,0,$F73*_xlfn.XLOOKUP($D73,'Capital Call&amp;Distributions data'!$A:$A,INDEX('Capital Call&amp;Distributions data'!$C:$O,0,MIN(MAX(YEAR(AI$41)-YEAR($K73)+$J73+1,1),14)))),0)</f>
        <v>0</v>
      </c>
      <c r="AJ73" s="68" cm="1">
        <f t="array" ref="AJ73">IFERROR(IF(AJ$41&lt;$K73,0,$F73*_xlfn.XLOOKUP($D73,'Capital Call&amp;Distributions data'!$A:$A,INDEX('Capital Call&amp;Distributions data'!$C:$O,0,MIN(MAX(YEAR(AJ$41)-YEAR($K73)+$J73+1,1),14)))),0)</f>
        <v>0</v>
      </c>
      <c r="AK73" s="68" cm="1">
        <f t="array" ref="AK73">IFERROR(IF(AK$41&lt;$K73,0,$F73*_xlfn.XLOOKUP($D73,'Capital Call&amp;Distributions data'!$A:$A,INDEX('Capital Call&amp;Distributions data'!$C:$O,0,MIN(MAX(YEAR(AK$41)-YEAR($K73)+$J73+1,1),14)))),0)</f>
        <v>0</v>
      </c>
      <c r="AL73" s="68" cm="1">
        <f t="array" ref="AL73">IFERROR(IF(AL$41&lt;$K73,0,$F73*_xlfn.XLOOKUP($D73,'Capital Call&amp;Distributions data'!$A:$A,INDEX('Capital Call&amp;Distributions data'!$C:$O,0,MIN(MAX(YEAR(AL$41)-YEAR($K73)+$J73+1,1),14)))),0)</f>
        <v>0</v>
      </c>
      <c r="AM73" s="68" cm="1">
        <f t="array" ref="AM73">IFERROR(IF(AM$41&lt;$K73,0,$F73*_xlfn.XLOOKUP($D73,'Capital Call&amp;Distributions data'!$A:$A,INDEX('Capital Call&amp;Distributions data'!$C:$O,0,MIN(MAX(YEAR(AM$41)-YEAR($K73)+$J73+1,1),14)))),0)</f>
        <v>0</v>
      </c>
      <c r="AN73" s="68" cm="1">
        <f t="array" ref="AN73">IFERROR(IF(AN$41&lt;$K73,0,$F73*_xlfn.XLOOKUP($D73,'Capital Call&amp;Distributions data'!$A:$A,INDEX('Capital Call&amp;Distributions data'!$C:$O,0,MIN(MAX(YEAR(AN$41)-YEAR($K73)+$J73+1,1),14)))),0)</f>
        <v>0</v>
      </c>
      <c r="AO73" s="68" cm="1">
        <f t="array" ref="AO73">IFERROR(IF(AO$41&lt;$K73,0,$F73*_xlfn.XLOOKUP($D73,'Capital Call&amp;Distributions data'!$A:$A,INDEX('Capital Call&amp;Distributions data'!$C:$O,0,MIN(MAX(YEAR(AO$41)-YEAR($K73)+$J73+1,1),14)))),0)</f>
        <v>0</v>
      </c>
      <c r="AP73" s="68" cm="1">
        <f t="array" ref="AP73">IFERROR(IF(AP$41&lt;$K73,0,$F73*_xlfn.XLOOKUP($D73,'Capital Call&amp;Distributions data'!$A:$A,INDEX('Capital Call&amp;Distributions data'!$C:$O,0,MIN(MAX(YEAR(AP$41)-YEAR($K73)+$J73+1,1),14)))),0)</f>
        <v>0</v>
      </c>
      <c r="AQ73" s="68" cm="1">
        <f t="array" ref="AQ73">IFERROR(IF(AQ$41&lt;$K73,0,$F73*_xlfn.XLOOKUP($D73,'Capital Call&amp;Distributions data'!$A:$A,INDEX('Capital Call&amp;Distributions data'!$C:$O,0,MIN(MAX(YEAR(AQ$41)-YEAR($K73)+$J73+1,1),14)))),0)</f>
        <v>0</v>
      </c>
      <c r="AR73" s="68" cm="1">
        <f t="array" ref="AR73">IFERROR(IF(AR$41&lt;$K73,0,$F73*_xlfn.XLOOKUP($D73,'Capital Call&amp;Distributions data'!$A:$A,INDEX('Capital Call&amp;Distributions data'!$C:$O,0,MIN(MAX(YEAR(AR$41)-YEAR($K73)+$J73+1,1),14)))),0)</f>
        <v>0</v>
      </c>
      <c r="AS73" s="68" cm="1">
        <f t="array" ref="AS73">IFERROR(IF(AS$41&lt;$K73,0,$F73*_xlfn.XLOOKUP($D73,'Capital Call&amp;Distributions data'!$A:$A,INDEX('Capital Call&amp;Distributions data'!$C:$O,0,MIN(MAX(YEAR(AS$41)-YEAR($K73)+$J73+1,1),14)))),0)</f>
        <v>0</v>
      </c>
      <c r="AT73" s="68" cm="1">
        <f t="array" ref="AT73">IFERROR(IF(AT$41&lt;$K73,0,$F73*_xlfn.XLOOKUP($D73,'Capital Call&amp;Distributions data'!$A:$A,INDEX('Capital Call&amp;Distributions data'!$C:$O,0,MIN(MAX(YEAR(AT$41)-YEAR($K73)+$J73+1,1),14)))),0)</f>
        <v>0</v>
      </c>
      <c r="AU73" s="68" cm="1">
        <f t="array" ref="AU73">IFERROR(IF(AU$41&lt;$K73,0,$F73*_xlfn.XLOOKUP($D73,'Capital Call&amp;Distributions data'!$A:$A,INDEX('Capital Call&amp;Distributions data'!$C:$O,0,MIN(MAX(YEAR(AU$41)-YEAR($K73)+$J73+1,1),14)))),0)</f>
        <v>0</v>
      </c>
      <c r="AW73" s="1"/>
      <c r="DJ73" s="11"/>
    </row>
    <row r="74" spans="3:114" ht="29.25" hidden="1" customHeight="1" outlineLevel="1">
      <c r="C74" s="20"/>
      <c r="D74" s="21">
        <f>_xlfn.XLOOKUP(C74,Fondsen!B:B,Fondsen!C:C,"0",0,1)</f>
        <v>0</v>
      </c>
      <c r="E74" s="21" t="s">
        <v>10</v>
      </c>
      <c r="F74" s="83"/>
      <c r="G74" s="143" t="str">
        <f ca="1">IFERROR(IF(SUM(OFFSET(INDEX('Capital Call&amp;Distributions data'!A:A,MATCH(D74,'Capital Call&amp;Distributions data'!A:A,0)),-1,2,1,1000))=0,"✔",""),"")</f>
        <v/>
      </c>
      <c r="H74" s="138" t="str">
        <f t="shared" si="4"/>
        <v/>
      </c>
      <c r="I74" s="96">
        <v>45658</v>
      </c>
      <c r="J74" s="70">
        <f t="shared" si="3"/>
        <v>0</v>
      </c>
      <c r="K74" s="96">
        <v>45658</v>
      </c>
      <c r="L74" s="68" cm="1">
        <f t="array" ref="L74">IFERROR(IF(L$41&lt;$K74,0,$F74*_xlfn.XLOOKUP($D74,'Capital Call&amp;Distributions data'!$A:$A,INDEX('Capital Call&amp;Distributions data'!$C:$O,0,MIN(MAX(YEAR(L$41)-YEAR($K74)+$J74+1,1),14)))),0)</f>
        <v>0</v>
      </c>
      <c r="M74" s="68" cm="1">
        <f t="array" ref="M74">IFERROR(IF(M$41&lt;$K74,0,$F74*_xlfn.XLOOKUP($D74,'Capital Call&amp;Distributions data'!$A:$A,INDEX('Capital Call&amp;Distributions data'!$C:$O,0,MIN(MAX(YEAR(M$41)-YEAR($K74)+$J74+1,1),14)))),0)</f>
        <v>0</v>
      </c>
      <c r="N74" s="68" cm="1">
        <f t="array" ref="N74">IFERROR(IF(N$41&lt;$K74,0,$F74*_xlfn.XLOOKUP($D74,'Capital Call&amp;Distributions data'!$A:$A,INDEX('Capital Call&amp;Distributions data'!$C:$O,0,MIN(MAX(YEAR(N$41)-YEAR($K74)+$J74+1,1),14)))),0)</f>
        <v>0</v>
      </c>
      <c r="O74" s="68" cm="1">
        <f t="array" ref="O74">IFERROR(IF(O$41&lt;$K74,0,$F74*_xlfn.XLOOKUP($D74,'Capital Call&amp;Distributions data'!$A:$A,INDEX('Capital Call&amp;Distributions data'!$C:$O,0,MIN(MAX(YEAR(O$41)-YEAR($K74)+$J74+1,1),14)))),0)</f>
        <v>0</v>
      </c>
      <c r="P74" s="68" cm="1">
        <f t="array" ref="P74">IFERROR(IF(P$41&lt;$K74,0,$F74*_xlfn.XLOOKUP($D74,'Capital Call&amp;Distributions data'!$A:$A,INDEX('Capital Call&amp;Distributions data'!$C:$O,0,MIN(MAX(YEAR(P$41)-YEAR($K74)+$J74+1,1),14)))),0)</f>
        <v>0</v>
      </c>
      <c r="Q74" s="68" cm="1">
        <f t="array" ref="Q74">IFERROR(IF(Q$41&lt;$K74,0,$F74*_xlfn.XLOOKUP($D74,'Capital Call&amp;Distributions data'!$A:$A,INDEX('Capital Call&amp;Distributions data'!$C:$O,0,MIN(MAX(YEAR(Q$41)-YEAR($K74)+$J74+1,1),14)))),0)</f>
        <v>0</v>
      </c>
      <c r="R74" s="68" cm="1">
        <f t="array" ref="R74">IFERROR(IF(R$41&lt;$K74,0,$F74*_xlfn.XLOOKUP($D74,'Capital Call&amp;Distributions data'!$A:$A,INDEX('Capital Call&amp;Distributions data'!$C:$O,0,MIN(MAX(YEAR(R$41)-YEAR($K74)+$J74+1,1),14)))),0)</f>
        <v>0</v>
      </c>
      <c r="S74" s="68" cm="1">
        <f t="array" ref="S74">IFERROR(IF(S$41&lt;$K74,0,$F74*_xlfn.XLOOKUP($D74,'Capital Call&amp;Distributions data'!$A:$A,INDEX('Capital Call&amp;Distributions data'!$C:$O,0,MIN(MAX(YEAR(S$41)-YEAR($K74)+$J74+1,1),14)))),0)</f>
        <v>0</v>
      </c>
      <c r="T74" s="68" cm="1">
        <f t="array" ref="T74">IFERROR(IF(T$41&lt;$K74,0,$F74*_xlfn.XLOOKUP($D74,'Capital Call&amp;Distributions data'!$A:$A,INDEX('Capital Call&amp;Distributions data'!$C:$O,0,MIN(MAX(YEAR(T$41)-YEAR($K74)+$J74+1,1),14)))),0)</f>
        <v>0</v>
      </c>
      <c r="U74" s="68" cm="1">
        <f t="array" ref="U74">IFERROR(IF(U$41&lt;$K74,0,$F74*_xlfn.XLOOKUP($D74,'Capital Call&amp;Distributions data'!$A:$A,INDEX('Capital Call&amp;Distributions data'!$C:$O,0,MIN(MAX(YEAR(U$41)-YEAR($K74)+$J74+1,1),14)))),0)</f>
        <v>0</v>
      </c>
      <c r="V74" s="68" cm="1">
        <f t="array" ref="V74">IFERROR(IF(V$41&lt;$K74,0,$F74*_xlfn.XLOOKUP($D74,'Capital Call&amp;Distributions data'!$A:$A,INDEX('Capital Call&amp;Distributions data'!$C:$O,0,MIN(MAX(YEAR(V$41)-YEAR($K74)+$J74+1,1),14)))),0)</f>
        <v>0</v>
      </c>
      <c r="W74" s="68" cm="1">
        <f t="array" ref="W74">IFERROR(IF(W$41&lt;$K74,0,$F74*_xlfn.XLOOKUP($D74,'Capital Call&amp;Distributions data'!$A:$A,INDEX('Capital Call&amp;Distributions data'!$C:$O,0,MIN(MAX(YEAR(W$41)-YEAR($K74)+$J74+1,1),14)))),0)</f>
        <v>0</v>
      </c>
      <c r="X74" s="68" cm="1">
        <f t="array" ref="X74">IFERROR(IF(X$41&lt;$K74,0,$F74*_xlfn.XLOOKUP($D74,'Capital Call&amp;Distributions data'!$A:$A,INDEX('Capital Call&amp;Distributions data'!$C:$O,0,MIN(MAX(YEAR(X$41)-YEAR($K74)+$J74+1,1),14)))),0)</f>
        <v>0</v>
      </c>
      <c r="Y74" s="68" cm="1">
        <f t="array" ref="Y74">IFERROR(IF(Y$41&lt;$K74,0,$F74*_xlfn.XLOOKUP($D74,'Capital Call&amp;Distributions data'!$A:$A,INDEX('Capital Call&amp;Distributions data'!$C:$O,0,MIN(MAX(YEAR(Y$41)-YEAR($K74)+$J74+1,1),14)))),0)</f>
        <v>0</v>
      </c>
      <c r="Z74" s="68" cm="1">
        <f t="array" ref="Z74">IFERROR(IF(Z$41&lt;$K74,0,$F74*_xlfn.XLOOKUP($D74,'Capital Call&amp;Distributions data'!$A:$A,INDEX('Capital Call&amp;Distributions data'!$C:$O,0,MIN(MAX(YEAR(Z$41)-YEAR($K74)+$J74+1,1),14)))),0)</f>
        <v>0</v>
      </c>
      <c r="AA74" s="68" cm="1">
        <f t="array" ref="AA74">IFERROR(IF(AA$41&lt;$K74,0,$F74*_xlfn.XLOOKUP($D74,'Capital Call&amp;Distributions data'!$A:$A,INDEX('Capital Call&amp;Distributions data'!$C:$O,0,MIN(MAX(YEAR(AA$41)-YEAR($K74)+$J74+1,1),14)))),0)</f>
        <v>0</v>
      </c>
      <c r="AB74" s="68" cm="1">
        <f t="array" ref="AB74">IFERROR(IF(AB$41&lt;$K74,0,$F74*_xlfn.XLOOKUP($D74,'Capital Call&amp;Distributions data'!$A:$A,INDEX('Capital Call&amp;Distributions data'!$C:$O,0,MIN(MAX(YEAR(AB$41)-YEAR($K74)+$J74+1,1),14)))),0)</f>
        <v>0</v>
      </c>
      <c r="AC74" s="68" cm="1">
        <f t="array" ref="AC74">IFERROR(IF(AC$41&lt;$K74,0,$F74*_xlfn.XLOOKUP($D74,'Capital Call&amp;Distributions data'!$A:$A,INDEX('Capital Call&amp;Distributions data'!$C:$O,0,MIN(MAX(YEAR(AC$41)-YEAR($K74)+$J74+1,1),14)))),0)</f>
        <v>0</v>
      </c>
      <c r="AD74" s="68" cm="1">
        <f t="array" ref="AD74">IFERROR(IF(AD$41&lt;$K74,0,$F74*_xlfn.XLOOKUP($D74,'Capital Call&amp;Distributions data'!$A:$A,INDEX('Capital Call&amp;Distributions data'!$C:$O,0,MIN(MAX(YEAR(AD$41)-YEAR($K74)+$J74+1,1),14)))),0)</f>
        <v>0</v>
      </c>
      <c r="AE74" s="68" cm="1">
        <f t="array" ref="AE74">IFERROR(IF(AE$41&lt;$K74,0,$F74*_xlfn.XLOOKUP($D74,'Capital Call&amp;Distributions data'!$A:$A,INDEX('Capital Call&amp;Distributions data'!$C:$O,0,MIN(MAX(YEAR(AE$41)-YEAR($K74)+$J74+1,1),14)))),0)</f>
        <v>0</v>
      </c>
      <c r="AF74" s="68" cm="1">
        <f t="array" ref="AF74">IFERROR(IF(AF$41&lt;$K74,0,$F74*_xlfn.XLOOKUP($D74,'Capital Call&amp;Distributions data'!$A:$A,INDEX('Capital Call&amp;Distributions data'!$C:$O,0,MIN(MAX(YEAR(AF$41)-YEAR($K74)+$J74+1,1),14)))),0)</f>
        <v>0</v>
      </c>
      <c r="AG74" s="68" cm="1">
        <f t="array" ref="AG74">IFERROR(IF(AG$41&lt;$K74,0,$F74*_xlfn.XLOOKUP($D74,'Capital Call&amp;Distributions data'!$A:$A,INDEX('Capital Call&amp;Distributions data'!$C:$O,0,MIN(MAX(YEAR(AG$41)-YEAR($K74)+$J74+1,1),14)))),0)</f>
        <v>0</v>
      </c>
      <c r="AH74" s="68" cm="1">
        <f t="array" ref="AH74">IFERROR(IF(AH$41&lt;$K74,0,$F74*_xlfn.XLOOKUP($D74,'Capital Call&amp;Distributions data'!$A:$A,INDEX('Capital Call&amp;Distributions data'!$C:$O,0,MIN(MAX(YEAR(AH$41)-YEAR($K74)+$J74+1,1),14)))),0)</f>
        <v>0</v>
      </c>
      <c r="AI74" s="68" cm="1">
        <f t="array" ref="AI74">IFERROR(IF(AI$41&lt;$K74,0,$F74*_xlfn.XLOOKUP($D74,'Capital Call&amp;Distributions data'!$A:$A,INDEX('Capital Call&amp;Distributions data'!$C:$O,0,MIN(MAX(YEAR(AI$41)-YEAR($K74)+$J74+1,1),14)))),0)</f>
        <v>0</v>
      </c>
      <c r="AJ74" s="68" cm="1">
        <f t="array" ref="AJ74">IFERROR(IF(AJ$41&lt;$K74,0,$F74*_xlfn.XLOOKUP($D74,'Capital Call&amp;Distributions data'!$A:$A,INDEX('Capital Call&amp;Distributions data'!$C:$O,0,MIN(MAX(YEAR(AJ$41)-YEAR($K74)+$J74+1,1),14)))),0)</f>
        <v>0</v>
      </c>
      <c r="AK74" s="68" cm="1">
        <f t="array" ref="AK74">IFERROR(IF(AK$41&lt;$K74,0,$F74*_xlfn.XLOOKUP($D74,'Capital Call&amp;Distributions data'!$A:$A,INDEX('Capital Call&amp;Distributions data'!$C:$O,0,MIN(MAX(YEAR(AK$41)-YEAR($K74)+$J74+1,1),14)))),0)</f>
        <v>0</v>
      </c>
      <c r="AL74" s="68" cm="1">
        <f t="array" ref="AL74">IFERROR(IF(AL$41&lt;$K74,0,$F74*_xlfn.XLOOKUP($D74,'Capital Call&amp;Distributions data'!$A:$A,INDEX('Capital Call&amp;Distributions data'!$C:$O,0,MIN(MAX(YEAR(AL$41)-YEAR($K74)+$J74+1,1),14)))),0)</f>
        <v>0</v>
      </c>
      <c r="AM74" s="68" cm="1">
        <f t="array" ref="AM74">IFERROR(IF(AM$41&lt;$K74,0,$F74*_xlfn.XLOOKUP($D74,'Capital Call&amp;Distributions data'!$A:$A,INDEX('Capital Call&amp;Distributions data'!$C:$O,0,MIN(MAX(YEAR(AM$41)-YEAR($K74)+$J74+1,1),14)))),0)</f>
        <v>0</v>
      </c>
      <c r="AN74" s="68" cm="1">
        <f t="array" ref="AN74">IFERROR(IF(AN$41&lt;$K74,0,$F74*_xlfn.XLOOKUP($D74,'Capital Call&amp;Distributions data'!$A:$A,INDEX('Capital Call&amp;Distributions data'!$C:$O,0,MIN(MAX(YEAR(AN$41)-YEAR($K74)+$J74+1,1),14)))),0)</f>
        <v>0</v>
      </c>
      <c r="AO74" s="68" cm="1">
        <f t="array" ref="AO74">IFERROR(IF(AO$41&lt;$K74,0,$F74*_xlfn.XLOOKUP($D74,'Capital Call&amp;Distributions data'!$A:$A,INDEX('Capital Call&amp;Distributions data'!$C:$O,0,MIN(MAX(YEAR(AO$41)-YEAR($K74)+$J74+1,1),14)))),0)</f>
        <v>0</v>
      </c>
      <c r="AP74" s="68" cm="1">
        <f t="array" ref="AP74">IFERROR(IF(AP$41&lt;$K74,0,$F74*_xlfn.XLOOKUP($D74,'Capital Call&amp;Distributions data'!$A:$A,INDEX('Capital Call&amp;Distributions data'!$C:$O,0,MIN(MAX(YEAR(AP$41)-YEAR($K74)+$J74+1,1),14)))),0)</f>
        <v>0</v>
      </c>
      <c r="AQ74" s="68" cm="1">
        <f t="array" ref="AQ74">IFERROR(IF(AQ$41&lt;$K74,0,$F74*_xlfn.XLOOKUP($D74,'Capital Call&amp;Distributions data'!$A:$A,INDEX('Capital Call&amp;Distributions data'!$C:$O,0,MIN(MAX(YEAR(AQ$41)-YEAR($K74)+$J74+1,1),14)))),0)</f>
        <v>0</v>
      </c>
      <c r="AR74" s="68" cm="1">
        <f t="array" ref="AR74">IFERROR(IF(AR$41&lt;$K74,0,$F74*_xlfn.XLOOKUP($D74,'Capital Call&amp;Distributions data'!$A:$A,INDEX('Capital Call&amp;Distributions data'!$C:$O,0,MIN(MAX(YEAR(AR$41)-YEAR($K74)+$J74+1,1),14)))),0)</f>
        <v>0</v>
      </c>
      <c r="AS74" s="68" cm="1">
        <f t="array" ref="AS74">IFERROR(IF(AS$41&lt;$K74,0,$F74*_xlfn.XLOOKUP($D74,'Capital Call&amp;Distributions data'!$A:$A,INDEX('Capital Call&amp;Distributions data'!$C:$O,0,MIN(MAX(YEAR(AS$41)-YEAR($K74)+$J74+1,1),14)))),0)</f>
        <v>0</v>
      </c>
      <c r="AT74" s="68" cm="1">
        <f t="array" ref="AT74">IFERROR(IF(AT$41&lt;$K74,0,$F74*_xlfn.XLOOKUP($D74,'Capital Call&amp;Distributions data'!$A:$A,INDEX('Capital Call&amp;Distributions data'!$C:$O,0,MIN(MAX(YEAR(AT$41)-YEAR($K74)+$J74+1,1),14)))),0)</f>
        <v>0</v>
      </c>
      <c r="AU74" s="68" cm="1">
        <f t="array" ref="AU74">IFERROR(IF(AU$41&lt;$K74,0,$F74*_xlfn.XLOOKUP($D74,'Capital Call&amp;Distributions data'!$A:$A,INDEX('Capital Call&amp;Distributions data'!$C:$O,0,MIN(MAX(YEAR(AU$41)-YEAR($K74)+$J74+1,1),14)))),0)</f>
        <v>0</v>
      </c>
      <c r="AW74" s="1"/>
      <c r="DJ74" s="11"/>
    </row>
    <row r="75" spans="3:114" ht="29.1" hidden="1" customHeight="1" outlineLevel="1">
      <c r="C75" s="20"/>
      <c r="D75" s="21">
        <f>_xlfn.XLOOKUP(C75,Fondsen!B:B,Fondsen!C:C,"0",0,1)</f>
        <v>0</v>
      </c>
      <c r="E75" s="21" t="s">
        <v>10</v>
      </c>
      <c r="F75" s="83"/>
      <c r="G75" s="143" t="str">
        <f ca="1">IFERROR(IF(SUM(OFFSET(INDEX('Capital Call&amp;Distributions data'!A:A,MATCH(D75,'Capital Call&amp;Distributions data'!A:A,0)),-1,2,1,1000))=0,"✔",""),"")</f>
        <v/>
      </c>
      <c r="H75" s="138" t="str">
        <f t="shared" si="4"/>
        <v/>
      </c>
      <c r="I75" s="96">
        <v>45658</v>
      </c>
      <c r="J75" s="70">
        <f t="shared" si="3"/>
        <v>0</v>
      </c>
      <c r="K75" s="96">
        <v>45658</v>
      </c>
      <c r="L75" s="68" cm="1">
        <f t="array" ref="L75">IFERROR(IF(L$41&lt;$K75,0,$F75*_xlfn.XLOOKUP($D75,'Capital Call&amp;Distributions data'!$A:$A,INDEX('Capital Call&amp;Distributions data'!$C:$O,0,MIN(MAX(YEAR(L$41)-YEAR($K75)+$J75+1,1),14)))),0)</f>
        <v>0</v>
      </c>
      <c r="M75" s="68" cm="1">
        <f t="array" ref="M75">IFERROR(IF(M$41&lt;$K75,0,$F75*_xlfn.XLOOKUP($D75,'Capital Call&amp;Distributions data'!$A:$A,INDEX('Capital Call&amp;Distributions data'!$C:$O,0,MIN(MAX(YEAR(M$41)-YEAR($K75)+$J75+1,1),14)))),0)</f>
        <v>0</v>
      </c>
      <c r="N75" s="68" cm="1">
        <f t="array" ref="N75">IFERROR(IF(N$41&lt;$K75,0,$F75*_xlfn.XLOOKUP($D75,'Capital Call&amp;Distributions data'!$A:$A,INDEX('Capital Call&amp;Distributions data'!$C:$O,0,MIN(MAX(YEAR(N$41)-YEAR($K75)+$J75+1,1),14)))),0)</f>
        <v>0</v>
      </c>
      <c r="O75" s="68" cm="1">
        <f t="array" ref="O75">IFERROR(IF(O$41&lt;$K75,0,$F75*_xlfn.XLOOKUP($D75,'Capital Call&amp;Distributions data'!$A:$A,INDEX('Capital Call&amp;Distributions data'!$C:$O,0,MIN(MAX(YEAR(O$41)-YEAR($K75)+$J75+1,1),14)))),0)</f>
        <v>0</v>
      </c>
      <c r="P75" s="68" cm="1">
        <f t="array" ref="P75">IFERROR(IF(P$41&lt;$K75,0,$F75*_xlfn.XLOOKUP($D75,'Capital Call&amp;Distributions data'!$A:$A,INDEX('Capital Call&amp;Distributions data'!$C:$O,0,MIN(MAX(YEAR(P$41)-YEAR($K75)+$J75+1,1),14)))),0)</f>
        <v>0</v>
      </c>
      <c r="Q75" s="68" cm="1">
        <f t="array" ref="Q75">IFERROR(IF(Q$41&lt;$K75,0,$F75*_xlfn.XLOOKUP($D75,'Capital Call&amp;Distributions data'!$A:$A,INDEX('Capital Call&amp;Distributions data'!$C:$O,0,MIN(MAX(YEAR(Q$41)-YEAR($K75)+$J75+1,1),14)))),0)</f>
        <v>0</v>
      </c>
      <c r="R75" s="68" cm="1">
        <f t="array" ref="R75">IFERROR(IF(R$41&lt;$K75,0,$F75*_xlfn.XLOOKUP($D75,'Capital Call&amp;Distributions data'!$A:$A,INDEX('Capital Call&amp;Distributions data'!$C:$O,0,MIN(MAX(YEAR(R$41)-YEAR($K75)+$J75+1,1),14)))),0)</f>
        <v>0</v>
      </c>
      <c r="S75" s="68" cm="1">
        <f t="array" ref="S75">IFERROR(IF(S$41&lt;$K75,0,$F75*_xlfn.XLOOKUP($D75,'Capital Call&amp;Distributions data'!$A:$A,INDEX('Capital Call&amp;Distributions data'!$C:$O,0,MIN(MAX(YEAR(S$41)-YEAR($K75)+$J75+1,1),14)))),0)</f>
        <v>0</v>
      </c>
      <c r="T75" s="68" cm="1">
        <f t="array" ref="T75">IFERROR(IF(T$41&lt;$K75,0,$F75*_xlfn.XLOOKUP($D75,'Capital Call&amp;Distributions data'!$A:$A,INDEX('Capital Call&amp;Distributions data'!$C:$O,0,MIN(MAX(YEAR(T$41)-YEAR($K75)+$J75+1,1),14)))),0)</f>
        <v>0</v>
      </c>
      <c r="U75" s="68" cm="1">
        <f t="array" ref="U75">IFERROR(IF(U$41&lt;$K75,0,$F75*_xlfn.XLOOKUP($D75,'Capital Call&amp;Distributions data'!$A:$A,INDEX('Capital Call&amp;Distributions data'!$C:$O,0,MIN(MAX(YEAR(U$41)-YEAR($K75)+$J75+1,1),14)))),0)</f>
        <v>0</v>
      </c>
      <c r="V75" s="68" cm="1">
        <f t="array" ref="V75">IFERROR(IF(V$41&lt;$K75,0,$F75*_xlfn.XLOOKUP($D75,'Capital Call&amp;Distributions data'!$A:$A,INDEX('Capital Call&amp;Distributions data'!$C:$O,0,MIN(MAX(YEAR(V$41)-YEAR($K75)+$J75+1,1),14)))),0)</f>
        <v>0</v>
      </c>
      <c r="W75" s="68" cm="1">
        <f t="array" ref="W75">IFERROR(IF(W$41&lt;$K75,0,$F75*_xlfn.XLOOKUP($D75,'Capital Call&amp;Distributions data'!$A:$A,INDEX('Capital Call&amp;Distributions data'!$C:$O,0,MIN(MAX(YEAR(W$41)-YEAR($K75)+$J75+1,1),14)))),0)</f>
        <v>0</v>
      </c>
      <c r="X75" s="68" cm="1">
        <f t="array" ref="X75">IFERROR(IF(X$41&lt;$K75,0,$F75*_xlfn.XLOOKUP($D75,'Capital Call&amp;Distributions data'!$A:$A,INDEX('Capital Call&amp;Distributions data'!$C:$O,0,MIN(MAX(YEAR(X$41)-YEAR($K75)+$J75+1,1),14)))),0)</f>
        <v>0</v>
      </c>
      <c r="Y75" s="68" cm="1">
        <f t="array" ref="Y75">IFERROR(IF(Y$41&lt;$K75,0,$F75*_xlfn.XLOOKUP($D75,'Capital Call&amp;Distributions data'!$A:$A,INDEX('Capital Call&amp;Distributions data'!$C:$O,0,MIN(MAX(YEAR(Y$41)-YEAR($K75)+$J75+1,1),14)))),0)</f>
        <v>0</v>
      </c>
      <c r="Z75" s="68" cm="1">
        <f t="array" ref="Z75">IFERROR(IF(Z$41&lt;$K75,0,$F75*_xlfn.XLOOKUP($D75,'Capital Call&amp;Distributions data'!$A:$A,INDEX('Capital Call&amp;Distributions data'!$C:$O,0,MIN(MAX(YEAR(Z$41)-YEAR($K75)+$J75+1,1),14)))),0)</f>
        <v>0</v>
      </c>
      <c r="AA75" s="68" cm="1">
        <f t="array" ref="AA75">IFERROR(IF(AA$41&lt;$K75,0,$F75*_xlfn.XLOOKUP($D75,'Capital Call&amp;Distributions data'!$A:$A,INDEX('Capital Call&amp;Distributions data'!$C:$O,0,MIN(MAX(YEAR(AA$41)-YEAR($K75)+$J75+1,1),14)))),0)</f>
        <v>0</v>
      </c>
      <c r="AB75" s="68" cm="1">
        <f t="array" ref="AB75">IFERROR(IF(AB$41&lt;$K75,0,$F75*_xlfn.XLOOKUP($D75,'Capital Call&amp;Distributions data'!$A:$A,INDEX('Capital Call&amp;Distributions data'!$C:$O,0,MIN(MAX(YEAR(AB$41)-YEAR($K75)+$J75+1,1),14)))),0)</f>
        <v>0</v>
      </c>
      <c r="AC75" s="68" cm="1">
        <f t="array" ref="AC75">IFERROR(IF(AC$41&lt;$K75,0,$F75*_xlfn.XLOOKUP($D75,'Capital Call&amp;Distributions data'!$A:$A,INDEX('Capital Call&amp;Distributions data'!$C:$O,0,MIN(MAX(YEAR(AC$41)-YEAR($K75)+$J75+1,1),14)))),0)</f>
        <v>0</v>
      </c>
      <c r="AD75" s="68" cm="1">
        <f t="array" ref="AD75">IFERROR(IF(AD$41&lt;$K75,0,$F75*_xlfn.XLOOKUP($D75,'Capital Call&amp;Distributions data'!$A:$A,INDEX('Capital Call&amp;Distributions data'!$C:$O,0,MIN(MAX(YEAR(AD$41)-YEAR($K75)+$J75+1,1),14)))),0)</f>
        <v>0</v>
      </c>
      <c r="AE75" s="68" cm="1">
        <f t="array" ref="AE75">IFERROR(IF(AE$41&lt;$K75,0,$F75*_xlfn.XLOOKUP($D75,'Capital Call&amp;Distributions data'!$A:$A,INDEX('Capital Call&amp;Distributions data'!$C:$O,0,MIN(MAX(YEAR(AE$41)-YEAR($K75)+$J75+1,1),14)))),0)</f>
        <v>0</v>
      </c>
      <c r="AF75" s="68" cm="1">
        <f t="array" ref="AF75">IFERROR(IF(AF$41&lt;$K75,0,$F75*_xlfn.XLOOKUP($D75,'Capital Call&amp;Distributions data'!$A:$A,INDEX('Capital Call&amp;Distributions data'!$C:$O,0,MIN(MAX(YEAR(AF$41)-YEAR($K75)+$J75+1,1),14)))),0)</f>
        <v>0</v>
      </c>
      <c r="AG75" s="68" cm="1">
        <f t="array" ref="AG75">IFERROR(IF(AG$41&lt;$K75,0,$F75*_xlfn.XLOOKUP($D75,'Capital Call&amp;Distributions data'!$A:$A,INDEX('Capital Call&amp;Distributions data'!$C:$O,0,MIN(MAX(YEAR(AG$41)-YEAR($K75)+$J75+1,1),14)))),0)</f>
        <v>0</v>
      </c>
      <c r="AH75" s="68" cm="1">
        <f t="array" ref="AH75">IFERROR(IF(AH$41&lt;$K75,0,$F75*_xlfn.XLOOKUP($D75,'Capital Call&amp;Distributions data'!$A:$A,INDEX('Capital Call&amp;Distributions data'!$C:$O,0,MIN(MAX(YEAR(AH$41)-YEAR($K75)+$J75+1,1),14)))),0)</f>
        <v>0</v>
      </c>
      <c r="AI75" s="68" cm="1">
        <f t="array" ref="AI75">IFERROR(IF(AI$41&lt;$K75,0,$F75*_xlfn.XLOOKUP($D75,'Capital Call&amp;Distributions data'!$A:$A,INDEX('Capital Call&amp;Distributions data'!$C:$O,0,MIN(MAX(YEAR(AI$41)-YEAR($K75)+$J75+1,1),14)))),0)</f>
        <v>0</v>
      </c>
      <c r="AJ75" s="68" cm="1">
        <f t="array" ref="AJ75">IFERROR(IF(AJ$41&lt;$K75,0,$F75*_xlfn.XLOOKUP($D75,'Capital Call&amp;Distributions data'!$A:$A,INDEX('Capital Call&amp;Distributions data'!$C:$O,0,MIN(MAX(YEAR(AJ$41)-YEAR($K75)+$J75+1,1),14)))),0)</f>
        <v>0</v>
      </c>
      <c r="AK75" s="68" cm="1">
        <f t="array" ref="AK75">IFERROR(IF(AK$41&lt;$K75,0,$F75*_xlfn.XLOOKUP($D75,'Capital Call&amp;Distributions data'!$A:$A,INDEX('Capital Call&amp;Distributions data'!$C:$O,0,MIN(MAX(YEAR(AK$41)-YEAR($K75)+$J75+1,1),14)))),0)</f>
        <v>0</v>
      </c>
      <c r="AL75" s="68" cm="1">
        <f t="array" ref="AL75">IFERROR(IF(AL$41&lt;$K75,0,$F75*_xlfn.XLOOKUP($D75,'Capital Call&amp;Distributions data'!$A:$A,INDEX('Capital Call&amp;Distributions data'!$C:$O,0,MIN(MAX(YEAR(AL$41)-YEAR($K75)+$J75+1,1),14)))),0)</f>
        <v>0</v>
      </c>
      <c r="AM75" s="68" cm="1">
        <f t="array" ref="AM75">IFERROR(IF(AM$41&lt;$K75,0,$F75*_xlfn.XLOOKUP($D75,'Capital Call&amp;Distributions data'!$A:$A,INDEX('Capital Call&amp;Distributions data'!$C:$O,0,MIN(MAX(YEAR(AM$41)-YEAR($K75)+$J75+1,1),14)))),0)</f>
        <v>0</v>
      </c>
      <c r="AN75" s="68" cm="1">
        <f t="array" ref="AN75">IFERROR(IF(AN$41&lt;$K75,0,$F75*_xlfn.XLOOKUP($D75,'Capital Call&amp;Distributions data'!$A:$A,INDEX('Capital Call&amp;Distributions data'!$C:$O,0,MIN(MAX(YEAR(AN$41)-YEAR($K75)+$J75+1,1),14)))),0)</f>
        <v>0</v>
      </c>
      <c r="AO75" s="68" cm="1">
        <f t="array" ref="AO75">IFERROR(IF(AO$41&lt;$K75,0,$F75*_xlfn.XLOOKUP($D75,'Capital Call&amp;Distributions data'!$A:$A,INDEX('Capital Call&amp;Distributions data'!$C:$O,0,MIN(MAX(YEAR(AO$41)-YEAR($K75)+$J75+1,1),14)))),0)</f>
        <v>0</v>
      </c>
      <c r="AP75" s="68" cm="1">
        <f t="array" ref="AP75">IFERROR(IF(AP$41&lt;$K75,0,$F75*_xlfn.XLOOKUP($D75,'Capital Call&amp;Distributions data'!$A:$A,INDEX('Capital Call&amp;Distributions data'!$C:$O,0,MIN(MAX(YEAR(AP$41)-YEAR($K75)+$J75+1,1),14)))),0)</f>
        <v>0</v>
      </c>
      <c r="AQ75" s="68" cm="1">
        <f t="array" ref="AQ75">IFERROR(IF(AQ$41&lt;$K75,0,$F75*_xlfn.XLOOKUP($D75,'Capital Call&amp;Distributions data'!$A:$A,INDEX('Capital Call&amp;Distributions data'!$C:$O,0,MIN(MAX(YEAR(AQ$41)-YEAR($K75)+$J75+1,1),14)))),0)</f>
        <v>0</v>
      </c>
      <c r="AR75" s="68" cm="1">
        <f t="array" ref="AR75">IFERROR(IF(AR$41&lt;$K75,0,$F75*_xlfn.XLOOKUP($D75,'Capital Call&amp;Distributions data'!$A:$A,INDEX('Capital Call&amp;Distributions data'!$C:$O,0,MIN(MAX(YEAR(AR$41)-YEAR($K75)+$J75+1,1),14)))),0)</f>
        <v>0</v>
      </c>
      <c r="AS75" s="68" cm="1">
        <f t="array" ref="AS75">IFERROR(IF(AS$41&lt;$K75,0,$F75*_xlfn.XLOOKUP($D75,'Capital Call&amp;Distributions data'!$A:$A,INDEX('Capital Call&amp;Distributions data'!$C:$O,0,MIN(MAX(YEAR(AS$41)-YEAR($K75)+$J75+1,1),14)))),0)</f>
        <v>0</v>
      </c>
      <c r="AT75" s="68" cm="1">
        <f t="array" ref="AT75">IFERROR(IF(AT$41&lt;$K75,0,$F75*_xlfn.XLOOKUP($D75,'Capital Call&amp;Distributions data'!$A:$A,INDEX('Capital Call&amp;Distributions data'!$C:$O,0,MIN(MAX(YEAR(AT$41)-YEAR($K75)+$J75+1,1),14)))),0)</f>
        <v>0</v>
      </c>
      <c r="AU75" s="68" cm="1">
        <f t="array" ref="AU75">IFERROR(IF(AU$41&lt;$K75,0,$F75*_xlfn.XLOOKUP($D75,'Capital Call&amp;Distributions data'!$A:$A,INDEX('Capital Call&amp;Distributions data'!$C:$O,0,MIN(MAX(YEAR(AU$41)-YEAR($K75)+$J75+1,1),14)))),0)</f>
        <v>0</v>
      </c>
      <c r="AW75" s="1"/>
      <c r="DJ75" s="11"/>
    </row>
    <row r="76" spans="3:114" ht="29.1" hidden="1" customHeight="1" outlineLevel="1">
      <c r="C76" s="20"/>
      <c r="D76" s="21">
        <f>_xlfn.XLOOKUP(C76,Fondsen!B:B,Fondsen!C:C,"0",0,1)</f>
        <v>0</v>
      </c>
      <c r="E76" s="21" t="s">
        <v>10</v>
      </c>
      <c r="F76" s="83"/>
      <c r="G76" s="143" t="str">
        <f ca="1">IFERROR(IF(SUM(OFFSET(INDEX('Capital Call&amp;Distributions data'!A:A,MATCH(D76,'Capital Call&amp;Distributions data'!A:A,0)),-1,2,1,1000))=0,"✔",""),"")</f>
        <v/>
      </c>
      <c r="H76" s="138" t="str">
        <f t="shared" si="4"/>
        <v/>
      </c>
      <c r="I76" s="96">
        <v>45658</v>
      </c>
      <c r="J76" s="70">
        <f t="shared" si="3"/>
        <v>0</v>
      </c>
      <c r="K76" s="96">
        <v>45658</v>
      </c>
      <c r="L76" s="68" cm="1">
        <f t="array" ref="L76">IFERROR(IF(L$41&lt;$K76,0,$F76*_xlfn.XLOOKUP($D76,'Capital Call&amp;Distributions data'!$A:$A,INDEX('Capital Call&amp;Distributions data'!$C:$O,0,MIN(MAX(YEAR(L$41)-YEAR($K76)+$J76+1,1),14)))),0)</f>
        <v>0</v>
      </c>
      <c r="M76" s="68" cm="1">
        <f t="array" ref="M76">IFERROR(IF(M$41&lt;$K76,0,$F76*_xlfn.XLOOKUP($D76,'Capital Call&amp;Distributions data'!$A:$A,INDEX('Capital Call&amp;Distributions data'!$C:$O,0,MIN(MAX(YEAR(M$41)-YEAR($K76)+$J76+1,1),14)))),0)</f>
        <v>0</v>
      </c>
      <c r="N76" s="68" cm="1">
        <f t="array" ref="N76">IFERROR(IF(N$41&lt;$K76,0,$F76*_xlfn.XLOOKUP($D76,'Capital Call&amp;Distributions data'!$A:$A,INDEX('Capital Call&amp;Distributions data'!$C:$O,0,MIN(MAX(YEAR(N$41)-YEAR($K76)+$J76+1,1),14)))),0)</f>
        <v>0</v>
      </c>
      <c r="O76" s="68" cm="1">
        <f t="array" ref="O76">IFERROR(IF(O$41&lt;$K76,0,$F76*_xlfn.XLOOKUP($D76,'Capital Call&amp;Distributions data'!$A:$A,INDEX('Capital Call&amp;Distributions data'!$C:$O,0,MIN(MAX(YEAR(O$41)-YEAR($K76)+$J76+1,1),14)))),0)</f>
        <v>0</v>
      </c>
      <c r="P76" s="68" cm="1">
        <f t="array" ref="P76">IFERROR(IF(P$41&lt;$K76,0,$F76*_xlfn.XLOOKUP($D76,'Capital Call&amp;Distributions data'!$A:$A,INDEX('Capital Call&amp;Distributions data'!$C:$O,0,MIN(MAX(YEAR(P$41)-YEAR($K76)+$J76+1,1),14)))),0)</f>
        <v>0</v>
      </c>
      <c r="Q76" s="68" cm="1">
        <f t="array" ref="Q76">IFERROR(IF(Q$41&lt;$K76,0,$F76*_xlfn.XLOOKUP($D76,'Capital Call&amp;Distributions data'!$A:$A,INDEX('Capital Call&amp;Distributions data'!$C:$O,0,MIN(MAX(YEAR(Q$41)-YEAR($K76)+$J76+1,1),14)))),0)</f>
        <v>0</v>
      </c>
      <c r="R76" s="68" cm="1">
        <f t="array" ref="R76">IFERROR(IF(R$41&lt;$K76,0,$F76*_xlfn.XLOOKUP($D76,'Capital Call&amp;Distributions data'!$A:$A,INDEX('Capital Call&amp;Distributions data'!$C:$O,0,MIN(MAX(YEAR(R$41)-YEAR($K76)+$J76+1,1),14)))),0)</f>
        <v>0</v>
      </c>
      <c r="S76" s="68" cm="1">
        <f t="array" ref="S76">IFERROR(IF(S$41&lt;$K76,0,$F76*_xlfn.XLOOKUP($D76,'Capital Call&amp;Distributions data'!$A:$A,INDEX('Capital Call&amp;Distributions data'!$C:$O,0,MIN(MAX(YEAR(S$41)-YEAR($K76)+$J76+1,1),14)))),0)</f>
        <v>0</v>
      </c>
      <c r="T76" s="68" cm="1">
        <f t="array" ref="T76">IFERROR(IF(T$41&lt;$K76,0,$F76*_xlfn.XLOOKUP($D76,'Capital Call&amp;Distributions data'!$A:$A,INDEX('Capital Call&amp;Distributions data'!$C:$O,0,MIN(MAX(YEAR(T$41)-YEAR($K76)+$J76+1,1),14)))),0)</f>
        <v>0</v>
      </c>
      <c r="U76" s="68" cm="1">
        <f t="array" ref="U76">IFERROR(IF(U$41&lt;$K76,0,$F76*_xlfn.XLOOKUP($D76,'Capital Call&amp;Distributions data'!$A:$A,INDEX('Capital Call&amp;Distributions data'!$C:$O,0,MIN(MAX(YEAR(U$41)-YEAR($K76)+$J76+1,1),14)))),0)</f>
        <v>0</v>
      </c>
      <c r="V76" s="68" cm="1">
        <f t="array" ref="V76">IFERROR(IF(V$41&lt;$K76,0,$F76*_xlfn.XLOOKUP($D76,'Capital Call&amp;Distributions data'!$A:$A,INDEX('Capital Call&amp;Distributions data'!$C:$O,0,MIN(MAX(YEAR(V$41)-YEAR($K76)+$J76+1,1),14)))),0)</f>
        <v>0</v>
      </c>
      <c r="W76" s="68" cm="1">
        <f t="array" ref="W76">IFERROR(IF(W$41&lt;$K76,0,$F76*_xlfn.XLOOKUP($D76,'Capital Call&amp;Distributions data'!$A:$A,INDEX('Capital Call&amp;Distributions data'!$C:$O,0,MIN(MAX(YEAR(W$41)-YEAR($K76)+$J76+1,1),14)))),0)</f>
        <v>0</v>
      </c>
      <c r="X76" s="68" cm="1">
        <f t="array" ref="X76">IFERROR(IF(X$41&lt;$K76,0,$F76*_xlfn.XLOOKUP($D76,'Capital Call&amp;Distributions data'!$A:$A,INDEX('Capital Call&amp;Distributions data'!$C:$O,0,MIN(MAX(YEAR(X$41)-YEAR($K76)+$J76+1,1),14)))),0)</f>
        <v>0</v>
      </c>
      <c r="Y76" s="68" cm="1">
        <f t="array" ref="Y76">IFERROR(IF(Y$41&lt;$K76,0,$F76*_xlfn.XLOOKUP($D76,'Capital Call&amp;Distributions data'!$A:$A,INDEX('Capital Call&amp;Distributions data'!$C:$O,0,MIN(MAX(YEAR(Y$41)-YEAR($K76)+$J76+1,1),14)))),0)</f>
        <v>0</v>
      </c>
      <c r="Z76" s="68" cm="1">
        <f t="array" ref="Z76">IFERROR(IF(Z$41&lt;$K76,0,$F76*_xlfn.XLOOKUP($D76,'Capital Call&amp;Distributions data'!$A:$A,INDEX('Capital Call&amp;Distributions data'!$C:$O,0,MIN(MAX(YEAR(Z$41)-YEAR($K76)+$J76+1,1),14)))),0)</f>
        <v>0</v>
      </c>
      <c r="AA76" s="68" cm="1">
        <f t="array" ref="AA76">IFERROR(IF(AA$41&lt;$K76,0,$F76*_xlfn.XLOOKUP($D76,'Capital Call&amp;Distributions data'!$A:$A,INDEX('Capital Call&amp;Distributions data'!$C:$O,0,MIN(MAX(YEAR(AA$41)-YEAR($K76)+$J76+1,1),14)))),0)</f>
        <v>0</v>
      </c>
      <c r="AB76" s="68" cm="1">
        <f t="array" ref="AB76">IFERROR(IF(AB$41&lt;$K76,0,$F76*_xlfn.XLOOKUP($D76,'Capital Call&amp;Distributions data'!$A:$A,INDEX('Capital Call&amp;Distributions data'!$C:$O,0,MIN(MAX(YEAR(AB$41)-YEAR($K76)+$J76+1,1),14)))),0)</f>
        <v>0</v>
      </c>
      <c r="AC76" s="68" cm="1">
        <f t="array" ref="AC76">IFERROR(IF(AC$41&lt;$K76,0,$F76*_xlfn.XLOOKUP($D76,'Capital Call&amp;Distributions data'!$A:$A,INDEX('Capital Call&amp;Distributions data'!$C:$O,0,MIN(MAX(YEAR(AC$41)-YEAR($K76)+$J76+1,1),14)))),0)</f>
        <v>0</v>
      </c>
      <c r="AD76" s="68" cm="1">
        <f t="array" ref="AD76">IFERROR(IF(AD$41&lt;$K76,0,$F76*_xlfn.XLOOKUP($D76,'Capital Call&amp;Distributions data'!$A:$A,INDEX('Capital Call&amp;Distributions data'!$C:$O,0,MIN(MAX(YEAR(AD$41)-YEAR($K76)+$J76+1,1),14)))),0)</f>
        <v>0</v>
      </c>
      <c r="AE76" s="68" cm="1">
        <f t="array" ref="AE76">IFERROR(IF(AE$41&lt;$K76,0,$F76*_xlfn.XLOOKUP($D76,'Capital Call&amp;Distributions data'!$A:$A,INDEX('Capital Call&amp;Distributions data'!$C:$O,0,MIN(MAX(YEAR(AE$41)-YEAR($K76)+$J76+1,1),14)))),0)</f>
        <v>0</v>
      </c>
      <c r="AF76" s="68" cm="1">
        <f t="array" ref="AF76">IFERROR(IF(AF$41&lt;$K76,0,$F76*_xlfn.XLOOKUP($D76,'Capital Call&amp;Distributions data'!$A:$A,INDEX('Capital Call&amp;Distributions data'!$C:$O,0,MIN(MAX(YEAR(AF$41)-YEAR($K76)+$J76+1,1),14)))),0)</f>
        <v>0</v>
      </c>
      <c r="AG76" s="68" cm="1">
        <f t="array" ref="AG76">IFERROR(IF(AG$41&lt;$K76,0,$F76*_xlfn.XLOOKUP($D76,'Capital Call&amp;Distributions data'!$A:$A,INDEX('Capital Call&amp;Distributions data'!$C:$O,0,MIN(MAX(YEAR(AG$41)-YEAR($K76)+$J76+1,1),14)))),0)</f>
        <v>0</v>
      </c>
      <c r="AH76" s="68" cm="1">
        <f t="array" ref="AH76">IFERROR(IF(AH$41&lt;$K76,0,$F76*_xlfn.XLOOKUP($D76,'Capital Call&amp;Distributions data'!$A:$A,INDEX('Capital Call&amp;Distributions data'!$C:$O,0,MIN(MAX(YEAR(AH$41)-YEAR($K76)+$J76+1,1),14)))),0)</f>
        <v>0</v>
      </c>
      <c r="AI76" s="68" cm="1">
        <f t="array" ref="AI76">IFERROR(IF(AI$41&lt;$K76,0,$F76*_xlfn.XLOOKUP($D76,'Capital Call&amp;Distributions data'!$A:$A,INDEX('Capital Call&amp;Distributions data'!$C:$O,0,MIN(MAX(YEAR(AI$41)-YEAR($K76)+$J76+1,1),14)))),0)</f>
        <v>0</v>
      </c>
      <c r="AJ76" s="68" cm="1">
        <f t="array" ref="AJ76">IFERROR(IF(AJ$41&lt;$K76,0,$F76*_xlfn.XLOOKUP($D76,'Capital Call&amp;Distributions data'!$A:$A,INDEX('Capital Call&amp;Distributions data'!$C:$O,0,MIN(MAX(YEAR(AJ$41)-YEAR($K76)+$J76+1,1),14)))),0)</f>
        <v>0</v>
      </c>
      <c r="AK76" s="68" cm="1">
        <f t="array" ref="AK76">IFERROR(IF(AK$41&lt;$K76,0,$F76*_xlfn.XLOOKUP($D76,'Capital Call&amp;Distributions data'!$A:$A,INDEX('Capital Call&amp;Distributions data'!$C:$O,0,MIN(MAX(YEAR(AK$41)-YEAR($K76)+$J76+1,1),14)))),0)</f>
        <v>0</v>
      </c>
      <c r="AL76" s="68" cm="1">
        <f t="array" ref="AL76">IFERROR(IF(AL$41&lt;$K76,0,$F76*_xlfn.XLOOKUP($D76,'Capital Call&amp;Distributions data'!$A:$A,INDEX('Capital Call&amp;Distributions data'!$C:$O,0,MIN(MAX(YEAR(AL$41)-YEAR($K76)+$J76+1,1),14)))),0)</f>
        <v>0</v>
      </c>
      <c r="AM76" s="68" cm="1">
        <f t="array" ref="AM76">IFERROR(IF(AM$41&lt;$K76,0,$F76*_xlfn.XLOOKUP($D76,'Capital Call&amp;Distributions data'!$A:$A,INDEX('Capital Call&amp;Distributions data'!$C:$O,0,MIN(MAX(YEAR(AM$41)-YEAR($K76)+$J76+1,1),14)))),0)</f>
        <v>0</v>
      </c>
      <c r="AN76" s="68" cm="1">
        <f t="array" ref="AN76">IFERROR(IF(AN$41&lt;$K76,0,$F76*_xlfn.XLOOKUP($D76,'Capital Call&amp;Distributions data'!$A:$A,INDEX('Capital Call&amp;Distributions data'!$C:$O,0,MIN(MAX(YEAR(AN$41)-YEAR($K76)+$J76+1,1),14)))),0)</f>
        <v>0</v>
      </c>
      <c r="AO76" s="68" cm="1">
        <f t="array" ref="AO76">IFERROR(IF(AO$41&lt;$K76,0,$F76*_xlfn.XLOOKUP($D76,'Capital Call&amp;Distributions data'!$A:$A,INDEX('Capital Call&amp;Distributions data'!$C:$O,0,MIN(MAX(YEAR(AO$41)-YEAR($K76)+$J76+1,1),14)))),0)</f>
        <v>0</v>
      </c>
      <c r="AP76" s="68" cm="1">
        <f t="array" ref="AP76">IFERROR(IF(AP$41&lt;$K76,0,$F76*_xlfn.XLOOKUP($D76,'Capital Call&amp;Distributions data'!$A:$A,INDEX('Capital Call&amp;Distributions data'!$C:$O,0,MIN(MAX(YEAR(AP$41)-YEAR($K76)+$J76+1,1),14)))),0)</f>
        <v>0</v>
      </c>
      <c r="AQ76" s="68" cm="1">
        <f t="array" ref="AQ76">IFERROR(IF(AQ$41&lt;$K76,0,$F76*_xlfn.XLOOKUP($D76,'Capital Call&amp;Distributions data'!$A:$A,INDEX('Capital Call&amp;Distributions data'!$C:$O,0,MIN(MAX(YEAR(AQ$41)-YEAR($K76)+$J76+1,1),14)))),0)</f>
        <v>0</v>
      </c>
      <c r="AR76" s="68" cm="1">
        <f t="array" ref="AR76">IFERROR(IF(AR$41&lt;$K76,0,$F76*_xlfn.XLOOKUP($D76,'Capital Call&amp;Distributions data'!$A:$A,INDEX('Capital Call&amp;Distributions data'!$C:$O,0,MIN(MAX(YEAR(AR$41)-YEAR($K76)+$J76+1,1),14)))),0)</f>
        <v>0</v>
      </c>
      <c r="AS76" s="68" cm="1">
        <f t="array" ref="AS76">IFERROR(IF(AS$41&lt;$K76,0,$F76*_xlfn.XLOOKUP($D76,'Capital Call&amp;Distributions data'!$A:$A,INDEX('Capital Call&amp;Distributions data'!$C:$O,0,MIN(MAX(YEAR(AS$41)-YEAR($K76)+$J76+1,1),14)))),0)</f>
        <v>0</v>
      </c>
      <c r="AT76" s="68" cm="1">
        <f t="array" ref="AT76">IFERROR(IF(AT$41&lt;$K76,0,$F76*_xlfn.XLOOKUP($D76,'Capital Call&amp;Distributions data'!$A:$A,INDEX('Capital Call&amp;Distributions data'!$C:$O,0,MIN(MAX(YEAR(AT$41)-YEAR($K76)+$J76+1,1),14)))),0)</f>
        <v>0</v>
      </c>
      <c r="AU76" s="68" cm="1">
        <f t="array" ref="AU76">IFERROR(IF(AU$41&lt;$K76,0,$F76*_xlfn.XLOOKUP($D76,'Capital Call&amp;Distributions data'!$A:$A,INDEX('Capital Call&amp;Distributions data'!$C:$O,0,MIN(MAX(YEAR(AU$41)-YEAR($K76)+$J76+1,1),14)))),0)</f>
        <v>0</v>
      </c>
      <c r="AW76" s="1"/>
      <c r="DJ76" s="11"/>
    </row>
    <row r="77" spans="3:114" ht="29.25" hidden="1" customHeight="1" outlineLevel="1">
      <c r="C77" s="20"/>
      <c r="D77" s="21">
        <f>_xlfn.XLOOKUP(C77,Fondsen!B:B,Fondsen!C:C,"0",0,1)</f>
        <v>0</v>
      </c>
      <c r="E77" s="21" t="s">
        <v>10</v>
      </c>
      <c r="F77" s="83"/>
      <c r="G77" s="143" t="str">
        <f ca="1">IFERROR(IF(SUM(OFFSET(INDEX('Capital Call&amp;Distributions data'!A:A,MATCH(D77,'Capital Call&amp;Distributions data'!A:A,0)),-1,2,1,1000))=0,"✔",""),"")</f>
        <v/>
      </c>
      <c r="H77" s="138" t="str">
        <f t="shared" si="4"/>
        <v/>
      </c>
      <c r="I77" s="96">
        <v>45658</v>
      </c>
      <c r="J77" s="70">
        <f t="shared" si="3"/>
        <v>0</v>
      </c>
      <c r="K77" s="96">
        <v>45658</v>
      </c>
      <c r="L77" s="68" cm="1">
        <f t="array" ref="L77">IFERROR(IF(L$41&lt;$K77,0,$F77*_xlfn.XLOOKUP($D77,'Capital Call&amp;Distributions data'!$A:$A,INDEX('Capital Call&amp;Distributions data'!$C:$O,0,MIN(MAX(YEAR(L$41)-YEAR($K77)+$J77+1,1),14)))),0)</f>
        <v>0</v>
      </c>
      <c r="M77" s="68" cm="1">
        <f t="array" ref="M77">IFERROR(IF(M$41&lt;$K77,0,$F77*_xlfn.XLOOKUP($D77,'Capital Call&amp;Distributions data'!$A:$A,INDEX('Capital Call&amp;Distributions data'!$C:$O,0,MIN(MAX(YEAR(M$41)-YEAR($K77)+$J77+1,1),14)))),0)</f>
        <v>0</v>
      </c>
      <c r="N77" s="68" cm="1">
        <f t="array" ref="N77">IFERROR(IF(N$41&lt;$K77,0,$F77*_xlfn.XLOOKUP($D77,'Capital Call&amp;Distributions data'!$A:$A,INDEX('Capital Call&amp;Distributions data'!$C:$O,0,MIN(MAX(YEAR(N$41)-YEAR($K77)+$J77+1,1),14)))),0)</f>
        <v>0</v>
      </c>
      <c r="O77" s="68" cm="1">
        <f t="array" ref="O77">IFERROR(IF(O$41&lt;$K77,0,$F77*_xlfn.XLOOKUP($D77,'Capital Call&amp;Distributions data'!$A:$A,INDEX('Capital Call&amp;Distributions data'!$C:$O,0,MIN(MAX(YEAR(O$41)-YEAR($K77)+$J77+1,1),14)))),0)</f>
        <v>0</v>
      </c>
      <c r="P77" s="68" cm="1">
        <f t="array" ref="P77">IFERROR(IF(P$41&lt;$K77,0,$F77*_xlfn.XLOOKUP($D77,'Capital Call&amp;Distributions data'!$A:$A,INDEX('Capital Call&amp;Distributions data'!$C:$O,0,MIN(MAX(YEAR(P$41)-YEAR($K77)+$J77+1,1),14)))),0)</f>
        <v>0</v>
      </c>
      <c r="Q77" s="68" cm="1">
        <f t="array" ref="Q77">IFERROR(IF(Q$41&lt;$K77,0,$F77*_xlfn.XLOOKUP($D77,'Capital Call&amp;Distributions data'!$A:$A,INDEX('Capital Call&amp;Distributions data'!$C:$O,0,MIN(MAX(YEAR(Q$41)-YEAR($K77)+$J77+1,1),14)))),0)</f>
        <v>0</v>
      </c>
      <c r="R77" s="68" cm="1">
        <f t="array" ref="R77">IFERROR(IF(R$41&lt;$K77,0,$F77*_xlfn.XLOOKUP($D77,'Capital Call&amp;Distributions data'!$A:$A,INDEX('Capital Call&amp;Distributions data'!$C:$O,0,MIN(MAX(YEAR(R$41)-YEAR($K77)+$J77+1,1),14)))),0)</f>
        <v>0</v>
      </c>
      <c r="S77" s="68" cm="1">
        <f t="array" ref="S77">IFERROR(IF(S$41&lt;$K77,0,$F77*_xlfn.XLOOKUP($D77,'Capital Call&amp;Distributions data'!$A:$A,INDEX('Capital Call&amp;Distributions data'!$C:$O,0,MIN(MAX(YEAR(S$41)-YEAR($K77)+$J77+1,1),14)))),0)</f>
        <v>0</v>
      </c>
      <c r="T77" s="68" cm="1">
        <f t="array" ref="T77">IFERROR(IF(T$41&lt;$K77,0,$F77*_xlfn.XLOOKUP($D77,'Capital Call&amp;Distributions data'!$A:$A,INDEX('Capital Call&amp;Distributions data'!$C:$O,0,MIN(MAX(YEAR(T$41)-YEAR($K77)+$J77+1,1),14)))),0)</f>
        <v>0</v>
      </c>
      <c r="U77" s="68" cm="1">
        <f t="array" ref="U77">IFERROR(IF(U$41&lt;$K77,0,$F77*_xlfn.XLOOKUP($D77,'Capital Call&amp;Distributions data'!$A:$A,INDEX('Capital Call&amp;Distributions data'!$C:$O,0,MIN(MAX(YEAR(U$41)-YEAR($K77)+$J77+1,1),14)))),0)</f>
        <v>0</v>
      </c>
      <c r="V77" s="68" cm="1">
        <f t="array" ref="V77">IFERROR(IF(V$41&lt;$K77,0,$F77*_xlfn.XLOOKUP($D77,'Capital Call&amp;Distributions data'!$A:$A,INDEX('Capital Call&amp;Distributions data'!$C:$O,0,MIN(MAX(YEAR(V$41)-YEAR($K77)+$J77+1,1),14)))),0)</f>
        <v>0</v>
      </c>
      <c r="W77" s="68" cm="1">
        <f t="array" ref="W77">IFERROR(IF(W$41&lt;$K77,0,$F77*_xlfn.XLOOKUP($D77,'Capital Call&amp;Distributions data'!$A:$A,INDEX('Capital Call&amp;Distributions data'!$C:$O,0,MIN(MAX(YEAR(W$41)-YEAR($K77)+$J77+1,1),14)))),0)</f>
        <v>0</v>
      </c>
      <c r="X77" s="68" cm="1">
        <f t="array" ref="X77">IFERROR(IF(X$41&lt;$K77,0,$F77*_xlfn.XLOOKUP($D77,'Capital Call&amp;Distributions data'!$A:$A,INDEX('Capital Call&amp;Distributions data'!$C:$O,0,MIN(MAX(YEAR(X$41)-YEAR($K77)+$J77+1,1),14)))),0)</f>
        <v>0</v>
      </c>
      <c r="Y77" s="68" cm="1">
        <f t="array" ref="Y77">IFERROR(IF(Y$41&lt;$K77,0,$F77*_xlfn.XLOOKUP($D77,'Capital Call&amp;Distributions data'!$A:$A,INDEX('Capital Call&amp;Distributions data'!$C:$O,0,MIN(MAX(YEAR(Y$41)-YEAR($K77)+$J77+1,1),14)))),0)</f>
        <v>0</v>
      </c>
      <c r="Z77" s="68" cm="1">
        <f t="array" ref="Z77">IFERROR(IF(Z$41&lt;$K77,0,$F77*_xlfn.XLOOKUP($D77,'Capital Call&amp;Distributions data'!$A:$A,INDEX('Capital Call&amp;Distributions data'!$C:$O,0,MIN(MAX(YEAR(Z$41)-YEAR($K77)+$J77+1,1),14)))),0)</f>
        <v>0</v>
      </c>
      <c r="AA77" s="68" cm="1">
        <f t="array" ref="AA77">IFERROR(IF(AA$41&lt;$K77,0,$F77*_xlfn.XLOOKUP($D77,'Capital Call&amp;Distributions data'!$A:$A,INDEX('Capital Call&amp;Distributions data'!$C:$O,0,MIN(MAX(YEAR(AA$41)-YEAR($K77)+$J77+1,1),14)))),0)</f>
        <v>0</v>
      </c>
      <c r="AB77" s="68" cm="1">
        <f t="array" ref="AB77">IFERROR(IF(AB$41&lt;$K77,0,$F77*_xlfn.XLOOKUP($D77,'Capital Call&amp;Distributions data'!$A:$A,INDEX('Capital Call&amp;Distributions data'!$C:$O,0,MIN(MAX(YEAR(AB$41)-YEAR($K77)+$J77+1,1),14)))),0)</f>
        <v>0</v>
      </c>
      <c r="AC77" s="68" cm="1">
        <f t="array" ref="AC77">IFERROR(IF(AC$41&lt;$K77,0,$F77*_xlfn.XLOOKUP($D77,'Capital Call&amp;Distributions data'!$A:$A,INDEX('Capital Call&amp;Distributions data'!$C:$O,0,MIN(MAX(YEAR(AC$41)-YEAR($K77)+$J77+1,1),14)))),0)</f>
        <v>0</v>
      </c>
      <c r="AD77" s="68" cm="1">
        <f t="array" ref="AD77">IFERROR(IF(AD$41&lt;$K77,0,$F77*_xlfn.XLOOKUP($D77,'Capital Call&amp;Distributions data'!$A:$A,INDEX('Capital Call&amp;Distributions data'!$C:$O,0,MIN(MAX(YEAR(AD$41)-YEAR($K77)+$J77+1,1),14)))),0)</f>
        <v>0</v>
      </c>
      <c r="AE77" s="68" cm="1">
        <f t="array" ref="AE77">IFERROR(IF(AE$41&lt;$K77,0,$F77*_xlfn.XLOOKUP($D77,'Capital Call&amp;Distributions data'!$A:$A,INDEX('Capital Call&amp;Distributions data'!$C:$O,0,MIN(MAX(YEAR(AE$41)-YEAR($K77)+$J77+1,1),14)))),0)</f>
        <v>0</v>
      </c>
      <c r="AF77" s="68" cm="1">
        <f t="array" ref="AF77">IFERROR(IF(AF$41&lt;$K77,0,$F77*_xlfn.XLOOKUP($D77,'Capital Call&amp;Distributions data'!$A:$A,INDEX('Capital Call&amp;Distributions data'!$C:$O,0,MIN(MAX(YEAR(AF$41)-YEAR($K77)+$J77+1,1),14)))),0)</f>
        <v>0</v>
      </c>
      <c r="AG77" s="68" cm="1">
        <f t="array" ref="AG77">IFERROR(IF(AG$41&lt;$K77,0,$F77*_xlfn.XLOOKUP($D77,'Capital Call&amp;Distributions data'!$A:$A,INDEX('Capital Call&amp;Distributions data'!$C:$O,0,MIN(MAX(YEAR(AG$41)-YEAR($K77)+$J77+1,1),14)))),0)</f>
        <v>0</v>
      </c>
      <c r="AH77" s="68" cm="1">
        <f t="array" ref="AH77">IFERROR(IF(AH$41&lt;$K77,0,$F77*_xlfn.XLOOKUP($D77,'Capital Call&amp;Distributions data'!$A:$A,INDEX('Capital Call&amp;Distributions data'!$C:$O,0,MIN(MAX(YEAR(AH$41)-YEAR($K77)+$J77+1,1),14)))),0)</f>
        <v>0</v>
      </c>
      <c r="AI77" s="68" cm="1">
        <f t="array" ref="AI77">IFERROR(IF(AI$41&lt;$K77,0,$F77*_xlfn.XLOOKUP($D77,'Capital Call&amp;Distributions data'!$A:$A,INDEX('Capital Call&amp;Distributions data'!$C:$O,0,MIN(MAX(YEAR(AI$41)-YEAR($K77)+$J77+1,1),14)))),0)</f>
        <v>0</v>
      </c>
      <c r="AJ77" s="68" cm="1">
        <f t="array" ref="AJ77">IFERROR(IF(AJ$41&lt;$K77,0,$F77*_xlfn.XLOOKUP($D77,'Capital Call&amp;Distributions data'!$A:$A,INDEX('Capital Call&amp;Distributions data'!$C:$O,0,MIN(MAX(YEAR(AJ$41)-YEAR($K77)+$J77+1,1),14)))),0)</f>
        <v>0</v>
      </c>
      <c r="AK77" s="68" cm="1">
        <f t="array" ref="AK77">IFERROR(IF(AK$41&lt;$K77,0,$F77*_xlfn.XLOOKUP($D77,'Capital Call&amp;Distributions data'!$A:$A,INDEX('Capital Call&amp;Distributions data'!$C:$O,0,MIN(MAX(YEAR(AK$41)-YEAR($K77)+$J77+1,1),14)))),0)</f>
        <v>0</v>
      </c>
      <c r="AL77" s="68" cm="1">
        <f t="array" ref="AL77">IFERROR(IF(AL$41&lt;$K77,0,$F77*_xlfn.XLOOKUP($D77,'Capital Call&amp;Distributions data'!$A:$A,INDEX('Capital Call&amp;Distributions data'!$C:$O,0,MIN(MAX(YEAR(AL$41)-YEAR($K77)+$J77+1,1),14)))),0)</f>
        <v>0</v>
      </c>
      <c r="AM77" s="68" cm="1">
        <f t="array" ref="AM77">IFERROR(IF(AM$41&lt;$K77,0,$F77*_xlfn.XLOOKUP($D77,'Capital Call&amp;Distributions data'!$A:$A,INDEX('Capital Call&amp;Distributions data'!$C:$O,0,MIN(MAX(YEAR(AM$41)-YEAR($K77)+$J77+1,1),14)))),0)</f>
        <v>0</v>
      </c>
      <c r="AN77" s="68" cm="1">
        <f t="array" ref="AN77">IFERROR(IF(AN$41&lt;$K77,0,$F77*_xlfn.XLOOKUP($D77,'Capital Call&amp;Distributions data'!$A:$A,INDEX('Capital Call&amp;Distributions data'!$C:$O,0,MIN(MAX(YEAR(AN$41)-YEAR($K77)+$J77+1,1),14)))),0)</f>
        <v>0</v>
      </c>
      <c r="AO77" s="68" cm="1">
        <f t="array" ref="AO77">IFERROR(IF(AO$41&lt;$K77,0,$F77*_xlfn.XLOOKUP($D77,'Capital Call&amp;Distributions data'!$A:$A,INDEX('Capital Call&amp;Distributions data'!$C:$O,0,MIN(MAX(YEAR(AO$41)-YEAR($K77)+$J77+1,1),14)))),0)</f>
        <v>0</v>
      </c>
      <c r="AP77" s="68" cm="1">
        <f t="array" ref="AP77">IFERROR(IF(AP$41&lt;$K77,0,$F77*_xlfn.XLOOKUP($D77,'Capital Call&amp;Distributions data'!$A:$A,INDEX('Capital Call&amp;Distributions data'!$C:$O,0,MIN(MAX(YEAR(AP$41)-YEAR($K77)+$J77+1,1),14)))),0)</f>
        <v>0</v>
      </c>
      <c r="AQ77" s="68" cm="1">
        <f t="array" ref="AQ77">IFERROR(IF(AQ$41&lt;$K77,0,$F77*_xlfn.XLOOKUP($D77,'Capital Call&amp;Distributions data'!$A:$A,INDEX('Capital Call&amp;Distributions data'!$C:$O,0,MIN(MAX(YEAR(AQ$41)-YEAR($K77)+$J77+1,1),14)))),0)</f>
        <v>0</v>
      </c>
      <c r="AR77" s="68" cm="1">
        <f t="array" ref="AR77">IFERROR(IF(AR$41&lt;$K77,0,$F77*_xlfn.XLOOKUP($D77,'Capital Call&amp;Distributions data'!$A:$A,INDEX('Capital Call&amp;Distributions data'!$C:$O,0,MIN(MAX(YEAR(AR$41)-YEAR($K77)+$J77+1,1),14)))),0)</f>
        <v>0</v>
      </c>
      <c r="AS77" s="68" cm="1">
        <f t="array" ref="AS77">IFERROR(IF(AS$41&lt;$K77,0,$F77*_xlfn.XLOOKUP($D77,'Capital Call&amp;Distributions data'!$A:$A,INDEX('Capital Call&amp;Distributions data'!$C:$O,0,MIN(MAX(YEAR(AS$41)-YEAR($K77)+$J77+1,1),14)))),0)</f>
        <v>0</v>
      </c>
      <c r="AT77" s="68" cm="1">
        <f t="array" ref="AT77">IFERROR(IF(AT$41&lt;$K77,0,$F77*_xlfn.XLOOKUP($D77,'Capital Call&amp;Distributions data'!$A:$A,INDEX('Capital Call&amp;Distributions data'!$C:$O,0,MIN(MAX(YEAR(AT$41)-YEAR($K77)+$J77+1,1),14)))),0)</f>
        <v>0</v>
      </c>
      <c r="AU77" s="68" cm="1">
        <f t="array" ref="AU77">IFERROR(IF(AU$41&lt;$K77,0,$F77*_xlfn.XLOOKUP($D77,'Capital Call&amp;Distributions data'!$A:$A,INDEX('Capital Call&amp;Distributions data'!$C:$O,0,MIN(MAX(YEAR(AU$41)-YEAR($K77)+$J77+1,1),14)))),0)</f>
        <v>0</v>
      </c>
      <c r="AW77" s="1"/>
      <c r="DJ77" s="11"/>
    </row>
    <row r="78" spans="3:114" ht="29.25" hidden="1" customHeight="1" outlineLevel="1">
      <c r="C78" s="20"/>
      <c r="D78" s="21">
        <f>_xlfn.XLOOKUP(C78,Fondsen!B:B,Fondsen!C:C,"0",0,1)</f>
        <v>0</v>
      </c>
      <c r="E78" s="21" t="s">
        <v>10</v>
      </c>
      <c r="F78" s="83"/>
      <c r="G78" s="143" t="str">
        <f ca="1">IFERROR(IF(SUM(OFFSET(INDEX('Capital Call&amp;Distributions data'!A:A,MATCH(D78,'Capital Call&amp;Distributions data'!A:A,0)),-1,2,1,1000))=0,"✔",""),"")</f>
        <v/>
      </c>
      <c r="H78" s="138" t="str">
        <f t="shared" si="4"/>
        <v/>
      </c>
      <c r="I78" s="96">
        <v>45658</v>
      </c>
      <c r="J78" s="70">
        <f t="shared" si="3"/>
        <v>0</v>
      </c>
      <c r="K78" s="96">
        <v>45658</v>
      </c>
      <c r="L78" s="68" cm="1">
        <f t="array" ref="L78">IFERROR(IF(L$41&lt;$K78,0,$F78*_xlfn.XLOOKUP($D78,'Capital Call&amp;Distributions data'!$A:$A,INDEX('Capital Call&amp;Distributions data'!$C:$O,0,MIN(MAX(YEAR(L$41)-YEAR($K78)+$J78+1,1),14)))),0)</f>
        <v>0</v>
      </c>
      <c r="M78" s="68" cm="1">
        <f t="array" ref="M78">IFERROR(IF(M$41&lt;$K78,0,$F78*_xlfn.XLOOKUP($D78,'Capital Call&amp;Distributions data'!$A:$A,INDEX('Capital Call&amp;Distributions data'!$C:$O,0,MIN(MAX(YEAR(M$41)-YEAR($K78)+$J78+1,1),14)))),0)</f>
        <v>0</v>
      </c>
      <c r="N78" s="68" cm="1">
        <f t="array" ref="N78">IFERROR(IF(N$41&lt;$K78,0,$F78*_xlfn.XLOOKUP($D78,'Capital Call&amp;Distributions data'!$A:$A,INDEX('Capital Call&amp;Distributions data'!$C:$O,0,MIN(MAX(YEAR(N$41)-YEAR($K78)+$J78+1,1),14)))),0)</f>
        <v>0</v>
      </c>
      <c r="O78" s="68" cm="1">
        <f t="array" ref="O78">IFERROR(IF(O$41&lt;$K78,0,$F78*_xlfn.XLOOKUP($D78,'Capital Call&amp;Distributions data'!$A:$A,INDEX('Capital Call&amp;Distributions data'!$C:$O,0,MIN(MAX(YEAR(O$41)-YEAR($K78)+$J78+1,1),14)))),0)</f>
        <v>0</v>
      </c>
      <c r="P78" s="68" cm="1">
        <f t="array" ref="P78">IFERROR(IF(P$41&lt;$K78,0,$F78*_xlfn.XLOOKUP($D78,'Capital Call&amp;Distributions data'!$A:$A,INDEX('Capital Call&amp;Distributions data'!$C:$O,0,MIN(MAX(YEAR(P$41)-YEAR($K78)+$J78+1,1),14)))),0)</f>
        <v>0</v>
      </c>
      <c r="Q78" s="68" cm="1">
        <f t="array" ref="Q78">IFERROR(IF(Q$41&lt;$K78,0,$F78*_xlfn.XLOOKUP($D78,'Capital Call&amp;Distributions data'!$A:$A,INDEX('Capital Call&amp;Distributions data'!$C:$O,0,MIN(MAX(YEAR(Q$41)-YEAR($K78)+$J78+1,1),14)))),0)</f>
        <v>0</v>
      </c>
      <c r="R78" s="68" cm="1">
        <f t="array" ref="R78">IFERROR(IF(R$41&lt;$K78,0,$F78*_xlfn.XLOOKUP($D78,'Capital Call&amp;Distributions data'!$A:$A,INDEX('Capital Call&amp;Distributions data'!$C:$O,0,MIN(MAX(YEAR(R$41)-YEAR($K78)+$J78+1,1),14)))),0)</f>
        <v>0</v>
      </c>
      <c r="S78" s="68" cm="1">
        <f t="array" ref="S78">IFERROR(IF(S$41&lt;$K78,0,$F78*_xlfn.XLOOKUP($D78,'Capital Call&amp;Distributions data'!$A:$A,INDEX('Capital Call&amp;Distributions data'!$C:$O,0,MIN(MAX(YEAR(S$41)-YEAR($K78)+$J78+1,1),14)))),0)</f>
        <v>0</v>
      </c>
      <c r="T78" s="68" cm="1">
        <f t="array" ref="T78">IFERROR(IF(T$41&lt;$K78,0,$F78*_xlfn.XLOOKUP($D78,'Capital Call&amp;Distributions data'!$A:$A,INDEX('Capital Call&amp;Distributions data'!$C:$O,0,MIN(MAX(YEAR(T$41)-YEAR($K78)+$J78+1,1),14)))),0)</f>
        <v>0</v>
      </c>
      <c r="U78" s="68" cm="1">
        <f t="array" ref="U78">IFERROR(IF(U$41&lt;$K78,0,$F78*_xlfn.XLOOKUP($D78,'Capital Call&amp;Distributions data'!$A:$A,INDEX('Capital Call&amp;Distributions data'!$C:$O,0,MIN(MAX(YEAR(U$41)-YEAR($K78)+$J78+1,1),14)))),0)</f>
        <v>0</v>
      </c>
      <c r="V78" s="68" cm="1">
        <f t="array" ref="V78">IFERROR(IF(V$41&lt;$K78,0,$F78*_xlfn.XLOOKUP($D78,'Capital Call&amp;Distributions data'!$A:$A,INDEX('Capital Call&amp;Distributions data'!$C:$O,0,MIN(MAX(YEAR(V$41)-YEAR($K78)+$J78+1,1),14)))),0)</f>
        <v>0</v>
      </c>
      <c r="W78" s="68" cm="1">
        <f t="array" ref="W78">IFERROR(IF(W$41&lt;$K78,0,$F78*_xlfn.XLOOKUP($D78,'Capital Call&amp;Distributions data'!$A:$A,INDEX('Capital Call&amp;Distributions data'!$C:$O,0,MIN(MAX(YEAR(W$41)-YEAR($K78)+$J78+1,1),14)))),0)</f>
        <v>0</v>
      </c>
      <c r="X78" s="68" cm="1">
        <f t="array" ref="X78">IFERROR(IF(X$41&lt;$K78,0,$F78*_xlfn.XLOOKUP($D78,'Capital Call&amp;Distributions data'!$A:$A,INDEX('Capital Call&amp;Distributions data'!$C:$O,0,MIN(MAX(YEAR(X$41)-YEAR($K78)+$J78+1,1),14)))),0)</f>
        <v>0</v>
      </c>
      <c r="Y78" s="68" cm="1">
        <f t="array" ref="Y78">IFERROR(IF(Y$41&lt;$K78,0,$F78*_xlfn.XLOOKUP($D78,'Capital Call&amp;Distributions data'!$A:$A,INDEX('Capital Call&amp;Distributions data'!$C:$O,0,MIN(MAX(YEAR(Y$41)-YEAR($K78)+$J78+1,1),14)))),0)</f>
        <v>0</v>
      </c>
      <c r="Z78" s="68" cm="1">
        <f t="array" ref="Z78">IFERROR(IF(Z$41&lt;$K78,0,$F78*_xlfn.XLOOKUP($D78,'Capital Call&amp;Distributions data'!$A:$A,INDEX('Capital Call&amp;Distributions data'!$C:$O,0,MIN(MAX(YEAR(Z$41)-YEAR($K78)+$J78+1,1),14)))),0)</f>
        <v>0</v>
      </c>
      <c r="AA78" s="68" cm="1">
        <f t="array" ref="AA78">IFERROR(IF(AA$41&lt;$K78,0,$F78*_xlfn.XLOOKUP($D78,'Capital Call&amp;Distributions data'!$A:$A,INDEX('Capital Call&amp;Distributions data'!$C:$O,0,MIN(MAX(YEAR(AA$41)-YEAR($K78)+$J78+1,1),14)))),0)</f>
        <v>0</v>
      </c>
      <c r="AB78" s="68" cm="1">
        <f t="array" ref="AB78">IFERROR(IF(AB$41&lt;$K78,0,$F78*_xlfn.XLOOKUP($D78,'Capital Call&amp;Distributions data'!$A:$A,INDEX('Capital Call&amp;Distributions data'!$C:$O,0,MIN(MAX(YEAR(AB$41)-YEAR($K78)+$J78+1,1),14)))),0)</f>
        <v>0</v>
      </c>
      <c r="AC78" s="68" cm="1">
        <f t="array" ref="AC78">IFERROR(IF(AC$41&lt;$K78,0,$F78*_xlfn.XLOOKUP($D78,'Capital Call&amp;Distributions data'!$A:$A,INDEX('Capital Call&amp;Distributions data'!$C:$O,0,MIN(MAX(YEAR(AC$41)-YEAR($K78)+$J78+1,1),14)))),0)</f>
        <v>0</v>
      </c>
      <c r="AD78" s="68" cm="1">
        <f t="array" ref="AD78">IFERROR(IF(AD$41&lt;$K78,0,$F78*_xlfn.XLOOKUP($D78,'Capital Call&amp;Distributions data'!$A:$A,INDEX('Capital Call&amp;Distributions data'!$C:$O,0,MIN(MAX(YEAR(AD$41)-YEAR($K78)+$J78+1,1),14)))),0)</f>
        <v>0</v>
      </c>
      <c r="AE78" s="68" cm="1">
        <f t="array" ref="AE78">IFERROR(IF(AE$41&lt;$K78,0,$F78*_xlfn.XLOOKUP($D78,'Capital Call&amp;Distributions data'!$A:$A,INDEX('Capital Call&amp;Distributions data'!$C:$O,0,MIN(MAX(YEAR(AE$41)-YEAR($K78)+$J78+1,1),14)))),0)</f>
        <v>0</v>
      </c>
      <c r="AF78" s="68" cm="1">
        <f t="array" ref="AF78">IFERROR(IF(AF$41&lt;$K78,0,$F78*_xlfn.XLOOKUP($D78,'Capital Call&amp;Distributions data'!$A:$A,INDEX('Capital Call&amp;Distributions data'!$C:$O,0,MIN(MAX(YEAR(AF$41)-YEAR($K78)+$J78+1,1),14)))),0)</f>
        <v>0</v>
      </c>
      <c r="AG78" s="68" cm="1">
        <f t="array" ref="AG78">IFERROR(IF(AG$41&lt;$K78,0,$F78*_xlfn.XLOOKUP($D78,'Capital Call&amp;Distributions data'!$A:$A,INDEX('Capital Call&amp;Distributions data'!$C:$O,0,MIN(MAX(YEAR(AG$41)-YEAR($K78)+$J78+1,1),14)))),0)</f>
        <v>0</v>
      </c>
      <c r="AH78" s="68" cm="1">
        <f t="array" ref="AH78">IFERROR(IF(AH$41&lt;$K78,0,$F78*_xlfn.XLOOKUP($D78,'Capital Call&amp;Distributions data'!$A:$A,INDEX('Capital Call&amp;Distributions data'!$C:$O,0,MIN(MAX(YEAR(AH$41)-YEAR($K78)+$J78+1,1),14)))),0)</f>
        <v>0</v>
      </c>
      <c r="AI78" s="68" cm="1">
        <f t="array" ref="AI78">IFERROR(IF(AI$41&lt;$K78,0,$F78*_xlfn.XLOOKUP($D78,'Capital Call&amp;Distributions data'!$A:$A,INDEX('Capital Call&amp;Distributions data'!$C:$O,0,MIN(MAX(YEAR(AI$41)-YEAR($K78)+$J78+1,1),14)))),0)</f>
        <v>0</v>
      </c>
      <c r="AJ78" s="68" cm="1">
        <f t="array" ref="AJ78">IFERROR(IF(AJ$41&lt;$K78,0,$F78*_xlfn.XLOOKUP($D78,'Capital Call&amp;Distributions data'!$A:$A,INDEX('Capital Call&amp;Distributions data'!$C:$O,0,MIN(MAX(YEAR(AJ$41)-YEAR($K78)+$J78+1,1),14)))),0)</f>
        <v>0</v>
      </c>
      <c r="AK78" s="68" cm="1">
        <f t="array" ref="AK78">IFERROR(IF(AK$41&lt;$K78,0,$F78*_xlfn.XLOOKUP($D78,'Capital Call&amp;Distributions data'!$A:$A,INDEX('Capital Call&amp;Distributions data'!$C:$O,0,MIN(MAX(YEAR(AK$41)-YEAR($K78)+$J78+1,1),14)))),0)</f>
        <v>0</v>
      </c>
      <c r="AL78" s="68" cm="1">
        <f t="array" ref="AL78">IFERROR(IF(AL$41&lt;$K78,0,$F78*_xlfn.XLOOKUP($D78,'Capital Call&amp;Distributions data'!$A:$A,INDEX('Capital Call&amp;Distributions data'!$C:$O,0,MIN(MAX(YEAR(AL$41)-YEAR($K78)+$J78+1,1),14)))),0)</f>
        <v>0</v>
      </c>
      <c r="AM78" s="68" cm="1">
        <f t="array" ref="AM78">IFERROR(IF(AM$41&lt;$K78,0,$F78*_xlfn.XLOOKUP($D78,'Capital Call&amp;Distributions data'!$A:$A,INDEX('Capital Call&amp;Distributions data'!$C:$O,0,MIN(MAX(YEAR(AM$41)-YEAR($K78)+$J78+1,1),14)))),0)</f>
        <v>0</v>
      </c>
      <c r="AN78" s="68" cm="1">
        <f t="array" ref="AN78">IFERROR(IF(AN$41&lt;$K78,0,$F78*_xlfn.XLOOKUP($D78,'Capital Call&amp;Distributions data'!$A:$A,INDEX('Capital Call&amp;Distributions data'!$C:$O,0,MIN(MAX(YEAR(AN$41)-YEAR($K78)+$J78+1,1),14)))),0)</f>
        <v>0</v>
      </c>
      <c r="AO78" s="68" cm="1">
        <f t="array" ref="AO78">IFERROR(IF(AO$41&lt;$K78,0,$F78*_xlfn.XLOOKUP($D78,'Capital Call&amp;Distributions data'!$A:$A,INDEX('Capital Call&amp;Distributions data'!$C:$O,0,MIN(MAX(YEAR(AO$41)-YEAR($K78)+$J78+1,1),14)))),0)</f>
        <v>0</v>
      </c>
      <c r="AP78" s="68" cm="1">
        <f t="array" ref="AP78">IFERROR(IF(AP$41&lt;$K78,0,$F78*_xlfn.XLOOKUP($D78,'Capital Call&amp;Distributions data'!$A:$A,INDEX('Capital Call&amp;Distributions data'!$C:$O,0,MIN(MAX(YEAR(AP$41)-YEAR($K78)+$J78+1,1),14)))),0)</f>
        <v>0</v>
      </c>
      <c r="AQ78" s="68" cm="1">
        <f t="array" ref="AQ78">IFERROR(IF(AQ$41&lt;$K78,0,$F78*_xlfn.XLOOKUP($D78,'Capital Call&amp;Distributions data'!$A:$A,INDEX('Capital Call&amp;Distributions data'!$C:$O,0,MIN(MAX(YEAR(AQ$41)-YEAR($K78)+$J78+1,1),14)))),0)</f>
        <v>0</v>
      </c>
      <c r="AR78" s="68" cm="1">
        <f t="array" ref="AR78">IFERROR(IF(AR$41&lt;$K78,0,$F78*_xlfn.XLOOKUP($D78,'Capital Call&amp;Distributions data'!$A:$A,INDEX('Capital Call&amp;Distributions data'!$C:$O,0,MIN(MAX(YEAR(AR$41)-YEAR($K78)+$J78+1,1),14)))),0)</f>
        <v>0</v>
      </c>
      <c r="AS78" s="68" cm="1">
        <f t="array" ref="AS78">IFERROR(IF(AS$41&lt;$K78,0,$F78*_xlfn.XLOOKUP($D78,'Capital Call&amp;Distributions data'!$A:$A,INDEX('Capital Call&amp;Distributions data'!$C:$O,0,MIN(MAX(YEAR(AS$41)-YEAR($K78)+$J78+1,1),14)))),0)</f>
        <v>0</v>
      </c>
      <c r="AT78" s="68" cm="1">
        <f t="array" ref="AT78">IFERROR(IF(AT$41&lt;$K78,0,$F78*_xlfn.XLOOKUP($D78,'Capital Call&amp;Distributions data'!$A:$A,INDEX('Capital Call&amp;Distributions data'!$C:$O,0,MIN(MAX(YEAR(AT$41)-YEAR($K78)+$J78+1,1),14)))),0)</f>
        <v>0</v>
      </c>
      <c r="AU78" s="68" cm="1">
        <f t="array" ref="AU78">IFERROR(IF(AU$41&lt;$K78,0,$F78*_xlfn.XLOOKUP($D78,'Capital Call&amp;Distributions data'!$A:$A,INDEX('Capital Call&amp;Distributions data'!$C:$O,0,MIN(MAX(YEAR(AU$41)-YEAR($K78)+$J78+1,1),14)))),0)</f>
        <v>0</v>
      </c>
      <c r="AW78" s="1"/>
      <c r="DJ78" s="11"/>
    </row>
    <row r="79" spans="3:114" ht="29.1" hidden="1" customHeight="1" outlineLevel="1">
      <c r="C79" s="20"/>
      <c r="D79" s="21">
        <f>_xlfn.XLOOKUP(C79,Fondsen!B:B,Fondsen!C:C,"0",0,1)</f>
        <v>0</v>
      </c>
      <c r="E79" s="21" t="s">
        <v>10</v>
      </c>
      <c r="F79" s="83"/>
      <c r="G79" s="143" t="str">
        <f ca="1">IFERROR(IF(SUM(OFFSET(INDEX('Capital Call&amp;Distributions data'!A:A,MATCH(D79,'Capital Call&amp;Distributions data'!A:A,0)),-1,2,1,1000))=0,"✔",""),"")</f>
        <v/>
      </c>
      <c r="H79" s="138" t="str">
        <f t="shared" si="4"/>
        <v/>
      </c>
      <c r="I79" s="96">
        <v>45658</v>
      </c>
      <c r="J79" s="70">
        <f t="shared" si="3"/>
        <v>0</v>
      </c>
      <c r="K79" s="96">
        <v>45658</v>
      </c>
      <c r="L79" s="68" cm="1">
        <f t="array" ref="L79">IFERROR(IF(L$41&lt;$K79,0,$F79*_xlfn.XLOOKUP($D79,'Capital Call&amp;Distributions data'!$A:$A,INDEX('Capital Call&amp;Distributions data'!$C:$O,0,MIN(MAX(YEAR(L$41)-YEAR($K79)+$J79+1,1),14)))),0)</f>
        <v>0</v>
      </c>
      <c r="M79" s="68" cm="1">
        <f t="array" ref="M79">IFERROR(IF(M$41&lt;$K79,0,$F79*_xlfn.XLOOKUP($D79,'Capital Call&amp;Distributions data'!$A:$A,INDEX('Capital Call&amp;Distributions data'!$C:$O,0,MIN(MAX(YEAR(M$41)-YEAR($K79)+$J79+1,1),14)))),0)</f>
        <v>0</v>
      </c>
      <c r="N79" s="68" cm="1">
        <f t="array" ref="N79">IFERROR(IF(N$41&lt;$K79,0,$F79*_xlfn.XLOOKUP($D79,'Capital Call&amp;Distributions data'!$A:$A,INDEX('Capital Call&amp;Distributions data'!$C:$O,0,MIN(MAX(YEAR(N$41)-YEAR($K79)+$J79+1,1),14)))),0)</f>
        <v>0</v>
      </c>
      <c r="O79" s="68" cm="1">
        <f t="array" ref="O79">IFERROR(IF(O$41&lt;$K79,0,$F79*_xlfn.XLOOKUP($D79,'Capital Call&amp;Distributions data'!$A:$A,INDEX('Capital Call&amp;Distributions data'!$C:$O,0,MIN(MAX(YEAR(O$41)-YEAR($K79)+$J79+1,1),14)))),0)</f>
        <v>0</v>
      </c>
      <c r="P79" s="68" cm="1">
        <f t="array" ref="P79">IFERROR(IF(P$41&lt;$K79,0,$F79*_xlfn.XLOOKUP($D79,'Capital Call&amp;Distributions data'!$A:$A,INDEX('Capital Call&amp;Distributions data'!$C:$O,0,MIN(MAX(YEAR(P$41)-YEAR($K79)+$J79+1,1),14)))),0)</f>
        <v>0</v>
      </c>
      <c r="Q79" s="68" cm="1">
        <f t="array" ref="Q79">IFERROR(IF(Q$41&lt;$K79,0,$F79*_xlfn.XLOOKUP($D79,'Capital Call&amp;Distributions data'!$A:$A,INDEX('Capital Call&amp;Distributions data'!$C:$O,0,MIN(MAX(YEAR(Q$41)-YEAR($K79)+$J79+1,1),14)))),0)</f>
        <v>0</v>
      </c>
      <c r="R79" s="68" cm="1">
        <f t="array" ref="R79">IFERROR(IF(R$41&lt;$K79,0,$F79*_xlfn.XLOOKUP($D79,'Capital Call&amp;Distributions data'!$A:$A,INDEX('Capital Call&amp;Distributions data'!$C:$O,0,MIN(MAX(YEAR(R$41)-YEAR($K79)+$J79+1,1),14)))),0)</f>
        <v>0</v>
      </c>
      <c r="S79" s="68" cm="1">
        <f t="array" ref="S79">IFERROR(IF(S$41&lt;$K79,0,$F79*_xlfn.XLOOKUP($D79,'Capital Call&amp;Distributions data'!$A:$A,INDEX('Capital Call&amp;Distributions data'!$C:$O,0,MIN(MAX(YEAR(S$41)-YEAR($K79)+$J79+1,1),14)))),0)</f>
        <v>0</v>
      </c>
      <c r="T79" s="68" cm="1">
        <f t="array" ref="T79">IFERROR(IF(T$41&lt;$K79,0,$F79*_xlfn.XLOOKUP($D79,'Capital Call&amp;Distributions data'!$A:$A,INDEX('Capital Call&amp;Distributions data'!$C:$O,0,MIN(MAX(YEAR(T$41)-YEAR($K79)+$J79+1,1),14)))),0)</f>
        <v>0</v>
      </c>
      <c r="U79" s="68" cm="1">
        <f t="array" ref="U79">IFERROR(IF(U$41&lt;$K79,0,$F79*_xlfn.XLOOKUP($D79,'Capital Call&amp;Distributions data'!$A:$A,INDEX('Capital Call&amp;Distributions data'!$C:$O,0,MIN(MAX(YEAR(U$41)-YEAR($K79)+$J79+1,1),14)))),0)</f>
        <v>0</v>
      </c>
      <c r="V79" s="68" cm="1">
        <f t="array" ref="V79">IFERROR(IF(V$41&lt;$K79,0,$F79*_xlfn.XLOOKUP($D79,'Capital Call&amp;Distributions data'!$A:$A,INDEX('Capital Call&amp;Distributions data'!$C:$O,0,MIN(MAX(YEAR(V$41)-YEAR($K79)+$J79+1,1),14)))),0)</f>
        <v>0</v>
      </c>
      <c r="W79" s="68" cm="1">
        <f t="array" ref="W79">IFERROR(IF(W$41&lt;$K79,0,$F79*_xlfn.XLOOKUP($D79,'Capital Call&amp;Distributions data'!$A:$A,INDEX('Capital Call&amp;Distributions data'!$C:$O,0,MIN(MAX(YEAR(W$41)-YEAR($K79)+$J79+1,1),14)))),0)</f>
        <v>0</v>
      </c>
      <c r="X79" s="68" cm="1">
        <f t="array" ref="X79">IFERROR(IF(X$41&lt;$K79,0,$F79*_xlfn.XLOOKUP($D79,'Capital Call&amp;Distributions data'!$A:$A,INDEX('Capital Call&amp;Distributions data'!$C:$O,0,MIN(MAX(YEAR(X$41)-YEAR($K79)+$J79+1,1),14)))),0)</f>
        <v>0</v>
      </c>
      <c r="Y79" s="68" cm="1">
        <f t="array" ref="Y79">IFERROR(IF(Y$41&lt;$K79,0,$F79*_xlfn.XLOOKUP($D79,'Capital Call&amp;Distributions data'!$A:$A,INDEX('Capital Call&amp;Distributions data'!$C:$O,0,MIN(MAX(YEAR(Y$41)-YEAR($K79)+$J79+1,1),14)))),0)</f>
        <v>0</v>
      </c>
      <c r="Z79" s="68" cm="1">
        <f t="array" ref="Z79">IFERROR(IF(Z$41&lt;$K79,0,$F79*_xlfn.XLOOKUP($D79,'Capital Call&amp;Distributions data'!$A:$A,INDEX('Capital Call&amp;Distributions data'!$C:$O,0,MIN(MAX(YEAR(Z$41)-YEAR($K79)+$J79+1,1),14)))),0)</f>
        <v>0</v>
      </c>
      <c r="AA79" s="68" cm="1">
        <f t="array" ref="AA79">IFERROR(IF(AA$41&lt;$K79,0,$F79*_xlfn.XLOOKUP($D79,'Capital Call&amp;Distributions data'!$A:$A,INDEX('Capital Call&amp;Distributions data'!$C:$O,0,MIN(MAX(YEAR(AA$41)-YEAR($K79)+$J79+1,1),14)))),0)</f>
        <v>0</v>
      </c>
      <c r="AB79" s="68" cm="1">
        <f t="array" ref="AB79">IFERROR(IF(AB$41&lt;$K79,0,$F79*_xlfn.XLOOKUP($D79,'Capital Call&amp;Distributions data'!$A:$A,INDEX('Capital Call&amp;Distributions data'!$C:$O,0,MIN(MAX(YEAR(AB$41)-YEAR($K79)+$J79+1,1),14)))),0)</f>
        <v>0</v>
      </c>
      <c r="AC79" s="68" cm="1">
        <f t="array" ref="AC79">IFERROR(IF(AC$41&lt;$K79,0,$F79*_xlfn.XLOOKUP($D79,'Capital Call&amp;Distributions data'!$A:$A,INDEX('Capital Call&amp;Distributions data'!$C:$O,0,MIN(MAX(YEAR(AC$41)-YEAR($K79)+$J79+1,1),14)))),0)</f>
        <v>0</v>
      </c>
      <c r="AD79" s="68" cm="1">
        <f t="array" ref="AD79">IFERROR(IF(AD$41&lt;$K79,0,$F79*_xlfn.XLOOKUP($D79,'Capital Call&amp;Distributions data'!$A:$A,INDEX('Capital Call&amp;Distributions data'!$C:$O,0,MIN(MAX(YEAR(AD$41)-YEAR($K79)+$J79+1,1),14)))),0)</f>
        <v>0</v>
      </c>
      <c r="AE79" s="68" cm="1">
        <f t="array" ref="AE79">IFERROR(IF(AE$41&lt;$K79,0,$F79*_xlfn.XLOOKUP($D79,'Capital Call&amp;Distributions data'!$A:$A,INDEX('Capital Call&amp;Distributions data'!$C:$O,0,MIN(MAX(YEAR(AE$41)-YEAR($K79)+$J79+1,1),14)))),0)</f>
        <v>0</v>
      </c>
      <c r="AF79" s="68" cm="1">
        <f t="array" ref="AF79">IFERROR(IF(AF$41&lt;$K79,0,$F79*_xlfn.XLOOKUP($D79,'Capital Call&amp;Distributions data'!$A:$A,INDEX('Capital Call&amp;Distributions data'!$C:$O,0,MIN(MAX(YEAR(AF$41)-YEAR($K79)+$J79+1,1),14)))),0)</f>
        <v>0</v>
      </c>
      <c r="AG79" s="68" cm="1">
        <f t="array" ref="AG79">IFERROR(IF(AG$41&lt;$K79,0,$F79*_xlfn.XLOOKUP($D79,'Capital Call&amp;Distributions data'!$A:$A,INDEX('Capital Call&amp;Distributions data'!$C:$O,0,MIN(MAX(YEAR(AG$41)-YEAR($K79)+$J79+1,1),14)))),0)</f>
        <v>0</v>
      </c>
      <c r="AH79" s="68" cm="1">
        <f t="array" ref="AH79">IFERROR(IF(AH$41&lt;$K79,0,$F79*_xlfn.XLOOKUP($D79,'Capital Call&amp;Distributions data'!$A:$A,INDEX('Capital Call&amp;Distributions data'!$C:$O,0,MIN(MAX(YEAR(AH$41)-YEAR($K79)+$J79+1,1),14)))),0)</f>
        <v>0</v>
      </c>
      <c r="AI79" s="68" cm="1">
        <f t="array" ref="AI79">IFERROR(IF(AI$41&lt;$K79,0,$F79*_xlfn.XLOOKUP($D79,'Capital Call&amp;Distributions data'!$A:$A,INDEX('Capital Call&amp;Distributions data'!$C:$O,0,MIN(MAX(YEAR(AI$41)-YEAR($K79)+$J79+1,1),14)))),0)</f>
        <v>0</v>
      </c>
      <c r="AJ79" s="68" cm="1">
        <f t="array" ref="AJ79">IFERROR(IF(AJ$41&lt;$K79,0,$F79*_xlfn.XLOOKUP($D79,'Capital Call&amp;Distributions data'!$A:$A,INDEX('Capital Call&amp;Distributions data'!$C:$O,0,MIN(MAX(YEAR(AJ$41)-YEAR($K79)+$J79+1,1),14)))),0)</f>
        <v>0</v>
      </c>
      <c r="AK79" s="68" cm="1">
        <f t="array" ref="AK79">IFERROR(IF(AK$41&lt;$K79,0,$F79*_xlfn.XLOOKUP($D79,'Capital Call&amp;Distributions data'!$A:$A,INDEX('Capital Call&amp;Distributions data'!$C:$O,0,MIN(MAX(YEAR(AK$41)-YEAR($K79)+$J79+1,1),14)))),0)</f>
        <v>0</v>
      </c>
      <c r="AL79" s="68" cm="1">
        <f t="array" ref="AL79">IFERROR(IF(AL$41&lt;$K79,0,$F79*_xlfn.XLOOKUP($D79,'Capital Call&amp;Distributions data'!$A:$A,INDEX('Capital Call&amp;Distributions data'!$C:$O,0,MIN(MAX(YEAR(AL$41)-YEAR($K79)+$J79+1,1),14)))),0)</f>
        <v>0</v>
      </c>
      <c r="AM79" s="68" cm="1">
        <f t="array" ref="AM79">IFERROR(IF(AM$41&lt;$K79,0,$F79*_xlfn.XLOOKUP($D79,'Capital Call&amp;Distributions data'!$A:$A,INDEX('Capital Call&amp;Distributions data'!$C:$O,0,MIN(MAX(YEAR(AM$41)-YEAR($K79)+$J79+1,1),14)))),0)</f>
        <v>0</v>
      </c>
      <c r="AN79" s="68" cm="1">
        <f t="array" ref="AN79">IFERROR(IF(AN$41&lt;$K79,0,$F79*_xlfn.XLOOKUP($D79,'Capital Call&amp;Distributions data'!$A:$A,INDEX('Capital Call&amp;Distributions data'!$C:$O,0,MIN(MAX(YEAR(AN$41)-YEAR($K79)+$J79+1,1),14)))),0)</f>
        <v>0</v>
      </c>
      <c r="AO79" s="68" cm="1">
        <f t="array" ref="AO79">IFERROR(IF(AO$41&lt;$K79,0,$F79*_xlfn.XLOOKUP($D79,'Capital Call&amp;Distributions data'!$A:$A,INDEX('Capital Call&amp;Distributions data'!$C:$O,0,MIN(MAX(YEAR(AO$41)-YEAR($K79)+$J79+1,1),14)))),0)</f>
        <v>0</v>
      </c>
      <c r="AP79" s="68" cm="1">
        <f t="array" ref="AP79">IFERROR(IF(AP$41&lt;$K79,0,$F79*_xlfn.XLOOKUP($D79,'Capital Call&amp;Distributions data'!$A:$A,INDEX('Capital Call&amp;Distributions data'!$C:$O,0,MIN(MAX(YEAR(AP$41)-YEAR($K79)+$J79+1,1),14)))),0)</f>
        <v>0</v>
      </c>
      <c r="AQ79" s="68" cm="1">
        <f t="array" ref="AQ79">IFERROR(IF(AQ$41&lt;$K79,0,$F79*_xlfn.XLOOKUP($D79,'Capital Call&amp;Distributions data'!$A:$A,INDEX('Capital Call&amp;Distributions data'!$C:$O,0,MIN(MAX(YEAR(AQ$41)-YEAR($K79)+$J79+1,1),14)))),0)</f>
        <v>0</v>
      </c>
      <c r="AR79" s="68" cm="1">
        <f t="array" ref="AR79">IFERROR(IF(AR$41&lt;$K79,0,$F79*_xlfn.XLOOKUP($D79,'Capital Call&amp;Distributions data'!$A:$A,INDEX('Capital Call&amp;Distributions data'!$C:$O,0,MIN(MAX(YEAR(AR$41)-YEAR($K79)+$J79+1,1),14)))),0)</f>
        <v>0</v>
      </c>
      <c r="AS79" s="68" cm="1">
        <f t="array" ref="AS79">IFERROR(IF(AS$41&lt;$K79,0,$F79*_xlfn.XLOOKUP($D79,'Capital Call&amp;Distributions data'!$A:$A,INDEX('Capital Call&amp;Distributions data'!$C:$O,0,MIN(MAX(YEAR(AS$41)-YEAR($K79)+$J79+1,1),14)))),0)</f>
        <v>0</v>
      </c>
      <c r="AT79" s="68" cm="1">
        <f t="array" ref="AT79">IFERROR(IF(AT$41&lt;$K79,0,$F79*_xlfn.XLOOKUP($D79,'Capital Call&amp;Distributions data'!$A:$A,INDEX('Capital Call&amp;Distributions data'!$C:$O,0,MIN(MAX(YEAR(AT$41)-YEAR($K79)+$J79+1,1),14)))),0)</f>
        <v>0</v>
      </c>
      <c r="AU79" s="68" cm="1">
        <f t="array" ref="AU79">IFERROR(IF(AU$41&lt;$K79,0,$F79*_xlfn.XLOOKUP($D79,'Capital Call&amp;Distributions data'!$A:$A,INDEX('Capital Call&amp;Distributions data'!$C:$O,0,MIN(MAX(YEAR(AU$41)-YEAR($K79)+$J79+1,1),14)))),0)</f>
        <v>0</v>
      </c>
      <c r="AW79" s="1"/>
      <c r="DJ79" s="11"/>
    </row>
    <row r="80" spans="3:114" ht="29.25" hidden="1" customHeight="1" outlineLevel="1">
      <c r="C80" s="20"/>
      <c r="D80" s="21">
        <f>_xlfn.XLOOKUP(C80,Fondsen!B:B,Fondsen!C:C,"0",0,1)</f>
        <v>0</v>
      </c>
      <c r="E80" s="21" t="s">
        <v>10</v>
      </c>
      <c r="F80" s="83"/>
      <c r="G80" s="143" t="str">
        <f ca="1">IFERROR(IF(SUM(OFFSET(INDEX('Capital Call&amp;Distributions data'!A:A,MATCH(D80,'Capital Call&amp;Distributions data'!A:A,0)),-1,2,1,1000))=0,"✔",""),"")</f>
        <v/>
      </c>
      <c r="H80" s="138" t="str">
        <f t="shared" si="4"/>
        <v/>
      </c>
      <c r="I80" s="96">
        <v>45658</v>
      </c>
      <c r="J80" s="70">
        <f t="shared" si="3"/>
        <v>0</v>
      </c>
      <c r="K80" s="96">
        <v>45658</v>
      </c>
      <c r="L80" s="68" cm="1">
        <f t="array" ref="L80">IFERROR(IF(L$41&lt;$K80,0,$F80*_xlfn.XLOOKUP($D80,'Capital Call&amp;Distributions data'!$A:$A,INDEX('Capital Call&amp;Distributions data'!$C:$O,0,MIN(MAX(YEAR(L$41)-YEAR($K80)+$J80+1,1),14)))),0)</f>
        <v>0</v>
      </c>
      <c r="M80" s="68" cm="1">
        <f t="array" ref="M80">IFERROR(IF(M$41&lt;$K80,0,$F80*_xlfn.XLOOKUP($D80,'Capital Call&amp;Distributions data'!$A:$A,INDEX('Capital Call&amp;Distributions data'!$C:$O,0,MIN(MAX(YEAR(M$41)-YEAR($K80)+$J80+1,1),14)))),0)</f>
        <v>0</v>
      </c>
      <c r="N80" s="68" cm="1">
        <f t="array" ref="N80">IFERROR(IF(N$41&lt;$K80,0,$F80*_xlfn.XLOOKUP($D80,'Capital Call&amp;Distributions data'!$A:$A,INDEX('Capital Call&amp;Distributions data'!$C:$O,0,MIN(MAX(YEAR(N$41)-YEAR($K80)+$J80+1,1),14)))),0)</f>
        <v>0</v>
      </c>
      <c r="O80" s="68" cm="1">
        <f t="array" ref="O80">IFERROR(IF(O$41&lt;$K80,0,$F80*_xlfn.XLOOKUP($D80,'Capital Call&amp;Distributions data'!$A:$A,INDEX('Capital Call&amp;Distributions data'!$C:$O,0,MIN(MAX(YEAR(O$41)-YEAR($K80)+$J80+1,1),14)))),0)</f>
        <v>0</v>
      </c>
      <c r="P80" s="68" cm="1">
        <f t="array" ref="P80">IFERROR(IF(P$41&lt;$K80,0,$F80*_xlfn.XLOOKUP($D80,'Capital Call&amp;Distributions data'!$A:$A,INDEX('Capital Call&amp;Distributions data'!$C:$O,0,MIN(MAX(YEAR(P$41)-YEAR($K80)+$J80+1,1),14)))),0)</f>
        <v>0</v>
      </c>
      <c r="Q80" s="68" cm="1">
        <f t="array" ref="Q80">IFERROR(IF(Q$41&lt;$K80,0,$F80*_xlfn.XLOOKUP($D80,'Capital Call&amp;Distributions data'!$A:$A,INDEX('Capital Call&amp;Distributions data'!$C:$O,0,MIN(MAX(YEAR(Q$41)-YEAR($K80)+$J80+1,1),14)))),0)</f>
        <v>0</v>
      </c>
      <c r="R80" s="68" cm="1">
        <f t="array" ref="R80">IFERROR(IF(R$41&lt;$K80,0,$F80*_xlfn.XLOOKUP($D80,'Capital Call&amp;Distributions data'!$A:$A,INDEX('Capital Call&amp;Distributions data'!$C:$O,0,MIN(MAX(YEAR(R$41)-YEAR($K80)+$J80+1,1),14)))),0)</f>
        <v>0</v>
      </c>
      <c r="S80" s="68" cm="1">
        <f t="array" ref="S80">IFERROR(IF(S$41&lt;$K80,0,$F80*_xlfn.XLOOKUP($D80,'Capital Call&amp;Distributions data'!$A:$A,INDEX('Capital Call&amp;Distributions data'!$C:$O,0,MIN(MAX(YEAR(S$41)-YEAR($K80)+$J80+1,1),14)))),0)</f>
        <v>0</v>
      </c>
      <c r="T80" s="68" cm="1">
        <f t="array" ref="T80">IFERROR(IF(T$41&lt;$K80,0,$F80*_xlfn.XLOOKUP($D80,'Capital Call&amp;Distributions data'!$A:$A,INDEX('Capital Call&amp;Distributions data'!$C:$O,0,MIN(MAX(YEAR(T$41)-YEAR($K80)+$J80+1,1),14)))),0)</f>
        <v>0</v>
      </c>
      <c r="U80" s="68" cm="1">
        <f t="array" ref="U80">IFERROR(IF(U$41&lt;$K80,0,$F80*_xlfn.XLOOKUP($D80,'Capital Call&amp;Distributions data'!$A:$A,INDEX('Capital Call&amp;Distributions data'!$C:$O,0,MIN(MAX(YEAR(U$41)-YEAR($K80)+$J80+1,1),14)))),0)</f>
        <v>0</v>
      </c>
      <c r="V80" s="68" cm="1">
        <f t="array" ref="V80">IFERROR(IF(V$41&lt;$K80,0,$F80*_xlfn.XLOOKUP($D80,'Capital Call&amp;Distributions data'!$A:$A,INDEX('Capital Call&amp;Distributions data'!$C:$O,0,MIN(MAX(YEAR(V$41)-YEAR($K80)+$J80+1,1),14)))),0)</f>
        <v>0</v>
      </c>
      <c r="W80" s="68" cm="1">
        <f t="array" ref="W80">IFERROR(IF(W$41&lt;$K80,0,$F80*_xlfn.XLOOKUP($D80,'Capital Call&amp;Distributions data'!$A:$A,INDEX('Capital Call&amp;Distributions data'!$C:$O,0,MIN(MAX(YEAR(W$41)-YEAR($K80)+$J80+1,1),14)))),0)</f>
        <v>0</v>
      </c>
      <c r="X80" s="68" cm="1">
        <f t="array" ref="X80">IFERROR(IF(X$41&lt;$K80,0,$F80*_xlfn.XLOOKUP($D80,'Capital Call&amp;Distributions data'!$A:$A,INDEX('Capital Call&amp;Distributions data'!$C:$O,0,MIN(MAX(YEAR(X$41)-YEAR($K80)+$J80+1,1),14)))),0)</f>
        <v>0</v>
      </c>
      <c r="Y80" s="68" cm="1">
        <f t="array" ref="Y80">IFERROR(IF(Y$41&lt;$K80,0,$F80*_xlfn.XLOOKUP($D80,'Capital Call&amp;Distributions data'!$A:$A,INDEX('Capital Call&amp;Distributions data'!$C:$O,0,MIN(MAX(YEAR(Y$41)-YEAR($K80)+$J80+1,1),14)))),0)</f>
        <v>0</v>
      </c>
      <c r="Z80" s="68" cm="1">
        <f t="array" ref="Z80">IFERROR(IF(Z$41&lt;$K80,0,$F80*_xlfn.XLOOKUP($D80,'Capital Call&amp;Distributions data'!$A:$A,INDEX('Capital Call&amp;Distributions data'!$C:$O,0,MIN(MAX(YEAR(Z$41)-YEAR($K80)+$J80+1,1),14)))),0)</f>
        <v>0</v>
      </c>
      <c r="AA80" s="68" cm="1">
        <f t="array" ref="AA80">IFERROR(IF(AA$41&lt;$K80,0,$F80*_xlfn.XLOOKUP($D80,'Capital Call&amp;Distributions data'!$A:$A,INDEX('Capital Call&amp;Distributions data'!$C:$O,0,MIN(MAX(YEAR(AA$41)-YEAR($K80)+$J80+1,1),14)))),0)</f>
        <v>0</v>
      </c>
      <c r="AB80" s="68" cm="1">
        <f t="array" ref="AB80">IFERROR(IF(AB$41&lt;$K80,0,$F80*_xlfn.XLOOKUP($D80,'Capital Call&amp;Distributions data'!$A:$A,INDEX('Capital Call&amp;Distributions data'!$C:$O,0,MIN(MAX(YEAR(AB$41)-YEAR($K80)+$J80+1,1),14)))),0)</f>
        <v>0</v>
      </c>
      <c r="AC80" s="68" cm="1">
        <f t="array" ref="AC80">IFERROR(IF(AC$41&lt;$K80,0,$F80*_xlfn.XLOOKUP($D80,'Capital Call&amp;Distributions data'!$A:$A,INDEX('Capital Call&amp;Distributions data'!$C:$O,0,MIN(MAX(YEAR(AC$41)-YEAR($K80)+$J80+1,1),14)))),0)</f>
        <v>0</v>
      </c>
      <c r="AD80" s="68" cm="1">
        <f t="array" ref="AD80">IFERROR(IF(AD$41&lt;$K80,0,$F80*_xlfn.XLOOKUP($D80,'Capital Call&amp;Distributions data'!$A:$A,INDEX('Capital Call&amp;Distributions data'!$C:$O,0,MIN(MAX(YEAR(AD$41)-YEAR($K80)+$J80+1,1),14)))),0)</f>
        <v>0</v>
      </c>
      <c r="AE80" s="68" cm="1">
        <f t="array" ref="AE80">IFERROR(IF(AE$41&lt;$K80,0,$F80*_xlfn.XLOOKUP($D80,'Capital Call&amp;Distributions data'!$A:$A,INDEX('Capital Call&amp;Distributions data'!$C:$O,0,MIN(MAX(YEAR(AE$41)-YEAR($K80)+$J80+1,1),14)))),0)</f>
        <v>0</v>
      </c>
      <c r="AF80" s="68" cm="1">
        <f t="array" ref="AF80">IFERROR(IF(AF$41&lt;$K80,0,$F80*_xlfn.XLOOKUP($D80,'Capital Call&amp;Distributions data'!$A:$A,INDEX('Capital Call&amp;Distributions data'!$C:$O,0,MIN(MAX(YEAR(AF$41)-YEAR($K80)+$J80+1,1),14)))),0)</f>
        <v>0</v>
      </c>
      <c r="AG80" s="68" cm="1">
        <f t="array" ref="AG80">IFERROR(IF(AG$41&lt;$K80,0,$F80*_xlfn.XLOOKUP($D80,'Capital Call&amp;Distributions data'!$A:$A,INDEX('Capital Call&amp;Distributions data'!$C:$O,0,MIN(MAX(YEAR(AG$41)-YEAR($K80)+$J80+1,1),14)))),0)</f>
        <v>0</v>
      </c>
      <c r="AH80" s="68" cm="1">
        <f t="array" ref="AH80">IFERROR(IF(AH$41&lt;$K80,0,$F80*_xlfn.XLOOKUP($D80,'Capital Call&amp;Distributions data'!$A:$A,INDEX('Capital Call&amp;Distributions data'!$C:$O,0,MIN(MAX(YEAR(AH$41)-YEAR($K80)+$J80+1,1),14)))),0)</f>
        <v>0</v>
      </c>
      <c r="AI80" s="68" cm="1">
        <f t="array" ref="AI80">IFERROR(IF(AI$41&lt;$K80,0,$F80*_xlfn.XLOOKUP($D80,'Capital Call&amp;Distributions data'!$A:$A,INDEX('Capital Call&amp;Distributions data'!$C:$O,0,MIN(MAX(YEAR(AI$41)-YEAR($K80)+$J80+1,1),14)))),0)</f>
        <v>0</v>
      </c>
      <c r="AJ80" s="68" cm="1">
        <f t="array" ref="AJ80">IFERROR(IF(AJ$41&lt;$K80,0,$F80*_xlfn.XLOOKUP($D80,'Capital Call&amp;Distributions data'!$A:$A,INDEX('Capital Call&amp;Distributions data'!$C:$O,0,MIN(MAX(YEAR(AJ$41)-YEAR($K80)+$J80+1,1),14)))),0)</f>
        <v>0</v>
      </c>
      <c r="AK80" s="68" cm="1">
        <f t="array" ref="AK80">IFERROR(IF(AK$41&lt;$K80,0,$F80*_xlfn.XLOOKUP($D80,'Capital Call&amp;Distributions data'!$A:$A,INDEX('Capital Call&amp;Distributions data'!$C:$O,0,MIN(MAX(YEAR(AK$41)-YEAR($K80)+$J80+1,1),14)))),0)</f>
        <v>0</v>
      </c>
      <c r="AL80" s="68" cm="1">
        <f t="array" ref="AL80">IFERROR(IF(AL$41&lt;$K80,0,$F80*_xlfn.XLOOKUP($D80,'Capital Call&amp;Distributions data'!$A:$A,INDEX('Capital Call&amp;Distributions data'!$C:$O,0,MIN(MAX(YEAR(AL$41)-YEAR($K80)+$J80+1,1),14)))),0)</f>
        <v>0</v>
      </c>
      <c r="AM80" s="68" cm="1">
        <f t="array" ref="AM80">IFERROR(IF(AM$41&lt;$K80,0,$F80*_xlfn.XLOOKUP($D80,'Capital Call&amp;Distributions data'!$A:$A,INDEX('Capital Call&amp;Distributions data'!$C:$O,0,MIN(MAX(YEAR(AM$41)-YEAR($K80)+$J80+1,1),14)))),0)</f>
        <v>0</v>
      </c>
      <c r="AN80" s="68" cm="1">
        <f t="array" ref="AN80">IFERROR(IF(AN$41&lt;$K80,0,$F80*_xlfn.XLOOKUP($D80,'Capital Call&amp;Distributions data'!$A:$A,INDEX('Capital Call&amp;Distributions data'!$C:$O,0,MIN(MAX(YEAR(AN$41)-YEAR($K80)+$J80+1,1),14)))),0)</f>
        <v>0</v>
      </c>
      <c r="AO80" s="68" cm="1">
        <f t="array" ref="AO80">IFERROR(IF(AO$41&lt;$K80,0,$F80*_xlfn.XLOOKUP($D80,'Capital Call&amp;Distributions data'!$A:$A,INDEX('Capital Call&amp;Distributions data'!$C:$O,0,MIN(MAX(YEAR(AO$41)-YEAR($K80)+$J80+1,1),14)))),0)</f>
        <v>0</v>
      </c>
      <c r="AP80" s="68" cm="1">
        <f t="array" ref="AP80">IFERROR(IF(AP$41&lt;$K80,0,$F80*_xlfn.XLOOKUP($D80,'Capital Call&amp;Distributions data'!$A:$A,INDEX('Capital Call&amp;Distributions data'!$C:$O,0,MIN(MAX(YEAR(AP$41)-YEAR($K80)+$J80+1,1),14)))),0)</f>
        <v>0</v>
      </c>
      <c r="AQ80" s="68" cm="1">
        <f t="array" ref="AQ80">IFERROR(IF(AQ$41&lt;$K80,0,$F80*_xlfn.XLOOKUP($D80,'Capital Call&amp;Distributions data'!$A:$A,INDEX('Capital Call&amp;Distributions data'!$C:$O,0,MIN(MAX(YEAR(AQ$41)-YEAR($K80)+$J80+1,1),14)))),0)</f>
        <v>0</v>
      </c>
      <c r="AR80" s="68" cm="1">
        <f t="array" ref="AR80">IFERROR(IF(AR$41&lt;$K80,0,$F80*_xlfn.XLOOKUP($D80,'Capital Call&amp;Distributions data'!$A:$A,INDEX('Capital Call&amp;Distributions data'!$C:$O,0,MIN(MAX(YEAR(AR$41)-YEAR($K80)+$J80+1,1),14)))),0)</f>
        <v>0</v>
      </c>
      <c r="AS80" s="68" cm="1">
        <f t="array" ref="AS80">IFERROR(IF(AS$41&lt;$K80,0,$F80*_xlfn.XLOOKUP($D80,'Capital Call&amp;Distributions data'!$A:$A,INDEX('Capital Call&amp;Distributions data'!$C:$O,0,MIN(MAX(YEAR(AS$41)-YEAR($K80)+$J80+1,1),14)))),0)</f>
        <v>0</v>
      </c>
      <c r="AT80" s="68" cm="1">
        <f t="array" ref="AT80">IFERROR(IF(AT$41&lt;$K80,0,$F80*_xlfn.XLOOKUP($D80,'Capital Call&amp;Distributions data'!$A:$A,INDEX('Capital Call&amp;Distributions data'!$C:$O,0,MIN(MAX(YEAR(AT$41)-YEAR($K80)+$J80+1,1),14)))),0)</f>
        <v>0</v>
      </c>
      <c r="AU80" s="68" cm="1">
        <f t="array" ref="AU80">IFERROR(IF(AU$41&lt;$K80,0,$F80*_xlfn.XLOOKUP($D80,'Capital Call&amp;Distributions data'!$A:$A,INDEX('Capital Call&amp;Distributions data'!$C:$O,0,MIN(MAX(YEAR(AU$41)-YEAR($K80)+$J80+1,1),14)))),0)</f>
        <v>0</v>
      </c>
      <c r="AW80" s="1"/>
      <c r="DJ80" s="11"/>
    </row>
    <row r="81" spans="1:114" ht="29.25" hidden="1" customHeight="1" outlineLevel="1">
      <c r="C81" s="20"/>
      <c r="D81" s="21">
        <f>_xlfn.XLOOKUP(C81,Fondsen!B:B,Fondsen!C:C,"0",0,1)</f>
        <v>0</v>
      </c>
      <c r="E81" s="21" t="s">
        <v>10</v>
      </c>
      <c r="F81" s="83" t="s">
        <v>13</v>
      </c>
      <c r="G81" s="143" t="str">
        <f ca="1">IFERROR(IF(SUM(OFFSET(INDEX('Capital Call&amp;Distributions data'!A:A,MATCH(D81,'Capital Call&amp;Distributions data'!A:A,0)),-1,2,1,1000))=0,"✔",""),"")</f>
        <v/>
      </c>
      <c r="H81" s="138" t="str">
        <f t="shared" si="4"/>
        <v/>
      </c>
      <c r="I81" s="96">
        <v>45658</v>
      </c>
      <c r="J81" s="70">
        <f t="shared" si="3"/>
        <v>0</v>
      </c>
      <c r="K81" s="96">
        <v>45658</v>
      </c>
      <c r="L81" s="68" cm="1">
        <f t="array" ref="L81">IFERROR(IF(L$41&lt;$K81,0,$F81*_xlfn.XLOOKUP($D81,'Capital Call&amp;Distributions data'!$A:$A,INDEX('Capital Call&amp;Distributions data'!$C:$O,0,MIN(MAX(YEAR(L$41)-YEAR($K81)+$J81+1,1),14)))),0)</f>
        <v>0</v>
      </c>
      <c r="M81" s="68" cm="1">
        <f t="array" ref="M81">IFERROR(IF(M$41&lt;$K81,0,$F81*_xlfn.XLOOKUP($D81,'Capital Call&amp;Distributions data'!$A:$A,INDEX('Capital Call&amp;Distributions data'!$C:$O,0,MIN(MAX(YEAR(M$41)-YEAR($K81)+$J81+1,1),14)))),0)</f>
        <v>0</v>
      </c>
      <c r="N81" s="68" cm="1">
        <f t="array" ref="N81">IFERROR(IF(N$41&lt;$K81,0,$F81*_xlfn.XLOOKUP($D81,'Capital Call&amp;Distributions data'!$A:$A,INDEX('Capital Call&amp;Distributions data'!$C:$O,0,MIN(MAX(YEAR(N$41)-YEAR($K81)+$J81+1,1),14)))),0)</f>
        <v>0</v>
      </c>
      <c r="O81" s="68" cm="1">
        <f t="array" ref="O81">IFERROR(IF(O$41&lt;$K81,0,$F81*_xlfn.XLOOKUP($D81,'Capital Call&amp;Distributions data'!$A:$A,INDEX('Capital Call&amp;Distributions data'!$C:$O,0,MIN(MAX(YEAR(O$41)-YEAR($K81)+$J81+1,1),14)))),0)</f>
        <v>0</v>
      </c>
      <c r="P81" s="68" cm="1">
        <f t="array" ref="P81">IFERROR(IF(P$41&lt;$K81,0,$F81*_xlfn.XLOOKUP($D81,'Capital Call&amp;Distributions data'!$A:$A,INDEX('Capital Call&amp;Distributions data'!$C:$O,0,MIN(MAX(YEAR(P$41)-YEAR($K81)+$J81+1,1),14)))),0)</f>
        <v>0</v>
      </c>
      <c r="Q81" s="68" cm="1">
        <f t="array" ref="Q81">IFERROR(IF(Q$41&lt;$K81,0,$F81*_xlfn.XLOOKUP($D81,'Capital Call&amp;Distributions data'!$A:$A,INDEX('Capital Call&amp;Distributions data'!$C:$O,0,MIN(MAX(YEAR(Q$41)-YEAR($K81)+$J81+1,1),14)))),0)</f>
        <v>0</v>
      </c>
      <c r="R81" s="68" cm="1">
        <f t="array" ref="R81">IFERROR(IF(R$41&lt;$K81,0,$F81*_xlfn.XLOOKUP($D81,'Capital Call&amp;Distributions data'!$A:$A,INDEX('Capital Call&amp;Distributions data'!$C:$O,0,MIN(MAX(YEAR(R$41)-YEAR($K81)+$J81+1,1),14)))),0)</f>
        <v>0</v>
      </c>
      <c r="S81" s="68" cm="1">
        <f t="array" ref="S81">IFERROR(IF(S$41&lt;$K81,0,$F81*_xlfn.XLOOKUP($D81,'Capital Call&amp;Distributions data'!$A:$A,INDEX('Capital Call&amp;Distributions data'!$C:$O,0,MIN(MAX(YEAR(S$41)-YEAR($K81)+$J81+1,1),14)))),0)</f>
        <v>0</v>
      </c>
      <c r="T81" s="68" cm="1">
        <f t="array" ref="T81">IFERROR(IF(T$41&lt;$K81,0,$F81*_xlfn.XLOOKUP($D81,'Capital Call&amp;Distributions data'!$A:$A,INDEX('Capital Call&amp;Distributions data'!$C:$O,0,MIN(MAX(YEAR(T$41)-YEAR($K81)+$J81+1,1),14)))),0)</f>
        <v>0</v>
      </c>
      <c r="U81" s="68" cm="1">
        <f t="array" ref="U81">IFERROR(IF(U$41&lt;$K81,0,$F81*_xlfn.XLOOKUP($D81,'Capital Call&amp;Distributions data'!$A:$A,INDEX('Capital Call&amp;Distributions data'!$C:$O,0,MIN(MAX(YEAR(U$41)-YEAR($K81)+$J81+1,1),14)))),0)</f>
        <v>0</v>
      </c>
      <c r="V81" s="68" cm="1">
        <f t="array" ref="V81">IFERROR(IF(V$41&lt;$K81,0,$F81*_xlfn.XLOOKUP($D81,'Capital Call&amp;Distributions data'!$A:$A,INDEX('Capital Call&amp;Distributions data'!$C:$O,0,MIN(MAX(YEAR(V$41)-YEAR($K81)+$J81+1,1),14)))),0)</f>
        <v>0</v>
      </c>
      <c r="W81" s="68" cm="1">
        <f t="array" ref="W81">IFERROR(IF(W$41&lt;$K81,0,$F81*_xlfn.XLOOKUP($D81,'Capital Call&amp;Distributions data'!$A:$A,INDEX('Capital Call&amp;Distributions data'!$C:$O,0,MIN(MAX(YEAR(W$41)-YEAR($K81)+$J81+1,1),14)))),0)</f>
        <v>0</v>
      </c>
      <c r="X81" s="68" cm="1">
        <f t="array" ref="X81">IFERROR(IF(X$41&lt;$K81,0,$F81*_xlfn.XLOOKUP($D81,'Capital Call&amp;Distributions data'!$A:$A,INDEX('Capital Call&amp;Distributions data'!$C:$O,0,MIN(MAX(YEAR(X$41)-YEAR($K81)+$J81+1,1),14)))),0)</f>
        <v>0</v>
      </c>
      <c r="Y81" s="68" cm="1">
        <f t="array" ref="Y81">IFERROR(IF(Y$41&lt;$K81,0,$F81*_xlfn.XLOOKUP($D81,'Capital Call&amp;Distributions data'!$A:$A,INDEX('Capital Call&amp;Distributions data'!$C:$O,0,MIN(MAX(YEAR(Y$41)-YEAR($K81)+$J81+1,1),14)))),0)</f>
        <v>0</v>
      </c>
      <c r="Z81" s="68" cm="1">
        <f t="array" ref="Z81">IFERROR(IF(Z$41&lt;$K81,0,$F81*_xlfn.XLOOKUP($D81,'Capital Call&amp;Distributions data'!$A:$A,INDEX('Capital Call&amp;Distributions data'!$C:$O,0,MIN(MAX(YEAR(Z$41)-YEAR($K81)+$J81+1,1),14)))),0)</f>
        <v>0</v>
      </c>
      <c r="AA81" s="68" cm="1">
        <f t="array" ref="AA81">IFERROR(IF(AA$41&lt;$K81,0,$F81*_xlfn.XLOOKUP($D81,'Capital Call&amp;Distributions data'!$A:$A,INDEX('Capital Call&amp;Distributions data'!$C:$O,0,MIN(MAX(YEAR(AA$41)-YEAR($K81)+$J81+1,1),14)))),0)</f>
        <v>0</v>
      </c>
      <c r="AB81" s="68" cm="1">
        <f t="array" ref="AB81">IFERROR(IF(AB$41&lt;$K81,0,$F81*_xlfn.XLOOKUP($D81,'Capital Call&amp;Distributions data'!$A:$A,INDEX('Capital Call&amp;Distributions data'!$C:$O,0,MIN(MAX(YEAR(AB$41)-YEAR($K81)+$J81+1,1),14)))),0)</f>
        <v>0</v>
      </c>
      <c r="AC81" s="68" cm="1">
        <f t="array" ref="AC81">IFERROR(IF(AC$41&lt;$K81,0,$F81*_xlfn.XLOOKUP($D81,'Capital Call&amp;Distributions data'!$A:$A,INDEX('Capital Call&amp;Distributions data'!$C:$O,0,MIN(MAX(YEAR(AC$41)-YEAR($K81)+$J81+1,1),14)))),0)</f>
        <v>0</v>
      </c>
      <c r="AD81" s="68" cm="1">
        <f t="array" ref="AD81">IFERROR(IF(AD$41&lt;$K81,0,$F81*_xlfn.XLOOKUP($D81,'Capital Call&amp;Distributions data'!$A:$A,INDEX('Capital Call&amp;Distributions data'!$C:$O,0,MIN(MAX(YEAR(AD$41)-YEAR($K81)+$J81+1,1),14)))),0)</f>
        <v>0</v>
      </c>
      <c r="AE81" s="68" cm="1">
        <f t="array" ref="AE81">IFERROR(IF(AE$41&lt;$K81,0,$F81*_xlfn.XLOOKUP($D81,'Capital Call&amp;Distributions data'!$A:$A,INDEX('Capital Call&amp;Distributions data'!$C:$O,0,MIN(MAX(YEAR(AE$41)-YEAR($K81)+$J81+1,1),14)))),0)</f>
        <v>0</v>
      </c>
      <c r="AF81" s="68" cm="1">
        <f t="array" ref="AF81">IFERROR(IF(AF$41&lt;$K81,0,$F81*_xlfn.XLOOKUP($D81,'Capital Call&amp;Distributions data'!$A:$A,INDEX('Capital Call&amp;Distributions data'!$C:$O,0,MIN(MAX(YEAR(AF$41)-YEAR($K81)+$J81+1,1),14)))),0)</f>
        <v>0</v>
      </c>
      <c r="AG81" s="68" cm="1">
        <f t="array" ref="AG81">IFERROR(IF(AG$41&lt;$K81,0,$F81*_xlfn.XLOOKUP($D81,'Capital Call&amp;Distributions data'!$A:$A,INDEX('Capital Call&amp;Distributions data'!$C:$O,0,MIN(MAX(YEAR(AG$41)-YEAR($K81)+$J81+1,1),14)))),0)</f>
        <v>0</v>
      </c>
      <c r="AH81" s="68" cm="1">
        <f t="array" ref="AH81">IFERROR(IF(AH$41&lt;$K81,0,$F81*_xlfn.XLOOKUP($D81,'Capital Call&amp;Distributions data'!$A:$A,INDEX('Capital Call&amp;Distributions data'!$C:$O,0,MIN(MAX(YEAR(AH$41)-YEAR($K81)+$J81+1,1),14)))),0)</f>
        <v>0</v>
      </c>
      <c r="AI81" s="68" cm="1">
        <f t="array" ref="AI81">IFERROR(IF(AI$41&lt;$K81,0,$F81*_xlfn.XLOOKUP($D81,'Capital Call&amp;Distributions data'!$A:$A,INDEX('Capital Call&amp;Distributions data'!$C:$O,0,MIN(MAX(YEAR(AI$41)-YEAR($K81)+$J81+1,1),14)))),0)</f>
        <v>0</v>
      </c>
      <c r="AJ81" s="68" cm="1">
        <f t="array" ref="AJ81">IFERROR(IF(AJ$41&lt;$K81,0,$F81*_xlfn.XLOOKUP($D81,'Capital Call&amp;Distributions data'!$A:$A,INDEX('Capital Call&amp;Distributions data'!$C:$O,0,MIN(MAX(YEAR(AJ$41)-YEAR($K81)+$J81+1,1),14)))),0)</f>
        <v>0</v>
      </c>
      <c r="AK81" s="68" cm="1">
        <f t="array" ref="AK81">IFERROR(IF(AK$41&lt;$K81,0,$F81*_xlfn.XLOOKUP($D81,'Capital Call&amp;Distributions data'!$A:$A,INDEX('Capital Call&amp;Distributions data'!$C:$O,0,MIN(MAX(YEAR(AK$41)-YEAR($K81)+$J81+1,1),14)))),0)</f>
        <v>0</v>
      </c>
      <c r="AL81" s="68" cm="1">
        <f t="array" ref="AL81">IFERROR(IF(AL$41&lt;$K81,0,$F81*_xlfn.XLOOKUP($D81,'Capital Call&amp;Distributions data'!$A:$A,INDEX('Capital Call&amp;Distributions data'!$C:$O,0,MIN(MAX(YEAR(AL$41)-YEAR($K81)+$J81+1,1),14)))),0)</f>
        <v>0</v>
      </c>
      <c r="AM81" s="68" cm="1">
        <f t="array" ref="AM81">IFERROR(IF(AM$41&lt;$K81,0,$F81*_xlfn.XLOOKUP($D81,'Capital Call&amp;Distributions data'!$A:$A,INDEX('Capital Call&amp;Distributions data'!$C:$O,0,MIN(MAX(YEAR(AM$41)-YEAR($K81)+$J81+1,1),14)))),0)</f>
        <v>0</v>
      </c>
      <c r="AN81" s="68" cm="1">
        <f t="array" ref="AN81">IFERROR(IF(AN$41&lt;$K81,0,$F81*_xlfn.XLOOKUP($D81,'Capital Call&amp;Distributions data'!$A:$A,INDEX('Capital Call&amp;Distributions data'!$C:$O,0,MIN(MAX(YEAR(AN$41)-YEAR($K81)+$J81+1,1),14)))),0)</f>
        <v>0</v>
      </c>
      <c r="AO81" s="68" cm="1">
        <f t="array" ref="AO81">IFERROR(IF(AO$41&lt;$K81,0,$F81*_xlfn.XLOOKUP($D81,'Capital Call&amp;Distributions data'!$A:$A,INDEX('Capital Call&amp;Distributions data'!$C:$O,0,MIN(MAX(YEAR(AO$41)-YEAR($K81)+$J81+1,1),14)))),0)</f>
        <v>0</v>
      </c>
      <c r="AP81" s="68" cm="1">
        <f t="array" ref="AP81">IFERROR(IF(AP$41&lt;$K81,0,$F81*_xlfn.XLOOKUP($D81,'Capital Call&amp;Distributions data'!$A:$A,INDEX('Capital Call&amp;Distributions data'!$C:$O,0,MIN(MAX(YEAR(AP$41)-YEAR($K81)+$J81+1,1),14)))),0)</f>
        <v>0</v>
      </c>
      <c r="AQ81" s="68" cm="1">
        <f t="array" ref="AQ81">IFERROR(IF(AQ$41&lt;$K81,0,$F81*_xlfn.XLOOKUP($D81,'Capital Call&amp;Distributions data'!$A:$A,INDEX('Capital Call&amp;Distributions data'!$C:$O,0,MIN(MAX(YEAR(AQ$41)-YEAR($K81)+$J81+1,1),14)))),0)</f>
        <v>0</v>
      </c>
      <c r="AR81" s="68" cm="1">
        <f t="array" ref="AR81">IFERROR(IF(AR$41&lt;$K81,0,$F81*_xlfn.XLOOKUP($D81,'Capital Call&amp;Distributions data'!$A:$A,INDEX('Capital Call&amp;Distributions data'!$C:$O,0,MIN(MAX(YEAR(AR$41)-YEAR($K81)+$J81+1,1),14)))),0)</f>
        <v>0</v>
      </c>
      <c r="AS81" s="68" cm="1">
        <f t="array" ref="AS81">IFERROR(IF(AS$41&lt;$K81,0,$F81*_xlfn.XLOOKUP($D81,'Capital Call&amp;Distributions data'!$A:$A,INDEX('Capital Call&amp;Distributions data'!$C:$O,0,MIN(MAX(YEAR(AS$41)-YEAR($K81)+$J81+1,1),14)))),0)</f>
        <v>0</v>
      </c>
      <c r="AT81" s="68" cm="1">
        <f t="array" ref="AT81">IFERROR(IF(AT$41&lt;$K81,0,$F81*_xlfn.XLOOKUP($D81,'Capital Call&amp;Distributions data'!$A:$A,INDEX('Capital Call&amp;Distributions data'!$C:$O,0,MIN(MAX(YEAR(AT$41)-YEAR($K81)+$J81+1,1),14)))),0)</f>
        <v>0</v>
      </c>
      <c r="AU81" s="68" cm="1">
        <f t="array" ref="AU81">IFERROR(IF(AU$41&lt;$K81,0,$F81*_xlfn.XLOOKUP($D81,'Capital Call&amp;Distributions data'!$A:$A,INDEX('Capital Call&amp;Distributions data'!$C:$O,0,MIN(MAX(YEAR(AU$41)-YEAR($K81)+$J81+1,1),14)))),0)</f>
        <v>0</v>
      </c>
      <c r="AW81" s="1"/>
      <c r="DJ81" s="11"/>
    </row>
    <row r="82" spans="1:114" ht="29.25" hidden="1" customHeight="1" outlineLevel="1">
      <c r="C82" s="20"/>
      <c r="D82" s="21">
        <f>_xlfn.XLOOKUP(C82,Fondsen!B:B,Fondsen!C:C,"0",0,1)</f>
        <v>0</v>
      </c>
      <c r="E82" s="21" t="s">
        <v>10</v>
      </c>
      <c r="F82" s="83" t="s">
        <v>13</v>
      </c>
      <c r="G82" s="143" t="str">
        <f ca="1">IFERROR(IF(SUM(OFFSET(INDEX('Capital Call&amp;Distributions data'!A:A,MATCH(D82,'Capital Call&amp;Distributions data'!A:A,0)),-1,2,1,1000))=0,"✔",""),"")</f>
        <v/>
      </c>
      <c r="H82" s="138" t="str">
        <f t="shared" si="4"/>
        <v/>
      </c>
      <c r="I82" s="96">
        <v>45658</v>
      </c>
      <c r="J82" s="70">
        <f t="shared" si="3"/>
        <v>0</v>
      </c>
      <c r="K82" s="96">
        <v>45658</v>
      </c>
      <c r="L82" s="68" cm="1">
        <f t="array" ref="L82">IFERROR(IF(L$41&lt;$K82,0,$F82*_xlfn.XLOOKUP($D82,'Capital Call&amp;Distributions data'!$A:$A,INDEX('Capital Call&amp;Distributions data'!$C:$O,0,MIN(MAX(YEAR(L$41)-YEAR($K82)+$J82+1,1),14)))),0)</f>
        <v>0</v>
      </c>
      <c r="M82" s="68" cm="1">
        <f t="array" ref="M82">IFERROR(IF(M$41&lt;$K82,0,$F82*_xlfn.XLOOKUP($D82,'Capital Call&amp;Distributions data'!$A:$A,INDEX('Capital Call&amp;Distributions data'!$C:$O,0,MIN(MAX(YEAR(M$41)-YEAR($K82)+$J82+1,1),14)))),0)</f>
        <v>0</v>
      </c>
      <c r="N82" s="68" cm="1">
        <f t="array" ref="N82">IFERROR(IF(N$41&lt;$K82,0,$F82*_xlfn.XLOOKUP($D82,'Capital Call&amp;Distributions data'!$A:$A,INDEX('Capital Call&amp;Distributions data'!$C:$O,0,MIN(MAX(YEAR(N$41)-YEAR($K82)+$J82+1,1),14)))),0)</f>
        <v>0</v>
      </c>
      <c r="O82" s="68" cm="1">
        <f t="array" ref="O82">IFERROR(IF(O$41&lt;$K82,0,$F82*_xlfn.XLOOKUP($D82,'Capital Call&amp;Distributions data'!$A:$A,INDEX('Capital Call&amp;Distributions data'!$C:$O,0,MIN(MAX(YEAR(O$41)-YEAR($K82)+$J82+1,1),14)))),0)</f>
        <v>0</v>
      </c>
      <c r="P82" s="68" cm="1">
        <f t="array" ref="P82">IFERROR(IF(P$41&lt;$K82,0,$F82*_xlfn.XLOOKUP($D82,'Capital Call&amp;Distributions data'!$A:$A,INDEX('Capital Call&amp;Distributions data'!$C:$O,0,MIN(MAX(YEAR(P$41)-YEAR($K82)+$J82+1,1),14)))),0)</f>
        <v>0</v>
      </c>
      <c r="Q82" s="68" cm="1">
        <f t="array" ref="Q82">IFERROR(IF(Q$41&lt;$K82,0,$F82*_xlfn.XLOOKUP($D82,'Capital Call&amp;Distributions data'!$A:$A,INDEX('Capital Call&amp;Distributions data'!$C:$O,0,MIN(MAX(YEAR(Q$41)-YEAR($K82)+$J82+1,1),14)))),0)</f>
        <v>0</v>
      </c>
      <c r="R82" s="68" cm="1">
        <f t="array" ref="R82">IFERROR(IF(R$41&lt;$K82,0,$F82*_xlfn.XLOOKUP($D82,'Capital Call&amp;Distributions data'!$A:$A,INDEX('Capital Call&amp;Distributions data'!$C:$O,0,MIN(MAX(YEAR(R$41)-YEAR($K82)+$J82+1,1),14)))),0)</f>
        <v>0</v>
      </c>
      <c r="S82" s="68" cm="1">
        <f t="array" ref="S82">IFERROR(IF(S$41&lt;$K82,0,$F82*_xlfn.XLOOKUP($D82,'Capital Call&amp;Distributions data'!$A:$A,INDEX('Capital Call&amp;Distributions data'!$C:$O,0,MIN(MAX(YEAR(S$41)-YEAR($K82)+$J82+1,1),14)))),0)</f>
        <v>0</v>
      </c>
      <c r="T82" s="68" cm="1">
        <f t="array" ref="T82">IFERROR(IF(T$41&lt;$K82,0,$F82*_xlfn.XLOOKUP($D82,'Capital Call&amp;Distributions data'!$A:$A,INDEX('Capital Call&amp;Distributions data'!$C:$O,0,MIN(MAX(YEAR(T$41)-YEAR($K82)+$J82+1,1),14)))),0)</f>
        <v>0</v>
      </c>
      <c r="U82" s="68" cm="1">
        <f t="array" ref="U82">IFERROR(IF(U$41&lt;$K82,0,$F82*_xlfn.XLOOKUP($D82,'Capital Call&amp;Distributions data'!$A:$A,INDEX('Capital Call&amp;Distributions data'!$C:$O,0,MIN(MAX(YEAR(U$41)-YEAR($K82)+$J82+1,1),14)))),0)</f>
        <v>0</v>
      </c>
      <c r="V82" s="68" cm="1">
        <f t="array" ref="V82">IFERROR(IF(V$41&lt;$K82,0,$F82*_xlfn.XLOOKUP($D82,'Capital Call&amp;Distributions data'!$A:$A,INDEX('Capital Call&amp;Distributions data'!$C:$O,0,MIN(MAX(YEAR(V$41)-YEAR($K82)+$J82+1,1),14)))),0)</f>
        <v>0</v>
      </c>
      <c r="W82" s="68" cm="1">
        <f t="array" ref="W82">IFERROR(IF(W$41&lt;$K82,0,$F82*_xlfn.XLOOKUP($D82,'Capital Call&amp;Distributions data'!$A:$A,INDEX('Capital Call&amp;Distributions data'!$C:$O,0,MIN(MAX(YEAR(W$41)-YEAR($K82)+$J82+1,1),14)))),0)</f>
        <v>0</v>
      </c>
      <c r="X82" s="68" cm="1">
        <f t="array" ref="X82">IFERROR(IF(X$41&lt;$K82,0,$F82*_xlfn.XLOOKUP($D82,'Capital Call&amp;Distributions data'!$A:$A,INDEX('Capital Call&amp;Distributions data'!$C:$O,0,MIN(MAX(YEAR(X$41)-YEAR($K82)+$J82+1,1),14)))),0)</f>
        <v>0</v>
      </c>
      <c r="Y82" s="68" cm="1">
        <f t="array" ref="Y82">IFERROR(IF(Y$41&lt;$K82,0,$F82*_xlfn.XLOOKUP($D82,'Capital Call&amp;Distributions data'!$A:$A,INDEX('Capital Call&amp;Distributions data'!$C:$O,0,MIN(MAX(YEAR(Y$41)-YEAR($K82)+$J82+1,1),14)))),0)</f>
        <v>0</v>
      </c>
      <c r="Z82" s="68" cm="1">
        <f t="array" ref="Z82">IFERROR(IF(Z$41&lt;$K82,0,$F82*_xlfn.XLOOKUP($D82,'Capital Call&amp;Distributions data'!$A:$A,INDEX('Capital Call&amp;Distributions data'!$C:$O,0,MIN(MAX(YEAR(Z$41)-YEAR($K82)+$J82+1,1),14)))),0)</f>
        <v>0</v>
      </c>
      <c r="AA82" s="68" cm="1">
        <f t="array" ref="AA82">IFERROR(IF(AA$41&lt;$K82,0,$F82*_xlfn.XLOOKUP($D82,'Capital Call&amp;Distributions data'!$A:$A,INDEX('Capital Call&amp;Distributions data'!$C:$O,0,MIN(MAX(YEAR(AA$41)-YEAR($K82)+$J82+1,1),14)))),0)</f>
        <v>0</v>
      </c>
      <c r="AB82" s="68" cm="1">
        <f t="array" ref="AB82">IFERROR(IF(AB$41&lt;$K82,0,$F82*_xlfn.XLOOKUP($D82,'Capital Call&amp;Distributions data'!$A:$A,INDEX('Capital Call&amp;Distributions data'!$C:$O,0,MIN(MAX(YEAR(AB$41)-YEAR($K82)+$J82+1,1),14)))),0)</f>
        <v>0</v>
      </c>
      <c r="AC82" s="68" cm="1">
        <f t="array" ref="AC82">IFERROR(IF(AC$41&lt;$K82,0,$F82*_xlfn.XLOOKUP($D82,'Capital Call&amp;Distributions data'!$A:$A,INDEX('Capital Call&amp;Distributions data'!$C:$O,0,MIN(MAX(YEAR(AC$41)-YEAR($K82)+$J82+1,1),14)))),0)</f>
        <v>0</v>
      </c>
      <c r="AD82" s="68" cm="1">
        <f t="array" ref="AD82">IFERROR(IF(AD$41&lt;$K82,0,$F82*_xlfn.XLOOKUP($D82,'Capital Call&amp;Distributions data'!$A:$A,INDEX('Capital Call&amp;Distributions data'!$C:$O,0,MIN(MAX(YEAR(AD$41)-YEAR($K82)+$J82+1,1),14)))),0)</f>
        <v>0</v>
      </c>
      <c r="AE82" s="68" cm="1">
        <f t="array" ref="AE82">IFERROR(IF(AE$41&lt;$K82,0,$F82*_xlfn.XLOOKUP($D82,'Capital Call&amp;Distributions data'!$A:$A,INDEX('Capital Call&amp;Distributions data'!$C:$O,0,MIN(MAX(YEAR(AE$41)-YEAR($K82)+$J82+1,1),14)))),0)</f>
        <v>0</v>
      </c>
      <c r="AF82" s="68" cm="1">
        <f t="array" ref="AF82">IFERROR(IF(AF$41&lt;$K82,0,$F82*_xlfn.XLOOKUP($D82,'Capital Call&amp;Distributions data'!$A:$A,INDEX('Capital Call&amp;Distributions data'!$C:$O,0,MIN(MAX(YEAR(AF$41)-YEAR($K82)+$J82+1,1),14)))),0)</f>
        <v>0</v>
      </c>
      <c r="AG82" s="68" cm="1">
        <f t="array" ref="AG82">IFERROR(IF(AG$41&lt;$K82,0,$F82*_xlfn.XLOOKUP($D82,'Capital Call&amp;Distributions data'!$A:$A,INDEX('Capital Call&amp;Distributions data'!$C:$O,0,MIN(MAX(YEAR(AG$41)-YEAR($K82)+$J82+1,1),14)))),0)</f>
        <v>0</v>
      </c>
      <c r="AH82" s="68" cm="1">
        <f t="array" ref="AH82">IFERROR(IF(AH$41&lt;$K82,0,$F82*_xlfn.XLOOKUP($D82,'Capital Call&amp;Distributions data'!$A:$A,INDEX('Capital Call&amp;Distributions data'!$C:$O,0,MIN(MAX(YEAR(AH$41)-YEAR($K82)+$J82+1,1),14)))),0)</f>
        <v>0</v>
      </c>
      <c r="AI82" s="68" cm="1">
        <f t="array" ref="AI82">IFERROR(IF(AI$41&lt;$K82,0,$F82*_xlfn.XLOOKUP($D82,'Capital Call&amp;Distributions data'!$A:$A,INDEX('Capital Call&amp;Distributions data'!$C:$O,0,MIN(MAX(YEAR(AI$41)-YEAR($K82)+$J82+1,1),14)))),0)</f>
        <v>0</v>
      </c>
      <c r="AJ82" s="68" cm="1">
        <f t="array" ref="AJ82">IFERROR(IF(AJ$41&lt;$K82,0,$F82*_xlfn.XLOOKUP($D82,'Capital Call&amp;Distributions data'!$A:$A,INDEX('Capital Call&amp;Distributions data'!$C:$O,0,MIN(MAX(YEAR(AJ$41)-YEAR($K82)+$J82+1,1),14)))),0)</f>
        <v>0</v>
      </c>
      <c r="AK82" s="68" cm="1">
        <f t="array" ref="AK82">IFERROR(IF(AK$41&lt;$K82,0,$F82*_xlfn.XLOOKUP($D82,'Capital Call&amp;Distributions data'!$A:$A,INDEX('Capital Call&amp;Distributions data'!$C:$O,0,MIN(MAX(YEAR(AK$41)-YEAR($K82)+$J82+1,1),14)))),0)</f>
        <v>0</v>
      </c>
      <c r="AL82" s="68" cm="1">
        <f t="array" ref="AL82">IFERROR(IF(AL$41&lt;$K82,0,$F82*_xlfn.XLOOKUP($D82,'Capital Call&amp;Distributions data'!$A:$A,INDEX('Capital Call&amp;Distributions data'!$C:$O,0,MIN(MAX(YEAR(AL$41)-YEAR($K82)+$J82+1,1),14)))),0)</f>
        <v>0</v>
      </c>
      <c r="AM82" s="68" cm="1">
        <f t="array" ref="AM82">IFERROR(IF(AM$41&lt;$K82,0,$F82*_xlfn.XLOOKUP($D82,'Capital Call&amp;Distributions data'!$A:$A,INDEX('Capital Call&amp;Distributions data'!$C:$O,0,MIN(MAX(YEAR(AM$41)-YEAR($K82)+$J82+1,1),14)))),0)</f>
        <v>0</v>
      </c>
      <c r="AN82" s="68" cm="1">
        <f t="array" ref="AN82">IFERROR(IF(AN$41&lt;$K82,0,$F82*_xlfn.XLOOKUP($D82,'Capital Call&amp;Distributions data'!$A:$A,INDEX('Capital Call&amp;Distributions data'!$C:$O,0,MIN(MAX(YEAR(AN$41)-YEAR($K82)+$J82+1,1),14)))),0)</f>
        <v>0</v>
      </c>
      <c r="AO82" s="68" cm="1">
        <f t="array" ref="AO82">IFERROR(IF(AO$41&lt;$K82,0,$F82*_xlfn.XLOOKUP($D82,'Capital Call&amp;Distributions data'!$A:$A,INDEX('Capital Call&amp;Distributions data'!$C:$O,0,MIN(MAX(YEAR(AO$41)-YEAR($K82)+$J82+1,1),14)))),0)</f>
        <v>0</v>
      </c>
      <c r="AP82" s="68" cm="1">
        <f t="array" ref="AP82">IFERROR(IF(AP$41&lt;$K82,0,$F82*_xlfn.XLOOKUP($D82,'Capital Call&amp;Distributions data'!$A:$A,INDEX('Capital Call&amp;Distributions data'!$C:$O,0,MIN(MAX(YEAR(AP$41)-YEAR($K82)+$J82+1,1),14)))),0)</f>
        <v>0</v>
      </c>
      <c r="AQ82" s="68" cm="1">
        <f t="array" ref="AQ82">IFERROR(IF(AQ$41&lt;$K82,0,$F82*_xlfn.XLOOKUP($D82,'Capital Call&amp;Distributions data'!$A:$A,INDEX('Capital Call&amp;Distributions data'!$C:$O,0,MIN(MAX(YEAR(AQ$41)-YEAR($K82)+$J82+1,1),14)))),0)</f>
        <v>0</v>
      </c>
      <c r="AR82" s="68" cm="1">
        <f t="array" ref="AR82">IFERROR(IF(AR$41&lt;$K82,0,$F82*_xlfn.XLOOKUP($D82,'Capital Call&amp;Distributions data'!$A:$A,INDEX('Capital Call&amp;Distributions data'!$C:$O,0,MIN(MAX(YEAR(AR$41)-YEAR($K82)+$J82+1,1),14)))),0)</f>
        <v>0</v>
      </c>
      <c r="AS82" s="68" cm="1">
        <f t="array" ref="AS82">IFERROR(IF(AS$41&lt;$K82,0,$F82*_xlfn.XLOOKUP($D82,'Capital Call&amp;Distributions data'!$A:$A,INDEX('Capital Call&amp;Distributions data'!$C:$O,0,MIN(MAX(YEAR(AS$41)-YEAR($K82)+$J82+1,1),14)))),0)</f>
        <v>0</v>
      </c>
      <c r="AT82" s="68" cm="1">
        <f t="array" ref="AT82">IFERROR(IF(AT$41&lt;$K82,0,$F82*_xlfn.XLOOKUP($D82,'Capital Call&amp;Distributions data'!$A:$A,INDEX('Capital Call&amp;Distributions data'!$C:$O,0,MIN(MAX(YEAR(AT$41)-YEAR($K82)+$J82+1,1),14)))),0)</f>
        <v>0</v>
      </c>
      <c r="AU82" s="68" cm="1">
        <f t="array" ref="AU82">IFERROR(IF(AU$41&lt;$K82,0,$F82*_xlfn.XLOOKUP($D82,'Capital Call&amp;Distributions data'!$A:$A,INDEX('Capital Call&amp;Distributions data'!$C:$O,0,MIN(MAX(YEAR(AU$41)-YEAR($K82)+$J82+1,1),14)))),0)</f>
        <v>0</v>
      </c>
      <c r="AW82" s="1"/>
      <c r="DJ82" s="11"/>
    </row>
    <row r="83" spans="1:114" ht="29.1" hidden="1" customHeight="1" outlineLevel="1">
      <c r="C83" s="20"/>
      <c r="D83" s="21">
        <f>_xlfn.XLOOKUP(C83,Fondsen!B:B,Fondsen!C:C,"0",0,1)</f>
        <v>0</v>
      </c>
      <c r="E83" s="21" t="s">
        <v>10</v>
      </c>
      <c r="F83" s="83" t="s">
        <v>13</v>
      </c>
      <c r="G83" s="143" t="str">
        <f ca="1">IFERROR(IF(SUM(OFFSET(INDEX('Capital Call&amp;Distributions data'!A:A,MATCH(D83,'Capital Call&amp;Distributions data'!A:A,0)),-1,2,1,1000))=0,"✔",""),"")</f>
        <v/>
      </c>
      <c r="H83" s="138" t="str">
        <f t="shared" si="4"/>
        <v/>
      </c>
      <c r="I83" s="96">
        <v>45658</v>
      </c>
      <c r="J83" s="70">
        <f t="shared" si="3"/>
        <v>0</v>
      </c>
      <c r="K83" s="96">
        <v>45658</v>
      </c>
      <c r="L83" s="68" cm="1">
        <f t="array" ref="L83">IFERROR(IF(L$41&lt;$K83,0,$F83*_xlfn.XLOOKUP($D83,'Capital Call&amp;Distributions data'!$A:$A,INDEX('Capital Call&amp;Distributions data'!$C:$O,0,MIN(MAX(YEAR(L$41)-YEAR($K83)+$J83+1,1),14)))),0)</f>
        <v>0</v>
      </c>
      <c r="M83" s="68" cm="1">
        <f t="array" ref="M83">IFERROR(IF(M$41&lt;$K83,0,$F83*_xlfn.XLOOKUP($D83,'Capital Call&amp;Distributions data'!$A:$A,INDEX('Capital Call&amp;Distributions data'!$C:$O,0,MIN(MAX(YEAR(M$41)-YEAR($K83)+$J83+1,1),14)))),0)</f>
        <v>0</v>
      </c>
      <c r="N83" s="68" cm="1">
        <f t="array" ref="N83">IFERROR(IF(N$41&lt;$K83,0,$F83*_xlfn.XLOOKUP($D83,'Capital Call&amp;Distributions data'!$A:$A,INDEX('Capital Call&amp;Distributions data'!$C:$O,0,MIN(MAX(YEAR(N$41)-YEAR($K83)+$J83+1,1),14)))),0)</f>
        <v>0</v>
      </c>
      <c r="O83" s="68" cm="1">
        <f t="array" ref="O83">IFERROR(IF(O$41&lt;$K83,0,$F83*_xlfn.XLOOKUP($D83,'Capital Call&amp;Distributions data'!$A:$A,INDEX('Capital Call&amp;Distributions data'!$C:$O,0,MIN(MAX(YEAR(O$41)-YEAR($K83)+$J83+1,1),14)))),0)</f>
        <v>0</v>
      </c>
      <c r="P83" s="68" cm="1">
        <f t="array" ref="P83">IFERROR(IF(P$41&lt;$K83,0,$F83*_xlfn.XLOOKUP($D83,'Capital Call&amp;Distributions data'!$A:$A,INDEX('Capital Call&amp;Distributions data'!$C:$O,0,MIN(MAX(YEAR(P$41)-YEAR($K83)+$J83+1,1),14)))),0)</f>
        <v>0</v>
      </c>
      <c r="Q83" s="68" cm="1">
        <f t="array" ref="Q83">IFERROR(IF(Q$41&lt;$K83,0,$F83*_xlfn.XLOOKUP($D83,'Capital Call&amp;Distributions data'!$A:$A,INDEX('Capital Call&amp;Distributions data'!$C:$O,0,MIN(MAX(YEAR(Q$41)-YEAR($K83)+$J83+1,1),14)))),0)</f>
        <v>0</v>
      </c>
      <c r="R83" s="68" cm="1">
        <f t="array" ref="R83">IFERROR(IF(R$41&lt;$K83,0,$F83*_xlfn.XLOOKUP($D83,'Capital Call&amp;Distributions data'!$A:$A,INDEX('Capital Call&amp;Distributions data'!$C:$O,0,MIN(MAX(YEAR(R$41)-YEAR($K83)+$J83+1,1),14)))),0)</f>
        <v>0</v>
      </c>
      <c r="S83" s="68" cm="1">
        <f t="array" ref="S83">IFERROR(IF(S$41&lt;$K83,0,$F83*_xlfn.XLOOKUP($D83,'Capital Call&amp;Distributions data'!$A:$A,INDEX('Capital Call&amp;Distributions data'!$C:$O,0,MIN(MAX(YEAR(S$41)-YEAR($K83)+$J83+1,1),14)))),0)</f>
        <v>0</v>
      </c>
      <c r="T83" s="68" cm="1">
        <f t="array" ref="T83">IFERROR(IF(T$41&lt;$K83,0,$F83*_xlfn.XLOOKUP($D83,'Capital Call&amp;Distributions data'!$A:$A,INDEX('Capital Call&amp;Distributions data'!$C:$O,0,MIN(MAX(YEAR(T$41)-YEAR($K83)+$J83+1,1),14)))),0)</f>
        <v>0</v>
      </c>
      <c r="U83" s="68" cm="1">
        <f t="array" ref="U83">IFERROR(IF(U$41&lt;$K83,0,$F83*_xlfn.XLOOKUP($D83,'Capital Call&amp;Distributions data'!$A:$A,INDEX('Capital Call&amp;Distributions data'!$C:$O,0,MIN(MAX(YEAR(U$41)-YEAR($K83)+$J83+1,1),14)))),0)</f>
        <v>0</v>
      </c>
      <c r="V83" s="68" cm="1">
        <f t="array" ref="V83">IFERROR(IF(V$41&lt;$K83,0,$F83*_xlfn.XLOOKUP($D83,'Capital Call&amp;Distributions data'!$A:$A,INDEX('Capital Call&amp;Distributions data'!$C:$O,0,MIN(MAX(YEAR(V$41)-YEAR($K83)+$J83+1,1),14)))),0)</f>
        <v>0</v>
      </c>
      <c r="W83" s="68" cm="1">
        <f t="array" ref="W83">IFERROR(IF(W$41&lt;$K83,0,$F83*_xlfn.XLOOKUP($D83,'Capital Call&amp;Distributions data'!$A:$A,INDEX('Capital Call&amp;Distributions data'!$C:$O,0,MIN(MAX(YEAR(W$41)-YEAR($K83)+$J83+1,1),14)))),0)</f>
        <v>0</v>
      </c>
      <c r="X83" s="68" cm="1">
        <f t="array" ref="X83">IFERROR(IF(X$41&lt;$K83,0,$F83*_xlfn.XLOOKUP($D83,'Capital Call&amp;Distributions data'!$A:$A,INDEX('Capital Call&amp;Distributions data'!$C:$O,0,MIN(MAX(YEAR(X$41)-YEAR($K83)+$J83+1,1),14)))),0)</f>
        <v>0</v>
      </c>
      <c r="Y83" s="68" cm="1">
        <f t="array" ref="Y83">IFERROR(IF(Y$41&lt;$K83,0,$F83*_xlfn.XLOOKUP($D83,'Capital Call&amp;Distributions data'!$A:$A,INDEX('Capital Call&amp;Distributions data'!$C:$O,0,MIN(MAX(YEAR(Y$41)-YEAR($K83)+$J83+1,1),14)))),0)</f>
        <v>0</v>
      </c>
      <c r="Z83" s="68" cm="1">
        <f t="array" ref="Z83">IFERROR(IF(Z$41&lt;$K83,0,$F83*_xlfn.XLOOKUP($D83,'Capital Call&amp;Distributions data'!$A:$A,INDEX('Capital Call&amp;Distributions data'!$C:$O,0,MIN(MAX(YEAR(Z$41)-YEAR($K83)+$J83+1,1),14)))),0)</f>
        <v>0</v>
      </c>
      <c r="AA83" s="68" cm="1">
        <f t="array" ref="AA83">IFERROR(IF(AA$41&lt;$K83,0,$F83*_xlfn.XLOOKUP($D83,'Capital Call&amp;Distributions data'!$A:$A,INDEX('Capital Call&amp;Distributions data'!$C:$O,0,MIN(MAX(YEAR(AA$41)-YEAR($K83)+$J83+1,1),14)))),0)</f>
        <v>0</v>
      </c>
      <c r="AB83" s="68" cm="1">
        <f t="array" ref="AB83">IFERROR(IF(AB$41&lt;$K83,0,$F83*_xlfn.XLOOKUP($D83,'Capital Call&amp;Distributions data'!$A:$A,INDEX('Capital Call&amp;Distributions data'!$C:$O,0,MIN(MAX(YEAR(AB$41)-YEAR($K83)+$J83+1,1),14)))),0)</f>
        <v>0</v>
      </c>
      <c r="AC83" s="68" cm="1">
        <f t="array" ref="AC83">IFERROR(IF(AC$41&lt;$K83,0,$F83*_xlfn.XLOOKUP($D83,'Capital Call&amp;Distributions data'!$A:$A,INDEX('Capital Call&amp;Distributions data'!$C:$O,0,MIN(MAX(YEAR(AC$41)-YEAR($K83)+$J83+1,1),14)))),0)</f>
        <v>0</v>
      </c>
      <c r="AD83" s="68" cm="1">
        <f t="array" ref="AD83">IFERROR(IF(AD$41&lt;$K83,0,$F83*_xlfn.XLOOKUP($D83,'Capital Call&amp;Distributions data'!$A:$A,INDEX('Capital Call&amp;Distributions data'!$C:$O,0,MIN(MAX(YEAR(AD$41)-YEAR($K83)+$J83+1,1),14)))),0)</f>
        <v>0</v>
      </c>
      <c r="AE83" s="68" cm="1">
        <f t="array" ref="AE83">IFERROR(IF(AE$41&lt;$K83,0,$F83*_xlfn.XLOOKUP($D83,'Capital Call&amp;Distributions data'!$A:$A,INDEX('Capital Call&amp;Distributions data'!$C:$O,0,MIN(MAX(YEAR(AE$41)-YEAR($K83)+$J83+1,1),14)))),0)</f>
        <v>0</v>
      </c>
      <c r="AF83" s="68" cm="1">
        <f t="array" ref="AF83">IFERROR(IF(AF$41&lt;$K83,0,$F83*_xlfn.XLOOKUP($D83,'Capital Call&amp;Distributions data'!$A:$A,INDEX('Capital Call&amp;Distributions data'!$C:$O,0,MIN(MAX(YEAR(AF$41)-YEAR($K83)+$J83+1,1),14)))),0)</f>
        <v>0</v>
      </c>
      <c r="AG83" s="68" cm="1">
        <f t="array" ref="AG83">IFERROR(IF(AG$41&lt;$K83,0,$F83*_xlfn.XLOOKUP($D83,'Capital Call&amp;Distributions data'!$A:$A,INDEX('Capital Call&amp;Distributions data'!$C:$O,0,MIN(MAX(YEAR(AG$41)-YEAR($K83)+$J83+1,1),14)))),0)</f>
        <v>0</v>
      </c>
      <c r="AH83" s="68" cm="1">
        <f t="array" ref="AH83">IFERROR(IF(AH$41&lt;$K83,0,$F83*_xlfn.XLOOKUP($D83,'Capital Call&amp;Distributions data'!$A:$A,INDEX('Capital Call&amp;Distributions data'!$C:$O,0,MIN(MAX(YEAR(AH$41)-YEAR($K83)+$J83+1,1),14)))),0)</f>
        <v>0</v>
      </c>
      <c r="AI83" s="68" cm="1">
        <f t="array" ref="AI83">IFERROR(IF(AI$41&lt;$K83,0,$F83*_xlfn.XLOOKUP($D83,'Capital Call&amp;Distributions data'!$A:$A,INDEX('Capital Call&amp;Distributions data'!$C:$O,0,MIN(MAX(YEAR(AI$41)-YEAR($K83)+$J83+1,1),14)))),0)</f>
        <v>0</v>
      </c>
      <c r="AJ83" s="68" cm="1">
        <f t="array" ref="AJ83">IFERROR(IF(AJ$41&lt;$K83,0,$F83*_xlfn.XLOOKUP($D83,'Capital Call&amp;Distributions data'!$A:$A,INDEX('Capital Call&amp;Distributions data'!$C:$O,0,MIN(MAX(YEAR(AJ$41)-YEAR($K83)+$J83+1,1),14)))),0)</f>
        <v>0</v>
      </c>
      <c r="AK83" s="68" cm="1">
        <f t="array" ref="AK83">IFERROR(IF(AK$41&lt;$K83,0,$F83*_xlfn.XLOOKUP($D83,'Capital Call&amp;Distributions data'!$A:$A,INDEX('Capital Call&amp;Distributions data'!$C:$O,0,MIN(MAX(YEAR(AK$41)-YEAR($K83)+$J83+1,1),14)))),0)</f>
        <v>0</v>
      </c>
      <c r="AL83" s="68" cm="1">
        <f t="array" ref="AL83">IFERROR(IF(AL$41&lt;$K83,0,$F83*_xlfn.XLOOKUP($D83,'Capital Call&amp;Distributions data'!$A:$A,INDEX('Capital Call&amp;Distributions data'!$C:$O,0,MIN(MAX(YEAR(AL$41)-YEAR($K83)+$J83+1,1),14)))),0)</f>
        <v>0</v>
      </c>
      <c r="AM83" s="68" cm="1">
        <f t="array" ref="AM83">IFERROR(IF(AM$41&lt;$K83,0,$F83*_xlfn.XLOOKUP($D83,'Capital Call&amp;Distributions data'!$A:$A,INDEX('Capital Call&amp;Distributions data'!$C:$O,0,MIN(MAX(YEAR(AM$41)-YEAR($K83)+$J83+1,1),14)))),0)</f>
        <v>0</v>
      </c>
      <c r="AN83" s="68" cm="1">
        <f t="array" ref="AN83">IFERROR(IF(AN$41&lt;$K83,0,$F83*_xlfn.XLOOKUP($D83,'Capital Call&amp;Distributions data'!$A:$A,INDEX('Capital Call&amp;Distributions data'!$C:$O,0,MIN(MAX(YEAR(AN$41)-YEAR($K83)+$J83+1,1),14)))),0)</f>
        <v>0</v>
      </c>
      <c r="AO83" s="68" cm="1">
        <f t="array" ref="AO83">IFERROR(IF(AO$41&lt;$K83,0,$F83*_xlfn.XLOOKUP($D83,'Capital Call&amp;Distributions data'!$A:$A,INDEX('Capital Call&amp;Distributions data'!$C:$O,0,MIN(MAX(YEAR(AO$41)-YEAR($K83)+$J83+1,1),14)))),0)</f>
        <v>0</v>
      </c>
      <c r="AP83" s="68" cm="1">
        <f t="array" ref="AP83">IFERROR(IF(AP$41&lt;$K83,0,$F83*_xlfn.XLOOKUP($D83,'Capital Call&amp;Distributions data'!$A:$A,INDEX('Capital Call&amp;Distributions data'!$C:$O,0,MIN(MAX(YEAR(AP$41)-YEAR($K83)+$J83+1,1),14)))),0)</f>
        <v>0</v>
      </c>
      <c r="AQ83" s="68" cm="1">
        <f t="array" ref="AQ83">IFERROR(IF(AQ$41&lt;$K83,0,$F83*_xlfn.XLOOKUP($D83,'Capital Call&amp;Distributions data'!$A:$A,INDEX('Capital Call&amp;Distributions data'!$C:$O,0,MIN(MAX(YEAR(AQ$41)-YEAR($K83)+$J83+1,1),14)))),0)</f>
        <v>0</v>
      </c>
      <c r="AR83" s="68" cm="1">
        <f t="array" ref="AR83">IFERROR(IF(AR$41&lt;$K83,0,$F83*_xlfn.XLOOKUP($D83,'Capital Call&amp;Distributions data'!$A:$A,INDEX('Capital Call&amp;Distributions data'!$C:$O,0,MIN(MAX(YEAR(AR$41)-YEAR($K83)+$J83+1,1),14)))),0)</f>
        <v>0</v>
      </c>
      <c r="AS83" s="68" cm="1">
        <f t="array" ref="AS83">IFERROR(IF(AS$41&lt;$K83,0,$F83*_xlfn.XLOOKUP($D83,'Capital Call&amp;Distributions data'!$A:$A,INDEX('Capital Call&amp;Distributions data'!$C:$O,0,MIN(MAX(YEAR(AS$41)-YEAR($K83)+$J83+1,1),14)))),0)</f>
        <v>0</v>
      </c>
      <c r="AT83" s="68" cm="1">
        <f t="array" ref="AT83">IFERROR(IF(AT$41&lt;$K83,0,$F83*_xlfn.XLOOKUP($D83,'Capital Call&amp;Distributions data'!$A:$A,INDEX('Capital Call&amp;Distributions data'!$C:$O,0,MIN(MAX(YEAR(AT$41)-YEAR($K83)+$J83+1,1),14)))),0)</f>
        <v>0</v>
      </c>
      <c r="AU83" s="68" cm="1">
        <f t="array" ref="AU83">IFERROR(IF(AU$41&lt;$K83,0,$F83*_xlfn.XLOOKUP($D83,'Capital Call&amp;Distributions data'!$A:$A,INDEX('Capital Call&amp;Distributions data'!$C:$O,0,MIN(MAX(YEAR(AU$41)-YEAR($K83)+$J83+1,1),14)))),0)</f>
        <v>0</v>
      </c>
      <c r="AW83" s="1"/>
      <c r="DJ83" s="11"/>
    </row>
    <row r="84" spans="1:114" ht="29.25" hidden="1" customHeight="1" outlineLevel="1">
      <c r="C84" s="20"/>
      <c r="D84" s="21">
        <f>_xlfn.XLOOKUP(C84,Fondsen!B:B,Fondsen!C:C,"0",0,1)</f>
        <v>0</v>
      </c>
      <c r="E84" s="21" t="s">
        <v>10</v>
      </c>
      <c r="F84" s="83" t="s">
        <v>13</v>
      </c>
      <c r="G84" s="143" t="str">
        <f ca="1">IFERROR(IF(SUM(OFFSET(INDEX('Capital Call&amp;Distributions data'!A:A,MATCH(D84,'Capital Call&amp;Distributions data'!A:A,0)),-1,2,1,1000))=0,"✔",""),"")</f>
        <v/>
      </c>
      <c r="H84" s="138" t="str">
        <f t="shared" si="4"/>
        <v/>
      </c>
      <c r="I84" s="96">
        <v>45658</v>
      </c>
      <c r="J84" s="70">
        <f t="shared" si="3"/>
        <v>0</v>
      </c>
      <c r="K84" s="96">
        <v>45658</v>
      </c>
      <c r="L84" s="68" cm="1">
        <f t="array" ref="L84">IFERROR(IF(L$41&lt;$K84,0,$F84*_xlfn.XLOOKUP($D84,'Capital Call&amp;Distributions data'!$A:$A,INDEX('Capital Call&amp;Distributions data'!$C:$O,0,MIN(MAX(YEAR(L$41)-YEAR($K84)+$J84+1,1),14)))),0)</f>
        <v>0</v>
      </c>
      <c r="M84" s="68" cm="1">
        <f t="array" ref="M84">IFERROR(IF(M$41&lt;$K84,0,$F84*_xlfn.XLOOKUP($D84,'Capital Call&amp;Distributions data'!$A:$A,INDEX('Capital Call&amp;Distributions data'!$C:$O,0,MIN(MAX(YEAR(M$41)-YEAR($K84)+$J84+1,1),14)))),0)</f>
        <v>0</v>
      </c>
      <c r="N84" s="68" cm="1">
        <f t="array" ref="N84">IFERROR(IF(N$41&lt;$K84,0,$F84*_xlfn.XLOOKUP($D84,'Capital Call&amp;Distributions data'!$A:$A,INDEX('Capital Call&amp;Distributions data'!$C:$O,0,MIN(MAX(YEAR(N$41)-YEAR($K84)+$J84+1,1),14)))),0)</f>
        <v>0</v>
      </c>
      <c r="O84" s="68" cm="1">
        <f t="array" ref="O84">IFERROR(IF(O$41&lt;$K84,0,$F84*_xlfn.XLOOKUP($D84,'Capital Call&amp;Distributions data'!$A:$A,INDEX('Capital Call&amp;Distributions data'!$C:$O,0,MIN(MAX(YEAR(O$41)-YEAR($K84)+$J84+1,1),14)))),0)</f>
        <v>0</v>
      </c>
      <c r="P84" s="68" cm="1">
        <f t="array" ref="P84">IFERROR(IF(P$41&lt;$K84,0,$F84*_xlfn.XLOOKUP($D84,'Capital Call&amp;Distributions data'!$A:$A,INDEX('Capital Call&amp;Distributions data'!$C:$O,0,MIN(MAX(YEAR(P$41)-YEAR($K84)+$J84+1,1),14)))),0)</f>
        <v>0</v>
      </c>
      <c r="Q84" s="68" cm="1">
        <f t="array" ref="Q84">IFERROR(IF(Q$41&lt;$K84,0,$F84*_xlfn.XLOOKUP($D84,'Capital Call&amp;Distributions data'!$A:$A,INDEX('Capital Call&amp;Distributions data'!$C:$O,0,MIN(MAX(YEAR(Q$41)-YEAR($K84)+$J84+1,1),14)))),0)</f>
        <v>0</v>
      </c>
      <c r="R84" s="68" cm="1">
        <f t="array" ref="R84">IFERROR(IF(R$41&lt;$K84,0,$F84*_xlfn.XLOOKUP($D84,'Capital Call&amp;Distributions data'!$A:$A,INDEX('Capital Call&amp;Distributions data'!$C:$O,0,MIN(MAX(YEAR(R$41)-YEAR($K84)+$J84+1,1),14)))),0)</f>
        <v>0</v>
      </c>
      <c r="S84" s="68" cm="1">
        <f t="array" ref="S84">IFERROR(IF(S$41&lt;$K84,0,$F84*_xlfn.XLOOKUP($D84,'Capital Call&amp;Distributions data'!$A:$A,INDEX('Capital Call&amp;Distributions data'!$C:$O,0,MIN(MAX(YEAR(S$41)-YEAR($K84)+$J84+1,1),14)))),0)</f>
        <v>0</v>
      </c>
      <c r="T84" s="68" cm="1">
        <f t="array" ref="T84">IFERROR(IF(T$41&lt;$K84,0,$F84*_xlfn.XLOOKUP($D84,'Capital Call&amp;Distributions data'!$A:$A,INDEX('Capital Call&amp;Distributions data'!$C:$O,0,MIN(MAX(YEAR(T$41)-YEAR($K84)+$J84+1,1),14)))),0)</f>
        <v>0</v>
      </c>
      <c r="U84" s="68" cm="1">
        <f t="array" ref="U84">IFERROR(IF(U$41&lt;$K84,0,$F84*_xlfn.XLOOKUP($D84,'Capital Call&amp;Distributions data'!$A:$A,INDEX('Capital Call&amp;Distributions data'!$C:$O,0,MIN(MAX(YEAR(U$41)-YEAR($K84)+$J84+1,1),14)))),0)</f>
        <v>0</v>
      </c>
      <c r="V84" s="68" cm="1">
        <f t="array" ref="V84">IFERROR(IF(V$41&lt;$K84,0,$F84*_xlfn.XLOOKUP($D84,'Capital Call&amp;Distributions data'!$A:$A,INDEX('Capital Call&amp;Distributions data'!$C:$O,0,MIN(MAX(YEAR(V$41)-YEAR($K84)+$J84+1,1),14)))),0)</f>
        <v>0</v>
      </c>
      <c r="W84" s="68" cm="1">
        <f t="array" ref="W84">IFERROR(IF(W$41&lt;$K84,0,$F84*_xlfn.XLOOKUP($D84,'Capital Call&amp;Distributions data'!$A:$A,INDEX('Capital Call&amp;Distributions data'!$C:$O,0,MIN(MAX(YEAR(W$41)-YEAR($K84)+$J84+1,1),14)))),0)</f>
        <v>0</v>
      </c>
      <c r="X84" s="68" cm="1">
        <f t="array" ref="X84">IFERROR(IF(X$41&lt;$K84,0,$F84*_xlfn.XLOOKUP($D84,'Capital Call&amp;Distributions data'!$A:$A,INDEX('Capital Call&amp;Distributions data'!$C:$O,0,MIN(MAX(YEAR(X$41)-YEAR($K84)+$J84+1,1),14)))),0)</f>
        <v>0</v>
      </c>
      <c r="Y84" s="68" cm="1">
        <f t="array" ref="Y84">IFERROR(IF(Y$41&lt;$K84,0,$F84*_xlfn.XLOOKUP($D84,'Capital Call&amp;Distributions data'!$A:$A,INDEX('Capital Call&amp;Distributions data'!$C:$O,0,MIN(MAX(YEAR(Y$41)-YEAR($K84)+$J84+1,1),14)))),0)</f>
        <v>0</v>
      </c>
      <c r="Z84" s="68" cm="1">
        <f t="array" ref="Z84">IFERROR(IF(Z$41&lt;$K84,0,$F84*_xlfn.XLOOKUP($D84,'Capital Call&amp;Distributions data'!$A:$A,INDEX('Capital Call&amp;Distributions data'!$C:$O,0,MIN(MAX(YEAR(Z$41)-YEAR($K84)+$J84+1,1),14)))),0)</f>
        <v>0</v>
      </c>
      <c r="AA84" s="68" cm="1">
        <f t="array" ref="AA84">IFERROR(IF(AA$41&lt;$K84,0,$F84*_xlfn.XLOOKUP($D84,'Capital Call&amp;Distributions data'!$A:$A,INDEX('Capital Call&amp;Distributions data'!$C:$O,0,MIN(MAX(YEAR(AA$41)-YEAR($K84)+$J84+1,1),14)))),0)</f>
        <v>0</v>
      </c>
      <c r="AB84" s="68" cm="1">
        <f t="array" ref="AB84">IFERROR(IF(AB$41&lt;$K84,0,$F84*_xlfn.XLOOKUP($D84,'Capital Call&amp;Distributions data'!$A:$A,INDEX('Capital Call&amp;Distributions data'!$C:$O,0,MIN(MAX(YEAR(AB$41)-YEAR($K84)+$J84+1,1),14)))),0)</f>
        <v>0</v>
      </c>
      <c r="AC84" s="68" cm="1">
        <f t="array" ref="AC84">IFERROR(IF(AC$41&lt;$K84,0,$F84*_xlfn.XLOOKUP($D84,'Capital Call&amp;Distributions data'!$A:$A,INDEX('Capital Call&amp;Distributions data'!$C:$O,0,MIN(MAX(YEAR(AC$41)-YEAR($K84)+$J84+1,1),14)))),0)</f>
        <v>0</v>
      </c>
      <c r="AD84" s="68" cm="1">
        <f t="array" ref="AD84">IFERROR(IF(AD$41&lt;$K84,0,$F84*_xlfn.XLOOKUP($D84,'Capital Call&amp;Distributions data'!$A:$A,INDEX('Capital Call&amp;Distributions data'!$C:$O,0,MIN(MAX(YEAR(AD$41)-YEAR($K84)+$J84+1,1),14)))),0)</f>
        <v>0</v>
      </c>
      <c r="AE84" s="68" cm="1">
        <f t="array" ref="AE84">IFERROR(IF(AE$41&lt;$K84,0,$F84*_xlfn.XLOOKUP($D84,'Capital Call&amp;Distributions data'!$A:$A,INDEX('Capital Call&amp;Distributions data'!$C:$O,0,MIN(MAX(YEAR(AE$41)-YEAR($K84)+$J84+1,1),14)))),0)</f>
        <v>0</v>
      </c>
      <c r="AF84" s="68" cm="1">
        <f t="array" ref="AF84">IFERROR(IF(AF$41&lt;$K84,0,$F84*_xlfn.XLOOKUP($D84,'Capital Call&amp;Distributions data'!$A:$A,INDEX('Capital Call&amp;Distributions data'!$C:$O,0,MIN(MAX(YEAR(AF$41)-YEAR($K84)+$J84+1,1),14)))),0)</f>
        <v>0</v>
      </c>
      <c r="AG84" s="68" cm="1">
        <f t="array" ref="AG84">IFERROR(IF(AG$41&lt;$K84,0,$F84*_xlfn.XLOOKUP($D84,'Capital Call&amp;Distributions data'!$A:$A,INDEX('Capital Call&amp;Distributions data'!$C:$O,0,MIN(MAX(YEAR(AG$41)-YEAR($K84)+$J84+1,1),14)))),0)</f>
        <v>0</v>
      </c>
      <c r="AH84" s="68" cm="1">
        <f t="array" ref="AH84">IFERROR(IF(AH$41&lt;$K84,0,$F84*_xlfn.XLOOKUP($D84,'Capital Call&amp;Distributions data'!$A:$A,INDEX('Capital Call&amp;Distributions data'!$C:$O,0,MIN(MAX(YEAR(AH$41)-YEAR($K84)+$J84+1,1),14)))),0)</f>
        <v>0</v>
      </c>
      <c r="AI84" s="68" cm="1">
        <f t="array" ref="AI84">IFERROR(IF(AI$41&lt;$K84,0,$F84*_xlfn.XLOOKUP($D84,'Capital Call&amp;Distributions data'!$A:$A,INDEX('Capital Call&amp;Distributions data'!$C:$O,0,MIN(MAX(YEAR(AI$41)-YEAR($K84)+$J84+1,1),14)))),0)</f>
        <v>0</v>
      </c>
      <c r="AJ84" s="68" cm="1">
        <f t="array" ref="AJ84">IFERROR(IF(AJ$41&lt;$K84,0,$F84*_xlfn.XLOOKUP($D84,'Capital Call&amp;Distributions data'!$A:$A,INDEX('Capital Call&amp;Distributions data'!$C:$O,0,MIN(MAX(YEAR(AJ$41)-YEAR($K84)+$J84+1,1),14)))),0)</f>
        <v>0</v>
      </c>
      <c r="AK84" s="68" cm="1">
        <f t="array" ref="AK84">IFERROR(IF(AK$41&lt;$K84,0,$F84*_xlfn.XLOOKUP($D84,'Capital Call&amp;Distributions data'!$A:$A,INDEX('Capital Call&amp;Distributions data'!$C:$O,0,MIN(MAX(YEAR(AK$41)-YEAR($K84)+$J84+1,1),14)))),0)</f>
        <v>0</v>
      </c>
      <c r="AL84" s="68" cm="1">
        <f t="array" ref="AL84">IFERROR(IF(AL$41&lt;$K84,0,$F84*_xlfn.XLOOKUP($D84,'Capital Call&amp;Distributions data'!$A:$A,INDEX('Capital Call&amp;Distributions data'!$C:$O,0,MIN(MAX(YEAR(AL$41)-YEAR($K84)+$J84+1,1),14)))),0)</f>
        <v>0</v>
      </c>
      <c r="AM84" s="68" cm="1">
        <f t="array" ref="AM84">IFERROR(IF(AM$41&lt;$K84,0,$F84*_xlfn.XLOOKUP($D84,'Capital Call&amp;Distributions data'!$A:$A,INDEX('Capital Call&amp;Distributions data'!$C:$O,0,MIN(MAX(YEAR(AM$41)-YEAR($K84)+$J84+1,1),14)))),0)</f>
        <v>0</v>
      </c>
      <c r="AN84" s="68" cm="1">
        <f t="array" ref="AN84">IFERROR(IF(AN$41&lt;$K84,0,$F84*_xlfn.XLOOKUP($D84,'Capital Call&amp;Distributions data'!$A:$A,INDEX('Capital Call&amp;Distributions data'!$C:$O,0,MIN(MAX(YEAR(AN$41)-YEAR($K84)+$J84+1,1),14)))),0)</f>
        <v>0</v>
      </c>
      <c r="AO84" s="68" cm="1">
        <f t="array" ref="AO84">IFERROR(IF(AO$41&lt;$K84,0,$F84*_xlfn.XLOOKUP($D84,'Capital Call&amp;Distributions data'!$A:$A,INDEX('Capital Call&amp;Distributions data'!$C:$O,0,MIN(MAX(YEAR(AO$41)-YEAR($K84)+$J84+1,1),14)))),0)</f>
        <v>0</v>
      </c>
      <c r="AP84" s="68" cm="1">
        <f t="array" ref="AP84">IFERROR(IF(AP$41&lt;$K84,0,$F84*_xlfn.XLOOKUP($D84,'Capital Call&amp;Distributions data'!$A:$A,INDEX('Capital Call&amp;Distributions data'!$C:$O,0,MIN(MAX(YEAR(AP$41)-YEAR($K84)+$J84+1,1),14)))),0)</f>
        <v>0</v>
      </c>
      <c r="AQ84" s="68" cm="1">
        <f t="array" ref="AQ84">IFERROR(IF(AQ$41&lt;$K84,0,$F84*_xlfn.XLOOKUP($D84,'Capital Call&amp;Distributions data'!$A:$A,INDEX('Capital Call&amp;Distributions data'!$C:$O,0,MIN(MAX(YEAR(AQ$41)-YEAR($K84)+$J84+1,1),14)))),0)</f>
        <v>0</v>
      </c>
      <c r="AR84" s="68" cm="1">
        <f t="array" ref="AR84">IFERROR(IF(AR$41&lt;$K84,0,$F84*_xlfn.XLOOKUP($D84,'Capital Call&amp;Distributions data'!$A:$A,INDEX('Capital Call&amp;Distributions data'!$C:$O,0,MIN(MAX(YEAR(AR$41)-YEAR($K84)+$J84+1,1),14)))),0)</f>
        <v>0</v>
      </c>
      <c r="AS84" s="68" cm="1">
        <f t="array" ref="AS84">IFERROR(IF(AS$41&lt;$K84,0,$F84*_xlfn.XLOOKUP($D84,'Capital Call&amp;Distributions data'!$A:$A,INDEX('Capital Call&amp;Distributions data'!$C:$O,0,MIN(MAX(YEAR(AS$41)-YEAR($K84)+$J84+1,1),14)))),0)</f>
        <v>0</v>
      </c>
      <c r="AT84" s="68" cm="1">
        <f t="array" ref="AT84">IFERROR(IF(AT$41&lt;$K84,0,$F84*_xlfn.XLOOKUP($D84,'Capital Call&amp;Distributions data'!$A:$A,INDEX('Capital Call&amp;Distributions data'!$C:$O,0,MIN(MAX(YEAR(AT$41)-YEAR($K84)+$J84+1,1),14)))),0)</f>
        <v>0</v>
      </c>
      <c r="AU84" s="68" cm="1">
        <f t="array" ref="AU84">IFERROR(IF(AU$41&lt;$K84,0,$F84*_xlfn.XLOOKUP($D84,'Capital Call&amp;Distributions data'!$A:$A,INDEX('Capital Call&amp;Distributions data'!$C:$O,0,MIN(MAX(YEAR(AU$41)-YEAR($K84)+$J84+1,1),14)))),0)</f>
        <v>0</v>
      </c>
      <c r="AW84" s="1"/>
      <c r="DJ84" s="11"/>
    </row>
    <row r="85" spans="1:114" ht="29.25" hidden="1" customHeight="1" outlineLevel="1">
      <c r="C85" s="20"/>
      <c r="D85" s="21">
        <f>_xlfn.XLOOKUP(C85,Fondsen!B:B,Fondsen!C:C,"0",0,1)</f>
        <v>0</v>
      </c>
      <c r="E85" s="21" t="s">
        <v>10</v>
      </c>
      <c r="F85" s="83" t="s">
        <v>13</v>
      </c>
      <c r="G85" s="143" t="str">
        <f ca="1">IFERROR(IF(SUM(OFFSET(INDEX('Capital Call&amp;Distributions data'!A:A,MATCH(D85,'Capital Call&amp;Distributions data'!A:A,0)),-1,2,1,1000))=0,"✔",""),"")</f>
        <v/>
      </c>
      <c r="H85" s="138" t="str">
        <f t="shared" si="4"/>
        <v/>
      </c>
      <c r="I85" s="96">
        <v>45658</v>
      </c>
      <c r="J85" s="70">
        <f t="shared" si="3"/>
        <v>0</v>
      </c>
      <c r="K85" s="96">
        <v>45658</v>
      </c>
      <c r="L85" s="68" cm="1">
        <f t="array" ref="L85">IFERROR(IF(L$41&lt;$K85,0,$F85*_xlfn.XLOOKUP($D85,'Capital Call&amp;Distributions data'!$A:$A,INDEX('Capital Call&amp;Distributions data'!$C:$O,0,MIN(MAX(YEAR(L$41)-YEAR($K85)+$J85+1,1),14)))),0)</f>
        <v>0</v>
      </c>
      <c r="M85" s="68" cm="1">
        <f t="array" ref="M85">IFERROR(IF(M$41&lt;$K85,0,$F85*_xlfn.XLOOKUP($D85,'Capital Call&amp;Distributions data'!$A:$A,INDEX('Capital Call&amp;Distributions data'!$C:$O,0,MIN(MAX(YEAR(M$41)-YEAR($K85)+$J85+1,1),14)))),0)</f>
        <v>0</v>
      </c>
      <c r="N85" s="68" cm="1">
        <f t="array" ref="N85">IFERROR(IF(N$41&lt;$K85,0,$F85*_xlfn.XLOOKUP($D85,'Capital Call&amp;Distributions data'!$A:$A,INDEX('Capital Call&amp;Distributions data'!$C:$O,0,MIN(MAX(YEAR(N$41)-YEAR($K85)+$J85+1,1),14)))),0)</f>
        <v>0</v>
      </c>
      <c r="O85" s="68" cm="1">
        <f t="array" ref="O85">IFERROR(IF(O$41&lt;$K85,0,$F85*_xlfn.XLOOKUP($D85,'Capital Call&amp;Distributions data'!$A:$A,INDEX('Capital Call&amp;Distributions data'!$C:$O,0,MIN(MAX(YEAR(O$41)-YEAR($K85)+$J85+1,1),14)))),0)</f>
        <v>0</v>
      </c>
      <c r="P85" s="68" cm="1">
        <f t="array" ref="P85">IFERROR(IF(P$41&lt;$K85,0,$F85*_xlfn.XLOOKUP($D85,'Capital Call&amp;Distributions data'!$A:$A,INDEX('Capital Call&amp;Distributions data'!$C:$O,0,MIN(MAX(YEAR(P$41)-YEAR($K85)+$J85+1,1),14)))),0)</f>
        <v>0</v>
      </c>
      <c r="Q85" s="68" cm="1">
        <f t="array" ref="Q85">IFERROR(IF(Q$41&lt;$K85,0,$F85*_xlfn.XLOOKUP($D85,'Capital Call&amp;Distributions data'!$A:$A,INDEX('Capital Call&amp;Distributions data'!$C:$O,0,MIN(MAX(YEAR(Q$41)-YEAR($K85)+$J85+1,1),14)))),0)</f>
        <v>0</v>
      </c>
      <c r="R85" s="68" cm="1">
        <f t="array" ref="R85">IFERROR(IF(R$41&lt;$K85,0,$F85*_xlfn.XLOOKUP($D85,'Capital Call&amp;Distributions data'!$A:$A,INDEX('Capital Call&amp;Distributions data'!$C:$O,0,MIN(MAX(YEAR(R$41)-YEAR($K85)+$J85+1,1),14)))),0)</f>
        <v>0</v>
      </c>
      <c r="S85" s="68" cm="1">
        <f t="array" ref="S85">IFERROR(IF(S$41&lt;$K85,0,$F85*_xlfn.XLOOKUP($D85,'Capital Call&amp;Distributions data'!$A:$A,INDEX('Capital Call&amp;Distributions data'!$C:$O,0,MIN(MAX(YEAR(S$41)-YEAR($K85)+$J85+1,1),14)))),0)</f>
        <v>0</v>
      </c>
      <c r="T85" s="68" cm="1">
        <f t="array" ref="T85">IFERROR(IF(T$41&lt;$K85,0,$F85*_xlfn.XLOOKUP($D85,'Capital Call&amp;Distributions data'!$A:$A,INDEX('Capital Call&amp;Distributions data'!$C:$O,0,MIN(MAX(YEAR(T$41)-YEAR($K85)+$J85+1,1),14)))),0)</f>
        <v>0</v>
      </c>
      <c r="U85" s="68" cm="1">
        <f t="array" ref="U85">IFERROR(IF(U$41&lt;$K85,0,$F85*_xlfn.XLOOKUP($D85,'Capital Call&amp;Distributions data'!$A:$A,INDEX('Capital Call&amp;Distributions data'!$C:$O,0,MIN(MAX(YEAR(U$41)-YEAR($K85)+$J85+1,1),14)))),0)</f>
        <v>0</v>
      </c>
      <c r="V85" s="68" cm="1">
        <f t="array" ref="V85">IFERROR(IF(V$41&lt;$K85,0,$F85*_xlfn.XLOOKUP($D85,'Capital Call&amp;Distributions data'!$A:$A,INDEX('Capital Call&amp;Distributions data'!$C:$O,0,MIN(MAX(YEAR(V$41)-YEAR($K85)+$J85+1,1),14)))),0)</f>
        <v>0</v>
      </c>
      <c r="W85" s="68" cm="1">
        <f t="array" ref="W85">IFERROR(IF(W$41&lt;$K85,0,$F85*_xlfn.XLOOKUP($D85,'Capital Call&amp;Distributions data'!$A:$A,INDEX('Capital Call&amp;Distributions data'!$C:$O,0,MIN(MAX(YEAR(W$41)-YEAR($K85)+$J85+1,1),14)))),0)</f>
        <v>0</v>
      </c>
      <c r="X85" s="68" cm="1">
        <f t="array" ref="X85">IFERROR(IF(X$41&lt;$K85,0,$F85*_xlfn.XLOOKUP($D85,'Capital Call&amp;Distributions data'!$A:$A,INDEX('Capital Call&amp;Distributions data'!$C:$O,0,MIN(MAX(YEAR(X$41)-YEAR($K85)+$J85+1,1),14)))),0)</f>
        <v>0</v>
      </c>
      <c r="Y85" s="68" cm="1">
        <f t="array" ref="Y85">IFERROR(IF(Y$41&lt;$K85,0,$F85*_xlfn.XLOOKUP($D85,'Capital Call&amp;Distributions data'!$A:$A,INDEX('Capital Call&amp;Distributions data'!$C:$O,0,MIN(MAX(YEAR(Y$41)-YEAR($K85)+$J85+1,1),14)))),0)</f>
        <v>0</v>
      </c>
      <c r="Z85" s="68" cm="1">
        <f t="array" ref="Z85">IFERROR(IF(Z$41&lt;$K85,0,$F85*_xlfn.XLOOKUP($D85,'Capital Call&amp;Distributions data'!$A:$A,INDEX('Capital Call&amp;Distributions data'!$C:$O,0,MIN(MAX(YEAR(Z$41)-YEAR($K85)+$J85+1,1),14)))),0)</f>
        <v>0</v>
      </c>
      <c r="AA85" s="68" cm="1">
        <f t="array" ref="AA85">IFERROR(IF(AA$41&lt;$K85,0,$F85*_xlfn.XLOOKUP($D85,'Capital Call&amp;Distributions data'!$A:$A,INDEX('Capital Call&amp;Distributions data'!$C:$O,0,MIN(MAX(YEAR(AA$41)-YEAR($K85)+$J85+1,1),14)))),0)</f>
        <v>0</v>
      </c>
      <c r="AB85" s="68" cm="1">
        <f t="array" ref="AB85">IFERROR(IF(AB$41&lt;$K85,0,$F85*_xlfn.XLOOKUP($D85,'Capital Call&amp;Distributions data'!$A:$A,INDEX('Capital Call&amp;Distributions data'!$C:$O,0,MIN(MAX(YEAR(AB$41)-YEAR($K85)+$J85+1,1),14)))),0)</f>
        <v>0</v>
      </c>
      <c r="AC85" s="68" cm="1">
        <f t="array" ref="AC85">IFERROR(IF(AC$41&lt;$K85,0,$F85*_xlfn.XLOOKUP($D85,'Capital Call&amp;Distributions data'!$A:$A,INDEX('Capital Call&amp;Distributions data'!$C:$O,0,MIN(MAX(YEAR(AC$41)-YEAR($K85)+$J85+1,1),14)))),0)</f>
        <v>0</v>
      </c>
      <c r="AD85" s="68" cm="1">
        <f t="array" ref="AD85">IFERROR(IF(AD$41&lt;$K85,0,$F85*_xlfn.XLOOKUP($D85,'Capital Call&amp;Distributions data'!$A:$A,INDEX('Capital Call&amp;Distributions data'!$C:$O,0,MIN(MAX(YEAR(AD$41)-YEAR($K85)+$J85+1,1),14)))),0)</f>
        <v>0</v>
      </c>
      <c r="AE85" s="68" cm="1">
        <f t="array" ref="AE85">IFERROR(IF(AE$41&lt;$K85,0,$F85*_xlfn.XLOOKUP($D85,'Capital Call&amp;Distributions data'!$A:$A,INDEX('Capital Call&amp;Distributions data'!$C:$O,0,MIN(MAX(YEAR(AE$41)-YEAR($K85)+$J85+1,1),14)))),0)</f>
        <v>0</v>
      </c>
      <c r="AF85" s="68" cm="1">
        <f t="array" ref="AF85">IFERROR(IF(AF$41&lt;$K85,0,$F85*_xlfn.XLOOKUP($D85,'Capital Call&amp;Distributions data'!$A:$A,INDEX('Capital Call&amp;Distributions data'!$C:$O,0,MIN(MAX(YEAR(AF$41)-YEAR($K85)+$J85+1,1),14)))),0)</f>
        <v>0</v>
      </c>
      <c r="AG85" s="68" cm="1">
        <f t="array" ref="AG85">IFERROR(IF(AG$41&lt;$K85,0,$F85*_xlfn.XLOOKUP($D85,'Capital Call&amp;Distributions data'!$A:$A,INDEX('Capital Call&amp;Distributions data'!$C:$O,0,MIN(MAX(YEAR(AG$41)-YEAR($K85)+$J85+1,1),14)))),0)</f>
        <v>0</v>
      </c>
      <c r="AH85" s="68" cm="1">
        <f t="array" ref="AH85">IFERROR(IF(AH$41&lt;$K85,0,$F85*_xlfn.XLOOKUP($D85,'Capital Call&amp;Distributions data'!$A:$A,INDEX('Capital Call&amp;Distributions data'!$C:$O,0,MIN(MAX(YEAR(AH$41)-YEAR($K85)+$J85+1,1),14)))),0)</f>
        <v>0</v>
      </c>
      <c r="AI85" s="68" cm="1">
        <f t="array" ref="AI85">IFERROR(IF(AI$41&lt;$K85,0,$F85*_xlfn.XLOOKUP($D85,'Capital Call&amp;Distributions data'!$A:$A,INDEX('Capital Call&amp;Distributions data'!$C:$O,0,MIN(MAX(YEAR(AI$41)-YEAR($K85)+$J85+1,1),14)))),0)</f>
        <v>0</v>
      </c>
      <c r="AJ85" s="68" cm="1">
        <f t="array" ref="AJ85">IFERROR(IF(AJ$41&lt;$K85,0,$F85*_xlfn.XLOOKUP($D85,'Capital Call&amp;Distributions data'!$A:$A,INDEX('Capital Call&amp;Distributions data'!$C:$O,0,MIN(MAX(YEAR(AJ$41)-YEAR($K85)+$J85+1,1),14)))),0)</f>
        <v>0</v>
      </c>
      <c r="AK85" s="68" cm="1">
        <f t="array" ref="AK85">IFERROR(IF(AK$41&lt;$K85,0,$F85*_xlfn.XLOOKUP($D85,'Capital Call&amp;Distributions data'!$A:$A,INDEX('Capital Call&amp;Distributions data'!$C:$O,0,MIN(MAX(YEAR(AK$41)-YEAR($K85)+$J85+1,1),14)))),0)</f>
        <v>0</v>
      </c>
      <c r="AL85" s="68" cm="1">
        <f t="array" ref="AL85">IFERROR(IF(AL$41&lt;$K85,0,$F85*_xlfn.XLOOKUP($D85,'Capital Call&amp;Distributions data'!$A:$A,INDEX('Capital Call&amp;Distributions data'!$C:$O,0,MIN(MAX(YEAR(AL$41)-YEAR($K85)+$J85+1,1),14)))),0)</f>
        <v>0</v>
      </c>
      <c r="AM85" s="68" cm="1">
        <f t="array" ref="AM85">IFERROR(IF(AM$41&lt;$K85,0,$F85*_xlfn.XLOOKUP($D85,'Capital Call&amp;Distributions data'!$A:$A,INDEX('Capital Call&amp;Distributions data'!$C:$O,0,MIN(MAX(YEAR(AM$41)-YEAR($K85)+$J85+1,1),14)))),0)</f>
        <v>0</v>
      </c>
      <c r="AN85" s="68" cm="1">
        <f t="array" ref="AN85">IFERROR(IF(AN$41&lt;$K85,0,$F85*_xlfn.XLOOKUP($D85,'Capital Call&amp;Distributions data'!$A:$A,INDEX('Capital Call&amp;Distributions data'!$C:$O,0,MIN(MAX(YEAR(AN$41)-YEAR($K85)+$J85+1,1),14)))),0)</f>
        <v>0</v>
      </c>
      <c r="AO85" s="68" cm="1">
        <f t="array" ref="AO85">IFERROR(IF(AO$41&lt;$K85,0,$F85*_xlfn.XLOOKUP($D85,'Capital Call&amp;Distributions data'!$A:$A,INDEX('Capital Call&amp;Distributions data'!$C:$O,0,MIN(MAX(YEAR(AO$41)-YEAR($K85)+$J85+1,1),14)))),0)</f>
        <v>0</v>
      </c>
      <c r="AP85" s="68" cm="1">
        <f t="array" ref="AP85">IFERROR(IF(AP$41&lt;$K85,0,$F85*_xlfn.XLOOKUP($D85,'Capital Call&amp;Distributions data'!$A:$A,INDEX('Capital Call&amp;Distributions data'!$C:$O,0,MIN(MAX(YEAR(AP$41)-YEAR($K85)+$J85+1,1),14)))),0)</f>
        <v>0</v>
      </c>
      <c r="AQ85" s="68" cm="1">
        <f t="array" ref="AQ85">IFERROR(IF(AQ$41&lt;$K85,0,$F85*_xlfn.XLOOKUP($D85,'Capital Call&amp;Distributions data'!$A:$A,INDEX('Capital Call&amp;Distributions data'!$C:$O,0,MIN(MAX(YEAR(AQ$41)-YEAR($K85)+$J85+1,1),14)))),0)</f>
        <v>0</v>
      </c>
      <c r="AR85" s="68" cm="1">
        <f t="array" ref="AR85">IFERROR(IF(AR$41&lt;$K85,0,$F85*_xlfn.XLOOKUP($D85,'Capital Call&amp;Distributions data'!$A:$A,INDEX('Capital Call&amp;Distributions data'!$C:$O,0,MIN(MAX(YEAR(AR$41)-YEAR($K85)+$J85+1,1),14)))),0)</f>
        <v>0</v>
      </c>
      <c r="AS85" s="68" cm="1">
        <f t="array" ref="AS85">IFERROR(IF(AS$41&lt;$K85,0,$F85*_xlfn.XLOOKUP($D85,'Capital Call&amp;Distributions data'!$A:$A,INDEX('Capital Call&amp;Distributions data'!$C:$O,0,MIN(MAX(YEAR(AS$41)-YEAR($K85)+$J85+1,1),14)))),0)</f>
        <v>0</v>
      </c>
      <c r="AT85" s="68" cm="1">
        <f t="array" ref="AT85">IFERROR(IF(AT$41&lt;$K85,0,$F85*_xlfn.XLOOKUP($D85,'Capital Call&amp;Distributions data'!$A:$A,INDEX('Capital Call&amp;Distributions data'!$C:$O,0,MIN(MAX(YEAR(AT$41)-YEAR($K85)+$J85+1,1),14)))),0)</f>
        <v>0</v>
      </c>
      <c r="AU85" s="68" cm="1">
        <f t="array" ref="AU85">IFERROR(IF(AU$41&lt;$K85,0,$F85*_xlfn.XLOOKUP($D85,'Capital Call&amp;Distributions data'!$A:$A,INDEX('Capital Call&amp;Distributions data'!$C:$O,0,MIN(MAX(YEAR(AU$41)-YEAR($K85)+$J85+1,1),14)))),0)</f>
        <v>0</v>
      </c>
      <c r="AW85" s="1"/>
      <c r="DJ85" s="11"/>
    </row>
    <row r="86" spans="1:114" ht="29.25" hidden="1" customHeight="1" outlineLevel="1">
      <c r="C86" s="20"/>
      <c r="D86" s="21">
        <f>_xlfn.XLOOKUP(C86,Fondsen!B:B,Fondsen!C:C,"0",0,1)</f>
        <v>0</v>
      </c>
      <c r="E86" s="21" t="s">
        <v>10</v>
      </c>
      <c r="F86" s="83" t="s">
        <v>13</v>
      </c>
      <c r="G86" s="143" t="str">
        <f ca="1">IFERROR(IF(SUM(OFFSET(INDEX('Capital Call&amp;Distributions data'!A:A,MATCH(D86,'Capital Call&amp;Distributions data'!A:A,0)),-1,2,1,1000))=0,"✔",""),"")</f>
        <v/>
      </c>
      <c r="H86" s="138" t="str">
        <f t="shared" si="4"/>
        <v/>
      </c>
      <c r="I86" s="96">
        <v>45658</v>
      </c>
      <c r="J86" s="70">
        <f t="shared" si="3"/>
        <v>0</v>
      </c>
      <c r="K86" s="96">
        <v>45658</v>
      </c>
      <c r="L86" s="68" cm="1">
        <f t="array" ref="L86">IFERROR(IF(L$41&lt;$K86,0,$F86*_xlfn.XLOOKUP($D86,'Capital Call&amp;Distributions data'!$A:$A,INDEX('Capital Call&amp;Distributions data'!$C:$O,0,MIN(MAX(YEAR(L$41)-YEAR($K86)+$J86+1,1),14)))),0)</f>
        <v>0</v>
      </c>
      <c r="M86" s="68" cm="1">
        <f t="array" ref="M86">IFERROR(IF(M$41&lt;$K86,0,$F86*_xlfn.XLOOKUP($D86,'Capital Call&amp;Distributions data'!$A:$A,INDEX('Capital Call&amp;Distributions data'!$C:$O,0,MIN(MAX(YEAR(M$41)-YEAR($K86)+$J86+1,1),14)))),0)</f>
        <v>0</v>
      </c>
      <c r="N86" s="68" cm="1">
        <f t="array" ref="N86">IFERROR(IF(N$41&lt;$K86,0,$F86*_xlfn.XLOOKUP($D86,'Capital Call&amp;Distributions data'!$A:$A,INDEX('Capital Call&amp;Distributions data'!$C:$O,0,MIN(MAX(YEAR(N$41)-YEAR($K86)+$J86+1,1),14)))),0)</f>
        <v>0</v>
      </c>
      <c r="O86" s="68" cm="1">
        <f t="array" ref="O86">IFERROR(IF(O$41&lt;$K86,0,$F86*_xlfn.XLOOKUP($D86,'Capital Call&amp;Distributions data'!$A:$A,INDEX('Capital Call&amp;Distributions data'!$C:$O,0,MIN(MAX(YEAR(O$41)-YEAR($K86)+$J86+1,1),14)))),0)</f>
        <v>0</v>
      </c>
      <c r="P86" s="68" cm="1">
        <f t="array" ref="P86">IFERROR(IF(P$41&lt;$K86,0,$F86*_xlfn.XLOOKUP($D86,'Capital Call&amp;Distributions data'!$A:$A,INDEX('Capital Call&amp;Distributions data'!$C:$O,0,MIN(MAX(YEAR(P$41)-YEAR($K86)+$J86+1,1),14)))),0)</f>
        <v>0</v>
      </c>
      <c r="Q86" s="68" cm="1">
        <f t="array" ref="Q86">IFERROR(IF(Q$41&lt;$K86,0,$F86*_xlfn.XLOOKUP($D86,'Capital Call&amp;Distributions data'!$A:$A,INDEX('Capital Call&amp;Distributions data'!$C:$O,0,MIN(MAX(YEAR(Q$41)-YEAR($K86)+$J86+1,1),14)))),0)</f>
        <v>0</v>
      </c>
      <c r="R86" s="68" cm="1">
        <f t="array" ref="R86">IFERROR(IF(R$41&lt;$K86,0,$F86*_xlfn.XLOOKUP($D86,'Capital Call&amp;Distributions data'!$A:$A,INDEX('Capital Call&amp;Distributions data'!$C:$O,0,MIN(MAX(YEAR(R$41)-YEAR($K86)+$J86+1,1),14)))),0)</f>
        <v>0</v>
      </c>
      <c r="S86" s="68" cm="1">
        <f t="array" ref="S86">IFERROR(IF(S$41&lt;$K86,0,$F86*_xlfn.XLOOKUP($D86,'Capital Call&amp;Distributions data'!$A:$A,INDEX('Capital Call&amp;Distributions data'!$C:$O,0,MIN(MAX(YEAR(S$41)-YEAR($K86)+$J86+1,1),14)))),0)</f>
        <v>0</v>
      </c>
      <c r="T86" s="68" cm="1">
        <f t="array" ref="T86">IFERROR(IF(T$41&lt;$K86,0,$F86*_xlfn.XLOOKUP($D86,'Capital Call&amp;Distributions data'!$A:$A,INDEX('Capital Call&amp;Distributions data'!$C:$O,0,MIN(MAX(YEAR(T$41)-YEAR($K86)+$J86+1,1),14)))),0)</f>
        <v>0</v>
      </c>
      <c r="U86" s="68" cm="1">
        <f t="array" ref="U86">IFERROR(IF(U$41&lt;$K86,0,$F86*_xlfn.XLOOKUP($D86,'Capital Call&amp;Distributions data'!$A:$A,INDEX('Capital Call&amp;Distributions data'!$C:$O,0,MIN(MAX(YEAR(U$41)-YEAR($K86)+$J86+1,1),14)))),0)</f>
        <v>0</v>
      </c>
      <c r="V86" s="68" cm="1">
        <f t="array" ref="V86">IFERROR(IF(V$41&lt;$K86,0,$F86*_xlfn.XLOOKUP($D86,'Capital Call&amp;Distributions data'!$A:$A,INDEX('Capital Call&amp;Distributions data'!$C:$O,0,MIN(MAX(YEAR(V$41)-YEAR($K86)+$J86+1,1),14)))),0)</f>
        <v>0</v>
      </c>
      <c r="W86" s="68" cm="1">
        <f t="array" ref="W86">IFERROR(IF(W$41&lt;$K86,0,$F86*_xlfn.XLOOKUP($D86,'Capital Call&amp;Distributions data'!$A:$A,INDEX('Capital Call&amp;Distributions data'!$C:$O,0,MIN(MAX(YEAR(W$41)-YEAR($K86)+$J86+1,1),14)))),0)</f>
        <v>0</v>
      </c>
      <c r="X86" s="68" cm="1">
        <f t="array" ref="X86">IFERROR(IF(X$41&lt;$K86,0,$F86*_xlfn.XLOOKUP($D86,'Capital Call&amp;Distributions data'!$A:$A,INDEX('Capital Call&amp;Distributions data'!$C:$O,0,MIN(MAX(YEAR(X$41)-YEAR($K86)+$J86+1,1),14)))),0)</f>
        <v>0</v>
      </c>
      <c r="Y86" s="68" cm="1">
        <f t="array" ref="Y86">IFERROR(IF(Y$41&lt;$K86,0,$F86*_xlfn.XLOOKUP($D86,'Capital Call&amp;Distributions data'!$A:$A,INDEX('Capital Call&amp;Distributions data'!$C:$O,0,MIN(MAX(YEAR(Y$41)-YEAR($K86)+$J86+1,1),14)))),0)</f>
        <v>0</v>
      </c>
      <c r="Z86" s="68" cm="1">
        <f t="array" ref="Z86">IFERROR(IF(Z$41&lt;$K86,0,$F86*_xlfn.XLOOKUP($D86,'Capital Call&amp;Distributions data'!$A:$A,INDEX('Capital Call&amp;Distributions data'!$C:$O,0,MIN(MAX(YEAR(Z$41)-YEAR($K86)+$J86+1,1),14)))),0)</f>
        <v>0</v>
      </c>
      <c r="AA86" s="68" cm="1">
        <f t="array" ref="AA86">IFERROR(IF(AA$41&lt;$K86,0,$F86*_xlfn.XLOOKUP($D86,'Capital Call&amp;Distributions data'!$A:$A,INDEX('Capital Call&amp;Distributions data'!$C:$O,0,MIN(MAX(YEAR(AA$41)-YEAR($K86)+$J86+1,1),14)))),0)</f>
        <v>0</v>
      </c>
      <c r="AB86" s="68" cm="1">
        <f t="array" ref="AB86">IFERROR(IF(AB$41&lt;$K86,0,$F86*_xlfn.XLOOKUP($D86,'Capital Call&amp;Distributions data'!$A:$A,INDEX('Capital Call&amp;Distributions data'!$C:$O,0,MIN(MAX(YEAR(AB$41)-YEAR($K86)+$J86+1,1),14)))),0)</f>
        <v>0</v>
      </c>
      <c r="AC86" s="68" cm="1">
        <f t="array" ref="AC86">IFERROR(IF(AC$41&lt;$K86,0,$F86*_xlfn.XLOOKUP($D86,'Capital Call&amp;Distributions data'!$A:$A,INDEX('Capital Call&amp;Distributions data'!$C:$O,0,MIN(MAX(YEAR(AC$41)-YEAR($K86)+$J86+1,1),14)))),0)</f>
        <v>0</v>
      </c>
      <c r="AD86" s="68" cm="1">
        <f t="array" ref="AD86">IFERROR(IF(AD$41&lt;$K86,0,$F86*_xlfn.XLOOKUP($D86,'Capital Call&amp;Distributions data'!$A:$A,INDEX('Capital Call&amp;Distributions data'!$C:$O,0,MIN(MAX(YEAR(AD$41)-YEAR($K86)+$J86+1,1),14)))),0)</f>
        <v>0</v>
      </c>
      <c r="AE86" s="68" cm="1">
        <f t="array" ref="AE86">IFERROR(IF(AE$41&lt;$K86,0,$F86*_xlfn.XLOOKUP($D86,'Capital Call&amp;Distributions data'!$A:$A,INDEX('Capital Call&amp;Distributions data'!$C:$O,0,MIN(MAX(YEAR(AE$41)-YEAR($K86)+$J86+1,1),14)))),0)</f>
        <v>0</v>
      </c>
      <c r="AF86" s="68" cm="1">
        <f t="array" ref="AF86">IFERROR(IF(AF$41&lt;$K86,0,$F86*_xlfn.XLOOKUP($D86,'Capital Call&amp;Distributions data'!$A:$A,INDEX('Capital Call&amp;Distributions data'!$C:$O,0,MIN(MAX(YEAR(AF$41)-YEAR($K86)+$J86+1,1),14)))),0)</f>
        <v>0</v>
      </c>
      <c r="AG86" s="68" cm="1">
        <f t="array" ref="AG86">IFERROR(IF(AG$41&lt;$K86,0,$F86*_xlfn.XLOOKUP($D86,'Capital Call&amp;Distributions data'!$A:$A,INDEX('Capital Call&amp;Distributions data'!$C:$O,0,MIN(MAX(YEAR(AG$41)-YEAR($K86)+$J86+1,1),14)))),0)</f>
        <v>0</v>
      </c>
      <c r="AH86" s="68" cm="1">
        <f t="array" ref="AH86">IFERROR(IF(AH$41&lt;$K86,0,$F86*_xlfn.XLOOKUP($D86,'Capital Call&amp;Distributions data'!$A:$A,INDEX('Capital Call&amp;Distributions data'!$C:$O,0,MIN(MAX(YEAR(AH$41)-YEAR($K86)+$J86+1,1),14)))),0)</f>
        <v>0</v>
      </c>
      <c r="AI86" s="68" cm="1">
        <f t="array" ref="AI86">IFERROR(IF(AI$41&lt;$K86,0,$F86*_xlfn.XLOOKUP($D86,'Capital Call&amp;Distributions data'!$A:$A,INDEX('Capital Call&amp;Distributions data'!$C:$O,0,MIN(MAX(YEAR(AI$41)-YEAR($K86)+$J86+1,1),14)))),0)</f>
        <v>0</v>
      </c>
      <c r="AJ86" s="68" cm="1">
        <f t="array" ref="AJ86">IFERROR(IF(AJ$41&lt;$K86,0,$F86*_xlfn.XLOOKUP($D86,'Capital Call&amp;Distributions data'!$A:$A,INDEX('Capital Call&amp;Distributions data'!$C:$O,0,MIN(MAX(YEAR(AJ$41)-YEAR($K86)+$J86+1,1),14)))),0)</f>
        <v>0</v>
      </c>
      <c r="AK86" s="68" cm="1">
        <f t="array" ref="AK86">IFERROR(IF(AK$41&lt;$K86,0,$F86*_xlfn.XLOOKUP($D86,'Capital Call&amp;Distributions data'!$A:$A,INDEX('Capital Call&amp;Distributions data'!$C:$O,0,MIN(MAX(YEAR(AK$41)-YEAR($K86)+$J86+1,1),14)))),0)</f>
        <v>0</v>
      </c>
      <c r="AL86" s="68" cm="1">
        <f t="array" ref="AL86">IFERROR(IF(AL$41&lt;$K86,0,$F86*_xlfn.XLOOKUP($D86,'Capital Call&amp;Distributions data'!$A:$A,INDEX('Capital Call&amp;Distributions data'!$C:$O,0,MIN(MAX(YEAR(AL$41)-YEAR($K86)+$J86+1,1),14)))),0)</f>
        <v>0</v>
      </c>
      <c r="AM86" s="68" cm="1">
        <f t="array" ref="AM86">IFERROR(IF(AM$41&lt;$K86,0,$F86*_xlfn.XLOOKUP($D86,'Capital Call&amp;Distributions data'!$A:$A,INDEX('Capital Call&amp;Distributions data'!$C:$O,0,MIN(MAX(YEAR(AM$41)-YEAR($K86)+$J86+1,1),14)))),0)</f>
        <v>0</v>
      </c>
      <c r="AN86" s="68" cm="1">
        <f t="array" ref="AN86">IFERROR(IF(AN$41&lt;$K86,0,$F86*_xlfn.XLOOKUP($D86,'Capital Call&amp;Distributions data'!$A:$A,INDEX('Capital Call&amp;Distributions data'!$C:$O,0,MIN(MAX(YEAR(AN$41)-YEAR($K86)+$J86+1,1),14)))),0)</f>
        <v>0</v>
      </c>
      <c r="AO86" s="68" cm="1">
        <f t="array" ref="AO86">IFERROR(IF(AO$41&lt;$K86,0,$F86*_xlfn.XLOOKUP($D86,'Capital Call&amp;Distributions data'!$A:$A,INDEX('Capital Call&amp;Distributions data'!$C:$O,0,MIN(MAX(YEAR(AO$41)-YEAR($K86)+$J86+1,1),14)))),0)</f>
        <v>0</v>
      </c>
      <c r="AP86" s="68" cm="1">
        <f t="array" ref="AP86">IFERROR(IF(AP$41&lt;$K86,0,$F86*_xlfn.XLOOKUP($D86,'Capital Call&amp;Distributions data'!$A:$A,INDEX('Capital Call&amp;Distributions data'!$C:$O,0,MIN(MAX(YEAR(AP$41)-YEAR($K86)+$J86+1,1),14)))),0)</f>
        <v>0</v>
      </c>
      <c r="AQ86" s="68" cm="1">
        <f t="array" ref="AQ86">IFERROR(IF(AQ$41&lt;$K86,0,$F86*_xlfn.XLOOKUP($D86,'Capital Call&amp;Distributions data'!$A:$A,INDEX('Capital Call&amp;Distributions data'!$C:$O,0,MIN(MAX(YEAR(AQ$41)-YEAR($K86)+$J86+1,1),14)))),0)</f>
        <v>0</v>
      </c>
      <c r="AR86" s="68" cm="1">
        <f t="array" ref="AR86">IFERROR(IF(AR$41&lt;$K86,0,$F86*_xlfn.XLOOKUP($D86,'Capital Call&amp;Distributions data'!$A:$A,INDEX('Capital Call&amp;Distributions data'!$C:$O,0,MIN(MAX(YEAR(AR$41)-YEAR($K86)+$J86+1,1),14)))),0)</f>
        <v>0</v>
      </c>
      <c r="AS86" s="68" cm="1">
        <f t="array" ref="AS86">IFERROR(IF(AS$41&lt;$K86,0,$F86*_xlfn.XLOOKUP($D86,'Capital Call&amp;Distributions data'!$A:$A,INDEX('Capital Call&amp;Distributions data'!$C:$O,0,MIN(MAX(YEAR(AS$41)-YEAR($K86)+$J86+1,1),14)))),0)</f>
        <v>0</v>
      </c>
      <c r="AT86" s="68" cm="1">
        <f t="array" ref="AT86">IFERROR(IF(AT$41&lt;$K86,0,$F86*_xlfn.XLOOKUP($D86,'Capital Call&amp;Distributions data'!$A:$A,INDEX('Capital Call&amp;Distributions data'!$C:$O,0,MIN(MAX(YEAR(AT$41)-YEAR($K86)+$J86+1,1),14)))),0)</f>
        <v>0</v>
      </c>
      <c r="AU86" s="68" cm="1">
        <f t="array" ref="AU86">IFERROR(IF(AU$41&lt;$K86,0,$F86*_xlfn.XLOOKUP($D86,'Capital Call&amp;Distributions data'!$A:$A,INDEX('Capital Call&amp;Distributions data'!$C:$O,0,MIN(MAX(YEAR(AU$41)-YEAR($K86)+$J86+1,1),14)))),0)</f>
        <v>0</v>
      </c>
      <c r="AW86" s="1"/>
      <c r="DJ86" s="11"/>
    </row>
    <row r="87" spans="1:114" ht="29.1" hidden="1" customHeight="1" outlineLevel="1">
      <c r="C87" s="20"/>
      <c r="D87" s="21">
        <f>_xlfn.XLOOKUP(C87,Fondsen!B:B,Fondsen!C:C,"0",0,1)</f>
        <v>0</v>
      </c>
      <c r="E87" s="21" t="s">
        <v>10</v>
      </c>
      <c r="F87" s="83" t="s">
        <v>14</v>
      </c>
      <c r="G87" s="143" t="str">
        <f ca="1">IFERROR(IF(SUM(OFFSET(INDEX('Capital Call&amp;Distributions data'!A:A,MATCH(D87,'Capital Call&amp;Distributions data'!A:A,0)),-1,2,1,1000))=0,"✔",""),"")</f>
        <v/>
      </c>
      <c r="H87" s="138" t="str">
        <f t="shared" si="4"/>
        <v/>
      </c>
      <c r="I87" s="96">
        <v>45658</v>
      </c>
      <c r="J87" s="70">
        <f t="shared" si="3"/>
        <v>0</v>
      </c>
      <c r="K87" s="96">
        <v>45658</v>
      </c>
      <c r="L87" s="68" cm="1">
        <f t="array" ref="L87">IFERROR(IF(L$41&lt;$K87,0,$F87*_xlfn.XLOOKUP($D87,'Capital Call&amp;Distributions data'!$A:$A,INDEX('Capital Call&amp;Distributions data'!$C:$O,0,MIN(MAX(YEAR(L$41)-YEAR($K87)+$J87+1,1),14)))),0)</f>
        <v>0</v>
      </c>
      <c r="M87" s="68" cm="1">
        <f t="array" ref="M87">IFERROR(IF(M$41&lt;$K87,0,$F87*_xlfn.XLOOKUP($D87,'Capital Call&amp;Distributions data'!$A:$A,INDEX('Capital Call&amp;Distributions data'!$C:$O,0,MIN(MAX(YEAR(M$41)-YEAR($K87)+$J87+1,1),14)))),0)</f>
        <v>0</v>
      </c>
      <c r="N87" s="68" cm="1">
        <f t="array" ref="N87">IFERROR(IF(N$41&lt;$K87,0,$F87*_xlfn.XLOOKUP($D87,'Capital Call&amp;Distributions data'!$A:$A,INDEX('Capital Call&amp;Distributions data'!$C:$O,0,MIN(MAX(YEAR(N$41)-YEAR($K87)+$J87+1,1),14)))),0)</f>
        <v>0</v>
      </c>
      <c r="O87" s="68" cm="1">
        <f t="array" ref="O87">IFERROR(IF(O$41&lt;$K87,0,$F87*_xlfn.XLOOKUP($D87,'Capital Call&amp;Distributions data'!$A:$A,INDEX('Capital Call&amp;Distributions data'!$C:$O,0,MIN(MAX(YEAR(O$41)-YEAR($K87)+$J87+1,1),14)))),0)</f>
        <v>0</v>
      </c>
      <c r="P87" s="68" cm="1">
        <f t="array" ref="P87">IFERROR(IF(P$41&lt;$K87,0,$F87*_xlfn.XLOOKUP($D87,'Capital Call&amp;Distributions data'!$A:$A,INDEX('Capital Call&amp;Distributions data'!$C:$O,0,MIN(MAX(YEAR(P$41)-YEAR($K87)+$J87+1,1),14)))),0)</f>
        <v>0</v>
      </c>
      <c r="Q87" s="68" cm="1">
        <f t="array" ref="Q87">IFERROR(IF(Q$41&lt;$K87,0,$F87*_xlfn.XLOOKUP($D87,'Capital Call&amp;Distributions data'!$A:$A,INDEX('Capital Call&amp;Distributions data'!$C:$O,0,MIN(MAX(YEAR(Q$41)-YEAR($K87)+$J87+1,1),14)))),0)</f>
        <v>0</v>
      </c>
      <c r="R87" s="68" cm="1">
        <f t="array" ref="R87">IFERROR(IF(R$41&lt;$K87,0,$F87*_xlfn.XLOOKUP($D87,'Capital Call&amp;Distributions data'!$A:$A,INDEX('Capital Call&amp;Distributions data'!$C:$O,0,MIN(MAX(YEAR(R$41)-YEAR($K87)+$J87+1,1),14)))),0)</f>
        <v>0</v>
      </c>
      <c r="S87" s="68" cm="1">
        <f t="array" ref="S87">IFERROR(IF(S$41&lt;$K87,0,$F87*_xlfn.XLOOKUP($D87,'Capital Call&amp;Distributions data'!$A:$A,INDEX('Capital Call&amp;Distributions data'!$C:$O,0,MIN(MAX(YEAR(S$41)-YEAR($K87)+$J87+1,1),14)))),0)</f>
        <v>0</v>
      </c>
      <c r="T87" s="68" cm="1">
        <f t="array" ref="T87">IFERROR(IF(T$41&lt;$K87,0,$F87*_xlfn.XLOOKUP($D87,'Capital Call&amp;Distributions data'!$A:$A,INDEX('Capital Call&amp;Distributions data'!$C:$O,0,MIN(MAX(YEAR(T$41)-YEAR($K87)+$J87+1,1),14)))),0)</f>
        <v>0</v>
      </c>
      <c r="U87" s="68" cm="1">
        <f t="array" ref="U87">IFERROR(IF(U$41&lt;$K87,0,$F87*_xlfn.XLOOKUP($D87,'Capital Call&amp;Distributions data'!$A:$A,INDEX('Capital Call&amp;Distributions data'!$C:$O,0,MIN(MAX(YEAR(U$41)-YEAR($K87)+$J87+1,1),14)))),0)</f>
        <v>0</v>
      </c>
      <c r="V87" s="68" cm="1">
        <f t="array" ref="V87">IFERROR(IF(V$41&lt;$K87,0,$F87*_xlfn.XLOOKUP($D87,'Capital Call&amp;Distributions data'!$A:$A,INDEX('Capital Call&amp;Distributions data'!$C:$O,0,MIN(MAX(YEAR(V$41)-YEAR($K87)+$J87+1,1),14)))),0)</f>
        <v>0</v>
      </c>
      <c r="W87" s="68" cm="1">
        <f t="array" ref="W87">IFERROR(IF(W$41&lt;$K87,0,$F87*_xlfn.XLOOKUP($D87,'Capital Call&amp;Distributions data'!$A:$A,INDEX('Capital Call&amp;Distributions data'!$C:$O,0,MIN(MAX(YEAR(W$41)-YEAR($K87)+$J87+1,1),14)))),0)</f>
        <v>0</v>
      </c>
      <c r="X87" s="68" cm="1">
        <f t="array" ref="X87">IFERROR(IF(X$41&lt;$K87,0,$F87*_xlfn.XLOOKUP($D87,'Capital Call&amp;Distributions data'!$A:$A,INDEX('Capital Call&amp;Distributions data'!$C:$O,0,MIN(MAX(YEAR(X$41)-YEAR($K87)+$J87+1,1),14)))),0)</f>
        <v>0</v>
      </c>
      <c r="Y87" s="68" cm="1">
        <f t="array" ref="Y87">IFERROR(IF(Y$41&lt;$K87,0,$F87*_xlfn.XLOOKUP($D87,'Capital Call&amp;Distributions data'!$A:$A,INDEX('Capital Call&amp;Distributions data'!$C:$O,0,MIN(MAX(YEAR(Y$41)-YEAR($K87)+$J87+1,1),14)))),0)</f>
        <v>0</v>
      </c>
      <c r="Z87" s="68" cm="1">
        <f t="array" ref="Z87">IFERROR(IF(Z$41&lt;$K87,0,$F87*_xlfn.XLOOKUP($D87,'Capital Call&amp;Distributions data'!$A:$A,INDEX('Capital Call&amp;Distributions data'!$C:$O,0,MIN(MAX(YEAR(Z$41)-YEAR($K87)+$J87+1,1),14)))),0)</f>
        <v>0</v>
      </c>
      <c r="AA87" s="68" cm="1">
        <f t="array" ref="AA87">IFERROR(IF(AA$41&lt;$K87,0,$F87*_xlfn.XLOOKUP($D87,'Capital Call&amp;Distributions data'!$A:$A,INDEX('Capital Call&amp;Distributions data'!$C:$O,0,MIN(MAX(YEAR(AA$41)-YEAR($K87)+$J87+1,1),14)))),0)</f>
        <v>0</v>
      </c>
      <c r="AB87" s="68" cm="1">
        <f t="array" ref="AB87">IFERROR(IF(AB$41&lt;$K87,0,$F87*_xlfn.XLOOKUP($D87,'Capital Call&amp;Distributions data'!$A:$A,INDEX('Capital Call&amp;Distributions data'!$C:$O,0,MIN(MAX(YEAR(AB$41)-YEAR($K87)+$J87+1,1),14)))),0)</f>
        <v>0</v>
      </c>
      <c r="AC87" s="68" cm="1">
        <f t="array" ref="AC87">IFERROR(IF(AC$41&lt;$K87,0,$F87*_xlfn.XLOOKUP($D87,'Capital Call&amp;Distributions data'!$A:$A,INDEX('Capital Call&amp;Distributions data'!$C:$O,0,MIN(MAX(YEAR(AC$41)-YEAR($K87)+$J87+1,1),14)))),0)</f>
        <v>0</v>
      </c>
      <c r="AD87" s="68" cm="1">
        <f t="array" ref="AD87">IFERROR(IF(AD$41&lt;$K87,0,$F87*_xlfn.XLOOKUP($D87,'Capital Call&amp;Distributions data'!$A:$A,INDEX('Capital Call&amp;Distributions data'!$C:$O,0,MIN(MAX(YEAR(AD$41)-YEAR($K87)+$J87+1,1),14)))),0)</f>
        <v>0</v>
      </c>
      <c r="AE87" s="68" cm="1">
        <f t="array" ref="AE87">IFERROR(IF(AE$41&lt;$K87,0,$F87*_xlfn.XLOOKUP($D87,'Capital Call&amp;Distributions data'!$A:$A,INDEX('Capital Call&amp;Distributions data'!$C:$O,0,MIN(MAX(YEAR(AE$41)-YEAR($K87)+$J87+1,1),14)))),0)</f>
        <v>0</v>
      </c>
      <c r="AF87" s="68" cm="1">
        <f t="array" ref="AF87">IFERROR(IF(AF$41&lt;$K87,0,$F87*_xlfn.XLOOKUP($D87,'Capital Call&amp;Distributions data'!$A:$A,INDEX('Capital Call&amp;Distributions data'!$C:$O,0,MIN(MAX(YEAR(AF$41)-YEAR($K87)+$J87+1,1),14)))),0)</f>
        <v>0</v>
      </c>
      <c r="AG87" s="68" cm="1">
        <f t="array" ref="AG87">IFERROR(IF(AG$41&lt;$K87,0,$F87*_xlfn.XLOOKUP($D87,'Capital Call&amp;Distributions data'!$A:$A,INDEX('Capital Call&amp;Distributions data'!$C:$O,0,MIN(MAX(YEAR(AG$41)-YEAR($K87)+$J87+1,1),14)))),0)</f>
        <v>0</v>
      </c>
      <c r="AH87" s="68" cm="1">
        <f t="array" ref="AH87">IFERROR(IF(AH$41&lt;$K87,0,$F87*_xlfn.XLOOKUP($D87,'Capital Call&amp;Distributions data'!$A:$A,INDEX('Capital Call&amp;Distributions data'!$C:$O,0,MIN(MAX(YEAR(AH$41)-YEAR($K87)+$J87+1,1),14)))),0)</f>
        <v>0</v>
      </c>
      <c r="AI87" s="68" cm="1">
        <f t="array" ref="AI87">IFERROR(IF(AI$41&lt;$K87,0,$F87*_xlfn.XLOOKUP($D87,'Capital Call&amp;Distributions data'!$A:$A,INDEX('Capital Call&amp;Distributions data'!$C:$O,0,MIN(MAX(YEAR(AI$41)-YEAR($K87)+$J87+1,1),14)))),0)</f>
        <v>0</v>
      </c>
      <c r="AJ87" s="68" cm="1">
        <f t="array" ref="AJ87">IFERROR(IF(AJ$41&lt;$K87,0,$F87*_xlfn.XLOOKUP($D87,'Capital Call&amp;Distributions data'!$A:$A,INDEX('Capital Call&amp;Distributions data'!$C:$O,0,MIN(MAX(YEAR(AJ$41)-YEAR($K87)+$J87+1,1),14)))),0)</f>
        <v>0</v>
      </c>
      <c r="AK87" s="68" cm="1">
        <f t="array" ref="AK87">IFERROR(IF(AK$41&lt;$K87,0,$F87*_xlfn.XLOOKUP($D87,'Capital Call&amp;Distributions data'!$A:$A,INDEX('Capital Call&amp;Distributions data'!$C:$O,0,MIN(MAX(YEAR(AK$41)-YEAR($K87)+$J87+1,1),14)))),0)</f>
        <v>0</v>
      </c>
      <c r="AL87" s="68" cm="1">
        <f t="array" ref="AL87">IFERROR(IF(AL$41&lt;$K87,0,$F87*_xlfn.XLOOKUP($D87,'Capital Call&amp;Distributions data'!$A:$A,INDEX('Capital Call&amp;Distributions data'!$C:$O,0,MIN(MAX(YEAR(AL$41)-YEAR($K87)+$J87+1,1),14)))),0)</f>
        <v>0</v>
      </c>
      <c r="AM87" s="68" cm="1">
        <f t="array" ref="AM87">IFERROR(IF(AM$41&lt;$K87,0,$F87*_xlfn.XLOOKUP($D87,'Capital Call&amp;Distributions data'!$A:$A,INDEX('Capital Call&amp;Distributions data'!$C:$O,0,MIN(MAX(YEAR(AM$41)-YEAR($K87)+$J87+1,1),14)))),0)</f>
        <v>0</v>
      </c>
      <c r="AN87" s="68" cm="1">
        <f t="array" ref="AN87">IFERROR(IF(AN$41&lt;$K87,0,$F87*_xlfn.XLOOKUP($D87,'Capital Call&amp;Distributions data'!$A:$A,INDEX('Capital Call&amp;Distributions data'!$C:$O,0,MIN(MAX(YEAR(AN$41)-YEAR($K87)+$J87+1,1),14)))),0)</f>
        <v>0</v>
      </c>
      <c r="AO87" s="68" cm="1">
        <f t="array" ref="AO87">IFERROR(IF(AO$41&lt;$K87,0,$F87*_xlfn.XLOOKUP($D87,'Capital Call&amp;Distributions data'!$A:$A,INDEX('Capital Call&amp;Distributions data'!$C:$O,0,MIN(MAX(YEAR(AO$41)-YEAR($K87)+$J87+1,1),14)))),0)</f>
        <v>0</v>
      </c>
      <c r="AP87" s="68" cm="1">
        <f t="array" ref="AP87">IFERROR(IF(AP$41&lt;$K87,0,$F87*_xlfn.XLOOKUP($D87,'Capital Call&amp;Distributions data'!$A:$A,INDEX('Capital Call&amp;Distributions data'!$C:$O,0,MIN(MAX(YEAR(AP$41)-YEAR($K87)+$J87+1,1),14)))),0)</f>
        <v>0</v>
      </c>
      <c r="AQ87" s="68" cm="1">
        <f t="array" ref="AQ87">IFERROR(IF(AQ$41&lt;$K87,0,$F87*_xlfn.XLOOKUP($D87,'Capital Call&amp;Distributions data'!$A:$A,INDEX('Capital Call&amp;Distributions data'!$C:$O,0,MIN(MAX(YEAR(AQ$41)-YEAR($K87)+$J87+1,1),14)))),0)</f>
        <v>0</v>
      </c>
      <c r="AR87" s="68" cm="1">
        <f t="array" ref="AR87">IFERROR(IF(AR$41&lt;$K87,0,$F87*_xlfn.XLOOKUP($D87,'Capital Call&amp;Distributions data'!$A:$A,INDEX('Capital Call&amp;Distributions data'!$C:$O,0,MIN(MAX(YEAR(AR$41)-YEAR($K87)+$J87+1,1),14)))),0)</f>
        <v>0</v>
      </c>
      <c r="AS87" s="68" cm="1">
        <f t="array" ref="AS87">IFERROR(IF(AS$41&lt;$K87,0,$F87*_xlfn.XLOOKUP($D87,'Capital Call&amp;Distributions data'!$A:$A,INDEX('Capital Call&amp;Distributions data'!$C:$O,0,MIN(MAX(YEAR(AS$41)-YEAR($K87)+$J87+1,1),14)))),0)</f>
        <v>0</v>
      </c>
      <c r="AT87" s="68" cm="1">
        <f t="array" ref="AT87">IFERROR(IF(AT$41&lt;$K87,0,$F87*_xlfn.XLOOKUP($D87,'Capital Call&amp;Distributions data'!$A:$A,INDEX('Capital Call&amp;Distributions data'!$C:$O,0,MIN(MAX(YEAR(AT$41)-YEAR($K87)+$J87+1,1),14)))),0)</f>
        <v>0</v>
      </c>
      <c r="AU87" s="68" cm="1">
        <f t="array" ref="AU87">IFERROR(IF(AU$41&lt;$K87,0,$F87*_xlfn.XLOOKUP($D87,'Capital Call&amp;Distributions data'!$A:$A,INDEX('Capital Call&amp;Distributions data'!$C:$O,0,MIN(MAX(YEAR(AU$41)-YEAR($K87)+$J87+1,1),14)))),0)</f>
        <v>0</v>
      </c>
      <c r="AW87" s="1"/>
      <c r="DJ87" s="11"/>
    </row>
    <row r="88" spans="1:114" ht="29.25" hidden="1" customHeight="1" outlineLevel="1">
      <c r="C88" s="20"/>
      <c r="D88" s="21">
        <f>_xlfn.XLOOKUP(C88,Fondsen!B:B,Fondsen!C:C,"0",0,1)</f>
        <v>0</v>
      </c>
      <c r="E88" s="21" t="s">
        <v>10</v>
      </c>
      <c r="F88" s="83" t="s">
        <v>13</v>
      </c>
      <c r="G88" s="143" t="str">
        <f ca="1">IFERROR(IF(SUM(OFFSET(INDEX('Capital Call&amp;Distributions data'!A:A,MATCH(D88,'Capital Call&amp;Distributions data'!A:A,0)),-1,2,1,1000))=0,"✔",""),"")</f>
        <v/>
      </c>
      <c r="H88" s="138" t="str">
        <f t="shared" si="4"/>
        <v/>
      </c>
      <c r="I88" s="96">
        <v>45658</v>
      </c>
      <c r="J88" s="70">
        <f t="shared" si="3"/>
        <v>0</v>
      </c>
      <c r="K88" s="96">
        <v>45658</v>
      </c>
      <c r="L88" s="68" cm="1">
        <f t="array" ref="L88">IFERROR(IF(L$41&lt;$K88,0,$F88*_xlfn.XLOOKUP($D88,'Capital Call&amp;Distributions data'!$A:$A,INDEX('Capital Call&amp;Distributions data'!$C:$O,0,MIN(MAX(YEAR(L$41)-YEAR($K88)+$J88+1,1),14)))),0)</f>
        <v>0</v>
      </c>
      <c r="M88" s="68" cm="1">
        <f t="array" ref="M88">IFERROR(IF(M$41&lt;$K88,0,$F88*_xlfn.XLOOKUP($D88,'Capital Call&amp;Distributions data'!$A:$A,INDEX('Capital Call&amp;Distributions data'!$C:$O,0,MIN(MAX(YEAR(M$41)-YEAR($K88)+$J88+1,1),14)))),0)</f>
        <v>0</v>
      </c>
      <c r="N88" s="68" cm="1">
        <f t="array" ref="N88">IFERROR(IF(N$41&lt;$K88,0,$F88*_xlfn.XLOOKUP($D88,'Capital Call&amp;Distributions data'!$A:$A,INDEX('Capital Call&amp;Distributions data'!$C:$O,0,MIN(MAX(YEAR(N$41)-YEAR($K88)+$J88+1,1),14)))),0)</f>
        <v>0</v>
      </c>
      <c r="O88" s="68" cm="1">
        <f t="array" ref="O88">IFERROR(IF(O$41&lt;$K88,0,$F88*_xlfn.XLOOKUP($D88,'Capital Call&amp;Distributions data'!$A:$A,INDEX('Capital Call&amp;Distributions data'!$C:$O,0,MIN(MAX(YEAR(O$41)-YEAR($K88)+$J88+1,1),14)))),0)</f>
        <v>0</v>
      </c>
      <c r="P88" s="68" cm="1">
        <f t="array" ref="P88">IFERROR(IF(P$41&lt;$K88,0,$F88*_xlfn.XLOOKUP($D88,'Capital Call&amp;Distributions data'!$A:$A,INDEX('Capital Call&amp;Distributions data'!$C:$O,0,MIN(MAX(YEAR(P$41)-YEAR($K88)+$J88+1,1),14)))),0)</f>
        <v>0</v>
      </c>
      <c r="Q88" s="68" cm="1">
        <f t="array" ref="Q88">IFERROR(IF(Q$41&lt;$K88,0,$F88*_xlfn.XLOOKUP($D88,'Capital Call&amp;Distributions data'!$A:$A,INDEX('Capital Call&amp;Distributions data'!$C:$O,0,MIN(MAX(YEAR(Q$41)-YEAR($K88)+$J88+1,1),14)))),0)</f>
        <v>0</v>
      </c>
      <c r="R88" s="68" cm="1">
        <f t="array" ref="R88">IFERROR(IF(R$41&lt;$K88,0,$F88*_xlfn.XLOOKUP($D88,'Capital Call&amp;Distributions data'!$A:$A,INDEX('Capital Call&amp;Distributions data'!$C:$O,0,MIN(MAX(YEAR(R$41)-YEAR($K88)+$J88+1,1),14)))),0)</f>
        <v>0</v>
      </c>
      <c r="S88" s="68" cm="1">
        <f t="array" ref="S88">IFERROR(IF(S$41&lt;$K88,0,$F88*_xlfn.XLOOKUP($D88,'Capital Call&amp;Distributions data'!$A:$A,INDEX('Capital Call&amp;Distributions data'!$C:$O,0,MIN(MAX(YEAR(S$41)-YEAR($K88)+$J88+1,1),14)))),0)</f>
        <v>0</v>
      </c>
      <c r="T88" s="68" cm="1">
        <f t="array" ref="T88">IFERROR(IF(T$41&lt;$K88,0,$F88*_xlfn.XLOOKUP($D88,'Capital Call&amp;Distributions data'!$A:$A,INDEX('Capital Call&amp;Distributions data'!$C:$O,0,MIN(MAX(YEAR(T$41)-YEAR($K88)+$J88+1,1),14)))),0)</f>
        <v>0</v>
      </c>
      <c r="U88" s="68" cm="1">
        <f t="array" ref="U88">IFERROR(IF(U$41&lt;$K88,0,$F88*_xlfn.XLOOKUP($D88,'Capital Call&amp;Distributions data'!$A:$A,INDEX('Capital Call&amp;Distributions data'!$C:$O,0,MIN(MAX(YEAR(U$41)-YEAR($K88)+$J88+1,1),14)))),0)</f>
        <v>0</v>
      </c>
      <c r="V88" s="68" cm="1">
        <f t="array" ref="V88">IFERROR(IF(V$41&lt;$K88,0,$F88*_xlfn.XLOOKUP($D88,'Capital Call&amp;Distributions data'!$A:$A,INDEX('Capital Call&amp;Distributions data'!$C:$O,0,MIN(MAX(YEAR(V$41)-YEAR($K88)+$J88+1,1),14)))),0)</f>
        <v>0</v>
      </c>
      <c r="W88" s="68" cm="1">
        <f t="array" ref="W88">IFERROR(IF(W$41&lt;$K88,0,$F88*_xlfn.XLOOKUP($D88,'Capital Call&amp;Distributions data'!$A:$A,INDEX('Capital Call&amp;Distributions data'!$C:$O,0,MIN(MAX(YEAR(W$41)-YEAR($K88)+$J88+1,1),14)))),0)</f>
        <v>0</v>
      </c>
      <c r="X88" s="68" cm="1">
        <f t="array" ref="X88">IFERROR(IF(X$41&lt;$K88,0,$F88*_xlfn.XLOOKUP($D88,'Capital Call&amp;Distributions data'!$A:$A,INDEX('Capital Call&amp;Distributions data'!$C:$O,0,MIN(MAX(YEAR(X$41)-YEAR($K88)+$J88+1,1),14)))),0)</f>
        <v>0</v>
      </c>
      <c r="Y88" s="68" cm="1">
        <f t="array" ref="Y88">IFERROR(IF(Y$41&lt;$K88,0,$F88*_xlfn.XLOOKUP($D88,'Capital Call&amp;Distributions data'!$A:$A,INDEX('Capital Call&amp;Distributions data'!$C:$O,0,MIN(MAX(YEAR(Y$41)-YEAR($K88)+$J88+1,1),14)))),0)</f>
        <v>0</v>
      </c>
      <c r="Z88" s="68" cm="1">
        <f t="array" ref="Z88">IFERROR(IF(Z$41&lt;$K88,0,$F88*_xlfn.XLOOKUP($D88,'Capital Call&amp;Distributions data'!$A:$A,INDEX('Capital Call&amp;Distributions data'!$C:$O,0,MIN(MAX(YEAR(Z$41)-YEAR($K88)+$J88+1,1),14)))),0)</f>
        <v>0</v>
      </c>
      <c r="AA88" s="68" cm="1">
        <f t="array" ref="AA88">IFERROR(IF(AA$41&lt;$K88,0,$F88*_xlfn.XLOOKUP($D88,'Capital Call&amp;Distributions data'!$A:$A,INDEX('Capital Call&amp;Distributions data'!$C:$O,0,MIN(MAX(YEAR(AA$41)-YEAR($K88)+$J88+1,1),14)))),0)</f>
        <v>0</v>
      </c>
      <c r="AB88" s="68" cm="1">
        <f t="array" ref="AB88">IFERROR(IF(AB$41&lt;$K88,0,$F88*_xlfn.XLOOKUP($D88,'Capital Call&amp;Distributions data'!$A:$A,INDEX('Capital Call&amp;Distributions data'!$C:$O,0,MIN(MAX(YEAR(AB$41)-YEAR($K88)+$J88+1,1),14)))),0)</f>
        <v>0</v>
      </c>
      <c r="AC88" s="68" cm="1">
        <f t="array" ref="AC88">IFERROR(IF(AC$41&lt;$K88,0,$F88*_xlfn.XLOOKUP($D88,'Capital Call&amp;Distributions data'!$A:$A,INDEX('Capital Call&amp;Distributions data'!$C:$O,0,MIN(MAX(YEAR(AC$41)-YEAR($K88)+$J88+1,1),14)))),0)</f>
        <v>0</v>
      </c>
      <c r="AD88" s="68" cm="1">
        <f t="array" ref="AD88">IFERROR(IF(AD$41&lt;$K88,0,$F88*_xlfn.XLOOKUP($D88,'Capital Call&amp;Distributions data'!$A:$A,INDEX('Capital Call&amp;Distributions data'!$C:$O,0,MIN(MAX(YEAR(AD$41)-YEAR($K88)+$J88+1,1),14)))),0)</f>
        <v>0</v>
      </c>
      <c r="AE88" s="68" cm="1">
        <f t="array" ref="AE88">IFERROR(IF(AE$41&lt;$K88,0,$F88*_xlfn.XLOOKUP($D88,'Capital Call&amp;Distributions data'!$A:$A,INDEX('Capital Call&amp;Distributions data'!$C:$O,0,MIN(MAX(YEAR(AE$41)-YEAR($K88)+$J88+1,1),14)))),0)</f>
        <v>0</v>
      </c>
      <c r="AF88" s="68" cm="1">
        <f t="array" ref="AF88">IFERROR(IF(AF$41&lt;$K88,0,$F88*_xlfn.XLOOKUP($D88,'Capital Call&amp;Distributions data'!$A:$A,INDEX('Capital Call&amp;Distributions data'!$C:$O,0,MIN(MAX(YEAR(AF$41)-YEAR($K88)+$J88+1,1),14)))),0)</f>
        <v>0</v>
      </c>
      <c r="AG88" s="68" cm="1">
        <f t="array" ref="AG88">IFERROR(IF(AG$41&lt;$K88,0,$F88*_xlfn.XLOOKUP($D88,'Capital Call&amp;Distributions data'!$A:$A,INDEX('Capital Call&amp;Distributions data'!$C:$O,0,MIN(MAX(YEAR(AG$41)-YEAR($K88)+$J88+1,1),14)))),0)</f>
        <v>0</v>
      </c>
      <c r="AH88" s="68" cm="1">
        <f t="array" ref="AH88">IFERROR(IF(AH$41&lt;$K88,0,$F88*_xlfn.XLOOKUP($D88,'Capital Call&amp;Distributions data'!$A:$A,INDEX('Capital Call&amp;Distributions data'!$C:$O,0,MIN(MAX(YEAR(AH$41)-YEAR($K88)+$J88+1,1),14)))),0)</f>
        <v>0</v>
      </c>
      <c r="AI88" s="68" cm="1">
        <f t="array" ref="AI88">IFERROR(IF(AI$41&lt;$K88,0,$F88*_xlfn.XLOOKUP($D88,'Capital Call&amp;Distributions data'!$A:$A,INDEX('Capital Call&amp;Distributions data'!$C:$O,0,MIN(MAX(YEAR(AI$41)-YEAR($K88)+$J88+1,1),14)))),0)</f>
        <v>0</v>
      </c>
      <c r="AJ88" s="68" cm="1">
        <f t="array" ref="AJ88">IFERROR(IF(AJ$41&lt;$K88,0,$F88*_xlfn.XLOOKUP($D88,'Capital Call&amp;Distributions data'!$A:$A,INDEX('Capital Call&amp;Distributions data'!$C:$O,0,MIN(MAX(YEAR(AJ$41)-YEAR($K88)+$J88+1,1),14)))),0)</f>
        <v>0</v>
      </c>
      <c r="AK88" s="68" cm="1">
        <f t="array" ref="AK88">IFERROR(IF(AK$41&lt;$K88,0,$F88*_xlfn.XLOOKUP($D88,'Capital Call&amp;Distributions data'!$A:$A,INDEX('Capital Call&amp;Distributions data'!$C:$O,0,MIN(MAX(YEAR(AK$41)-YEAR($K88)+$J88+1,1),14)))),0)</f>
        <v>0</v>
      </c>
      <c r="AL88" s="68" cm="1">
        <f t="array" ref="AL88">IFERROR(IF(AL$41&lt;$K88,0,$F88*_xlfn.XLOOKUP($D88,'Capital Call&amp;Distributions data'!$A:$A,INDEX('Capital Call&amp;Distributions data'!$C:$O,0,MIN(MAX(YEAR(AL$41)-YEAR($K88)+$J88+1,1),14)))),0)</f>
        <v>0</v>
      </c>
      <c r="AM88" s="68" cm="1">
        <f t="array" ref="AM88">IFERROR(IF(AM$41&lt;$K88,0,$F88*_xlfn.XLOOKUP($D88,'Capital Call&amp;Distributions data'!$A:$A,INDEX('Capital Call&amp;Distributions data'!$C:$O,0,MIN(MAX(YEAR(AM$41)-YEAR($K88)+$J88+1,1),14)))),0)</f>
        <v>0</v>
      </c>
      <c r="AN88" s="68" cm="1">
        <f t="array" ref="AN88">IFERROR(IF(AN$41&lt;$K88,0,$F88*_xlfn.XLOOKUP($D88,'Capital Call&amp;Distributions data'!$A:$A,INDEX('Capital Call&amp;Distributions data'!$C:$O,0,MIN(MAX(YEAR(AN$41)-YEAR($K88)+$J88+1,1),14)))),0)</f>
        <v>0</v>
      </c>
      <c r="AO88" s="68" cm="1">
        <f t="array" ref="AO88">IFERROR(IF(AO$41&lt;$K88,0,$F88*_xlfn.XLOOKUP($D88,'Capital Call&amp;Distributions data'!$A:$A,INDEX('Capital Call&amp;Distributions data'!$C:$O,0,MIN(MAX(YEAR(AO$41)-YEAR($K88)+$J88+1,1),14)))),0)</f>
        <v>0</v>
      </c>
      <c r="AP88" s="68" cm="1">
        <f t="array" ref="AP88">IFERROR(IF(AP$41&lt;$K88,0,$F88*_xlfn.XLOOKUP($D88,'Capital Call&amp;Distributions data'!$A:$A,INDEX('Capital Call&amp;Distributions data'!$C:$O,0,MIN(MAX(YEAR(AP$41)-YEAR($K88)+$J88+1,1),14)))),0)</f>
        <v>0</v>
      </c>
      <c r="AQ88" s="68" cm="1">
        <f t="array" ref="AQ88">IFERROR(IF(AQ$41&lt;$K88,0,$F88*_xlfn.XLOOKUP($D88,'Capital Call&amp;Distributions data'!$A:$A,INDEX('Capital Call&amp;Distributions data'!$C:$O,0,MIN(MAX(YEAR(AQ$41)-YEAR($K88)+$J88+1,1),14)))),0)</f>
        <v>0</v>
      </c>
      <c r="AR88" s="68" cm="1">
        <f t="array" ref="AR88">IFERROR(IF(AR$41&lt;$K88,0,$F88*_xlfn.XLOOKUP($D88,'Capital Call&amp;Distributions data'!$A:$A,INDEX('Capital Call&amp;Distributions data'!$C:$O,0,MIN(MAX(YEAR(AR$41)-YEAR($K88)+$J88+1,1),14)))),0)</f>
        <v>0</v>
      </c>
      <c r="AS88" s="68" cm="1">
        <f t="array" ref="AS88">IFERROR(IF(AS$41&lt;$K88,0,$F88*_xlfn.XLOOKUP($D88,'Capital Call&amp;Distributions data'!$A:$A,INDEX('Capital Call&amp;Distributions data'!$C:$O,0,MIN(MAX(YEAR(AS$41)-YEAR($K88)+$J88+1,1),14)))),0)</f>
        <v>0</v>
      </c>
      <c r="AT88" s="68" cm="1">
        <f t="array" ref="AT88">IFERROR(IF(AT$41&lt;$K88,0,$F88*_xlfn.XLOOKUP($D88,'Capital Call&amp;Distributions data'!$A:$A,INDEX('Capital Call&amp;Distributions data'!$C:$O,0,MIN(MAX(YEAR(AT$41)-YEAR($K88)+$J88+1,1),14)))),0)</f>
        <v>0</v>
      </c>
      <c r="AU88" s="68" cm="1">
        <f t="array" ref="AU88">IFERROR(IF(AU$41&lt;$K88,0,$F88*_xlfn.XLOOKUP($D88,'Capital Call&amp;Distributions data'!$A:$A,INDEX('Capital Call&amp;Distributions data'!$C:$O,0,MIN(MAX(YEAR(AU$41)-YEAR($K88)+$J88+1,1),14)))),0)</f>
        <v>0</v>
      </c>
      <c r="AW88" s="1"/>
      <c r="DJ88" s="11"/>
    </row>
    <row r="89" spans="1:114" ht="29.1" hidden="1" customHeight="1" outlineLevel="1">
      <c r="C89" s="20"/>
      <c r="D89" s="21">
        <f>_xlfn.XLOOKUP(C89,Fondsen!B:B,Fondsen!C:C,"0",0,1)</f>
        <v>0</v>
      </c>
      <c r="E89" s="21" t="s">
        <v>10</v>
      </c>
      <c r="F89" s="83" t="s">
        <v>13</v>
      </c>
      <c r="G89" s="143" t="str">
        <f ca="1">IFERROR(IF(SUM(OFFSET(INDEX('Capital Call&amp;Distributions data'!A:A,MATCH(D89,'Capital Call&amp;Distributions data'!A:A,0)),-1,2,1,1000))=0,"✔",""),"")</f>
        <v/>
      </c>
      <c r="H89" s="138" t="str">
        <f t="shared" si="4"/>
        <v/>
      </c>
      <c r="I89" s="96">
        <v>45658</v>
      </c>
      <c r="J89" s="70">
        <f t="shared" si="3"/>
        <v>0</v>
      </c>
      <c r="K89" s="96">
        <v>45658</v>
      </c>
      <c r="L89" s="68" cm="1">
        <f t="array" ref="L89">IFERROR(IF(L$41&lt;$K89,0,$F89*_xlfn.XLOOKUP($D89,'Capital Call&amp;Distributions data'!$A:$A,INDEX('Capital Call&amp;Distributions data'!$C:$O,0,MIN(MAX(YEAR(L$41)-YEAR($K89)+$J89+1,1),14)))),0)</f>
        <v>0</v>
      </c>
      <c r="M89" s="68" cm="1">
        <f t="array" ref="M89">IFERROR(IF(M$41&lt;$K89,0,$F89*_xlfn.XLOOKUP($D89,'Capital Call&amp;Distributions data'!$A:$A,INDEX('Capital Call&amp;Distributions data'!$C:$O,0,MIN(MAX(YEAR(M$41)-YEAR($K89)+$J89+1,1),14)))),0)</f>
        <v>0</v>
      </c>
      <c r="N89" s="68" cm="1">
        <f t="array" ref="N89">IFERROR(IF(N$41&lt;$K89,0,$F89*_xlfn.XLOOKUP($D89,'Capital Call&amp;Distributions data'!$A:$A,INDEX('Capital Call&amp;Distributions data'!$C:$O,0,MIN(MAX(YEAR(N$41)-YEAR($K89)+$J89+1,1),14)))),0)</f>
        <v>0</v>
      </c>
      <c r="O89" s="68" cm="1">
        <f t="array" ref="O89">IFERROR(IF(O$41&lt;$K89,0,$F89*_xlfn.XLOOKUP($D89,'Capital Call&amp;Distributions data'!$A:$A,INDEX('Capital Call&amp;Distributions data'!$C:$O,0,MIN(MAX(YEAR(O$41)-YEAR($K89)+$J89+1,1),14)))),0)</f>
        <v>0</v>
      </c>
      <c r="P89" s="68" cm="1">
        <f t="array" ref="P89">IFERROR(IF(P$41&lt;$K89,0,$F89*_xlfn.XLOOKUP($D89,'Capital Call&amp;Distributions data'!$A:$A,INDEX('Capital Call&amp;Distributions data'!$C:$O,0,MIN(MAX(YEAR(P$41)-YEAR($K89)+$J89+1,1),14)))),0)</f>
        <v>0</v>
      </c>
      <c r="Q89" s="68" cm="1">
        <f t="array" ref="Q89">IFERROR(IF(Q$41&lt;$K89,0,$F89*_xlfn.XLOOKUP($D89,'Capital Call&amp;Distributions data'!$A:$A,INDEX('Capital Call&amp;Distributions data'!$C:$O,0,MIN(MAX(YEAR(Q$41)-YEAR($K89)+$J89+1,1),14)))),0)</f>
        <v>0</v>
      </c>
      <c r="R89" s="68" cm="1">
        <f t="array" ref="R89">IFERROR(IF(R$41&lt;$K89,0,$F89*_xlfn.XLOOKUP($D89,'Capital Call&amp;Distributions data'!$A:$A,INDEX('Capital Call&amp;Distributions data'!$C:$O,0,MIN(MAX(YEAR(R$41)-YEAR($K89)+$J89+1,1),14)))),0)</f>
        <v>0</v>
      </c>
      <c r="S89" s="68" cm="1">
        <f t="array" ref="S89">IFERROR(IF(S$41&lt;$K89,0,$F89*_xlfn.XLOOKUP($D89,'Capital Call&amp;Distributions data'!$A:$A,INDEX('Capital Call&amp;Distributions data'!$C:$O,0,MIN(MAX(YEAR(S$41)-YEAR($K89)+$J89+1,1),14)))),0)</f>
        <v>0</v>
      </c>
      <c r="T89" s="68" cm="1">
        <f t="array" ref="T89">IFERROR(IF(T$41&lt;$K89,0,$F89*_xlfn.XLOOKUP($D89,'Capital Call&amp;Distributions data'!$A:$A,INDEX('Capital Call&amp;Distributions data'!$C:$O,0,MIN(MAX(YEAR(T$41)-YEAR($K89)+$J89+1,1),14)))),0)</f>
        <v>0</v>
      </c>
      <c r="U89" s="68" cm="1">
        <f t="array" ref="U89">IFERROR(IF(U$41&lt;$K89,0,$F89*_xlfn.XLOOKUP($D89,'Capital Call&amp;Distributions data'!$A:$A,INDEX('Capital Call&amp;Distributions data'!$C:$O,0,MIN(MAX(YEAR(U$41)-YEAR($K89)+$J89+1,1),14)))),0)</f>
        <v>0</v>
      </c>
      <c r="V89" s="68" cm="1">
        <f t="array" ref="V89">IFERROR(IF(V$41&lt;$K89,0,$F89*_xlfn.XLOOKUP($D89,'Capital Call&amp;Distributions data'!$A:$A,INDEX('Capital Call&amp;Distributions data'!$C:$O,0,MIN(MAX(YEAR(V$41)-YEAR($K89)+$J89+1,1),14)))),0)</f>
        <v>0</v>
      </c>
      <c r="W89" s="68" cm="1">
        <f t="array" ref="W89">IFERROR(IF(W$41&lt;$K89,0,$F89*_xlfn.XLOOKUP($D89,'Capital Call&amp;Distributions data'!$A:$A,INDEX('Capital Call&amp;Distributions data'!$C:$O,0,MIN(MAX(YEAR(W$41)-YEAR($K89)+$J89+1,1),14)))),0)</f>
        <v>0</v>
      </c>
      <c r="X89" s="68" cm="1">
        <f t="array" ref="X89">IFERROR(IF(X$41&lt;$K89,0,$F89*_xlfn.XLOOKUP($D89,'Capital Call&amp;Distributions data'!$A:$A,INDEX('Capital Call&amp;Distributions data'!$C:$O,0,MIN(MAX(YEAR(X$41)-YEAR($K89)+$J89+1,1),14)))),0)</f>
        <v>0</v>
      </c>
      <c r="Y89" s="68" cm="1">
        <f t="array" ref="Y89">IFERROR(IF(Y$41&lt;$K89,0,$F89*_xlfn.XLOOKUP($D89,'Capital Call&amp;Distributions data'!$A:$A,INDEX('Capital Call&amp;Distributions data'!$C:$O,0,MIN(MAX(YEAR(Y$41)-YEAR($K89)+$J89+1,1),14)))),0)</f>
        <v>0</v>
      </c>
      <c r="Z89" s="68" cm="1">
        <f t="array" ref="Z89">IFERROR(IF(Z$41&lt;$K89,0,$F89*_xlfn.XLOOKUP($D89,'Capital Call&amp;Distributions data'!$A:$A,INDEX('Capital Call&amp;Distributions data'!$C:$O,0,MIN(MAX(YEAR(Z$41)-YEAR($K89)+$J89+1,1),14)))),0)</f>
        <v>0</v>
      </c>
      <c r="AA89" s="68" cm="1">
        <f t="array" ref="AA89">IFERROR(IF(AA$41&lt;$K89,0,$F89*_xlfn.XLOOKUP($D89,'Capital Call&amp;Distributions data'!$A:$A,INDEX('Capital Call&amp;Distributions data'!$C:$O,0,MIN(MAX(YEAR(AA$41)-YEAR($K89)+$J89+1,1),14)))),0)</f>
        <v>0</v>
      </c>
      <c r="AB89" s="68" cm="1">
        <f t="array" ref="AB89">IFERROR(IF(AB$41&lt;$K89,0,$F89*_xlfn.XLOOKUP($D89,'Capital Call&amp;Distributions data'!$A:$A,INDEX('Capital Call&amp;Distributions data'!$C:$O,0,MIN(MAX(YEAR(AB$41)-YEAR($K89)+$J89+1,1),14)))),0)</f>
        <v>0</v>
      </c>
      <c r="AC89" s="68" cm="1">
        <f t="array" ref="AC89">IFERROR(IF(AC$41&lt;$K89,0,$F89*_xlfn.XLOOKUP($D89,'Capital Call&amp;Distributions data'!$A:$A,INDEX('Capital Call&amp;Distributions data'!$C:$O,0,MIN(MAX(YEAR(AC$41)-YEAR($K89)+$J89+1,1),14)))),0)</f>
        <v>0</v>
      </c>
      <c r="AD89" s="68" cm="1">
        <f t="array" ref="AD89">IFERROR(IF(AD$41&lt;$K89,0,$F89*_xlfn.XLOOKUP($D89,'Capital Call&amp;Distributions data'!$A:$A,INDEX('Capital Call&amp;Distributions data'!$C:$O,0,MIN(MAX(YEAR(AD$41)-YEAR($K89)+$J89+1,1),14)))),0)</f>
        <v>0</v>
      </c>
      <c r="AE89" s="68" cm="1">
        <f t="array" ref="AE89">IFERROR(IF(AE$41&lt;$K89,0,$F89*_xlfn.XLOOKUP($D89,'Capital Call&amp;Distributions data'!$A:$A,INDEX('Capital Call&amp;Distributions data'!$C:$O,0,MIN(MAX(YEAR(AE$41)-YEAR($K89)+$J89+1,1),14)))),0)</f>
        <v>0</v>
      </c>
      <c r="AF89" s="68" cm="1">
        <f t="array" ref="AF89">IFERROR(IF(AF$41&lt;$K89,0,$F89*_xlfn.XLOOKUP($D89,'Capital Call&amp;Distributions data'!$A:$A,INDEX('Capital Call&amp;Distributions data'!$C:$O,0,MIN(MAX(YEAR(AF$41)-YEAR($K89)+$J89+1,1),14)))),0)</f>
        <v>0</v>
      </c>
      <c r="AG89" s="68" cm="1">
        <f t="array" ref="AG89">IFERROR(IF(AG$41&lt;$K89,0,$F89*_xlfn.XLOOKUP($D89,'Capital Call&amp;Distributions data'!$A:$A,INDEX('Capital Call&amp;Distributions data'!$C:$O,0,MIN(MAX(YEAR(AG$41)-YEAR($K89)+$J89+1,1),14)))),0)</f>
        <v>0</v>
      </c>
      <c r="AH89" s="68" cm="1">
        <f t="array" ref="AH89">IFERROR(IF(AH$41&lt;$K89,0,$F89*_xlfn.XLOOKUP($D89,'Capital Call&amp;Distributions data'!$A:$A,INDEX('Capital Call&amp;Distributions data'!$C:$O,0,MIN(MAX(YEAR(AH$41)-YEAR($K89)+$J89+1,1),14)))),0)</f>
        <v>0</v>
      </c>
      <c r="AI89" s="68" cm="1">
        <f t="array" ref="AI89">IFERROR(IF(AI$41&lt;$K89,0,$F89*_xlfn.XLOOKUP($D89,'Capital Call&amp;Distributions data'!$A:$A,INDEX('Capital Call&amp;Distributions data'!$C:$O,0,MIN(MAX(YEAR(AI$41)-YEAR($K89)+$J89+1,1),14)))),0)</f>
        <v>0</v>
      </c>
      <c r="AJ89" s="68" cm="1">
        <f t="array" ref="AJ89">IFERROR(IF(AJ$41&lt;$K89,0,$F89*_xlfn.XLOOKUP($D89,'Capital Call&amp;Distributions data'!$A:$A,INDEX('Capital Call&amp;Distributions data'!$C:$O,0,MIN(MAX(YEAR(AJ$41)-YEAR($K89)+$J89+1,1),14)))),0)</f>
        <v>0</v>
      </c>
      <c r="AK89" s="68" cm="1">
        <f t="array" ref="AK89">IFERROR(IF(AK$41&lt;$K89,0,$F89*_xlfn.XLOOKUP($D89,'Capital Call&amp;Distributions data'!$A:$A,INDEX('Capital Call&amp;Distributions data'!$C:$O,0,MIN(MAX(YEAR(AK$41)-YEAR($K89)+$J89+1,1),14)))),0)</f>
        <v>0</v>
      </c>
      <c r="AL89" s="68" cm="1">
        <f t="array" ref="AL89">IFERROR(IF(AL$41&lt;$K89,0,$F89*_xlfn.XLOOKUP($D89,'Capital Call&amp;Distributions data'!$A:$A,INDEX('Capital Call&amp;Distributions data'!$C:$O,0,MIN(MAX(YEAR(AL$41)-YEAR($K89)+$J89+1,1),14)))),0)</f>
        <v>0</v>
      </c>
      <c r="AM89" s="68" cm="1">
        <f t="array" ref="AM89">IFERROR(IF(AM$41&lt;$K89,0,$F89*_xlfn.XLOOKUP($D89,'Capital Call&amp;Distributions data'!$A:$A,INDEX('Capital Call&amp;Distributions data'!$C:$O,0,MIN(MAX(YEAR(AM$41)-YEAR($K89)+$J89+1,1),14)))),0)</f>
        <v>0</v>
      </c>
      <c r="AN89" s="68" cm="1">
        <f t="array" ref="AN89">IFERROR(IF(AN$41&lt;$K89,0,$F89*_xlfn.XLOOKUP($D89,'Capital Call&amp;Distributions data'!$A:$A,INDEX('Capital Call&amp;Distributions data'!$C:$O,0,MIN(MAX(YEAR(AN$41)-YEAR($K89)+$J89+1,1),14)))),0)</f>
        <v>0</v>
      </c>
      <c r="AO89" s="68" cm="1">
        <f t="array" ref="AO89">IFERROR(IF(AO$41&lt;$K89,0,$F89*_xlfn.XLOOKUP($D89,'Capital Call&amp;Distributions data'!$A:$A,INDEX('Capital Call&amp;Distributions data'!$C:$O,0,MIN(MAX(YEAR(AO$41)-YEAR($K89)+$J89+1,1),14)))),0)</f>
        <v>0</v>
      </c>
      <c r="AP89" s="68" cm="1">
        <f t="array" ref="AP89">IFERROR(IF(AP$41&lt;$K89,0,$F89*_xlfn.XLOOKUP($D89,'Capital Call&amp;Distributions data'!$A:$A,INDEX('Capital Call&amp;Distributions data'!$C:$O,0,MIN(MAX(YEAR(AP$41)-YEAR($K89)+$J89+1,1),14)))),0)</f>
        <v>0</v>
      </c>
      <c r="AQ89" s="68" cm="1">
        <f t="array" ref="AQ89">IFERROR(IF(AQ$41&lt;$K89,0,$F89*_xlfn.XLOOKUP($D89,'Capital Call&amp;Distributions data'!$A:$A,INDEX('Capital Call&amp;Distributions data'!$C:$O,0,MIN(MAX(YEAR(AQ$41)-YEAR($K89)+$J89+1,1),14)))),0)</f>
        <v>0</v>
      </c>
      <c r="AR89" s="68" cm="1">
        <f t="array" ref="AR89">IFERROR(IF(AR$41&lt;$K89,0,$F89*_xlfn.XLOOKUP($D89,'Capital Call&amp;Distributions data'!$A:$A,INDEX('Capital Call&amp;Distributions data'!$C:$O,0,MIN(MAX(YEAR(AR$41)-YEAR($K89)+$J89+1,1),14)))),0)</f>
        <v>0</v>
      </c>
      <c r="AS89" s="68" cm="1">
        <f t="array" ref="AS89">IFERROR(IF(AS$41&lt;$K89,0,$F89*_xlfn.XLOOKUP($D89,'Capital Call&amp;Distributions data'!$A:$A,INDEX('Capital Call&amp;Distributions data'!$C:$O,0,MIN(MAX(YEAR(AS$41)-YEAR($K89)+$J89+1,1),14)))),0)</f>
        <v>0</v>
      </c>
      <c r="AT89" s="68" cm="1">
        <f t="array" ref="AT89">IFERROR(IF(AT$41&lt;$K89,0,$F89*_xlfn.XLOOKUP($D89,'Capital Call&amp;Distributions data'!$A:$A,INDEX('Capital Call&amp;Distributions data'!$C:$O,0,MIN(MAX(YEAR(AT$41)-YEAR($K89)+$J89+1,1),14)))),0)</f>
        <v>0</v>
      </c>
      <c r="AU89" s="68" cm="1">
        <f t="array" ref="AU89">IFERROR(IF(AU$41&lt;$K89,0,$F89*_xlfn.XLOOKUP($D89,'Capital Call&amp;Distributions data'!$A:$A,INDEX('Capital Call&amp;Distributions data'!$C:$O,0,MIN(MAX(YEAR(AU$41)-YEAR($K89)+$J89+1,1),14)))),0)</f>
        <v>0</v>
      </c>
      <c r="AW89" s="1"/>
      <c r="DJ89" s="11"/>
    </row>
    <row r="90" spans="1:114" ht="29.25" hidden="1" customHeight="1" outlineLevel="1">
      <c r="C90" s="20"/>
      <c r="D90" s="21">
        <f>_xlfn.XLOOKUP(C90,Fondsen!B:B,Fondsen!C:C,"0",0,1)</f>
        <v>0</v>
      </c>
      <c r="E90" s="21" t="s">
        <v>10</v>
      </c>
      <c r="F90" s="83" t="s">
        <v>13</v>
      </c>
      <c r="G90" s="143" t="str">
        <f ca="1">IFERROR(IF(SUM(OFFSET(INDEX('Capital Call&amp;Distributions data'!A:A,MATCH(D90,'Capital Call&amp;Distributions data'!A:A,0)),-1,2,1,1000))=0,"✔",""),"")</f>
        <v/>
      </c>
      <c r="H90" s="138" t="str">
        <f t="shared" si="4"/>
        <v/>
      </c>
      <c r="I90" s="96">
        <v>45658</v>
      </c>
      <c r="J90" s="70">
        <f t="shared" si="3"/>
        <v>0</v>
      </c>
      <c r="K90" s="96">
        <v>45658</v>
      </c>
      <c r="L90" s="68" cm="1">
        <f t="array" ref="L90">IFERROR(IF(L$41&lt;$K90,0,$F90*_xlfn.XLOOKUP($D90,'Capital Call&amp;Distributions data'!$A:$A,INDEX('Capital Call&amp;Distributions data'!$C:$O,0,MIN(MAX(YEAR(L$41)-YEAR($K90)+$J90+1,1),14)))),0)</f>
        <v>0</v>
      </c>
      <c r="M90" s="68" cm="1">
        <f t="array" ref="M90">IFERROR(IF(M$41&lt;$K90,0,$F90*_xlfn.XLOOKUP($D90,'Capital Call&amp;Distributions data'!$A:$A,INDEX('Capital Call&amp;Distributions data'!$C:$O,0,MIN(MAX(YEAR(M$41)-YEAR($K90)+$J90+1,1),14)))),0)</f>
        <v>0</v>
      </c>
      <c r="N90" s="68" cm="1">
        <f t="array" ref="N90">IFERROR(IF(N$41&lt;$K90,0,$F90*_xlfn.XLOOKUP($D90,'Capital Call&amp;Distributions data'!$A:$A,INDEX('Capital Call&amp;Distributions data'!$C:$O,0,MIN(MAX(YEAR(N$41)-YEAR($K90)+$J90+1,1),14)))),0)</f>
        <v>0</v>
      </c>
      <c r="O90" s="68" cm="1">
        <f t="array" ref="O90">IFERROR(IF(O$41&lt;$K90,0,$F90*_xlfn.XLOOKUP($D90,'Capital Call&amp;Distributions data'!$A:$A,INDEX('Capital Call&amp;Distributions data'!$C:$O,0,MIN(MAX(YEAR(O$41)-YEAR($K90)+$J90+1,1),14)))),0)</f>
        <v>0</v>
      </c>
      <c r="P90" s="68" cm="1">
        <f t="array" ref="P90">IFERROR(IF(P$41&lt;$K90,0,$F90*_xlfn.XLOOKUP($D90,'Capital Call&amp;Distributions data'!$A:$A,INDEX('Capital Call&amp;Distributions data'!$C:$O,0,MIN(MAX(YEAR(P$41)-YEAR($K90)+$J90+1,1),14)))),0)</f>
        <v>0</v>
      </c>
      <c r="Q90" s="68" cm="1">
        <f t="array" ref="Q90">IFERROR(IF(Q$41&lt;$K90,0,$F90*_xlfn.XLOOKUP($D90,'Capital Call&amp;Distributions data'!$A:$A,INDEX('Capital Call&amp;Distributions data'!$C:$O,0,MIN(MAX(YEAR(Q$41)-YEAR($K90)+$J90+1,1),14)))),0)</f>
        <v>0</v>
      </c>
      <c r="R90" s="68" cm="1">
        <f t="array" ref="R90">IFERROR(IF(R$41&lt;$K90,0,$F90*_xlfn.XLOOKUP($D90,'Capital Call&amp;Distributions data'!$A:$A,INDEX('Capital Call&amp;Distributions data'!$C:$O,0,MIN(MAX(YEAR(R$41)-YEAR($K90)+$J90+1,1),14)))),0)</f>
        <v>0</v>
      </c>
      <c r="S90" s="68" cm="1">
        <f t="array" ref="S90">IFERROR(IF(S$41&lt;$K90,0,$F90*_xlfn.XLOOKUP($D90,'Capital Call&amp;Distributions data'!$A:$A,INDEX('Capital Call&amp;Distributions data'!$C:$O,0,MIN(MAX(YEAR(S$41)-YEAR($K90)+$J90+1,1),14)))),0)</f>
        <v>0</v>
      </c>
      <c r="T90" s="68" cm="1">
        <f t="array" ref="T90">IFERROR(IF(T$41&lt;$K90,0,$F90*_xlfn.XLOOKUP($D90,'Capital Call&amp;Distributions data'!$A:$A,INDEX('Capital Call&amp;Distributions data'!$C:$O,0,MIN(MAX(YEAR(T$41)-YEAR($K90)+$J90+1,1),14)))),0)</f>
        <v>0</v>
      </c>
      <c r="U90" s="68" cm="1">
        <f t="array" ref="U90">IFERROR(IF(U$41&lt;$K90,0,$F90*_xlfn.XLOOKUP($D90,'Capital Call&amp;Distributions data'!$A:$A,INDEX('Capital Call&amp;Distributions data'!$C:$O,0,MIN(MAX(YEAR(U$41)-YEAR($K90)+$J90+1,1),14)))),0)</f>
        <v>0</v>
      </c>
      <c r="V90" s="68" cm="1">
        <f t="array" ref="V90">IFERROR(IF(V$41&lt;$K90,0,$F90*_xlfn.XLOOKUP($D90,'Capital Call&amp;Distributions data'!$A:$A,INDEX('Capital Call&amp;Distributions data'!$C:$O,0,MIN(MAX(YEAR(V$41)-YEAR($K90)+$J90+1,1),14)))),0)</f>
        <v>0</v>
      </c>
      <c r="W90" s="68" cm="1">
        <f t="array" ref="W90">IFERROR(IF(W$41&lt;$K90,0,$F90*_xlfn.XLOOKUP($D90,'Capital Call&amp;Distributions data'!$A:$A,INDEX('Capital Call&amp;Distributions data'!$C:$O,0,MIN(MAX(YEAR(W$41)-YEAR($K90)+$J90+1,1),14)))),0)</f>
        <v>0</v>
      </c>
      <c r="X90" s="68" cm="1">
        <f t="array" ref="X90">IFERROR(IF(X$41&lt;$K90,0,$F90*_xlfn.XLOOKUP($D90,'Capital Call&amp;Distributions data'!$A:$A,INDEX('Capital Call&amp;Distributions data'!$C:$O,0,MIN(MAX(YEAR(X$41)-YEAR($K90)+$J90+1,1),14)))),0)</f>
        <v>0</v>
      </c>
      <c r="Y90" s="68" cm="1">
        <f t="array" ref="Y90">IFERROR(IF(Y$41&lt;$K90,0,$F90*_xlfn.XLOOKUP($D90,'Capital Call&amp;Distributions data'!$A:$A,INDEX('Capital Call&amp;Distributions data'!$C:$O,0,MIN(MAX(YEAR(Y$41)-YEAR($K90)+$J90+1,1),14)))),0)</f>
        <v>0</v>
      </c>
      <c r="Z90" s="68" cm="1">
        <f t="array" ref="Z90">IFERROR(IF(Z$41&lt;$K90,0,$F90*_xlfn.XLOOKUP($D90,'Capital Call&amp;Distributions data'!$A:$A,INDEX('Capital Call&amp;Distributions data'!$C:$O,0,MIN(MAX(YEAR(Z$41)-YEAR($K90)+$J90+1,1),14)))),0)</f>
        <v>0</v>
      </c>
      <c r="AA90" s="68" cm="1">
        <f t="array" ref="AA90">IFERROR(IF(AA$41&lt;$K90,0,$F90*_xlfn.XLOOKUP($D90,'Capital Call&amp;Distributions data'!$A:$A,INDEX('Capital Call&amp;Distributions data'!$C:$O,0,MIN(MAX(YEAR(AA$41)-YEAR($K90)+$J90+1,1),14)))),0)</f>
        <v>0</v>
      </c>
      <c r="AB90" s="68" cm="1">
        <f t="array" ref="AB90">IFERROR(IF(AB$41&lt;$K90,0,$F90*_xlfn.XLOOKUP($D90,'Capital Call&amp;Distributions data'!$A:$A,INDEX('Capital Call&amp;Distributions data'!$C:$O,0,MIN(MAX(YEAR(AB$41)-YEAR($K90)+$J90+1,1),14)))),0)</f>
        <v>0</v>
      </c>
      <c r="AC90" s="68" cm="1">
        <f t="array" ref="AC90">IFERROR(IF(AC$41&lt;$K90,0,$F90*_xlfn.XLOOKUP($D90,'Capital Call&amp;Distributions data'!$A:$A,INDEX('Capital Call&amp;Distributions data'!$C:$O,0,MIN(MAX(YEAR(AC$41)-YEAR($K90)+$J90+1,1),14)))),0)</f>
        <v>0</v>
      </c>
      <c r="AD90" s="68" cm="1">
        <f t="array" ref="AD90">IFERROR(IF(AD$41&lt;$K90,0,$F90*_xlfn.XLOOKUP($D90,'Capital Call&amp;Distributions data'!$A:$A,INDEX('Capital Call&amp;Distributions data'!$C:$O,0,MIN(MAX(YEAR(AD$41)-YEAR($K90)+$J90+1,1),14)))),0)</f>
        <v>0</v>
      </c>
      <c r="AE90" s="68" cm="1">
        <f t="array" ref="AE90">IFERROR(IF(AE$41&lt;$K90,0,$F90*_xlfn.XLOOKUP($D90,'Capital Call&amp;Distributions data'!$A:$A,INDEX('Capital Call&amp;Distributions data'!$C:$O,0,MIN(MAX(YEAR(AE$41)-YEAR($K90)+$J90+1,1),14)))),0)</f>
        <v>0</v>
      </c>
      <c r="AF90" s="68" cm="1">
        <f t="array" ref="AF90">IFERROR(IF(AF$41&lt;$K90,0,$F90*_xlfn.XLOOKUP($D90,'Capital Call&amp;Distributions data'!$A:$A,INDEX('Capital Call&amp;Distributions data'!$C:$O,0,MIN(MAX(YEAR(AF$41)-YEAR($K90)+$J90+1,1),14)))),0)</f>
        <v>0</v>
      </c>
      <c r="AG90" s="68" cm="1">
        <f t="array" ref="AG90">IFERROR(IF(AG$41&lt;$K90,0,$F90*_xlfn.XLOOKUP($D90,'Capital Call&amp;Distributions data'!$A:$A,INDEX('Capital Call&amp;Distributions data'!$C:$O,0,MIN(MAX(YEAR(AG$41)-YEAR($K90)+$J90+1,1),14)))),0)</f>
        <v>0</v>
      </c>
      <c r="AH90" s="68" cm="1">
        <f t="array" ref="AH90">IFERROR(IF(AH$41&lt;$K90,0,$F90*_xlfn.XLOOKUP($D90,'Capital Call&amp;Distributions data'!$A:$A,INDEX('Capital Call&amp;Distributions data'!$C:$O,0,MIN(MAX(YEAR(AH$41)-YEAR($K90)+$J90+1,1),14)))),0)</f>
        <v>0</v>
      </c>
      <c r="AI90" s="68" cm="1">
        <f t="array" ref="AI90">IFERROR(IF(AI$41&lt;$K90,0,$F90*_xlfn.XLOOKUP($D90,'Capital Call&amp;Distributions data'!$A:$A,INDEX('Capital Call&amp;Distributions data'!$C:$O,0,MIN(MAX(YEAR(AI$41)-YEAR($K90)+$J90+1,1),14)))),0)</f>
        <v>0</v>
      </c>
      <c r="AJ90" s="68" cm="1">
        <f t="array" ref="AJ90">IFERROR(IF(AJ$41&lt;$K90,0,$F90*_xlfn.XLOOKUP($D90,'Capital Call&amp;Distributions data'!$A:$A,INDEX('Capital Call&amp;Distributions data'!$C:$O,0,MIN(MAX(YEAR(AJ$41)-YEAR($K90)+$J90+1,1),14)))),0)</f>
        <v>0</v>
      </c>
      <c r="AK90" s="68" cm="1">
        <f t="array" ref="AK90">IFERROR(IF(AK$41&lt;$K90,0,$F90*_xlfn.XLOOKUP($D90,'Capital Call&amp;Distributions data'!$A:$A,INDEX('Capital Call&amp;Distributions data'!$C:$O,0,MIN(MAX(YEAR(AK$41)-YEAR($K90)+$J90+1,1),14)))),0)</f>
        <v>0</v>
      </c>
      <c r="AL90" s="68" cm="1">
        <f t="array" ref="AL90">IFERROR(IF(AL$41&lt;$K90,0,$F90*_xlfn.XLOOKUP($D90,'Capital Call&amp;Distributions data'!$A:$A,INDEX('Capital Call&amp;Distributions data'!$C:$O,0,MIN(MAX(YEAR(AL$41)-YEAR($K90)+$J90+1,1),14)))),0)</f>
        <v>0</v>
      </c>
      <c r="AM90" s="68" cm="1">
        <f t="array" ref="AM90">IFERROR(IF(AM$41&lt;$K90,0,$F90*_xlfn.XLOOKUP($D90,'Capital Call&amp;Distributions data'!$A:$A,INDEX('Capital Call&amp;Distributions data'!$C:$O,0,MIN(MAX(YEAR(AM$41)-YEAR($K90)+$J90+1,1),14)))),0)</f>
        <v>0</v>
      </c>
      <c r="AN90" s="68" cm="1">
        <f t="array" ref="AN90">IFERROR(IF(AN$41&lt;$K90,0,$F90*_xlfn.XLOOKUP($D90,'Capital Call&amp;Distributions data'!$A:$A,INDEX('Capital Call&amp;Distributions data'!$C:$O,0,MIN(MAX(YEAR(AN$41)-YEAR($K90)+$J90+1,1),14)))),0)</f>
        <v>0</v>
      </c>
      <c r="AO90" s="68" cm="1">
        <f t="array" ref="AO90">IFERROR(IF(AO$41&lt;$K90,0,$F90*_xlfn.XLOOKUP($D90,'Capital Call&amp;Distributions data'!$A:$A,INDEX('Capital Call&amp;Distributions data'!$C:$O,0,MIN(MAX(YEAR(AO$41)-YEAR($K90)+$J90+1,1),14)))),0)</f>
        <v>0</v>
      </c>
      <c r="AP90" s="68" cm="1">
        <f t="array" ref="AP90">IFERROR(IF(AP$41&lt;$K90,0,$F90*_xlfn.XLOOKUP($D90,'Capital Call&amp;Distributions data'!$A:$A,INDEX('Capital Call&amp;Distributions data'!$C:$O,0,MIN(MAX(YEAR(AP$41)-YEAR($K90)+$J90+1,1),14)))),0)</f>
        <v>0</v>
      </c>
      <c r="AQ90" s="68" cm="1">
        <f t="array" ref="AQ90">IFERROR(IF(AQ$41&lt;$K90,0,$F90*_xlfn.XLOOKUP($D90,'Capital Call&amp;Distributions data'!$A:$A,INDEX('Capital Call&amp;Distributions data'!$C:$O,0,MIN(MAX(YEAR(AQ$41)-YEAR($K90)+$J90+1,1),14)))),0)</f>
        <v>0</v>
      </c>
      <c r="AR90" s="68" cm="1">
        <f t="array" ref="AR90">IFERROR(IF(AR$41&lt;$K90,0,$F90*_xlfn.XLOOKUP($D90,'Capital Call&amp;Distributions data'!$A:$A,INDEX('Capital Call&amp;Distributions data'!$C:$O,0,MIN(MAX(YEAR(AR$41)-YEAR($K90)+$J90+1,1),14)))),0)</f>
        <v>0</v>
      </c>
      <c r="AS90" s="68" cm="1">
        <f t="array" ref="AS90">IFERROR(IF(AS$41&lt;$K90,0,$F90*_xlfn.XLOOKUP($D90,'Capital Call&amp;Distributions data'!$A:$A,INDEX('Capital Call&amp;Distributions data'!$C:$O,0,MIN(MAX(YEAR(AS$41)-YEAR($K90)+$J90+1,1),14)))),0)</f>
        <v>0</v>
      </c>
      <c r="AT90" s="68" cm="1">
        <f t="array" ref="AT90">IFERROR(IF(AT$41&lt;$K90,0,$F90*_xlfn.XLOOKUP($D90,'Capital Call&amp;Distributions data'!$A:$A,INDEX('Capital Call&amp;Distributions data'!$C:$O,0,MIN(MAX(YEAR(AT$41)-YEAR($K90)+$J90+1,1),14)))),0)</f>
        <v>0</v>
      </c>
      <c r="AU90" s="68" cm="1">
        <f t="array" ref="AU90">IFERROR(IF(AU$41&lt;$K90,0,$F90*_xlfn.XLOOKUP($D90,'Capital Call&amp;Distributions data'!$A:$A,INDEX('Capital Call&amp;Distributions data'!$C:$O,0,MIN(MAX(YEAR(AU$41)-YEAR($K90)+$J90+1,1),14)))),0)</f>
        <v>0</v>
      </c>
      <c r="AW90" s="1"/>
      <c r="DJ90" s="11"/>
    </row>
    <row r="91" spans="1:114" ht="29.25" hidden="1" customHeight="1" outlineLevel="1">
      <c r="C91" s="20"/>
      <c r="D91" s="21">
        <f>_xlfn.XLOOKUP(C91,Fondsen!B:B,Fondsen!C:C,"0",0,1)</f>
        <v>0</v>
      </c>
      <c r="E91" s="21" t="s">
        <v>10</v>
      </c>
      <c r="F91" s="83" t="s">
        <v>13</v>
      </c>
      <c r="G91" s="143" t="str">
        <f ca="1">IFERROR(IF(SUM(OFFSET(INDEX('Capital Call&amp;Distributions data'!A:A,MATCH(D91,'Capital Call&amp;Distributions data'!A:A,0)),-1,2,1,1000))=0,"✔",""),"")</f>
        <v/>
      </c>
      <c r="H91" s="138" t="str">
        <f t="shared" si="4"/>
        <v/>
      </c>
      <c r="I91" s="96">
        <v>45658</v>
      </c>
      <c r="J91" s="70">
        <f t="shared" si="3"/>
        <v>0</v>
      </c>
      <c r="K91" s="96">
        <v>45658</v>
      </c>
      <c r="L91" s="68" cm="1">
        <f t="array" ref="L91">IFERROR(IF(L$41&lt;$K91,0,$F91*_xlfn.XLOOKUP($D91,'Capital Call&amp;Distributions data'!$A:$A,INDEX('Capital Call&amp;Distributions data'!$C:$O,0,MIN(MAX(YEAR(L$41)-YEAR($K91)+$J91+1,1),14)))),0)</f>
        <v>0</v>
      </c>
      <c r="M91" s="68" cm="1">
        <f t="array" ref="M91">IFERROR(IF(M$41&lt;$K91,0,$F91*_xlfn.XLOOKUP($D91,'Capital Call&amp;Distributions data'!$A:$A,INDEX('Capital Call&amp;Distributions data'!$C:$O,0,MIN(MAX(YEAR(M$41)-YEAR($K91)+$J91+1,1),14)))),0)</f>
        <v>0</v>
      </c>
      <c r="N91" s="68" cm="1">
        <f t="array" ref="N91">IFERROR(IF(N$41&lt;$K91,0,$F91*_xlfn.XLOOKUP($D91,'Capital Call&amp;Distributions data'!$A:$A,INDEX('Capital Call&amp;Distributions data'!$C:$O,0,MIN(MAX(YEAR(N$41)-YEAR($K91)+$J91+1,1),14)))),0)</f>
        <v>0</v>
      </c>
      <c r="O91" s="68" cm="1">
        <f t="array" ref="O91">IFERROR(IF(O$41&lt;$K91,0,$F91*_xlfn.XLOOKUP($D91,'Capital Call&amp;Distributions data'!$A:$A,INDEX('Capital Call&amp;Distributions data'!$C:$O,0,MIN(MAX(YEAR(O$41)-YEAR($K91)+$J91+1,1),14)))),0)</f>
        <v>0</v>
      </c>
      <c r="P91" s="68" cm="1">
        <f t="array" ref="P91">IFERROR(IF(P$41&lt;$K91,0,$F91*_xlfn.XLOOKUP($D91,'Capital Call&amp;Distributions data'!$A:$A,INDEX('Capital Call&amp;Distributions data'!$C:$O,0,MIN(MAX(YEAR(P$41)-YEAR($K91)+$J91+1,1),14)))),0)</f>
        <v>0</v>
      </c>
      <c r="Q91" s="68" cm="1">
        <f t="array" ref="Q91">IFERROR(IF(Q$41&lt;$K91,0,$F91*_xlfn.XLOOKUP($D91,'Capital Call&amp;Distributions data'!$A:$A,INDEX('Capital Call&amp;Distributions data'!$C:$O,0,MIN(MAX(YEAR(Q$41)-YEAR($K91)+$J91+1,1),14)))),0)</f>
        <v>0</v>
      </c>
      <c r="R91" s="68" cm="1">
        <f t="array" ref="R91">IFERROR(IF(R$41&lt;$K91,0,$F91*_xlfn.XLOOKUP($D91,'Capital Call&amp;Distributions data'!$A:$A,INDEX('Capital Call&amp;Distributions data'!$C:$O,0,MIN(MAX(YEAR(R$41)-YEAR($K91)+$J91+1,1),14)))),0)</f>
        <v>0</v>
      </c>
      <c r="S91" s="68" cm="1">
        <f t="array" ref="S91">IFERROR(IF(S$41&lt;$K91,0,$F91*_xlfn.XLOOKUP($D91,'Capital Call&amp;Distributions data'!$A:$A,INDEX('Capital Call&amp;Distributions data'!$C:$O,0,MIN(MAX(YEAR(S$41)-YEAR($K91)+$J91+1,1),14)))),0)</f>
        <v>0</v>
      </c>
      <c r="T91" s="68" cm="1">
        <f t="array" ref="T91">IFERROR(IF(T$41&lt;$K91,0,$F91*_xlfn.XLOOKUP($D91,'Capital Call&amp;Distributions data'!$A:$A,INDEX('Capital Call&amp;Distributions data'!$C:$O,0,MIN(MAX(YEAR(T$41)-YEAR($K91)+$J91+1,1),14)))),0)</f>
        <v>0</v>
      </c>
      <c r="U91" s="68" cm="1">
        <f t="array" ref="U91">IFERROR(IF(U$41&lt;$K91,0,$F91*_xlfn.XLOOKUP($D91,'Capital Call&amp;Distributions data'!$A:$A,INDEX('Capital Call&amp;Distributions data'!$C:$O,0,MIN(MAX(YEAR(U$41)-YEAR($K91)+$J91+1,1),14)))),0)</f>
        <v>0</v>
      </c>
      <c r="V91" s="68" cm="1">
        <f t="array" ref="V91">IFERROR(IF(V$41&lt;$K91,0,$F91*_xlfn.XLOOKUP($D91,'Capital Call&amp;Distributions data'!$A:$A,INDEX('Capital Call&amp;Distributions data'!$C:$O,0,MIN(MAX(YEAR(V$41)-YEAR($K91)+$J91+1,1),14)))),0)</f>
        <v>0</v>
      </c>
      <c r="W91" s="68" cm="1">
        <f t="array" ref="W91">IFERROR(IF(W$41&lt;$K91,0,$F91*_xlfn.XLOOKUP($D91,'Capital Call&amp;Distributions data'!$A:$A,INDEX('Capital Call&amp;Distributions data'!$C:$O,0,MIN(MAX(YEAR(W$41)-YEAR($K91)+$J91+1,1),14)))),0)</f>
        <v>0</v>
      </c>
      <c r="X91" s="68" cm="1">
        <f t="array" ref="X91">IFERROR(IF(X$41&lt;$K91,0,$F91*_xlfn.XLOOKUP($D91,'Capital Call&amp;Distributions data'!$A:$A,INDEX('Capital Call&amp;Distributions data'!$C:$O,0,MIN(MAX(YEAR(X$41)-YEAR($K91)+$J91+1,1),14)))),0)</f>
        <v>0</v>
      </c>
      <c r="Y91" s="68" cm="1">
        <f t="array" ref="Y91">IFERROR(IF(Y$41&lt;$K91,0,$F91*_xlfn.XLOOKUP($D91,'Capital Call&amp;Distributions data'!$A:$A,INDEX('Capital Call&amp;Distributions data'!$C:$O,0,MIN(MAX(YEAR(Y$41)-YEAR($K91)+$J91+1,1),14)))),0)</f>
        <v>0</v>
      </c>
      <c r="Z91" s="68" cm="1">
        <f t="array" ref="Z91">IFERROR(IF(Z$41&lt;$K91,0,$F91*_xlfn.XLOOKUP($D91,'Capital Call&amp;Distributions data'!$A:$A,INDEX('Capital Call&amp;Distributions data'!$C:$O,0,MIN(MAX(YEAR(Z$41)-YEAR($K91)+$J91+1,1),14)))),0)</f>
        <v>0</v>
      </c>
      <c r="AA91" s="68" cm="1">
        <f t="array" ref="AA91">IFERROR(IF(AA$41&lt;$K91,0,$F91*_xlfn.XLOOKUP($D91,'Capital Call&amp;Distributions data'!$A:$A,INDEX('Capital Call&amp;Distributions data'!$C:$O,0,MIN(MAX(YEAR(AA$41)-YEAR($K91)+$J91+1,1),14)))),0)</f>
        <v>0</v>
      </c>
      <c r="AB91" s="68" cm="1">
        <f t="array" ref="AB91">IFERROR(IF(AB$41&lt;$K91,0,$F91*_xlfn.XLOOKUP($D91,'Capital Call&amp;Distributions data'!$A:$A,INDEX('Capital Call&amp;Distributions data'!$C:$O,0,MIN(MAX(YEAR(AB$41)-YEAR($K91)+$J91+1,1),14)))),0)</f>
        <v>0</v>
      </c>
      <c r="AC91" s="68" cm="1">
        <f t="array" ref="AC91">IFERROR(IF(AC$41&lt;$K91,0,$F91*_xlfn.XLOOKUP($D91,'Capital Call&amp;Distributions data'!$A:$A,INDEX('Capital Call&amp;Distributions data'!$C:$O,0,MIN(MAX(YEAR(AC$41)-YEAR($K91)+$J91+1,1),14)))),0)</f>
        <v>0</v>
      </c>
      <c r="AD91" s="68" cm="1">
        <f t="array" ref="AD91">IFERROR(IF(AD$41&lt;$K91,0,$F91*_xlfn.XLOOKUP($D91,'Capital Call&amp;Distributions data'!$A:$A,INDEX('Capital Call&amp;Distributions data'!$C:$O,0,MIN(MAX(YEAR(AD$41)-YEAR($K91)+$J91+1,1),14)))),0)</f>
        <v>0</v>
      </c>
      <c r="AE91" s="68" cm="1">
        <f t="array" ref="AE91">IFERROR(IF(AE$41&lt;$K91,0,$F91*_xlfn.XLOOKUP($D91,'Capital Call&amp;Distributions data'!$A:$A,INDEX('Capital Call&amp;Distributions data'!$C:$O,0,MIN(MAX(YEAR(AE$41)-YEAR($K91)+$J91+1,1),14)))),0)</f>
        <v>0</v>
      </c>
      <c r="AF91" s="68" cm="1">
        <f t="array" ref="AF91">IFERROR(IF(AF$41&lt;$K91,0,$F91*_xlfn.XLOOKUP($D91,'Capital Call&amp;Distributions data'!$A:$A,INDEX('Capital Call&amp;Distributions data'!$C:$O,0,MIN(MAX(YEAR(AF$41)-YEAR($K91)+$J91+1,1),14)))),0)</f>
        <v>0</v>
      </c>
      <c r="AG91" s="68" cm="1">
        <f t="array" ref="AG91">IFERROR(IF(AG$41&lt;$K91,0,$F91*_xlfn.XLOOKUP($D91,'Capital Call&amp;Distributions data'!$A:$A,INDEX('Capital Call&amp;Distributions data'!$C:$O,0,MIN(MAX(YEAR(AG$41)-YEAR($K91)+$J91+1,1),14)))),0)</f>
        <v>0</v>
      </c>
      <c r="AH91" s="68" cm="1">
        <f t="array" ref="AH91">IFERROR(IF(AH$41&lt;$K91,0,$F91*_xlfn.XLOOKUP($D91,'Capital Call&amp;Distributions data'!$A:$A,INDEX('Capital Call&amp;Distributions data'!$C:$O,0,MIN(MAX(YEAR(AH$41)-YEAR($K91)+$J91+1,1),14)))),0)</f>
        <v>0</v>
      </c>
      <c r="AI91" s="68" cm="1">
        <f t="array" ref="AI91">IFERROR(IF(AI$41&lt;$K91,0,$F91*_xlfn.XLOOKUP($D91,'Capital Call&amp;Distributions data'!$A:$A,INDEX('Capital Call&amp;Distributions data'!$C:$O,0,MIN(MAX(YEAR(AI$41)-YEAR($K91)+$J91+1,1),14)))),0)</f>
        <v>0</v>
      </c>
      <c r="AJ91" s="68" cm="1">
        <f t="array" ref="AJ91">IFERROR(IF(AJ$41&lt;$K91,0,$F91*_xlfn.XLOOKUP($D91,'Capital Call&amp;Distributions data'!$A:$A,INDEX('Capital Call&amp;Distributions data'!$C:$O,0,MIN(MAX(YEAR(AJ$41)-YEAR($K91)+$J91+1,1),14)))),0)</f>
        <v>0</v>
      </c>
      <c r="AK91" s="68" cm="1">
        <f t="array" ref="AK91">IFERROR(IF(AK$41&lt;$K91,0,$F91*_xlfn.XLOOKUP($D91,'Capital Call&amp;Distributions data'!$A:$A,INDEX('Capital Call&amp;Distributions data'!$C:$O,0,MIN(MAX(YEAR(AK$41)-YEAR($K91)+$J91+1,1),14)))),0)</f>
        <v>0</v>
      </c>
      <c r="AL91" s="68" cm="1">
        <f t="array" ref="AL91">IFERROR(IF(AL$41&lt;$K91,0,$F91*_xlfn.XLOOKUP($D91,'Capital Call&amp;Distributions data'!$A:$A,INDEX('Capital Call&amp;Distributions data'!$C:$O,0,MIN(MAX(YEAR(AL$41)-YEAR($K91)+$J91+1,1),14)))),0)</f>
        <v>0</v>
      </c>
      <c r="AM91" s="68" cm="1">
        <f t="array" ref="AM91">IFERROR(IF(AM$41&lt;$K91,0,$F91*_xlfn.XLOOKUP($D91,'Capital Call&amp;Distributions data'!$A:$A,INDEX('Capital Call&amp;Distributions data'!$C:$O,0,MIN(MAX(YEAR(AM$41)-YEAR($K91)+$J91+1,1),14)))),0)</f>
        <v>0</v>
      </c>
      <c r="AN91" s="68" cm="1">
        <f t="array" ref="AN91">IFERROR(IF(AN$41&lt;$K91,0,$F91*_xlfn.XLOOKUP($D91,'Capital Call&amp;Distributions data'!$A:$A,INDEX('Capital Call&amp;Distributions data'!$C:$O,0,MIN(MAX(YEAR(AN$41)-YEAR($K91)+$J91+1,1),14)))),0)</f>
        <v>0</v>
      </c>
      <c r="AO91" s="68" cm="1">
        <f t="array" ref="AO91">IFERROR(IF(AO$41&lt;$K91,0,$F91*_xlfn.XLOOKUP($D91,'Capital Call&amp;Distributions data'!$A:$A,INDEX('Capital Call&amp;Distributions data'!$C:$O,0,MIN(MAX(YEAR(AO$41)-YEAR($K91)+$J91+1,1),14)))),0)</f>
        <v>0</v>
      </c>
      <c r="AP91" s="68" cm="1">
        <f t="array" ref="AP91">IFERROR(IF(AP$41&lt;$K91,0,$F91*_xlfn.XLOOKUP($D91,'Capital Call&amp;Distributions data'!$A:$A,INDEX('Capital Call&amp;Distributions data'!$C:$O,0,MIN(MAX(YEAR(AP$41)-YEAR($K91)+$J91+1,1),14)))),0)</f>
        <v>0</v>
      </c>
      <c r="AQ91" s="68" cm="1">
        <f t="array" ref="AQ91">IFERROR(IF(AQ$41&lt;$K91,0,$F91*_xlfn.XLOOKUP($D91,'Capital Call&amp;Distributions data'!$A:$A,INDEX('Capital Call&amp;Distributions data'!$C:$O,0,MIN(MAX(YEAR(AQ$41)-YEAR($K91)+$J91+1,1),14)))),0)</f>
        <v>0</v>
      </c>
      <c r="AR91" s="68" cm="1">
        <f t="array" ref="AR91">IFERROR(IF(AR$41&lt;$K91,0,$F91*_xlfn.XLOOKUP($D91,'Capital Call&amp;Distributions data'!$A:$A,INDEX('Capital Call&amp;Distributions data'!$C:$O,0,MIN(MAX(YEAR(AR$41)-YEAR($K91)+$J91+1,1),14)))),0)</f>
        <v>0</v>
      </c>
      <c r="AS91" s="68" cm="1">
        <f t="array" ref="AS91">IFERROR(IF(AS$41&lt;$K91,0,$F91*_xlfn.XLOOKUP($D91,'Capital Call&amp;Distributions data'!$A:$A,INDEX('Capital Call&amp;Distributions data'!$C:$O,0,MIN(MAX(YEAR(AS$41)-YEAR($K91)+$J91+1,1),14)))),0)</f>
        <v>0</v>
      </c>
      <c r="AT91" s="68" cm="1">
        <f t="array" ref="AT91">IFERROR(IF(AT$41&lt;$K91,0,$F91*_xlfn.XLOOKUP($D91,'Capital Call&amp;Distributions data'!$A:$A,INDEX('Capital Call&amp;Distributions data'!$C:$O,0,MIN(MAX(YEAR(AT$41)-YEAR($K91)+$J91+1,1),14)))),0)</f>
        <v>0</v>
      </c>
      <c r="AU91" s="68" cm="1">
        <f t="array" ref="AU91">IFERROR(IF(AU$41&lt;$K91,0,$F91*_xlfn.XLOOKUP($D91,'Capital Call&amp;Distributions data'!$A:$A,INDEX('Capital Call&amp;Distributions data'!$C:$O,0,MIN(MAX(YEAR(AU$41)-YEAR($K91)+$J91+1,1),14)))),0)</f>
        <v>0</v>
      </c>
      <c r="AW91" s="1"/>
      <c r="DJ91" s="11"/>
    </row>
    <row r="92" spans="1:114" ht="29.25" hidden="1" customHeight="1" outlineLevel="1">
      <c r="C92" s="20"/>
      <c r="D92" s="21">
        <f>_xlfn.XLOOKUP(C92,Fondsen!B:B,Fondsen!C:C,"0",0,1)</f>
        <v>0</v>
      </c>
      <c r="E92" s="21" t="s">
        <v>10</v>
      </c>
      <c r="F92" s="83" t="s">
        <v>13</v>
      </c>
      <c r="G92" s="143" t="str">
        <f ca="1">IFERROR(IF(SUM(OFFSET(INDEX('Capital Call&amp;Distributions data'!A:A,MATCH(D92,'Capital Call&amp;Distributions data'!A:A,0)),-1,2,1,1000))=0,"✔",""),"")</f>
        <v/>
      </c>
      <c r="H92" s="138" t="str">
        <f t="shared" si="4"/>
        <v/>
      </c>
      <c r="I92" s="96">
        <v>45658</v>
      </c>
      <c r="J92" s="70">
        <f t="shared" si="3"/>
        <v>0</v>
      </c>
      <c r="K92" s="96">
        <v>45658</v>
      </c>
      <c r="L92" s="68" cm="1">
        <f t="array" ref="L92">IFERROR(IF(L$41&lt;$K92,0,$F92*_xlfn.XLOOKUP($D92,'Capital Call&amp;Distributions data'!$A:$A,INDEX('Capital Call&amp;Distributions data'!$C:$O,0,MIN(MAX(YEAR(L$41)-YEAR($K92)+$J92+1,1),14)))),0)</f>
        <v>0</v>
      </c>
      <c r="M92" s="68" cm="1">
        <f t="array" ref="M92">IFERROR(IF(M$41&lt;$K92,0,$F92*_xlfn.XLOOKUP($D92,'Capital Call&amp;Distributions data'!$A:$A,INDEX('Capital Call&amp;Distributions data'!$C:$O,0,MIN(MAX(YEAR(M$41)-YEAR($K92)+$J92+1,1),14)))),0)</f>
        <v>0</v>
      </c>
      <c r="N92" s="68" cm="1">
        <f t="array" ref="N92">IFERROR(IF(N$41&lt;$K92,0,$F92*_xlfn.XLOOKUP($D92,'Capital Call&amp;Distributions data'!$A:$A,INDEX('Capital Call&amp;Distributions data'!$C:$O,0,MIN(MAX(YEAR(N$41)-YEAR($K92)+$J92+1,1),14)))),0)</f>
        <v>0</v>
      </c>
      <c r="O92" s="68" cm="1">
        <f t="array" ref="O92">IFERROR(IF(O$41&lt;$K92,0,$F92*_xlfn.XLOOKUP($D92,'Capital Call&amp;Distributions data'!$A:$A,INDEX('Capital Call&amp;Distributions data'!$C:$O,0,MIN(MAX(YEAR(O$41)-YEAR($K92)+$J92+1,1),14)))),0)</f>
        <v>0</v>
      </c>
      <c r="P92" s="68" cm="1">
        <f t="array" ref="P92">IFERROR(IF(P$41&lt;$K92,0,$F92*_xlfn.XLOOKUP($D92,'Capital Call&amp;Distributions data'!$A:$A,INDEX('Capital Call&amp;Distributions data'!$C:$O,0,MIN(MAX(YEAR(P$41)-YEAR($K92)+$J92+1,1),14)))),0)</f>
        <v>0</v>
      </c>
      <c r="Q92" s="68" cm="1">
        <f t="array" ref="Q92">IFERROR(IF(Q$41&lt;$K92,0,$F92*_xlfn.XLOOKUP($D92,'Capital Call&amp;Distributions data'!$A:$A,INDEX('Capital Call&amp;Distributions data'!$C:$O,0,MIN(MAX(YEAR(Q$41)-YEAR($K92)+$J92+1,1),14)))),0)</f>
        <v>0</v>
      </c>
      <c r="R92" s="68" cm="1">
        <f t="array" ref="R92">IFERROR(IF(R$41&lt;$K92,0,$F92*_xlfn.XLOOKUP($D92,'Capital Call&amp;Distributions data'!$A:$A,INDEX('Capital Call&amp;Distributions data'!$C:$O,0,MIN(MAX(YEAR(R$41)-YEAR($K92)+$J92+1,1),14)))),0)</f>
        <v>0</v>
      </c>
      <c r="S92" s="68" cm="1">
        <f t="array" ref="S92">IFERROR(IF(S$41&lt;$K92,0,$F92*_xlfn.XLOOKUP($D92,'Capital Call&amp;Distributions data'!$A:$A,INDEX('Capital Call&amp;Distributions data'!$C:$O,0,MIN(MAX(YEAR(S$41)-YEAR($K92)+$J92+1,1),14)))),0)</f>
        <v>0</v>
      </c>
      <c r="T92" s="68" cm="1">
        <f t="array" ref="T92">IFERROR(IF(T$41&lt;$K92,0,$F92*_xlfn.XLOOKUP($D92,'Capital Call&amp;Distributions data'!$A:$A,INDEX('Capital Call&amp;Distributions data'!$C:$O,0,MIN(MAX(YEAR(T$41)-YEAR($K92)+$J92+1,1),14)))),0)</f>
        <v>0</v>
      </c>
      <c r="U92" s="68" cm="1">
        <f t="array" ref="U92">IFERROR(IF(U$41&lt;$K92,0,$F92*_xlfn.XLOOKUP($D92,'Capital Call&amp;Distributions data'!$A:$A,INDEX('Capital Call&amp;Distributions data'!$C:$O,0,MIN(MAX(YEAR(U$41)-YEAR($K92)+$J92+1,1),14)))),0)</f>
        <v>0</v>
      </c>
      <c r="V92" s="68" cm="1">
        <f t="array" ref="V92">IFERROR(IF(V$41&lt;$K92,0,$F92*_xlfn.XLOOKUP($D92,'Capital Call&amp;Distributions data'!$A:$A,INDEX('Capital Call&amp;Distributions data'!$C:$O,0,MIN(MAX(YEAR(V$41)-YEAR($K92)+$J92+1,1),14)))),0)</f>
        <v>0</v>
      </c>
      <c r="W92" s="68" cm="1">
        <f t="array" ref="W92">IFERROR(IF(W$41&lt;$K92,0,$F92*_xlfn.XLOOKUP($D92,'Capital Call&amp;Distributions data'!$A:$A,INDEX('Capital Call&amp;Distributions data'!$C:$O,0,MIN(MAX(YEAR(W$41)-YEAR($K92)+$J92+1,1),14)))),0)</f>
        <v>0</v>
      </c>
      <c r="X92" s="68" cm="1">
        <f t="array" ref="X92">IFERROR(IF(X$41&lt;$K92,0,$F92*_xlfn.XLOOKUP($D92,'Capital Call&amp;Distributions data'!$A:$A,INDEX('Capital Call&amp;Distributions data'!$C:$O,0,MIN(MAX(YEAR(X$41)-YEAR($K92)+$J92+1,1),14)))),0)</f>
        <v>0</v>
      </c>
      <c r="Y92" s="68" cm="1">
        <f t="array" ref="Y92">IFERROR(IF(Y$41&lt;$K92,0,$F92*_xlfn.XLOOKUP($D92,'Capital Call&amp;Distributions data'!$A:$A,INDEX('Capital Call&amp;Distributions data'!$C:$O,0,MIN(MAX(YEAR(Y$41)-YEAR($K92)+$J92+1,1),14)))),0)</f>
        <v>0</v>
      </c>
      <c r="Z92" s="68" cm="1">
        <f t="array" ref="Z92">IFERROR(IF(Z$41&lt;$K92,0,$F92*_xlfn.XLOOKUP($D92,'Capital Call&amp;Distributions data'!$A:$A,INDEX('Capital Call&amp;Distributions data'!$C:$O,0,MIN(MAX(YEAR(Z$41)-YEAR($K92)+$J92+1,1),14)))),0)</f>
        <v>0</v>
      </c>
      <c r="AA92" s="68" cm="1">
        <f t="array" ref="AA92">IFERROR(IF(AA$41&lt;$K92,0,$F92*_xlfn.XLOOKUP($D92,'Capital Call&amp;Distributions data'!$A:$A,INDEX('Capital Call&amp;Distributions data'!$C:$O,0,MIN(MAX(YEAR(AA$41)-YEAR($K92)+$J92+1,1),14)))),0)</f>
        <v>0</v>
      </c>
      <c r="AB92" s="68" cm="1">
        <f t="array" ref="AB92">IFERROR(IF(AB$41&lt;$K92,0,$F92*_xlfn.XLOOKUP($D92,'Capital Call&amp;Distributions data'!$A:$A,INDEX('Capital Call&amp;Distributions data'!$C:$O,0,MIN(MAX(YEAR(AB$41)-YEAR($K92)+$J92+1,1),14)))),0)</f>
        <v>0</v>
      </c>
      <c r="AC92" s="68" cm="1">
        <f t="array" ref="AC92">IFERROR(IF(AC$41&lt;$K92,0,$F92*_xlfn.XLOOKUP($D92,'Capital Call&amp;Distributions data'!$A:$A,INDEX('Capital Call&amp;Distributions data'!$C:$O,0,MIN(MAX(YEAR(AC$41)-YEAR($K92)+$J92+1,1),14)))),0)</f>
        <v>0</v>
      </c>
      <c r="AD92" s="68" cm="1">
        <f t="array" ref="AD92">IFERROR(IF(AD$41&lt;$K92,0,$F92*_xlfn.XLOOKUP($D92,'Capital Call&amp;Distributions data'!$A:$A,INDEX('Capital Call&amp;Distributions data'!$C:$O,0,MIN(MAX(YEAR(AD$41)-YEAR($K92)+$J92+1,1),14)))),0)</f>
        <v>0</v>
      </c>
      <c r="AE92" s="68" cm="1">
        <f t="array" ref="AE92">IFERROR(IF(AE$41&lt;$K92,0,$F92*_xlfn.XLOOKUP($D92,'Capital Call&amp;Distributions data'!$A:$A,INDEX('Capital Call&amp;Distributions data'!$C:$O,0,MIN(MAX(YEAR(AE$41)-YEAR($K92)+$J92+1,1),14)))),0)</f>
        <v>0</v>
      </c>
      <c r="AF92" s="68" cm="1">
        <f t="array" ref="AF92">IFERROR(IF(AF$41&lt;$K92,0,$F92*_xlfn.XLOOKUP($D92,'Capital Call&amp;Distributions data'!$A:$A,INDEX('Capital Call&amp;Distributions data'!$C:$O,0,MIN(MAX(YEAR(AF$41)-YEAR($K92)+$J92+1,1),14)))),0)</f>
        <v>0</v>
      </c>
      <c r="AG92" s="68" cm="1">
        <f t="array" ref="AG92">IFERROR(IF(AG$41&lt;$K92,0,$F92*_xlfn.XLOOKUP($D92,'Capital Call&amp;Distributions data'!$A:$A,INDEX('Capital Call&amp;Distributions data'!$C:$O,0,MIN(MAX(YEAR(AG$41)-YEAR($K92)+$J92+1,1),14)))),0)</f>
        <v>0</v>
      </c>
      <c r="AH92" s="68" cm="1">
        <f t="array" ref="AH92">IFERROR(IF(AH$41&lt;$K92,0,$F92*_xlfn.XLOOKUP($D92,'Capital Call&amp;Distributions data'!$A:$A,INDEX('Capital Call&amp;Distributions data'!$C:$O,0,MIN(MAX(YEAR(AH$41)-YEAR($K92)+$J92+1,1),14)))),0)</f>
        <v>0</v>
      </c>
      <c r="AI92" s="68" cm="1">
        <f t="array" ref="AI92">IFERROR(IF(AI$41&lt;$K92,0,$F92*_xlfn.XLOOKUP($D92,'Capital Call&amp;Distributions data'!$A:$A,INDEX('Capital Call&amp;Distributions data'!$C:$O,0,MIN(MAX(YEAR(AI$41)-YEAR($K92)+$J92+1,1),14)))),0)</f>
        <v>0</v>
      </c>
      <c r="AJ92" s="68" cm="1">
        <f t="array" ref="AJ92">IFERROR(IF(AJ$41&lt;$K92,0,$F92*_xlfn.XLOOKUP($D92,'Capital Call&amp;Distributions data'!$A:$A,INDEX('Capital Call&amp;Distributions data'!$C:$O,0,MIN(MAX(YEAR(AJ$41)-YEAR($K92)+$J92+1,1),14)))),0)</f>
        <v>0</v>
      </c>
      <c r="AK92" s="68" cm="1">
        <f t="array" ref="AK92">IFERROR(IF(AK$41&lt;$K92,0,$F92*_xlfn.XLOOKUP($D92,'Capital Call&amp;Distributions data'!$A:$A,INDEX('Capital Call&amp;Distributions data'!$C:$O,0,MIN(MAX(YEAR(AK$41)-YEAR($K92)+$J92+1,1),14)))),0)</f>
        <v>0</v>
      </c>
      <c r="AL92" s="68" cm="1">
        <f t="array" ref="AL92">IFERROR(IF(AL$41&lt;$K92,0,$F92*_xlfn.XLOOKUP($D92,'Capital Call&amp;Distributions data'!$A:$A,INDEX('Capital Call&amp;Distributions data'!$C:$O,0,MIN(MAX(YEAR(AL$41)-YEAR($K92)+$J92+1,1),14)))),0)</f>
        <v>0</v>
      </c>
      <c r="AM92" s="68" cm="1">
        <f t="array" ref="AM92">IFERROR(IF(AM$41&lt;$K92,0,$F92*_xlfn.XLOOKUP($D92,'Capital Call&amp;Distributions data'!$A:$A,INDEX('Capital Call&amp;Distributions data'!$C:$O,0,MIN(MAX(YEAR(AM$41)-YEAR($K92)+$J92+1,1),14)))),0)</f>
        <v>0</v>
      </c>
      <c r="AN92" s="68" cm="1">
        <f t="array" ref="AN92">IFERROR(IF(AN$41&lt;$K92,0,$F92*_xlfn.XLOOKUP($D92,'Capital Call&amp;Distributions data'!$A:$A,INDEX('Capital Call&amp;Distributions data'!$C:$O,0,MIN(MAX(YEAR(AN$41)-YEAR($K92)+$J92+1,1),14)))),0)</f>
        <v>0</v>
      </c>
      <c r="AO92" s="68" cm="1">
        <f t="array" ref="AO92">IFERROR(IF(AO$41&lt;$K92,0,$F92*_xlfn.XLOOKUP($D92,'Capital Call&amp;Distributions data'!$A:$A,INDEX('Capital Call&amp;Distributions data'!$C:$O,0,MIN(MAX(YEAR(AO$41)-YEAR($K92)+$J92+1,1),14)))),0)</f>
        <v>0</v>
      </c>
      <c r="AP92" s="68" cm="1">
        <f t="array" ref="AP92">IFERROR(IF(AP$41&lt;$K92,0,$F92*_xlfn.XLOOKUP($D92,'Capital Call&amp;Distributions data'!$A:$A,INDEX('Capital Call&amp;Distributions data'!$C:$O,0,MIN(MAX(YEAR(AP$41)-YEAR($K92)+$J92+1,1),14)))),0)</f>
        <v>0</v>
      </c>
      <c r="AQ92" s="68" cm="1">
        <f t="array" ref="AQ92">IFERROR(IF(AQ$41&lt;$K92,0,$F92*_xlfn.XLOOKUP($D92,'Capital Call&amp;Distributions data'!$A:$A,INDEX('Capital Call&amp;Distributions data'!$C:$O,0,MIN(MAX(YEAR(AQ$41)-YEAR($K92)+$J92+1,1),14)))),0)</f>
        <v>0</v>
      </c>
      <c r="AR92" s="68" cm="1">
        <f t="array" ref="AR92">IFERROR(IF(AR$41&lt;$K92,0,$F92*_xlfn.XLOOKUP($D92,'Capital Call&amp;Distributions data'!$A:$A,INDEX('Capital Call&amp;Distributions data'!$C:$O,0,MIN(MAX(YEAR(AR$41)-YEAR($K92)+$J92+1,1),14)))),0)</f>
        <v>0</v>
      </c>
      <c r="AS92" s="68" cm="1">
        <f t="array" ref="AS92">IFERROR(IF(AS$41&lt;$K92,0,$F92*_xlfn.XLOOKUP($D92,'Capital Call&amp;Distributions data'!$A:$A,INDEX('Capital Call&amp;Distributions data'!$C:$O,0,MIN(MAX(YEAR(AS$41)-YEAR($K92)+$J92+1,1),14)))),0)</f>
        <v>0</v>
      </c>
      <c r="AT92" s="68" cm="1">
        <f t="array" ref="AT92">IFERROR(IF(AT$41&lt;$K92,0,$F92*_xlfn.XLOOKUP($D92,'Capital Call&amp;Distributions data'!$A:$A,INDEX('Capital Call&amp;Distributions data'!$C:$O,0,MIN(MAX(YEAR(AT$41)-YEAR($K92)+$J92+1,1),14)))),0)</f>
        <v>0</v>
      </c>
      <c r="AU92" s="68" cm="1">
        <f t="array" ref="AU92">IFERROR(IF(AU$41&lt;$K92,0,$F92*_xlfn.XLOOKUP($D92,'Capital Call&amp;Distributions data'!$A:$A,INDEX('Capital Call&amp;Distributions data'!$C:$O,0,MIN(MAX(YEAR(AU$41)-YEAR($K92)+$J92+1,1),14)))),0)</f>
        <v>0</v>
      </c>
      <c r="AW92" s="1"/>
      <c r="DJ92" s="11"/>
    </row>
    <row r="93" spans="1:114" ht="29.25" hidden="1" customHeight="1" outlineLevel="1">
      <c r="C93" s="20"/>
      <c r="D93" s="21">
        <f>_xlfn.XLOOKUP(C93,Fondsen!B:B,Fondsen!C:C,"0",0,1)</f>
        <v>0</v>
      </c>
      <c r="E93" s="21" t="s">
        <v>10</v>
      </c>
      <c r="F93" s="83" t="s">
        <v>13</v>
      </c>
      <c r="G93" s="143" t="str">
        <f ca="1">IFERROR(IF(SUM(OFFSET(INDEX('Capital Call&amp;Distributions data'!A:A,MATCH(D93,'Capital Call&amp;Distributions data'!A:A,0)),-1,2,1,1000))=0,"✔",""),"")</f>
        <v/>
      </c>
      <c r="H93" s="138" t="str">
        <f t="shared" si="4"/>
        <v/>
      </c>
      <c r="I93" s="96">
        <v>45658</v>
      </c>
      <c r="J93" s="70">
        <f t="shared" si="3"/>
        <v>0</v>
      </c>
      <c r="K93" s="96">
        <v>45658</v>
      </c>
      <c r="L93" s="68" cm="1">
        <f t="array" ref="L93">IFERROR(IF(L$41&lt;$K93,0,$F93*_xlfn.XLOOKUP($D93,'Capital Call&amp;Distributions data'!$A:$A,INDEX('Capital Call&amp;Distributions data'!$C:$O,0,MIN(MAX(YEAR(L$41)-YEAR($K93)+$J93+1,1),14)))),0)</f>
        <v>0</v>
      </c>
      <c r="M93" s="68" cm="1">
        <f t="array" ref="M93">IFERROR(IF(M$41&lt;$K93,0,$F93*_xlfn.XLOOKUP($D93,'Capital Call&amp;Distributions data'!$A:$A,INDEX('Capital Call&amp;Distributions data'!$C:$O,0,MIN(MAX(YEAR(M$41)-YEAR($K93)+$J93+1,1),14)))),0)</f>
        <v>0</v>
      </c>
      <c r="N93" s="68" cm="1">
        <f t="array" ref="N93">IFERROR(IF(N$41&lt;$K93,0,$F93*_xlfn.XLOOKUP($D93,'Capital Call&amp;Distributions data'!$A:$A,INDEX('Capital Call&amp;Distributions data'!$C:$O,0,MIN(MAX(YEAR(N$41)-YEAR($K93)+$J93+1,1),14)))),0)</f>
        <v>0</v>
      </c>
      <c r="O93" s="68" cm="1">
        <f t="array" ref="O93">IFERROR(IF(O$41&lt;$K93,0,$F93*_xlfn.XLOOKUP($D93,'Capital Call&amp;Distributions data'!$A:$A,INDEX('Capital Call&amp;Distributions data'!$C:$O,0,MIN(MAX(YEAR(O$41)-YEAR($K93)+$J93+1,1),14)))),0)</f>
        <v>0</v>
      </c>
      <c r="P93" s="68" cm="1">
        <f t="array" ref="P93">IFERROR(IF(P$41&lt;$K93,0,$F93*_xlfn.XLOOKUP($D93,'Capital Call&amp;Distributions data'!$A:$A,INDEX('Capital Call&amp;Distributions data'!$C:$O,0,MIN(MAX(YEAR(P$41)-YEAR($K93)+$J93+1,1),14)))),0)</f>
        <v>0</v>
      </c>
      <c r="Q93" s="68" cm="1">
        <f t="array" ref="Q93">IFERROR(IF(Q$41&lt;$K93,0,$F93*_xlfn.XLOOKUP($D93,'Capital Call&amp;Distributions data'!$A:$A,INDEX('Capital Call&amp;Distributions data'!$C:$O,0,MIN(MAX(YEAR(Q$41)-YEAR($K93)+$J93+1,1),14)))),0)</f>
        <v>0</v>
      </c>
      <c r="R93" s="68" cm="1">
        <f t="array" ref="R93">IFERROR(IF(R$41&lt;$K93,0,$F93*_xlfn.XLOOKUP($D93,'Capital Call&amp;Distributions data'!$A:$A,INDEX('Capital Call&amp;Distributions data'!$C:$O,0,MIN(MAX(YEAR(R$41)-YEAR($K93)+$J93+1,1),14)))),0)</f>
        <v>0</v>
      </c>
      <c r="S93" s="68" cm="1">
        <f t="array" ref="S93">IFERROR(IF(S$41&lt;$K93,0,$F93*_xlfn.XLOOKUP($D93,'Capital Call&amp;Distributions data'!$A:$A,INDEX('Capital Call&amp;Distributions data'!$C:$O,0,MIN(MAX(YEAR(S$41)-YEAR($K93)+$J93+1,1),14)))),0)</f>
        <v>0</v>
      </c>
      <c r="T93" s="68" cm="1">
        <f t="array" ref="T93">IFERROR(IF(T$41&lt;$K93,0,$F93*_xlfn.XLOOKUP($D93,'Capital Call&amp;Distributions data'!$A:$A,INDEX('Capital Call&amp;Distributions data'!$C:$O,0,MIN(MAX(YEAR(T$41)-YEAR($K93)+$J93+1,1),14)))),0)</f>
        <v>0</v>
      </c>
      <c r="U93" s="68" cm="1">
        <f t="array" ref="U93">IFERROR(IF(U$41&lt;$K93,0,$F93*_xlfn.XLOOKUP($D93,'Capital Call&amp;Distributions data'!$A:$A,INDEX('Capital Call&amp;Distributions data'!$C:$O,0,MIN(MAX(YEAR(U$41)-YEAR($K93)+$J93+1,1),14)))),0)</f>
        <v>0</v>
      </c>
      <c r="V93" s="68" cm="1">
        <f t="array" ref="V93">IFERROR(IF(V$41&lt;$K93,0,$F93*_xlfn.XLOOKUP($D93,'Capital Call&amp;Distributions data'!$A:$A,INDEX('Capital Call&amp;Distributions data'!$C:$O,0,MIN(MAX(YEAR(V$41)-YEAR($K93)+$J93+1,1),14)))),0)</f>
        <v>0</v>
      </c>
      <c r="W93" s="68" cm="1">
        <f t="array" ref="W93">IFERROR(IF(W$41&lt;$K93,0,$F93*_xlfn.XLOOKUP($D93,'Capital Call&amp;Distributions data'!$A:$A,INDEX('Capital Call&amp;Distributions data'!$C:$O,0,MIN(MAX(YEAR(W$41)-YEAR($K93)+$J93+1,1),14)))),0)</f>
        <v>0</v>
      </c>
      <c r="X93" s="68" cm="1">
        <f t="array" ref="X93">IFERROR(IF(X$41&lt;$K93,0,$F93*_xlfn.XLOOKUP($D93,'Capital Call&amp;Distributions data'!$A:$A,INDEX('Capital Call&amp;Distributions data'!$C:$O,0,MIN(MAX(YEAR(X$41)-YEAR($K93)+$J93+1,1),14)))),0)</f>
        <v>0</v>
      </c>
      <c r="Y93" s="68" cm="1">
        <f t="array" ref="Y93">IFERROR(IF(Y$41&lt;$K93,0,$F93*_xlfn.XLOOKUP($D93,'Capital Call&amp;Distributions data'!$A:$A,INDEX('Capital Call&amp;Distributions data'!$C:$O,0,MIN(MAX(YEAR(Y$41)-YEAR($K93)+$J93+1,1),14)))),0)</f>
        <v>0</v>
      </c>
      <c r="Z93" s="68" cm="1">
        <f t="array" ref="Z93">IFERROR(IF(Z$41&lt;$K93,0,$F93*_xlfn.XLOOKUP($D93,'Capital Call&amp;Distributions data'!$A:$A,INDEX('Capital Call&amp;Distributions data'!$C:$O,0,MIN(MAX(YEAR(Z$41)-YEAR($K93)+$J93+1,1),14)))),0)</f>
        <v>0</v>
      </c>
      <c r="AA93" s="68" cm="1">
        <f t="array" ref="AA93">IFERROR(IF(AA$41&lt;$K93,0,$F93*_xlfn.XLOOKUP($D93,'Capital Call&amp;Distributions data'!$A:$A,INDEX('Capital Call&amp;Distributions data'!$C:$O,0,MIN(MAX(YEAR(AA$41)-YEAR($K93)+$J93+1,1),14)))),0)</f>
        <v>0</v>
      </c>
      <c r="AB93" s="68" cm="1">
        <f t="array" ref="AB93">IFERROR(IF(AB$41&lt;$K93,0,$F93*_xlfn.XLOOKUP($D93,'Capital Call&amp;Distributions data'!$A:$A,INDEX('Capital Call&amp;Distributions data'!$C:$O,0,MIN(MAX(YEAR(AB$41)-YEAR($K93)+$J93+1,1),14)))),0)</f>
        <v>0</v>
      </c>
      <c r="AC93" s="68" cm="1">
        <f t="array" ref="AC93">IFERROR(IF(AC$41&lt;$K93,0,$F93*_xlfn.XLOOKUP($D93,'Capital Call&amp;Distributions data'!$A:$A,INDEX('Capital Call&amp;Distributions data'!$C:$O,0,MIN(MAX(YEAR(AC$41)-YEAR($K93)+$J93+1,1),14)))),0)</f>
        <v>0</v>
      </c>
      <c r="AD93" s="68" cm="1">
        <f t="array" ref="AD93">IFERROR(IF(AD$41&lt;$K93,0,$F93*_xlfn.XLOOKUP($D93,'Capital Call&amp;Distributions data'!$A:$A,INDEX('Capital Call&amp;Distributions data'!$C:$O,0,MIN(MAX(YEAR(AD$41)-YEAR($K93)+$J93+1,1),14)))),0)</f>
        <v>0</v>
      </c>
      <c r="AE93" s="68" cm="1">
        <f t="array" ref="AE93">IFERROR(IF(AE$41&lt;$K93,0,$F93*_xlfn.XLOOKUP($D93,'Capital Call&amp;Distributions data'!$A:$A,INDEX('Capital Call&amp;Distributions data'!$C:$O,0,MIN(MAX(YEAR(AE$41)-YEAR($K93)+$J93+1,1),14)))),0)</f>
        <v>0</v>
      </c>
      <c r="AF93" s="68" cm="1">
        <f t="array" ref="AF93">IFERROR(IF(AF$41&lt;$K93,0,$F93*_xlfn.XLOOKUP($D93,'Capital Call&amp;Distributions data'!$A:$A,INDEX('Capital Call&amp;Distributions data'!$C:$O,0,MIN(MAX(YEAR(AF$41)-YEAR($K93)+$J93+1,1),14)))),0)</f>
        <v>0</v>
      </c>
      <c r="AG93" s="68" cm="1">
        <f t="array" ref="AG93">IFERROR(IF(AG$41&lt;$K93,0,$F93*_xlfn.XLOOKUP($D93,'Capital Call&amp;Distributions data'!$A:$A,INDEX('Capital Call&amp;Distributions data'!$C:$O,0,MIN(MAX(YEAR(AG$41)-YEAR($K93)+$J93+1,1),14)))),0)</f>
        <v>0</v>
      </c>
      <c r="AH93" s="68" cm="1">
        <f t="array" ref="AH93">IFERROR(IF(AH$41&lt;$K93,0,$F93*_xlfn.XLOOKUP($D93,'Capital Call&amp;Distributions data'!$A:$A,INDEX('Capital Call&amp;Distributions data'!$C:$O,0,MIN(MAX(YEAR(AH$41)-YEAR($K93)+$J93+1,1),14)))),0)</f>
        <v>0</v>
      </c>
      <c r="AI93" s="68" cm="1">
        <f t="array" ref="AI93">IFERROR(IF(AI$41&lt;$K93,0,$F93*_xlfn.XLOOKUP($D93,'Capital Call&amp;Distributions data'!$A:$A,INDEX('Capital Call&amp;Distributions data'!$C:$O,0,MIN(MAX(YEAR(AI$41)-YEAR($K93)+$J93+1,1),14)))),0)</f>
        <v>0</v>
      </c>
      <c r="AJ93" s="68" cm="1">
        <f t="array" ref="AJ93">IFERROR(IF(AJ$41&lt;$K93,0,$F93*_xlfn.XLOOKUP($D93,'Capital Call&amp;Distributions data'!$A:$A,INDEX('Capital Call&amp;Distributions data'!$C:$O,0,MIN(MAX(YEAR(AJ$41)-YEAR($K93)+$J93+1,1),14)))),0)</f>
        <v>0</v>
      </c>
      <c r="AK93" s="68" cm="1">
        <f t="array" ref="AK93">IFERROR(IF(AK$41&lt;$K93,0,$F93*_xlfn.XLOOKUP($D93,'Capital Call&amp;Distributions data'!$A:$A,INDEX('Capital Call&amp;Distributions data'!$C:$O,0,MIN(MAX(YEAR(AK$41)-YEAR($K93)+$J93+1,1),14)))),0)</f>
        <v>0</v>
      </c>
      <c r="AL93" s="68" cm="1">
        <f t="array" ref="AL93">IFERROR(IF(AL$41&lt;$K93,0,$F93*_xlfn.XLOOKUP($D93,'Capital Call&amp;Distributions data'!$A:$A,INDEX('Capital Call&amp;Distributions data'!$C:$O,0,MIN(MAX(YEAR(AL$41)-YEAR($K93)+$J93+1,1),14)))),0)</f>
        <v>0</v>
      </c>
      <c r="AM93" s="68" cm="1">
        <f t="array" ref="AM93">IFERROR(IF(AM$41&lt;$K93,0,$F93*_xlfn.XLOOKUP($D93,'Capital Call&amp;Distributions data'!$A:$A,INDEX('Capital Call&amp;Distributions data'!$C:$O,0,MIN(MAX(YEAR(AM$41)-YEAR($K93)+$J93+1,1),14)))),0)</f>
        <v>0</v>
      </c>
      <c r="AN93" s="68" cm="1">
        <f t="array" ref="AN93">IFERROR(IF(AN$41&lt;$K93,0,$F93*_xlfn.XLOOKUP($D93,'Capital Call&amp;Distributions data'!$A:$A,INDEX('Capital Call&amp;Distributions data'!$C:$O,0,MIN(MAX(YEAR(AN$41)-YEAR($K93)+$J93+1,1),14)))),0)</f>
        <v>0</v>
      </c>
      <c r="AO93" s="68" cm="1">
        <f t="array" ref="AO93">IFERROR(IF(AO$41&lt;$K93,0,$F93*_xlfn.XLOOKUP($D93,'Capital Call&amp;Distributions data'!$A:$A,INDEX('Capital Call&amp;Distributions data'!$C:$O,0,MIN(MAX(YEAR(AO$41)-YEAR($K93)+$J93+1,1),14)))),0)</f>
        <v>0</v>
      </c>
      <c r="AP93" s="68" cm="1">
        <f t="array" ref="AP93">IFERROR(IF(AP$41&lt;$K93,0,$F93*_xlfn.XLOOKUP($D93,'Capital Call&amp;Distributions data'!$A:$A,INDEX('Capital Call&amp;Distributions data'!$C:$O,0,MIN(MAX(YEAR(AP$41)-YEAR($K93)+$J93+1,1),14)))),0)</f>
        <v>0</v>
      </c>
      <c r="AQ93" s="68" cm="1">
        <f t="array" ref="AQ93">IFERROR(IF(AQ$41&lt;$K93,0,$F93*_xlfn.XLOOKUP($D93,'Capital Call&amp;Distributions data'!$A:$A,INDEX('Capital Call&amp;Distributions data'!$C:$O,0,MIN(MAX(YEAR(AQ$41)-YEAR($K93)+$J93+1,1),14)))),0)</f>
        <v>0</v>
      </c>
      <c r="AR93" s="68" cm="1">
        <f t="array" ref="AR93">IFERROR(IF(AR$41&lt;$K93,0,$F93*_xlfn.XLOOKUP($D93,'Capital Call&amp;Distributions data'!$A:$A,INDEX('Capital Call&amp;Distributions data'!$C:$O,0,MIN(MAX(YEAR(AR$41)-YEAR($K93)+$J93+1,1),14)))),0)</f>
        <v>0</v>
      </c>
      <c r="AS93" s="68" cm="1">
        <f t="array" ref="AS93">IFERROR(IF(AS$41&lt;$K93,0,$F93*_xlfn.XLOOKUP($D93,'Capital Call&amp;Distributions data'!$A:$A,INDEX('Capital Call&amp;Distributions data'!$C:$O,0,MIN(MAX(YEAR(AS$41)-YEAR($K93)+$J93+1,1),14)))),0)</f>
        <v>0</v>
      </c>
      <c r="AT93" s="68" cm="1">
        <f t="array" ref="AT93">IFERROR(IF(AT$41&lt;$K93,0,$F93*_xlfn.XLOOKUP($D93,'Capital Call&amp;Distributions data'!$A:$A,INDEX('Capital Call&amp;Distributions data'!$C:$O,0,MIN(MAX(YEAR(AT$41)-YEAR($K93)+$J93+1,1),14)))),0)</f>
        <v>0</v>
      </c>
      <c r="AU93" s="68" cm="1">
        <f t="array" ref="AU93">IFERROR(IF(AU$41&lt;$K93,0,$F93*_xlfn.XLOOKUP($D93,'Capital Call&amp;Distributions data'!$A:$A,INDEX('Capital Call&amp;Distributions data'!$C:$O,0,MIN(MAX(YEAR(AU$41)-YEAR($K93)+$J93+1,1),14)))),0)</f>
        <v>0</v>
      </c>
      <c r="AW93" s="1"/>
      <c r="DJ93" s="11"/>
    </row>
    <row r="94" spans="1:114" ht="29.25" hidden="1" customHeight="1" outlineLevel="1">
      <c r="C94" s="20"/>
      <c r="D94" s="21">
        <f>_xlfn.XLOOKUP(C94,Fondsen!B:B,Fondsen!C:C,"0",0,1)</f>
        <v>0</v>
      </c>
      <c r="E94" s="21" t="s">
        <v>10</v>
      </c>
      <c r="F94" s="83" t="s">
        <v>13</v>
      </c>
      <c r="G94" s="143" t="str">
        <f ca="1">IFERROR(IF(SUM(OFFSET(INDEX('Capital Call&amp;Distributions data'!A:A,MATCH(D94,'Capital Call&amp;Distributions data'!A:A,0)),-1,2,1,1000))=0,"✔",""),"")</f>
        <v/>
      </c>
      <c r="H94" s="138" t="str">
        <f t="shared" si="4"/>
        <v/>
      </c>
      <c r="I94" s="96">
        <v>45658</v>
      </c>
      <c r="J94" s="70">
        <f t="shared" si="3"/>
        <v>0</v>
      </c>
      <c r="K94" s="96">
        <v>45658</v>
      </c>
      <c r="L94" s="68" cm="1">
        <f t="array" ref="L94">IFERROR(IF(L$41&lt;$K94,0,$F94*_xlfn.XLOOKUP($D94,'Capital Call&amp;Distributions data'!$A:$A,INDEX('Capital Call&amp;Distributions data'!$C:$O,0,MIN(MAX(YEAR(L$41)-YEAR($K94)+$J94+1,1),14)))),0)</f>
        <v>0</v>
      </c>
      <c r="M94" s="68" cm="1">
        <f t="array" ref="M94">IFERROR(IF(M$41&lt;$K94,0,$F94*_xlfn.XLOOKUP($D94,'Capital Call&amp;Distributions data'!$A:$A,INDEX('Capital Call&amp;Distributions data'!$C:$O,0,MIN(MAX(YEAR(M$41)-YEAR($K94)+$J94+1,1),14)))),0)</f>
        <v>0</v>
      </c>
      <c r="N94" s="68" cm="1">
        <f t="array" ref="N94">IFERROR(IF(N$41&lt;$K94,0,$F94*_xlfn.XLOOKUP($D94,'Capital Call&amp;Distributions data'!$A:$A,INDEX('Capital Call&amp;Distributions data'!$C:$O,0,MIN(MAX(YEAR(N$41)-YEAR($K94)+$J94+1,1),14)))),0)</f>
        <v>0</v>
      </c>
      <c r="O94" s="68" cm="1">
        <f t="array" ref="O94">IFERROR(IF(O$41&lt;$K94,0,$F94*_xlfn.XLOOKUP($D94,'Capital Call&amp;Distributions data'!$A:$A,INDEX('Capital Call&amp;Distributions data'!$C:$O,0,MIN(MAX(YEAR(O$41)-YEAR($K94)+$J94+1,1),14)))),0)</f>
        <v>0</v>
      </c>
      <c r="P94" s="68" cm="1">
        <f t="array" ref="P94">IFERROR(IF(P$41&lt;$K94,0,$F94*_xlfn.XLOOKUP($D94,'Capital Call&amp;Distributions data'!$A:$A,INDEX('Capital Call&amp;Distributions data'!$C:$O,0,MIN(MAX(YEAR(P$41)-YEAR($K94)+$J94+1,1),14)))),0)</f>
        <v>0</v>
      </c>
      <c r="Q94" s="68" cm="1">
        <f t="array" ref="Q94">IFERROR(IF(Q$41&lt;$K94,0,$F94*_xlfn.XLOOKUP($D94,'Capital Call&amp;Distributions data'!$A:$A,INDEX('Capital Call&amp;Distributions data'!$C:$O,0,MIN(MAX(YEAR(Q$41)-YEAR($K94)+$J94+1,1),14)))),0)</f>
        <v>0</v>
      </c>
      <c r="R94" s="68" cm="1">
        <f t="array" ref="R94">IFERROR(IF(R$41&lt;$K94,0,$F94*_xlfn.XLOOKUP($D94,'Capital Call&amp;Distributions data'!$A:$A,INDEX('Capital Call&amp;Distributions data'!$C:$O,0,MIN(MAX(YEAR(R$41)-YEAR($K94)+$J94+1,1),14)))),0)</f>
        <v>0</v>
      </c>
      <c r="S94" s="68" cm="1">
        <f t="array" ref="S94">IFERROR(IF(S$41&lt;$K94,0,$F94*_xlfn.XLOOKUP($D94,'Capital Call&amp;Distributions data'!$A:$A,INDEX('Capital Call&amp;Distributions data'!$C:$O,0,MIN(MAX(YEAR(S$41)-YEAR($K94)+$J94+1,1),14)))),0)</f>
        <v>0</v>
      </c>
      <c r="T94" s="68" cm="1">
        <f t="array" ref="T94">IFERROR(IF(T$41&lt;$K94,0,$F94*_xlfn.XLOOKUP($D94,'Capital Call&amp;Distributions data'!$A:$A,INDEX('Capital Call&amp;Distributions data'!$C:$O,0,MIN(MAX(YEAR(T$41)-YEAR($K94)+$J94+1,1),14)))),0)</f>
        <v>0</v>
      </c>
      <c r="U94" s="68" cm="1">
        <f t="array" ref="U94">IFERROR(IF(U$41&lt;$K94,0,$F94*_xlfn.XLOOKUP($D94,'Capital Call&amp;Distributions data'!$A:$A,INDEX('Capital Call&amp;Distributions data'!$C:$O,0,MIN(MAX(YEAR(U$41)-YEAR($K94)+$J94+1,1),14)))),0)</f>
        <v>0</v>
      </c>
      <c r="V94" s="68" cm="1">
        <f t="array" ref="V94">IFERROR(IF(V$41&lt;$K94,0,$F94*_xlfn.XLOOKUP($D94,'Capital Call&amp;Distributions data'!$A:$A,INDEX('Capital Call&amp;Distributions data'!$C:$O,0,MIN(MAX(YEAR(V$41)-YEAR($K94)+$J94+1,1),14)))),0)</f>
        <v>0</v>
      </c>
      <c r="W94" s="68" cm="1">
        <f t="array" ref="W94">IFERROR(IF(W$41&lt;$K94,0,$F94*_xlfn.XLOOKUP($D94,'Capital Call&amp;Distributions data'!$A:$A,INDEX('Capital Call&amp;Distributions data'!$C:$O,0,MIN(MAX(YEAR(W$41)-YEAR($K94)+$J94+1,1),14)))),0)</f>
        <v>0</v>
      </c>
      <c r="X94" s="68" cm="1">
        <f t="array" ref="X94">IFERROR(IF(X$41&lt;$K94,0,$F94*_xlfn.XLOOKUP($D94,'Capital Call&amp;Distributions data'!$A:$A,INDEX('Capital Call&amp;Distributions data'!$C:$O,0,MIN(MAX(YEAR(X$41)-YEAR($K94)+$J94+1,1),14)))),0)</f>
        <v>0</v>
      </c>
      <c r="Y94" s="68" cm="1">
        <f t="array" ref="Y94">IFERROR(IF(Y$41&lt;$K94,0,$F94*_xlfn.XLOOKUP($D94,'Capital Call&amp;Distributions data'!$A:$A,INDEX('Capital Call&amp;Distributions data'!$C:$O,0,MIN(MAX(YEAR(Y$41)-YEAR($K94)+$J94+1,1),14)))),0)</f>
        <v>0</v>
      </c>
      <c r="Z94" s="68" cm="1">
        <f t="array" ref="Z94">IFERROR(IF(Z$41&lt;$K94,0,$F94*_xlfn.XLOOKUP($D94,'Capital Call&amp;Distributions data'!$A:$A,INDEX('Capital Call&amp;Distributions data'!$C:$O,0,MIN(MAX(YEAR(Z$41)-YEAR($K94)+$J94+1,1),14)))),0)</f>
        <v>0</v>
      </c>
      <c r="AA94" s="68" cm="1">
        <f t="array" ref="AA94">IFERROR(IF(AA$41&lt;$K94,0,$F94*_xlfn.XLOOKUP($D94,'Capital Call&amp;Distributions data'!$A:$A,INDEX('Capital Call&amp;Distributions data'!$C:$O,0,MIN(MAX(YEAR(AA$41)-YEAR($K94)+$J94+1,1),14)))),0)</f>
        <v>0</v>
      </c>
      <c r="AB94" s="68" cm="1">
        <f t="array" ref="AB94">IFERROR(IF(AB$41&lt;$K94,0,$F94*_xlfn.XLOOKUP($D94,'Capital Call&amp;Distributions data'!$A:$A,INDEX('Capital Call&amp;Distributions data'!$C:$O,0,MIN(MAX(YEAR(AB$41)-YEAR($K94)+$J94+1,1),14)))),0)</f>
        <v>0</v>
      </c>
      <c r="AC94" s="68" cm="1">
        <f t="array" ref="AC94">IFERROR(IF(AC$41&lt;$K94,0,$F94*_xlfn.XLOOKUP($D94,'Capital Call&amp;Distributions data'!$A:$A,INDEX('Capital Call&amp;Distributions data'!$C:$O,0,MIN(MAX(YEAR(AC$41)-YEAR($K94)+$J94+1,1),14)))),0)</f>
        <v>0</v>
      </c>
      <c r="AD94" s="68" cm="1">
        <f t="array" ref="AD94">IFERROR(IF(AD$41&lt;$K94,0,$F94*_xlfn.XLOOKUP($D94,'Capital Call&amp;Distributions data'!$A:$A,INDEX('Capital Call&amp;Distributions data'!$C:$O,0,MIN(MAX(YEAR(AD$41)-YEAR($K94)+$J94+1,1),14)))),0)</f>
        <v>0</v>
      </c>
      <c r="AE94" s="68" cm="1">
        <f t="array" ref="AE94">IFERROR(IF(AE$41&lt;$K94,0,$F94*_xlfn.XLOOKUP($D94,'Capital Call&amp;Distributions data'!$A:$A,INDEX('Capital Call&amp;Distributions data'!$C:$O,0,MIN(MAX(YEAR(AE$41)-YEAR($K94)+$J94+1,1),14)))),0)</f>
        <v>0</v>
      </c>
      <c r="AF94" s="68" cm="1">
        <f t="array" ref="AF94">IFERROR(IF(AF$41&lt;$K94,0,$F94*_xlfn.XLOOKUP($D94,'Capital Call&amp;Distributions data'!$A:$A,INDEX('Capital Call&amp;Distributions data'!$C:$O,0,MIN(MAX(YEAR(AF$41)-YEAR($K94)+$J94+1,1),14)))),0)</f>
        <v>0</v>
      </c>
      <c r="AG94" s="68" cm="1">
        <f t="array" ref="AG94">IFERROR(IF(AG$41&lt;$K94,0,$F94*_xlfn.XLOOKUP($D94,'Capital Call&amp;Distributions data'!$A:$A,INDEX('Capital Call&amp;Distributions data'!$C:$O,0,MIN(MAX(YEAR(AG$41)-YEAR($K94)+$J94+1,1),14)))),0)</f>
        <v>0</v>
      </c>
      <c r="AH94" s="68" cm="1">
        <f t="array" ref="AH94">IFERROR(IF(AH$41&lt;$K94,0,$F94*_xlfn.XLOOKUP($D94,'Capital Call&amp;Distributions data'!$A:$A,INDEX('Capital Call&amp;Distributions data'!$C:$O,0,MIN(MAX(YEAR(AH$41)-YEAR($K94)+$J94+1,1),14)))),0)</f>
        <v>0</v>
      </c>
      <c r="AI94" s="68" cm="1">
        <f t="array" ref="AI94">IFERROR(IF(AI$41&lt;$K94,0,$F94*_xlfn.XLOOKUP($D94,'Capital Call&amp;Distributions data'!$A:$A,INDEX('Capital Call&amp;Distributions data'!$C:$O,0,MIN(MAX(YEAR(AI$41)-YEAR($K94)+$J94+1,1),14)))),0)</f>
        <v>0</v>
      </c>
      <c r="AJ94" s="68" cm="1">
        <f t="array" ref="AJ94">IFERROR(IF(AJ$41&lt;$K94,0,$F94*_xlfn.XLOOKUP($D94,'Capital Call&amp;Distributions data'!$A:$A,INDEX('Capital Call&amp;Distributions data'!$C:$O,0,MIN(MAX(YEAR(AJ$41)-YEAR($K94)+$J94+1,1),14)))),0)</f>
        <v>0</v>
      </c>
      <c r="AK94" s="68" cm="1">
        <f t="array" ref="AK94">IFERROR(IF(AK$41&lt;$K94,0,$F94*_xlfn.XLOOKUP($D94,'Capital Call&amp;Distributions data'!$A:$A,INDEX('Capital Call&amp;Distributions data'!$C:$O,0,MIN(MAX(YEAR(AK$41)-YEAR($K94)+$J94+1,1),14)))),0)</f>
        <v>0</v>
      </c>
      <c r="AL94" s="68" cm="1">
        <f t="array" ref="AL94">IFERROR(IF(AL$41&lt;$K94,0,$F94*_xlfn.XLOOKUP($D94,'Capital Call&amp;Distributions data'!$A:$A,INDEX('Capital Call&amp;Distributions data'!$C:$O,0,MIN(MAX(YEAR(AL$41)-YEAR($K94)+$J94+1,1),14)))),0)</f>
        <v>0</v>
      </c>
      <c r="AM94" s="68" cm="1">
        <f t="array" ref="AM94">IFERROR(IF(AM$41&lt;$K94,0,$F94*_xlfn.XLOOKUP($D94,'Capital Call&amp;Distributions data'!$A:$A,INDEX('Capital Call&amp;Distributions data'!$C:$O,0,MIN(MAX(YEAR(AM$41)-YEAR($K94)+$J94+1,1),14)))),0)</f>
        <v>0</v>
      </c>
      <c r="AN94" s="68" cm="1">
        <f t="array" ref="AN94">IFERROR(IF(AN$41&lt;$K94,0,$F94*_xlfn.XLOOKUP($D94,'Capital Call&amp;Distributions data'!$A:$A,INDEX('Capital Call&amp;Distributions data'!$C:$O,0,MIN(MAX(YEAR(AN$41)-YEAR($K94)+$J94+1,1),14)))),0)</f>
        <v>0</v>
      </c>
      <c r="AO94" s="68" cm="1">
        <f t="array" ref="AO94">IFERROR(IF(AO$41&lt;$K94,0,$F94*_xlfn.XLOOKUP($D94,'Capital Call&amp;Distributions data'!$A:$A,INDEX('Capital Call&amp;Distributions data'!$C:$O,0,MIN(MAX(YEAR(AO$41)-YEAR($K94)+$J94+1,1),14)))),0)</f>
        <v>0</v>
      </c>
      <c r="AP94" s="68" cm="1">
        <f t="array" ref="AP94">IFERROR(IF(AP$41&lt;$K94,0,$F94*_xlfn.XLOOKUP($D94,'Capital Call&amp;Distributions data'!$A:$A,INDEX('Capital Call&amp;Distributions data'!$C:$O,0,MIN(MAX(YEAR(AP$41)-YEAR($K94)+$J94+1,1),14)))),0)</f>
        <v>0</v>
      </c>
      <c r="AQ94" s="68" cm="1">
        <f t="array" ref="AQ94">IFERROR(IF(AQ$41&lt;$K94,0,$F94*_xlfn.XLOOKUP($D94,'Capital Call&amp;Distributions data'!$A:$A,INDEX('Capital Call&amp;Distributions data'!$C:$O,0,MIN(MAX(YEAR(AQ$41)-YEAR($K94)+$J94+1,1),14)))),0)</f>
        <v>0</v>
      </c>
      <c r="AR94" s="68" cm="1">
        <f t="array" ref="AR94">IFERROR(IF(AR$41&lt;$K94,0,$F94*_xlfn.XLOOKUP($D94,'Capital Call&amp;Distributions data'!$A:$A,INDEX('Capital Call&amp;Distributions data'!$C:$O,0,MIN(MAX(YEAR(AR$41)-YEAR($K94)+$J94+1,1),14)))),0)</f>
        <v>0</v>
      </c>
      <c r="AS94" s="68" cm="1">
        <f t="array" ref="AS94">IFERROR(IF(AS$41&lt;$K94,0,$F94*_xlfn.XLOOKUP($D94,'Capital Call&amp;Distributions data'!$A:$A,INDEX('Capital Call&amp;Distributions data'!$C:$O,0,MIN(MAX(YEAR(AS$41)-YEAR($K94)+$J94+1,1),14)))),0)</f>
        <v>0</v>
      </c>
      <c r="AT94" s="68" cm="1">
        <f t="array" ref="AT94">IFERROR(IF(AT$41&lt;$K94,0,$F94*_xlfn.XLOOKUP($D94,'Capital Call&amp;Distributions data'!$A:$A,INDEX('Capital Call&amp;Distributions data'!$C:$O,0,MIN(MAX(YEAR(AT$41)-YEAR($K94)+$J94+1,1),14)))),0)</f>
        <v>0</v>
      </c>
      <c r="AU94" s="68" cm="1">
        <f t="array" ref="AU94">IFERROR(IF(AU$41&lt;$K94,0,$F94*_xlfn.XLOOKUP($D94,'Capital Call&amp;Distributions data'!$A:$A,INDEX('Capital Call&amp;Distributions data'!$C:$O,0,MIN(MAX(YEAR(AU$41)-YEAR($K94)+$J94+1,1),14)))),0)</f>
        <v>0</v>
      </c>
      <c r="AW94" s="1"/>
      <c r="DJ94" s="11"/>
    </row>
    <row r="95" spans="1:114" ht="29.25" hidden="1" customHeight="1" outlineLevel="1">
      <c r="A95" s="98"/>
      <c r="C95" s="20"/>
      <c r="D95" s="21">
        <f>_xlfn.XLOOKUP(C95,Fondsen!B:B,Fondsen!C:C,"0",0,1)</f>
        <v>0</v>
      </c>
      <c r="E95" s="21" t="s">
        <v>10</v>
      </c>
      <c r="F95" s="83" t="s">
        <v>13</v>
      </c>
      <c r="G95" s="143" t="str">
        <f ca="1">IFERROR(IF(SUM(OFFSET(INDEX('Capital Call&amp;Distributions data'!A:A,MATCH(D95,'Capital Call&amp;Distributions data'!A:A,0)),-1,2,1,1000))=0,"✔",""),"")</f>
        <v/>
      </c>
      <c r="H95" s="138" t="str">
        <f t="shared" si="4"/>
        <v/>
      </c>
      <c r="I95" s="96">
        <v>45658</v>
      </c>
      <c r="J95" s="70">
        <f t="shared" si="3"/>
        <v>0</v>
      </c>
      <c r="K95" s="96">
        <v>45658</v>
      </c>
      <c r="L95" s="68" cm="1">
        <f t="array" ref="L95">IFERROR(IF(L$41&lt;$K95,0,$F95*_xlfn.XLOOKUP($D95,'Capital Call&amp;Distributions data'!$A:$A,INDEX('Capital Call&amp;Distributions data'!$C:$O,0,MIN(MAX(YEAR(L$41)-YEAR($K95)+$J95+1,1),14)))),0)</f>
        <v>0</v>
      </c>
      <c r="M95" s="68" cm="1">
        <f t="array" ref="M95">IFERROR(IF(M$41&lt;$K95,0,$F95*_xlfn.XLOOKUP($D95,'Capital Call&amp;Distributions data'!$A:$A,INDEX('Capital Call&amp;Distributions data'!$C:$O,0,MIN(MAX(YEAR(M$41)-YEAR($K95)+$J95+1,1),14)))),0)</f>
        <v>0</v>
      </c>
      <c r="N95" s="68" cm="1">
        <f t="array" ref="N95">IFERROR(IF(N$41&lt;$K95,0,$F95*_xlfn.XLOOKUP($D95,'Capital Call&amp;Distributions data'!$A:$A,INDEX('Capital Call&amp;Distributions data'!$C:$O,0,MIN(MAX(YEAR(N$41)-YEAR($K95)+$J95+1,1),14)))),0)</f>
        <v>0</v>
      </c>
      <c r="O95" s="68" cm="1">
        <f t="array" ref="O95">IFERROR(IF(O$41&lt;$K95,0,$F95*_xlfn.XLOOKUP($D95,'Capital Call&amp;Distributions data'!$A:$A,INDEX('Capital Call&amp;Distributions data'!$C:$O,0,MIN(MAX(YEAR(O$41)-YEAR($K95)+$J95+1,1),14)))),0)</f>
        <v>0</v>
      </c>
      <c r="P95" s="68" cm="1">
        <f t="array" ref="P95">IFERROR(IF(P$41&lt;$K95,0,$F95*_xlfn.XLOOKUP($D95,'Capital Call&amp;Distributions data'!$A:$A,INDEX('Capital Call&amp;Distributions data'!$C:$O,0,MIN(MAX(YEAR(P$41)-YEAR($K95)+$J95+1,1),14)))),0)</f>
        <v>0</v>
      </c>
      <c r="Q95" s="68" cm="1">
        <f t="array" ref="Q95">IFERROR(IF(Q$41&lt;$K95,0,$F95*_xlfn.XLOOKUP($D95,'Capital Call&amp;Distributions data'!$A:$A,INDEX('Capital Call&amp;Distributions data'!$C:$O,0,MIN(MAX(YEAR(Q$41)-YEAR($K95)+$J95+1,1),14)))),0)</f>
        <v>0</v>
      </c>
      <c r="R95" s="68" cm="1">
        <f t="array" ref="R95">IFERROR(IF(R$41&lt;$K95,0,$F95*_xlfn.XLOOKUP($D95,'Capital Call&amp;Distributions data'!$A:$A,INDEX('Capital Call&amp;Distributions data'!$C:$O,0,MIN(MAX(YEAR(R$41)-YEAR($K95)+$J95+1,1),14)))),0)</f>
        <v>0</v>
      </c>
      <c r="S95" s="68" cm="1">
        <f t="array" ref="S95">IFERROR(IF(S$41&lt;$K95,0,$F95*_xlfn.XLOOKUP($D95,'Capital Call&amp;Distributions data'!$A:$A,INDEX('Capital Call&amp;Distributions data'!$C:$O,0,MIN(MAX(YEAR(S$41)-YEAR($K95)+$J95+1,1),14)))),0)</f>
        <v>0</v>
      </c>
      <c r="T95" s="68" cm="1">
        <f t="array" ref="T95">IFERROR(IF(T$41&lt;$K95,0,$F95*_xlfn.XLOOKUP($D95,'Capital Call&amp;Distributions data'!$A:$A,INDEX('Capital Call&amp;Distributions data'!$C:$O,0,MIN(MAX(YEAR(T$41)-YEAR($K95)+$J95+1,1),14)))),0)</f>
        <v>0</v>
      </c>
      <c r="U95" s="68" cm="1">
        <f t="array" ref="U95">IFERROR(IF(U$41&lt;$K95,0,$F95*_xlfn.XLOOKUP($D95,'Capital Call&amp;Distributions data'!$A:$A,INDEX('Capital Call&amp;Distributions data'!$C:$O,0,MIN(MAX(YEAR(U$41)-YEAR($K95)+$J95+1,1),14)))),0)</f>
        <v>0</v>
      </c>
      <c r="V95" s="68" cm="1">
        <f t="array" ref="V95">IFERROR(IF(V$41&lt;$K95,0,$F95*_xlfn.XLOOKUP($D95,'Capital Call&amp;Distributions data'!$A:$A,INDEX('Capital Call&amp;Distributions data'!$C:$O,0,MIN(MAX(YEAR(V$41)-YEAR($K95)+$J95+1,1),14)))),0)</f>
        <v>0</v>
      </c>
      <c r="W95" s="68" cm="1">
        <f t="array" ref="W95">IFERROR(IF(W$41&lt;$K95,0,$F95*_xlfn.XLOOKUP($D95,'Capital Call&amp;Distributions data'!$A:$A,INDEX('Capital Call&amp;Distributions data'!$C:$O,0,MIN(MAX(YEAR(W$41)-YEAR($K95)+$J95+1,1),14)))),0)</f>
        <v>0</v>
      </c>
      <c r="X95" s="68" cm="1">
        <f t="array" ref="X95">IFERROR(IF(X$41&lt;$K95,0,$F95*_xlfn.XLOOKUP($D95,'Capital Call&amp;Distributions data'!$A:$A,INDEX('Capital Call&amp;Distributions data'!$C:$O,0,MIN(MAX(YEAR(X$41)-YEAR($K95)+$J95+1,1),14)))),0)</f>
        <v>0</v>
      </c>
      <c r="Y95" s="68" cm="1">
        <f t="array" ref="Y95">IFERROR(IF(Y$41&lt;$K95,0,$F95*_xlfn.XLOOKUP($D95,'Capital Call&amp;Distributions data'!$A:$A,INDEX('Capital Call&amp;Distributions data'!$C:$O,0,MIN(MAX(YEAR(Y$41)-YEAR($K95)+$J95+1,1),14)))),0)</f>
        <v>0</v>
      </c>
      <c r="Z95" s="68" cm="1">
        <f t="array" ref="Z95">IFERROR(IF(Z$41&lt;$K95,0,$F95*_xlfn.XLOOKUP($D95,'Capital Call&amp;Distributions data'!$A:$A,INDEX('Capital Call&amp;Distributions data'!$C:$O,0,MIN(MAX(YEAR(Z$41)-YEAR($K95)+$J95+1,1),14)))),0)</f>
        <v>0</v>
      </c>
      <c r="AA95" s="68" cm="1">
        <f t="array" ref="AA95">IFERROR(IF(AA$41&lt;$K95,0,$F95*_xlfn.XLOOKUP($D95,'Capital Call&amp;Distributions data'!$A:$A,INDEX('Capital Call&amp;Distributions data'!$C:$O,0,MIN(MAX(YEAR(AA$41)-YEAR($K95)+$J95+1,1),14)))),0)</f>
        <v>0</v>
      </c>
      <c r="AB95" s="68" cm="1">
        <f t="array" ref="AB95">IFERROR(IF(AB$41&lt;$K95,0,$F95*_xlfn.XLOOKUP($D95,'Capital Call&amp;Distributions data'!$A:$A,INDEX('Capital Call&amp;Distributions data'!$C:$O,0,MIN(MAX(YEAR(AB$41)-YEAR($K95)+$J95+1,1),14)))),0)</f>
        <v>0</v>
      </c>
      <c r="AC95" s="68" cm="1">
        <f t="array" ref="AC95">IFERROR(IF(AC$41&lt;$K95,0,$F95*_xlfn.XLOOKUP($D95,'Capital Call&amp;Distributions data'!$A:$A,INDEX('Capital Call&amp;Distributions data'!$C:$O,0,MIN(MAX(YEAR(AC$41)-YEAR($K95)+$J95+1,1),14)))),0)</f>
        <v>0</v>
      </c>
      <c r="AD95" s="68" cm="1">
        <f t="array" ref="AD95">IFERROR(IF(AD$41&lt;$K95,0,$F95*_xlfn.XLOOKUP($D95,'Capital Call&amp;Distributions data'!$A:$A,INDEX('Capital Call&amp;Distributions data'!$C:$O,0,MIN(MAX(YEAR(AD$41)-YEAR($K95)+$J95+1,1),14)))),0)</f>
        <v>0</v>
      </c>
      <c r="AE95" s="68" cm="1">
        <f t="array" ref="AE95">IFERROR(IF(AE$41&lt;$K95,0,$F95*_xlfn.XLOOKUP($D95,'Capital Call&amp;Distributions data'!$A:$A,INDEX('Capital Call&amp;Distributions data'!$C:$O,0,MIN(MAX(YEAR(AE$41)-YEAR($K95)+$J95+1,1),14)))),0)</f>
        <v>0</v>
      </c>
      <c r="AF95" s="68" cm="1">
        <f t="array" ref="AF95">IFERROR(IF(AF$41&lt;$K95,0,$F95*_xlfn.XLOOKUP($D95,'Capital Call&amp;Distributions data'!$A:$A,INDEX('Capital Call&amp;Distributions data'!$C:$O,0,MIN(MAX(YEAR(AF$41)-YEAR($K95)+$J95+1,1),14)))),0)</f>
        <v>0</v>
      </c>
      <c r="AG95" s="68" cm="1">
        <f t="array" ref="AG95">IFERROR(IF(AG$41&lt;$K95,0,$F95*_xlfn.XLOOKUP($D95,'Capital Call&amp;Distributions data'!$A:$A,INDEX('Capital Call&amp;Distributions data'!$C:$O,0,MIN(MAX(YEAR(AG$41)-YEAR($K95)+$J95+1,1),14)))),0)</f>
        <v>0</v>
      </c>
      <c r="AH95" s="68" cm="1">
        <f t="array" ref="AH95">IFERROR(IF(AH$41&lt;$K95,0,$F95*_xlfn.XLOOKUP($D95,'Capital Call&amp;Distributions data'!$A:$A,INDEX('Capital Call&amp;Distributions data'!$C:$O,0,MIN(MAX(YEAR(AH$41)-YEAR($K95)+$J95+1,1),14)))),0)</f>
        <v>0</v>
      </c>
      <c r="AI95" s="68" cm="1">
        <f t="array" ref="AI95">IFERROR(IF(AI$41&lt;$K95,0,$F95*_xlfn.XLOOKUP($D95,'Capital Call&amp;Distributions data'!$A:$A,INDEX('Capital Call&amp;Distributions data'!$C:$O,0,MIN(MAX(YEAR(AI$41)-YEAR($K95)+$J95+1,1),14)))),0)</f>
        <v>0</v>
      </c>
      <c r="AJ95" s="68" cm="1">
        <f t="array" ref="AJ95">IFERROR(IF(AJ$41&lt;$K95,0,$F95*_xlfn.XLOOKUP($D95,'Capital Call&amp;Distributions data'!$A:$A,INDEX('Capital Call&amp;Distributions data'!$C:$O,0,MIN(MAX(YEAR(AJ$41)-YEAR($K95)+$J95+1,1),14)))),0)</f>
        <v>0</v>
      </c>
      <c r="AK95" s="68" cm="1">
        <f t="array" ref="AK95">IFERROR(IF(AK$41&lt;$K95,0,$F95*_xlfn.XLOOKUP($D95,'Capital Call&amp;Distributions data'!$A:$A,INDEX('Capital Call&amp;Distributions data'!$C:$O,0,MIN(MAX(YEAR(AK$41)-YEAR($K95)+$J95+1,1),14)))),0)</f>
        <v>0</v>
      </c>
      <c r="AL95" s="68" cm="1">
        <f t="array" ref="AL95">IFERROR(IF(AL$41&lt;$K95,0,$F95*_xlfn.XLOOKUP($D95,'Capital Call&amp;Distributions data'!$A:$A,INDEX('Capital Call&amp;Distributions data'!$C:$O,0,MIN(MAX(YEAR(AL$41)-YEAR($K95)+$J95+1,1),14)))),0)</f>
        <v>0</v>
      </c>
      <c r="AM95" s="68" cm="1">
        <f t="array" ref="AM95">IFERROR(IF(AM$41&lt;$K95,0,$F95*_xlfn.XLOOKUP($D95,'Capital Call&amp;Distributions data'!$A:$A,INDEX('Capital Call&amp;Distributions data'!$C:$O,0,MIN(MAX(YEAR(AM$41)-YEAR($K95)+$J95+1,1),14)))),0)</f>
        <v>0</v>
      </c>
      <c r="AN95" s="68" cm="1">
        <f t="array" ref="AN95">IFERROR(IF(AN$41&lt;$K95,0,$F95*_xlfn.XLOOKUP($D95,'Capital Call&amp;Distributions data'!$A:$A,INDEX('Capital Call&amp;Distributions data'!$C:$O,0,MIN(MAX(YEAR(AN$41)-YEAR($K95)+$J95+1,1),14)))),0)</f>
        <v>0</v>
      </c>
      <c r="AO95" s="68" cm="1">
        <f t="array" ref="AO95">IFERROR(IF(AO$41&lt;$K95,0,$F95*_xlfn.XLOOKUP($D95,'Capital Call&amp;Distributions data'!$A:$A,INDEX('Capital Call&amp;Distributions data'!$C:$O,0,MIN(MAX(YEAR(AO$41)-YEAR($K95)+$J95+1,1),14)))),0)</f>
        <v>0</v>
      </c>
      <c r="AP95" s="68" cm="1">
        <f t="array" ref="AP95">IFERROR(IF(AP$41&lt;$K95,0,$F95*_xlfn.XLOOKUP($D95,'Capital Call&amp;Distributions data'!$A:$A,INDEX('Capital Call&amp;Distributions data'!$C:$O,0,MIN(MAX(YEAR(AP$41)-YEAR($K95)+$J95+1,1),14)))),0)</f>
        <v>0</v>
      </c>
      <c r="AQ95" s="68" cm="1">
        <f t="array" ref="AQ95">IFERROR(IF(AQ$41&lt;$K95,0,$F95*_xlfn.XLOOKUP($D95,'Capital Call&amp;Distributions data'!$A:$A,INDEX('Capital Call&amp;Distributions data'!$C:$O,0,MIN(MAX(YEAR(AQ$41)-YEAR($K95)+$J95+1,1),14)))),0)</f>
        <v>0</v>
      </c>
      <c r="AR95" s="68" cm="1">
        <f t="array" ref="AR95">IFERROR(IF(AR$41&lt;$K95,0,$F95*_xlfn.XLOOKUP($D95,'Capital Call&amp;Distributions data'!$A:$A,INDEX('Capital Call&amp;Distributions data'!$C:$O,0,MIN(MAX(YEAR(AR$41)-YEAR($K95)+$J95+1,1),14)))),0)</f>
        <v>0</v>
      </c>
      <c r="AS95" s="68" cm="1">
        <f t="array" ref="AS95">IFERROR(IF(AS$41&lt;$K95,0,$F95*_xlfn.XLOOKUP($D95,'Capital Call&amp;Distributions data'!$A:$A,INDEX('Capital Call&amp;Distributions data'!$C:$O,0,MIN(MAX(YEAR(AS$41)-YEAR($K95)+$J95+1,1),14)))),0)</f>
        <v>0</v>
      </c>
      <c r="AT95" s="68" cm="1">
        <f t="array" ref="AT95">IFERROR(IF(AT$41&lt;$K95,0,$F95*_xlfn.XLOOKUP($D95,'Capital Call&amp;Distributions data'!$A:$A,INDEX('Capital Call&amp;Distributions data'!$C:$O,0,MIN(MAX(YEAR(AT$41)-YEAR($K95)+$J95+1,1),14)))),0)</f>
        <v>0</v>
      </c>
      <c r="AU95" s="68" cm="1">
        <f t="array" ref="AU95">IFERROR(IF(AU$41&lt;$K95,0,$F95*_xlfn.XLOOKUP($D95,'Capital Call&amp;Distributions data'!$A:$A,INDEX('Capital Call&amp;Distributions data'!$C:$O,0,MIN(MAX(YEAR(AU$41)-YEAR($K95)+$J95+1,1),14)))),0)</f>
        <v>0</v>
      </c>
      <c r="AW95" s="1"/>
      <c r="DJ95" s="11"/>
    </row>
    <row r="96" spans="1:114" ht="29.25" hidden="1" customHeight="1" outlineLevel="1">
      <c r="C96" s="20"/>
      <c r="D96" s="21">
        <f>_xlfn.XLOOKUP(C96,Fondsen!B:B,Fondsen!C:C,"0",0,1)</f>
        <v>0</v>
      </c>
      <c r="E96" s="21" t="s">
        <v>10</v>
      </c>
      <c r="F96" s="83" t="s">
        <v>13</v>
      </c>
      <c r="G96" s="143" t="str">
        <f ca="1">IFERROR(IF(SUM(OFFSET(INDEX('Capital Call&amp;Distributions data'!A:A,MATCH(D96,'Capital Call&amp;Distributions data'!A:A,0)),-1,2,1,1000))=0,"✔",""),"")</f>
        <v/>
      </c>
      <c r="H96" s="138" t="str">
        <f t="shared" si="4"/>
        <v/>
      </c>
      <c r="I96" s="96">
        <v>45658</v>
      </c>
      <c r="J96" s="70">
        <f t="shared" si="3"/>
        <v>0</v>
      </c>
      <c r="K96" s="96">
        <v>45658</v>
      </c>
      <c r="L96" s="68" cm="1">
        <f t="array" ref="L96">IFERROR(IF(L$41&lt;$K96,0,$F96*_xlfn.XLOOKUP($D96,'Capital Call&amp;Distributions data'!$A:$A,INDEX('Capital Call&amp;Distributions data'!$C:$O,0,MIN(MAX(YEAR(L$41)-YEAR($K96)+$J96+1,1),14)))),0)</f>
        <v>0</v>
      </c>
      <c r="M96" s="68" cm="1">
        <f t="array" ref="M96">IFERROR(IF(M$41&lt;$K96,0,$F96*_xlfn.XLOOKUP($D96,'Capital Call&amp;Distributions data'!$A:$A,INDEX('Capital Call&amp;Distributions data'!$C:$O,0,MIN(MAX(YEAR(M$41)-YEAR($K96)+$J96+1,1),14)))),0)</f>
        <v>0</v>
      </c>
      <c r="N96" s="68" cm="1">
        <f t="array" ref="N96">IFERROR(IF(N$41&lt;$K96,0,$F96*_xlfn.XLOOKUP($D96,'Capital Call&amp;Distributions data'!$A:$A,INDEX('Capital Call&amp;Distributions data'!$C:$O,0,MIN(MAX(YEAR(N$41)-YEAR($K96)+$J96+1,1),14)))),0)</f>
        <v>0</v>
      </c>
      <c r="O96" s="68" cm="1">
        <f t="array" ref="O96">IFERROR(IF(O$41&lt;$K96,0,$F96*_xlfn.XLOOKUP($D96,'Capital Call&amp;Distributions data'!$A:$A,INDEX('Capital Call&amp;Distributions data'!$C:$O,0,MIN(MAX(YEAR(O$41)-YEAR($K96)+$J96+1,1),14)))),0)</f>
        <v>0</v>
      </c>
      <c r="P96" s="68" cm="1">
        <f t="array" ref="P96">IFERROR(IF(P$41&lt;$K96,0,$F96*_xlfn.XLOOKUP($D96,'Capital Call&amp;Distributions data'!$A:$A,INDEX('Capital Call&amp;Distributions data'!$C:$O,0,MIN(MAX(YEAR(P$41)-YEAR($K96)+$J96+1,1),14)))),0)</f>
        <v>0</v>
      </c>
      <c r="Q96" s="68" cm="1">
        <f t="array" ref="Q96">IFERROR(IF(Q$41&lt;$K96,0,$F96*_xlfn.XLOOKUP($D96,'Capital Call&amp;Distributions data'!$A:$A,INDEX('Capital Call&amp;Distributions data'!$C:$O,0,MIN(MAX(YEAR(Q$41)-YEAR($K96)+$J96+1,1),14)))),0)</f>
        <v>0</v>
      </c>
      <c r="R96" s="68" cm="1">
        <f t="array" ref="R96">IFERROR(IF(R$41&lt;$K96,0,$F96*_xlfn.XLOOKUP($D96,'Capital Call&amp;Distributions data'!$A:$A,INDEX('Capital Call&amp;Distributions data'!$C:$O,0,MIN(MAX(YEAR(R$41)-YEAR($K96)+$J96+1,1),14)))),0)</f>
        <v>0</v>
      </c>
      <c r="S96" s="68" cm="1">
        <f t="array" ref="S96">IFERROR(IF(S$41&lt;$K96,0,$F96*_xlfn.XLOOKUP($D96,'Capital Call&amp;Distributions data'!$A:$A,INDEX('Capital Call&amp;Distributions data'!$C:$O,0,MIN(MAX(YEAR(S$41)-YEAR($K96)+$J96+1,1),14)))),0)</f>
        <v>0</v>
      </c>
      <c r="T96" s="68" cm="1">
        <f t="array" ref="T96">IFERROR(IF(T$41&lt;$K96,0,$F96*_xlfn.XLOOKUP($D96,'Capital Call&amp;Distributions data'!$A:$A,INDEX('Capital Call&amp;Distributions data'!$C:$O,0,MIN(MAX(YEAR(T$41)-YEAR($K96)+$J96+1,1),14)))),0)</f>
        <v>0</v>
      </c>
      <c r="U96" s="68" cm="1">
        <f t="array" ref="U96">IFERROR(IF(U$41&lt;$K96,0,$F96*_xlfn.XLOOKUP($D96,'Capital Call&amp;Distributions data'!$A:$A,INDEX('Capital Call&amp;Distributions data'!$C:$O,0,MIN(MAX(YEAR(U$41)-YEAR($K96)+$J96+1,1),14)))),0)</f>
        <v>0</v>
      </c>
      <c r="V96" s="68" cm="1">
        <f t="array" ref="V96">IFERROR(IF(V$41&lt;$K96,0,$F96*_xlfn.XLOOKUP($D96,'Capital Call&amp;Distributions data'!$A:$A,INDEX('Capital Call&amp;Distributions data'!$C:$O,0,MIN(MAX(YEAR(V$41)-YEAR($K96)+$J96+1,1),14)))),0)</f>
        <v>0</v>
      </c>
      <c r="W96" s="68" cm="1">
        <f t="array" ref="W96">IFERROR(IF(W$41&lt;$K96,0,$F96*_xlfn.XLOOKUP($D96,'Capital Call&amp;Distributions data'!$A:$A,INDEX('Capital Call&amp;Distributions data'!$C:$O,0,MIN(MAX(YEAR(W$41)-YEAR($K96)+$J96+1,1),14)))),0)</f>
        <v>0</v>
      </c>
      <c r="X96" s="68" cm="1">
        <f t="array" ref="X96">IFERROR(IF(X$41&lt;$K96,0,$F96*_xlfn.XLOOKUP($D96,'Capital Call&amp;Distributions data'!$A:$A,INDEX('Capital Call&amp;Distributions data'!$C:$O,0,MIN(MAX(YEAR(X$41)-YEAR($K96)+$J96+1,1),14)))),0)</f>
        <v>0</v>
      </c>
      <c r="Y96" s="68" cm="1">
        <f t="array" ref="Y96">IFERROR(IF(Y$41&lt;$K96,0,$F96*_xlfn.XLOOKUP($D96,'Capital Call&amp;Distributions data'!$A:$A,INDEX('Capital Call&amp;Distributions data'!$C:$O,0,MIN(MAX(YEAR(Y$41)-YEAR($K96)+$J96+1,1),14)))),0)</f>
        <v>0</v>
      </c>
      <c r="Z96" s="68" cm="1">
        <f t="array" ref="Z96">IFERROR(IF(Z$41&lt;$K96,0,$F96*_xlfn.XLOOKUP($D96,'Capital Call&amp;Distributions data'!$A:$A,INDEX('Capital Call&amp;Distributions data'!$C:$O,0,MIN(MAX(YEAR(Z$41)-YEAR($K96)+$J96+1,1),14)))),0)</f>
        <v>0</v>
      </c>
      <c r="AA96" s="68" cm="1">
        <f t="array" ref="AA96">IFERROR(IF(AA$41&lt;$K96,0,$F96*_xlfn.XLOOKUP($D96,'Capital Call&amp;Distributions data'!$A:$A,INDEX('Capital Call&amp;Distributions data'!$C:$O,0,MIN(MAX(YEAR(AA$41)-YEAR($K96)+$J96+1,1),14)))),0)</f>
        <v>0</v>
      </c>
      <c r="AB96" s="68" cm="1">
        <f t="array" ref="AB96">IFERROR(IF(AB$41&lt;$K96,0,$F96*_xlfn.XLOOKUP($D96,'Capital Call&amp;Distributions data'!$A:$A,INDEX('Capital Call&amp;Distributions data'!$C:$O,0,MIN(MAX(YEAR(AB$41)-YEAR($K96)+$J96+1,1),14)))),0)</f>
        <v>0</v>
      </c>
      <c r="AC96" s="68" cm="1">
        <f t="array" ref="AC96">IFERROR(IF(AC$41&lt;$K96,0,$F96*_xlfn.XLOOKUP($D96,'Capital Call&amp;Distributions data'!$A:$A,INDEX('Capital Call&amp;Distributions data'!$C:$O,0,MIN(MAX(YEAR(AC$41)-YEAR($K96)+$J96+1,1),14)))),0)</f>
        <v>0</v>
      </c>
      <c r="AD96" s="68" cm="1">
        <f t="array" ref="AD96">IFERROR(IF(AD$41&lt;$K96,0,$F96*_xlfn.XLOOKUP($D96,'Capital Call&amp;Distributions data'!$A:$A,INDEX('Capital Call&amp;Distributions data'!$C:$O,0,MIN(MAX(YEAR(AD$41)-YEAR($K96)+$J96+1,1),14)))),0)</f>
        <v>0</v>
      </c>
      <c r="AE96" s="68" cm="1">
        <f t="array" ref="AE96">IFERROR(IF(AE$41&lt;$K96,0,$F96*_xlfn.XLOOKUP($D96,'Capital Call&amp;Distributions data'!$A:$A,INDEX('Capital Call&amp;Distributions data'!$C:$O,0,MIN(MAX(YEAR(AE$41)-YEAR($K96)+$J96+1,1),14)))),0)</f>
        <v>0</v>
      </c>
      <c r="AF96" s="68" cm="1">
        <f t="array" ref="AF96">IFERROR(IF(AF$41&lt;$K96,0,$F96*_xlfn.XLOOKUP($D96,'Capital Call&amp;Distributions data'!$A:$A,INDEX('Capital Call&amp;Distributions data'!$C:$O,0,MIN(MAX(YEAR(AF$41)-YEAR($K96)+$J96+1,1),14)))),0)</f>
        <v>0</v>
      </c>
      <c r="AG96" s="68" cm="1">
        <f t="array" ref="AG96">IFERROR(IF(AG$41&lt;$K96,0,$F96*_xlfn.XLOOKUP($D96,'Capital Call&amp;Distributions data'!$A:$A,INDEX('Capital Call&amp;Distributions data'!$C:$O,0,MIN(MAX(YEAR(AG$41)-YEAR($K96)+$J96+1,1),14)))),0)</f>
        <v>0</v>
      </c>
      <c r="AH96" s="68" cm="1">
        <f t="array" ref="AH96">IFERROR(IF(AH$41&lt;$K96,0,$F96*_xlfn.XLOOKUP($D96,'Capital Call&amp;Distributions data'!$A:$A,INDEX('Capital Call&amp;Distributions data'!$C:$O,0,MIN(MAX(YEAR(AH$41)-YEAR($K96)+$J96+1,1),14)))),0)</f>
        <v>0</v>
      </c>
      <c r="AI96" s="68" cm="1">
        <f t="array" ref="AI96">IFERROR(IF(AI$41&lt;$K96,0,$F96*_xlfn.XLOOKUP($D96,'Capital Call&amp;Distributions data'!$A:$A,INDEX('Capital Call&amp;Distributions data'!$C:$O,0,MIN(MAX(YEAR(AI$41)-YEAR($K96)+$J96+1,1),14)))),0)</f>
        <v>0</v>
      </c>
      <c r="AJ96" s="68" cm="1">
        <f t="array" ref="AJ96">IFERROR(IF(AJ$41&lt;$K96,0,$F96*_xlfn.XLOOKUP($D96,'Capital Call&amp;Distributions data'!$A:$A,INDEX('Capital Call&amp;Distributions data'!$C:$O,0,MIN(MAX(YEAR(AJ$41)-YEAR($K96)+$J96+1,1),14)))),0)</f>
        <v>0</v>
      </c>
      <c r="AK96" s="68" cm="1">
        <f t="array" ref="AK96">IFERROR(IF(AK$41&lt;$K96,0,$F96*_xlfn.XLOOKUP($D96,'Capital Call&amp;Distributions data'!$A:$A,INDEX('Capital Call&amp;Distributions data'!$C:$O,0,MIN(MAX(YEAR(AK$41)-YEAR($K96)+$J96+1,1),14)))),0)</f>
        <v>0</v>
      </c>
      <c r="AL96" s="68" cm="1">
        <f t="array" ref="AL96">IFERROR(IF(AL$41&lt;$K96,0,$F96*_xlfn.XLOOKUP($D96,'Capital Call&amp;Distributions data'!$A:$A,INDEX('Capital Call&amp;Distributions data'!$C:$O,0,MIN(MAX(YEAR(AL$41)-YEAR($K96)+$J96+1,1),14)))),0)</f>
        <v>0</v>
      </c>
      <c r="AM96" s="68" cm="1">
        <f t="array" ref="AM96">IFERROR(IF(AM$41&lt;$K96,0,$F96*_xlfn.XLOOKUP($D96,'Capital Call&amp;Distributions data'!$A:$A,INDEX('Capital Call&amp;Distributions data'!$C:$O,0,MIN(MAX(YEAR(AM$41)-YEAR($K96)+$J96+1,1),14)))),0)</f>
        <v>0</v>
      </c>
      <c r="AN96" s="68" cm="1">
        <f t="array" ref="AN96">IFERROR(IF(AN$41&lt;$K96,0,$F96*_xlfn.XLOOKUP($D96,'Capital Call&amp;Distributions data'!$A:$A,INDEX('Capital Call&amp;Distributions data'!$C:$O,0,MIN(MAX(YEAR(AN$41)-YEAR($K96)+$J96+1,1),14)))),0)</f>
        <v>0</v>
      </c>
      <c r="AO96" s="68" cm="1">
        <f t="array" ref="AO96">IFERROR(IF(AO$41&lt;$K96,0,$F96*_xlfn.XLOOKUP($D96,'Capital Call&amp;Distributions data'!$A:$A,INDEX('Capital Call&amp;Distributions data'!$C:$O,0,MIN(MAX(YEAR(AO$41)-YEAR($K96)+$J96+1,1),14)))),0)</f>
        <v>0</v>
      </c>
      <c r="AP96" s="68" cm="1">
        <f t="array" ref="AP96">IFERROR(IF(AP$41&lt;$K96,0,$F96*_xlfn.XLOOKUP($D96,'Capital Call&amp;Distributions data'!$A:$A,INDEX('Capital Call&amp;Distributions data'!$C:$O,0,MIN(MAX(YEAR(AP$41)-YEAR($K96)+$J96+1,1),14)))),0)</f>
        <v>0</v>
      </c>
      <c r="AQ96" s="68" cm="1">
        <f t="array" ref="AQ96">IFERROR(IF(AQ$41&lt;$K96,0,$F96*_xlfn.XLOOKUP($D96,'Capital Call&amp;Distributions data'!$A:$A,INDEX('Capital Call&amp;Distributions data'!$C:$O,0,MIN(MAX(YEAR(AQ$41)-YEAR($K96)+$J96+1,1),14)))),0)</f>
        <v>0</v>
      </c>
      <c r="AR96" s="68" cm="1">
        <f t="array" ref="AR96">IFERROR(IF(AR$41&lt;$K96,0,$F96*_xlfn.XLOOKUP($D96,'Capital Call&amp;Distributions data'!$A:$A,INDEX('Capital Call&amp;Distributions data'!$C:$O,0,MIN(MAX(YEAR(AR$41)-YEAR($K96)+$J96+1,1),14)))),0)</f>
        <v>0</v>
      </c>
      <c r="AS96" s="68" cm="1">
        <f t="array" ref="AS96">IFERROR(IF(AS$41&lt;$K96,0,$F96*_xlfn.XLOOKUP($D96,'Capital Call&amp;Distributions data'!$A:$A,INDEX('Capital Call&amp;Distributions data'!$C:$O,0,MIN(MAX(YEAR(AS$41)-YEAR($K96)+$J96+1,1),14)))),0)</f>
        <v>0</v>
      </c>
      <c r="AT96" s="68" cm="1">
        <f t="array" ref="AT96">IFERROR(IF(AT$41&lt;$K96,0,$F96*_xlfn.XLOOKUP($D96,'Capital Call&amp;Distributions data'!$A:$A,INDEX('Capital Call&amp;Distributions data'!$C:$O,0,MIN(MAX(YEAR(AT$41)-YEAR($K96)+$J96+1,1),14)))),0)</f>
        <v>0</v>
      </c>
      <c r="AU96" s="68" cm="1">
        <f t="array" ref="AU96">IFERROR(IF(AU$41&lt;$K96,0,$F96*_xlfn.XLOOKUP($D96,'Capital Call&amp;Distributions data'!$A:$A,INDEX('Capital Call&amp;Distributions data'!$C:$O,0,MIN(MAX(YEAR(AU$41)-YEAR($K96)+$J96+1,1),14)))),0)</f>
        <v>0</v>
      </c>
      <c r="AW96" s="1"/>
      <c r="DJ96" s="11"/>
    </row>
    <row r="97" spans="2:114" ht="29.25" hidden="1" customHeight="1" outlineLevel="1">
      <c r="C97" s="20"/>
      <c r="D97" s="21">
        <f>_xlfn.XLOOKUP(C97,Fondsen!B:B,Fondsen!C:C,"0",0,1)</f>
        <v>0</v>
      </c>
      <c r="E97" s="21" t="s">
        <v>10</v>
      </c>
      <c r="F97" s="83" t="s">
        <v>13</v>
      </c>
      <c r="G97" s="143" t="str">
        <f ca="1">IFERROR(IF(SUM(OFFSET(INDEX('Capital Call&amp;Distributions data'!A:A,MATCH(D97,'Capital Call&amp;Distributions data'!A:A,0)),-1,2,1,1000))=0,"✔",""),"")</f>
        <v/>
      </c>
      <c r="H97" s="138" t="str">
        <f t="shared" si="4"/>
        <v/>
      </c>
      <c r="I97" s="96">
        <v>45658</v>
      </c>
      <c r="J97" s="70">
        <f t="shared" si="3"/>
        <v>0</v>
      </c>
      <c r="K97" s="96">
        <v>45658</v>
      </c>
      <c r="L97" s="68" cm="1">
        <f t="array" ref="L97">IFERROR(IF(L$41&lt;$K97,0,$F97*_xlfn.XLOOKUP($D97,'Capital Call&amp;Distributions data'!$A:$A,INDEX('Capital Call&amp;Distributions data'!$C:$O,0,MIN(MAX(YEAR(L$41)-YEAR($K97)+$J97+1,1),14)))),0)</f>
        <v>0</v>
      </c>
      <c r="M97" s="68" cm="1">
        <f t="array" ref="M97">IFERROR(IF(M$41&lt;$K97,0,$F97*_xlfn.XLOOKUP($D97,'Capital Call&amp;Distributions data'!$A:$A,INDEX('Capital Call&amp;Distributions data'!$C:$O,0,MIN(MAX(YEAR(M$41)-YEAR($K97)+$J97+1,1),14)))),0)</f>
        <v>0</v>
      </c>
      <c r="N97" s="68" cm="1">
        <f t="array" ref="N97">IFERROR(IF(N$41&lt;$K97,0,$F97*_xlfn.XLOOKUP($D97,'Capital Call&amp;Distributions data'!$A:$A,INDEX('Capital Call&amp;Distributions data'!$C:$O,0,MIN(MAX(YEAR(N$41)-YEAR($K97)+$J97+1,1),14)))),0)</f>
        <v>0</v>
      </c>
      <c r="O97" s="68" cm="1">
        <f t="array" ref="O97">IFERROR(IF(O$41&lt;$K97,0,$F97*_xlfn.XLOOKUP($D97,'Capital Call&amp;Distributions data'!$A:$A,INDEX('Capital Call&amp;Distributions data'!$C:$O,0,MIN(MAX(YEAR(O$41)-YEAR($K97)+$J97+1,1),14)))),0)</f>
        <v>0</v>
      </c>
      <c r="P97" s="68" cm="1">
        <f t="array" ref="P97">IFERROR(IF(P$41&lt;$K97,0,$F97*_xlfn.XLOOKUP($D97,'Capital Call&amp;Distributions data'!$A:$A,INDEX('Capital Call&amp;Distributions data'!$C:$O,0,MIN(MAX(YEAR(P$41)-YEAR($K97)+$J97+1,1),14)))),0)</f>
        <v>0</v>
      </c>
      <c r="Q97" s="68" cm="1">
        <f t="array" ref="Q97">IFERROR(IF(Q$41&lt;$K97,0,$F97*_xlfn.XLOOKUP($D97,'Capital Call&amp;Distributions data'!$A:$A,INDEX('Capital Call&amp;Distributions data'!$C:$O,0,MIN(MAX(YEAR(Q$41)-YEAR($K97)+$J97+1,1),14)))),0)</f>
        <v>0</v>
      </c>
      <c r="R97" s="68" cm="1">
        <f t="array" ref="R97">IFERROR(IF(R$41&lt;$K97,0,$F97*_xlfn.XLOOKUP($D97,'Capital Call&amp;Distributions data'!$A:$A,INDEX('Capital Call&amp;Distributions data'!$C:$O,0,MIN(MAX(YEAR(R$41)-YEAR($K97)+$J97+1,1),14)))),0)</f>
        <v>0</v>
      </c>
      <c r="S97" s="68" cm="1">
        <f t="array" ref="S97">IFERROR(IF(S$41&lt;$K97,0,$F97*_xlfn.XLOOKUP($D97,'Capital Call&amp;Distributions data'!$A:$A,INDEX('Capital Call&amp;Distributions data'!$C:$O,0,MIN(MAX(YEAR(S$41)-YEAR($K97)+$J97+1,1),14)))),0)</f>
        <v>0</v>
      </c>
      <c r="T97" s="68" cm="1">
        <f t="array" ref="T97">IFERROR(IF(T$41&lt;$K97,0,$F97*_xlfn.XLOOKUP($D97,'Capital Call&amp;Distributions data'!$A:$A,INDEX('Capital Call&amp;Distributions data'!$C:$O,0,MIN(MAX(YEAR(T$41)-YEAR($K97)+$J97+1,1),14)))),0)</f>
        <v>0</v>
      </c>
      <c r="U97" s="68" cm="1">
        <f t="array" ref="U97">IFERROR(IF(U$41&lt;$K97,0,$F97*_xlfn.XLOOKUP($D97,'Capital Call&amp;Distributions data'!$A:$A,INDEX('Capital Call&amp;Distributions data'!$C:$O,0,MIN(MAX(YEAR(U$41)-YEAR($K97)+$J97+1,1),14)))),0)</f>
        <v>0</v>
      </c>
      <c r="V97" s="68" cm="1">
        <f t="array" ref="V97">IFERROR(IF(V$41&lt;$K97,0,$F97*_xlfn.XLOOKUP($D97,'Capital Call&amp;Distributions data'!$A:$A,INDEX('Capital Call&amp;Distributions data'!$C:$O,0,MIN(MAX(YEAR(V$41)-YEAR($K97)+$J97+1,1),14)))),0)</f>
        <v>0</v>
      </c>
      <c r="W97" s="68" cm="1">
        <f t="array" ref="W97">IFERROR(IF(W$41&lt;$K97,0,$F97*_xlfn.XLOOKUP($D97,'Capital Call&amp;Distributions data'!$A:$A,INDEX('Capital Call&amp;Distributions data'!$C:$O,0,MIN(MAX(YEAR(W$41)-YEAR($K97)+$J97+1,1),14)))),0)</f>
        <v>0</v>
      </c>
      <c r="X97" s="68" cm="1">
        <f t="array" ref="X97">IFERROR(IF(X$41&lt;$K97,0,$F97*_xlfn.XLOOKUP($D97,'Capital Call&amp;Distributions data'!$A:$A,INDEX('Capital Call&amp;Distributions data'!$C:$O,0,MIN(MAX(YEAR(X$41)-YEAR($K97)+$J97+1,1),14)))),0)</f>
        <v>0</v>
      </c>
      <c r="Y97" s="68" cm="1">
        <f t="array" ref="Y97">IFERROR(IF(Y$41&lt;$K97,0,$F97*_xlfn.XLOOKUP($D97,'Capital Call&amp;Distributions data'!$A:$A,INDEX('Capital Call&amp;Distributions data'!$C:$O,0,MIN(MAX(YEAR(Y$41)-YEAR($K97)+$J97+1,1),14)))),0)</f>
        <v>0</v>
      </c>
      <c r="Z97" s="68" cm="1">
        <f t="array" ref="Z97">IFERROR(IF(Z$41&lt;$K97,0,$F97*_xlfn.XLOOKUP($D97,'Capital Call&amp;Distributions data'!$A:$A,INDEX('Capital Call&amp;Distributions data'!$C:$O,0,MIN(MAX(YEAR(Z$41)-YEAR($K97)+$J97+1,1),14)))),0)</f>
        <v>0</v>
      </c>
      <c r="AA97" s="68" cm="1">
        <f t="array" ref="AA97">IFERROR(IF(AA$41&lt;$K97,0,$F97*_xlfn.XLOOKUP($D97,'Capital Call&amp;Distributions data'!$A:$A,INDEX('Capital Call&amp;Distributions data'!$C:$O,0,MIN(MAX(YEAR(AA$41)-YEAR($K97)+$J97+1,1),14)))),0)</f>
        <v>0</v>
      </c>
      <c r="AB97" s="68" cm="1">
        <f t="array" ref="AB97">IFERROR(IF(AB$41&lt;$K97,0,$F97*_xlfn.XLOOKUP($D97,'Capital Call&amp;Distributions data'!$A:$A,INDEX('Capital Call&amp;Distributions data'!$C:$O,0,MIN(MAX(YEAR(AB$41)-YEAR($K97)+$J97+1,1),14)))),0)</f>
        <v>0</v>
      </c>
      <c r="AC97" s="68" cm="1">
        <f t="array" ref="AC97">IFERROR(IF(AC$41&lt;$K97,0,$F97*_xlfn.XLOOKUP($D97,'Capital Call&amp;Distributions data'!$A:$A,INDEX('Capital Call&amp;Distributions data'!$C:$O,0,MIN(MAX(YEAR(AC$41)-YEAR($K97)+$J97+1,1),14)))),0)</f>
        <v>0</v>
      </c>
      <c r="AD97" s="68" cm="1">
        <f t="array" ref="AD97">IFERROR(IF(AD$41&lt;$K97,0,$F97*_xlfn.XLOOKUP($D97,'Capital Call&amp;Distributions data'!$A:$A,INDEX('Capital Call&amp;Distributions data'!$C:$O,0,MIN(MAX(YEAR(AD$41)-YEAR($K97)+$J97+1,1),14)))),0)</f>
        <v>0</v>
      </c>
      <c r="AE97" s="68" cm="1">
        <f t="array" ref="AE97">IFERROR(IF(AE$41&lt;$K97,0,$F97*_xlfn.XLOOKUP($D97,'Capital Call&amp;Distributions data'!$A:$A,INDEX('Capital Call&amp;Distributions data'!$C:$O,0,MIN(MAX(YEAR(AE$41)-YEAR($K97)+$J97+1,1),14)))),0)</f>
        <v>0</v>
      </c>
      <c r="AF97" s="68" cm="1">
        <f t="array" ref="AF97">IFERROR(IF(AF$41&lt;$K97,0,$F97*_xlfn.XLOOKUP($D97,'Capital Call&amp;Distributions data'!$A:$A,INDEX('Capital Call&amp;Distributions data'!$C:$O,0,MIN(MAX(YEAR(AF$41)-YEAR($K97)+$J97+1,1),14)))),0)</f>
        <v>0</v>
      </c>
      <c r="AG97" s="68" cm="1">
        <f t="array" ref="AG97">IFERROR(IF(AG$41&lt;$K97,0,$F97*_xlfn.XLOOKUP($D97,'Capital Call&amp;Distributions data'!$A:$A,INDEX('Capital Call&amp;Distributions data'!$C:$O,0,MIN(MAX(YEAR(AG$41)-YEAR($K97)+$J97+1,1),14)))),0)</f>
        <v>0</v>
      </c>
      <c r="AH97" s="68" cm="1">
        <f t="array" ref="AH97">IFERROR(IF(AH$41&lt;$K97,0,$F97*_xlfn.XLOOKUP($D97,'Capital Call&amp;Distributions data'!$A:$A,INDEX('Capital Call&amp;Distributions data'!$C:$O,0,MIN(MAX(YEAR(AH$41)-YEAR($K97)+$J97+1,1),14)))),0)</f>
        <v>0</v>
      </c>
      <c r="AI97" s="68" cm="1">
        <f t="array" ref="AI97">IFERROR(IF(AI$41&lt;$K97,0,$F97*_xlfn.XLOOKUP($D97,'Capital Call&amp;Distributions data'!$A:$A,INDEX('Capital Call&amp;Distributions data'!$C:$O,0,MIN(MAX(YEAR(AI$41)-YEAR($K97)+$J97+1,1),14)))),0)</f>
        <v>0</v>
      </c>
      <c r="AJ97" s="68" cm="1">
        <f t="array" ref="AJ97">IFERROR(IF(AJ$41&lt;$K97,0,$F97*_xlfn.XLOOKUP($D97,'Capital Call&amp;Distributions data'!$A:$A,INDEX('Capital Call&amp;Distributions data'!$C:$O,0,MIN(MAX(YEAR(AJ$41)-YEAR($K97)+$J97+1,1),14)))),0)</f>
        <v>0</v>
      </c>
      <c r="AK97" s="68" cm="1">
        <f t="array" ref="AK97">IFERROR(IF(AK$41&lt;$K97,0,$F97*_xlfn.XLOOKUP($D97,'Capital Call&amp;Distributions data'!$A:$A,INDEX('Capital Call&amp;Distributions data'!$C:$O,0,MIN(MAX(YEAR(AK$41)-YEAR($K97)+$J97+1,1),14)))),0)</f>
        <v>0</v>
      </c>
      <c r="AL97" s="68" cm="1">
        <f t="array" ref="AL97">IFERROR(IF(AL$41&lt;$K97,0,$F97*_xlfn.XLOOKUP($D97,'Capital Call&amp;Distributions data'!$A:$A,INDEX('Capital Call&amp;Distributions data'!$C:$O,0,MIN(MAX(YEAR(AL$41)-YEAR($K97)+$J97+1,1),14)))),0)</f>
        <v>0</v>
      </c>
      <c r="AM97" s="68" cm="1">
        <f t="array" ref="AM97">IFERROR(IF(AM$41&lt;$K97,0,$F97*_xlfn.XLOOKUP($D97,'Capital Call&amp;Distributions data'!$A:$A,INDEX('Capital Call&amp;Distributions data'!$C:$O,0,MIN(MAX(YEAR(AM$41)-YEAR($K97)+$J97+1,1),14)))),0)</f>
        <v>0</v>
      </c>
      <c r="AN97" s="68" cm="1">
        <f t="array" ref="AN97">IFERROR(IF(AN$41&lt;$K97,0,$F97*_xlfn.XLOOKUP($D97,'Capital Call&amp;Distributions data'!$A:$A,INDEX('Capital Call&amp;Distributions data'!$C:$O,0,MIN(MAX(YEAR(AN$41)-YEAR($K97)+$J97+1,1),14)))),0)</f>
        <v>0</v>
      </c>
      <c r="AO97" s="68" cm="1">
        <f t="array" ref="AO97">IFERROR(IF(AO$41&lt;$K97,0,$F97*_xlfn.XLOOKUP($D97,'Capital Call&amp;Distributions data'!$A:$A,INDEX('Capital Call&amp;Distributions data'!$C:$O,0,MIN(MAX(YEAR(AO$41)-YEAR($K97)+$J97+1,1),14)))),0)</f>
        <v>0</v>
      </c>
      <c r="AP97" s="68" cm="1">
        <f t="array" ref="AP97">IFERROR(IF(AP$41&lt;$K97,0,$F97*_xlfn.XLOOKUP($D97,'Capital Call&amp;Distributions data'!$A:$A,INDEX('Capital Call&amp;Distributions data'!$C:$O,0,MIN(MAX(YEAR(AP$41)-YEAR($K97)+$J97+1,1),14)))),0)</f>
        <v>0</v>
      </c>
      <c r="AQ97" s="68" cm="1">
        <f t="array" ref="AQ97">IFERROR(IF(AQ$41&lt;$K97,0,$F97*_xlfn.XLOOKUP($D97,'Capital Call&amp;Distributions data'!$A:$A,INDEX('Capital Call&amp;Distributions data'!$C:$O,0,MIN(MAX(YEAR(AQ$41)-YEAR($K97)+$J97+1,1),14)))),0)</f>
        <v>0</v>
      </c>
      <c r="AR97" s="68" cm="1">
        <f t="array" ref="AR97">IFERROR(IF(AR$41&lt;$K97,0,$F97*_xlfn.XLOOKUP($D97,'Capital Call&amp;Distributions data'!$A:$A,INDEX('Capital Call&amp;Distributions data'!$C:$O,0,MIN(MAX(YEAR(AR$41)-YEAR($K97)+$J97+1,1),14)))),0)</f>
        <v>0</v>
      </c>
      <c r="AS97" s="68" cm="1">
        <f t="array" ref="AS97">IFERROR(IF(AS$41&lt;$K97,0,$F97*_xlfn.XLOOKUP($D97,'Capital Call&amp;Distributions data'!$A:$A,INDEX('Capital Call&amp;Distributions data'!$C:$O,0,MIN(MAX(YEAR(AS$41)-YEAR($K97)+$J97+1,1),14)))),0)</f>
        <v>0</v>
      </c>
      <c r="AT97" s="68" cm="1">
        <f t="array" ref="AT97">IFERROR(IF(AT$41&lt;$K97,0,$F97*_xlfn.XLOOKUP($D97,'Capital Call&amp;Distributions data'!$A:$A,INDEX('Capital Call&amp;Distributions data'!$C:$O,0,MIN(MAX(YEAR(AT$41)-YEAR($K97)+$J97+1,1),14)))),0)</f>
        <v>0</v>
      </c>
      <c r="AU97" s="68" cm="1">
        <f t="array" ref="AU97">IFERROR(IF(AU$41&lt;$K97,0,$F97*_xlfn.XLOOKUP($D97,'Capital Call&amp;Distributions data'!$A:$A,INDEX('Capital Call&amp;Distributions data'!$C:$O,0,MIN(MAX(YEAR(AU$41)-YEAR($K97)+$J97+1,1),14)))),0)</f>
        <v>0</v>
      </c>
      <c r="AW97" s="1"/>
      <c r="DJ97" s="11"/>
    </row>
    <row r="98" spans="2:114" ht="29.25" hidden="1" customHeight="1" outlineLevel="1">
      <c r="C98" s="20"/>
      <c r="D98" s="21">
        <f>_xlfn.XLOOKUP(C98,Fondsen!B:B,Fondsen!C:C,"0",0,1)</f>
        <v>0</v>
      </c>
      <c r="E98" s="21" t="s">
        <v>10</v>
      </c>
      <c r="F98" s="83"/>
      <c r="G98" s="143" t="str">
        <f ca="1">IFERROR(IF(SUM(OFFSET(INDEX('Capital Call&amp;Distributions data'!A:A,MATCH(D98,'Capital Call&amp;Distributions data'!A:A,0)),-1,2,1,1000))=0,"✔",""),"")</f>
        <v/>
      </c>
      <c r="H98" s="138" t="str">
        <f t="shared" si="4"/>
        <v/>
      </c>
      <c r="I98" s="96">
        <v>45658</v>
      </c>
      <c r="J98" s="70">
        <f t="shared" si="3"/>
        <v>0</v>
      </c>
      <c r="K98" s="96">
        <v>45658</v>
      </c>
      <c r="L98" s="68" cm="1">
        <f t="array" ref="L98">IFERROR(IF(L$41&lt;$K98,0,$F98*_xlfn.XLOOKUP($D98,'Capital Call&amp;Distributions data'!$A:$A,INDEX('Capital Call&amp;Distributions data'!$C:$O,0,MIN(MAX(YEAR(L$41)-YEAR($K98)+$J98+1,1),14)))),0)</f>
        <v>0</v>
      </c>
      <c r="M98" s="68" cm="1">
        <f t="array" ref="M98">IFERROR(IF(M$41&lt;$K98,0,$F98*_xlfn.XLOOKUP($D98,'Capital Call&amp;Distributions data'!$A:$A,INDEX('Capital Call&amp;Distributions data'!$C:$O,0,MIN(MAX(YEAR(M$41)-YEAR($K98)+$J98+1,1),14)))),0)</f>
        <v>0</v>
      </c>
      <c r="N98" s="68" cm="1">
        <f t="array" ref="N98">IFERROR(IF(N$41&lt;$K98,0,$F98*_xlfn.XLOOKUP($D98,'Capital Call&amp;Distributions data'!$A:$A,INDEX('Capital Call&amp;Distributions data'!$C:$O,0,MIN(MAX(YEAR(N$41)-YEAR($K98)+$J98+1,1),14)))),0)</f>
        <v>0</v>
      </c>
      <c r="O98" s="68" cm="1">
        <f t="array" ref="O98">IFERROR(IF(O$41&lt;$K98,0,$F98*_xlfn.XLOOKUP($D98,'Capital Call&amp;Distributions data'!$A:$A,INDEX('Capital Call&amp;Distributions data'!$C:$O,0,MIN(MAX(YEAR(O$41)-YEAR($K98)+$J98+1,1),14)))),0)</f>
        <v>0</v>
      </c>
      <c r="P98" s="68" cm="1">
        <f t="array" ref="P98">IFERROR(IF(P$41&lt;$K98,0,$F98*_xlfn.XLOOKUP($D98,'Capital Call&amp;Distributions data'!$A:$A,INDEX('Capital Call&amp;Distributions data'!$C:$O,0,MIN(MAX(YEAR(P$41)-YEAR($K98)+$J98+1,1),14)))),0)</f>
        <v>0</v>
      </c>
      <c r="Q98" s="68" cm="1">
        <f t="array" ref="Q98">IFERROR(IF(Q$41&lt;$K98,0,$F98*_xlfn.XLOOKUP($D98,'Capital Call&amp;Distributions data'!$A:$A,INDEX('Capital Call&amp;Distributions data'!$C:$O,0,MIN(MAX(YEAR(Q$41)-YEAR($K98)+$J98+1,1),14)))),0)</f>
        <v>0</v>
      </c>
      <c r="R98" s="68" cm="1">
        <f t="array" ref="R98">IFERROR(IF(R$41&lt;$K98,0,$F98*_xlfn.XLOOKUP($D98,'Capital Call&amp;Distributions data'!$A:$A,INDEX('Capital Call&amp;Distributions data'!$C:$O,0,MIN(MAX(YEAR(R$41)-YEAR($K98)+$J98+1,1),14)))),0)</f>
        <v>0</v>
      </c>
      <c r="S98" s="68" cm="1">
        <f t="array" ref="S98">IFERROR(IF(S$41&lt;$K98,0,$F98*_xlfn.XLOOKUP($D98,'Capital Call&amp;Distributions data'!$A:$A,INDEX('Capital Call&amp;Distributions data'!$C:$O,0,MIN(MAX(YEAR(S$41)-YEAR($K98)+$J98+1,1),14)))),0)</f>
        <v>0</v>
      </c>
      <c r="T98" s="68" cm="1">
        <f t="array" ref="T98">IFERROR(IF(T$41&lt;$K98,0,$F98*_xlfn.XLOOKUP($D98,'Capital Call&amp;Distributions data'!$A:$A,INDEX('Capital Call&amp;Distributions data'!$C:$O,0,MIN(MAX(YEAR(T$41)-YEAR($K98)+$J98+1,1),14)))),0)</f>
        <v>0</v>
      </c>
      <c r="U98" s="68" cm="1">
        <f t="array" ref="U98">IFERROR(IF(U$41&lt;$K98,0,$F98*_xlfn.XLOOKUP($D98,'Capital Call&amp;Distributions data'!$A:$A,INDEX('Capital Call&amp;Distributions data'!$C:$O,0,MIN(MAX(YEAR(U$41)-YEAR($K98)+$J98+1,1),14)))),0)</f>
        <v>0</v>
      </c>
      <c r="V98" s="68" cm="1">
        <f t="array" ref="V98">IFERROR(IF(V$41&lt;$K98,0,$F98*_xlfn.XLOOKUP($D98,'Capital Call&amp;Distributions data'!$A:$A,INDEX('Capital Call&amp;Distributions data'!$C:$O,0,MIN(MAX(YEAR(V$41)-YEAR($K98)+$J98+1,1),14)))),0)</f>
        <v>0</v>
      </c>
      <c r="W98" s="68" cm="1">
        <f t="array" ref="W98">IFERROR(IF(W$41&lt;$K98,0,$F98*_xlfn.XLOOKUP($D98,'Capital Call&amp;Distributions data'!$A:$A,INDEX('Capital Call&amp;Distributions data'!$C:$O,0,MIN(MAX(YEAR(W$41)-YEAR($K98)+$J98+1,1),14)))),0)</f>
        <v>0</v>
      </c>
      <c r="X98" s="68" cm="1">
        <f t="array" ref="X98">IFERROR(IF(X$41&lt;$K98,0,$F98*_xlfn.XLOOKUP($D98,'Capital Call&amp;Distributions data'!$A:$A,INDEX('Capital Call&amp;Distributions data'!$C:$O,0,MIN(MAX(YEAR(X$41)-YEAR($K98)+$J98+1,1),14)))),0)</f>
        <v>0</v>
      </c>
      <c r="Y98" s="68" cm="1">
        <f t="array" ref="Y98">IFERROR(IF(Y$41&lt;$K98,0,$F98*_xlfn.XLOOKUP($D98,'Capital Call&amp;Distributions data'!$A:$A,INDEX('Capital Call&amp;Distributions data'!$C:$O,0,MIN(MAX(YEAR(Y$41)-YEAR($K98)+$J98+1,1),14)))),0)</f>
        <v>0</v>
      </c>
      <c r="Z98" s="68" cm="1">
        <f t="array" ref="Z98">IFERROR(IF(Z$41&lt;$K98,0,$F98*_xlfn.XLOOKUP($D98,'Capital Call&amp;Distributions data'!$A:$A,INDEX('Capital Call&amp;Distributions data'!$C:$O,0,MIN(MAX(YEAR(Z$41)-YEAR($K98)+$J98+1,1),14)))),0)</f>
        <v>0</v>
      </c>
      <c r="AA98" s="68" cm="1">
        <f t="array" ref="AA98">IFERROR(IF(AA$41&lt;$K98,0,$F98*_xlfn.XLOOKUP($D98,'Capital Call&amp;Distributions data'!$A:$A,INDEX('Capital Call&amp;Distributions data'!$C:$O,0,MIN(MAX(YEAR(AA$41)-YEAR($K98)+$J98+1,1),14)))),0)</f>
        <v>0</v>
      </c>
      <c r="AB98" s="68" cm="1">
        <f t="array" ref="AB98">IFERROR(IF(AB$41&lt;$K98,0,$F98*_xlfn.XLOOKUP($D98,'Capital Call&amp;Distributions data'!$A:$A,INDEX('Capital Call&amp;Distributions data'!$C:$O,0,MIN(MAX(YEAR(AB$41)-YEAR($K98)+$J98+1,1),14)))),0)</f>
        <v>0</v>
      </c>
      <c r="AC98" s="68" cm="1">
        <f t="array" ref="AC98">IFERROR(IF(AC$41&lt;$K98,0,$F98*_xlfn.XLOOKUP($D98,'Capital Call&amp;Distributions data'!$A:$A,INDEX('Capital Call&amp;Distributions data'!$C:$O,0,MIN(MAX(YEAR(AC$41)-YEAR($K98)+$J98+1,1),14)))),0)</f>
        <v>0</v>
      </c>
      <c r="AD98" s="68" cm="1">
        <f t="array" ref="AD98">IFERROR(IF(AD$41&lt;$K98,0,$F98*_xlfn.XLOOKUP($D98,'Capital Call&amp;Distributions data'!$A:$A,INDEX('Capital Call&amp;Distributions data'!$C:$O,0,MIN(MAX(YEAR(AD$41)-YEAR($K98)+$J98+1,1),14)))),0)</f>
        <v>0</v>
      </c>
      <c r="AE98" s="68" cm="1">
        <f t="array" ref="AE98">IFERROR(IF(AE$41&lt;$K98,0,$F98*_xlfn.XLOOKUP($D98,'Capital Call&amp;Distributions data'!$A:$A,INDEX('Capital Call&amp;Distributions data'!$C:$O,0,MIN(MAX(YEAR(AE$41)-YEAR($K98)+$J98+1,1),14)))),0)</f>
        <v>0</v>
      </c>
      <c r="AF98" s="68" cm="1">
        <f t="array" ref="AF98">IFERROR(IF(AF$41&lt;$K98,0,$F98*_xlfn.XLOOKUP($D98,'Capital Call&amp;Distributions data'!$A:$A,INDEX('Capital Call&amp;Distributions data'!$C:$O,0,MIN(MAX(YEAR(AF$41)-YEAR($K98)+$J98+1,1),14)))),0)</f>
        <v>0</v>
      </c>
      <c r="AG98" s="68" cm="1">
        <f t="array" ref="AG98">IFERROR(IF(AG$41&lt;$K98,0,$F98*_xlfn.XLOOKUP($D98,'Capital Call&amp;Distributions data'!$A:$A,INDEX('Capital Call&amp;Distributions data'!$C:$O,0,MIN(MAX(YEAR(AG$41)-YEAR($K98)+$J98+1,1),14)))),0)</f>
        <v>0</v>
      </c>
      <c r="AH98" s="68" cm="1">
        <f t="array" ref="AH98">IFERROR(IF(AH$41&lt;$K98,0,$F98*_xlfn.XLOOKUP($D98,'Capital Call&amp;Distributions data'!$A:$A,INDEX('Capital Call&amp;Distributions data'!$C:$O,0,MIN(MAX(YEAR(AH$41)-YEAR($K98)+$J98+1,1),14)))),0)</f>
        <v>0</v>
      </c>
      <c r="AI98" s="68" cm="1">
        <f t="array" ref="AI98">IFERROR(IF(AI$41&lt;$K98,0,$F98*_xlfn.XLOOKUP($D98,'Capital Call&amp;Distributions data'!$A:$A,INDEX('Capital Call&amp;Distributions data'!$C:$O,0,MIN(MAX(YEAR(AI$41)-YEAR($K98)+$J98+1,1),14)))),0)</f>
        <v>0</v>
      </c>
      <c r="AJ98" s="68" cm="1">
        <f t="array" ref="AJ98">IFERROR(IF(AJ$41&lt;$K98,0,$F98*_xlfn.XLOOKUP($D98,'Capital Call&amp;Distributions data'!$A:$A,INDEX('Capital Call&amp;Distributions data'!$C:$O,0,MIN(MAX(YEAR(AJ$41)-YEAR($K98)+$J98+1,1),14)))),0)</f>
        <v>0</v>
      </c>
      <c r="AK98" s="68" cm="1">
        <f t="array" ref="AK98">IFERROR(IF(AK$41&lt;$K98,0,$F98*_xlfn.XLOOKUP($D98,'Capital Call&amp;Distributions data'!$A:$A,INDEX('Capital Call&amp;Distributions data'!$C:$O,0,MIN(MAX(YEAR(AK$41)-YEAR($K98)+$J98+1,1),14)))),0)</f>
        <v>0</v>
      </c>
      <c r="AL98" s="68" cm="1">
        <f t="array" ref="AL98">IFERROR(IF(AL$41&lt;$K98,0,$F98*_xlfn.XLOOKUP($D98,'Capital Call&amp;Distributions data'!$A:$A,INDEX('Capital Call&amp;Distributions data'!$C:$O,0,MIN(MAX(YEAR(AL$41)-YEAR($K98)+$J98+1,1),14)))),0)</f>
        <v>0</v>
      </c>
      <c r="AM98" s="68" cm="1">
        <f t="array" ref="AM98">IFERROR(IF(AM$41&lt;$K98,0,$F98*_xlfn.XLOOKUP($D98,'Capital Call&amp;Distributions data'!$A:$A,INDEX('Capital Call&amp;Distributions data'!$C:$O,0,MIN(MAX(YEAR(AM$41)-YEAR($K98)+$J98+1,1),14)))),0)</f>
        <v>0</v>
      </c>
      <c r="AN98" s="68" cm="1">
        <f t="array" ref="AN98">IFERROR(IF(AN$41&lt;$K98,0,$F98*_xlfn.XLOOKUP($D98,'Capital Call&amp;Distributions data'!$A:$A,INDEX('Capital Call&amp;Distributions data'!$C:$O,0,MIN(MAX(YEAR(AN$41)-YEAR($K98)+$J98+1,1),14)))),0)</f>
        <v>0</v>
      </c>
      <c r="AO98" s="68" cm="1">
        <f t="array" ref="AO98">IFERROR(IF(AO$41&lt;$K98,0,$F98*_xlfn.XLOOKUP($D98,'Capital Call&amp;Distributions data'!$A:$A,INDEX('Capital Call&amp;Distributions data'!$C:$O,0,MIN(MAX(YEAR(AO$41)-YEAR($K98)+$J98+1,1),14)))),0)</f>
        <v>0</v>
      </c>
      <c r="AP98" s="68" cm="1">
        <f t="array" ref="AP98">IFERROR(IF(AP$41&lt;$K98,0,$F98*_xlfn.XLOOKUP($D98,'Capital Call&amp;Distributions data'!$A:$A,INDEX('Capital Call&amp;Distributions data'!$C:$O,0,MIN(MAX(YEAR(AP$41)-YEAR($K98)+$J98+1,1),14)))),0)</f>
        <v>0</v>
      </c>
      <c r="AQ98" s="68" cm="1">
        <f t="array" ref="AQ98">IFERROR(IF(AQ$41&lt;$K98,0,$F98*_xlfn.XLOOKUP($D98,'Capital Call&amp;Distributions data'!$A:$A,INDEX('Capital Call&amp;Distributions data'!$C:$O,0,MIN(MAX(YEAR(AQ$41)-YEAR($K98)+$J98+1,1),14)))),0)</f>
        <v>0</v>
      </c>
      <c r="AR98" s="68" cm="1">
        <f t="array" ref="AR98">IFERROR(IF(AR$41&lt;$K98,0,$F98*_xlfn.XLOOKUP($D98,'Capital Call&amp;Distributions data'!$A:$A,INDEX('Capital Call&amp;Distributions data'!$C:$O,0,MIN(MAX(YEAR(AR$41)-YEAR($K98)+$J98+1,1),14)))),0)</f>
        <v>0</v>
      </c>
      <c r="AS98" s="68" cm="1">
        <f t="array" ref="AS98">IFERROR(IF(AS$41&lt;$K98,0,$F98*_xlfn.XLOOKUP($D98,'Capital Call&amp;Distributions data'!$A:$A,INDEX('Capital Call&amp;Distributions data'!$C:$O,0,MIN(MAX(YEAR(AS$41)-YEAR($K98)+$J98+1,1),14)))),0)</f>
        <v>0</v>
      </c>
      <c r="AT98" s="68" cm="1">
        <f t="array" ref="AT98">IFERROR(IF(AT$41&lt;$K98,0,$F98*_xlfn.XLOOKUP($D98,'Capital Call&amp;Distributions data'!$A:$A,INDEX('Capital Call&amp;Distributions data'!$C:$O,0,MIN(MAX(YEAR(AT$41)-YEAR($K98)+$J98+1,1),14)))),0)</f>
        <v>0</v>
      </c>
      <c r="AU98" s="68" cm="1">
        <f t="array" ref="AU98">IFERROR(IF(AU$41&lt;$K98,0,$F98*_xlfn.XLOOKUP($D98,'Capital Call&amp;Distributions data'!$A:$A,INDEX('Capital Call&amp;Distributions data'!$C:$O,0,MIN(MAX(YEAR(AU$41)-YEAR($K98)+$J98+1,1),14)))),0)</f>
        <v>0</v>
      </c>
      <c r="AW98" s="1"/>
      <c r="DJ98" s="11"/>
    </row>
    <row r="99" spans="2:114" ht="29.25" hidden="1" customHeight="1" outlineLevel="1">
      <c r="C99" s="20"/>
      <c r="D99" s="21">
        <f>_xlfn.XLOOKUP(C99,Fondsen!B:B,Fondsen!C:C,"0",0,1)</f>
        <v>0</v>
      </c>
      <c r="E99" s="21" t="s">
        <v>10</v>
      </c>
      <c r="F99" s="83"/>
      <c r="G99" s="143" t="str">
        <f ca="1">IFERROR(IF(SUM(OFFSET(INDEX('Capital Call&amp;Distributions data'!A:A,MATCH(D99,'Capital Call&amp;Distributions data'!A:A,0)),-1,2,1,1000))=0,"✔",""),"")</f>
        <v/>
      </c>
      <c r="H99" s="138" t="str">
        <f t="shared" si="4"/>
        <v/>
      </c>
      <c r="I99" s="96">
        <v>45292</v>
      </c>
      <c r="J99" s="70">
        <f t="shared" si="3"/>
        <v>0</v>
      </c>
      <c r="K99" s="96">
        <v>45292</v>
      </c>
      <c r="L99" s="68" cm="1">
        <f t="array" ref="L99">IFERROR(IF(L$41&lt;$K99,0,$F99*_xlfn.XLOOKUP($D99,'Capital Call&amp;Distributions data'!$A:$A,INDEX('Capital Call&amp;Distributions data'!$C:$O,0,MIN(MAX(YEAR(L$41)-YEAR($K99)+$J99+1,1),14)))),0)</f>
        <v>0</v>
      </c>
      <c r="M99" s="68" cm="1">
        <f t="array" ref="M99">IFERROR(IF(M$41&lt;$K99,0,$F99*_xlfn.XLOOKUP($D99,'Capital Call&amp;Distributions data'!$A:$A,INDEX('Capital Call&amp;Distributions data'!$C:$O,0,MIN(MAX(YEAR(M$41)-YEAR($K99)+$J99+1,1),14)))),0)</f>
        <v>0</v>
      </c>
      <c r="N99" s="68" cm="1">
        <f t="array" ref="N99">IFERROR(IF(N$41&lt;$K99,0,$F99*_xlfn.XLOOKUP($D99,'Capital Call&amp;Distributions data'!$A:$A,INDEX('Capital Call&amp;Distributions data'!$C:$O,0,MIN(MAX(YEAR(N$41)-YEAR($K99)+$J99+1,1),14)))),0)</f>
        <v>0</v>
      </c>
      <c r="O99" s="68" cm="1">
        <f t="array" ref="O99">IFERROR(IF(O$41&lt;$K99,0,$F99*_xlfn.XLOOKUP($D99,'Capital Call&amp;Distributions data'!$A:$A,INDEX('Capital Call&amp;Distributions data'!$C:$O,0,MIN(MAX(YEAR(O$41)-YEAR($K99)+$J99+1,1),14)))),0)</f>
        <v>0</v>
      </c>
      <c r="P99" s="68" cm="1">
        <f t="array" ref="P99">IFERROR(IF(P$41&lt;$K99,0,$F99*_xlfn.XLOOKUP($D99,'Capital Call&amp;Distributions data'!$A:$A,INDEX('Capital Call&amp;Distributions data'!$C:$O,0,MIN(MAX(YEAR(P$41)-YEAR($K99)+$J99+1,1),14)))),0)</f>
        <v>0</v>
      </c>
      <c r="Q99" s="68" cm="1">
        <f t="array" ref="Q99">IFERROR(IF(Q$41&lt;$K99,0,$F99*_xlfn.XLOOKUP($D99,'Capital Call&amp;Distributions data'!$A:$A,INDEX('Capital Call&amp;Distributions data'!$C:$O,0,MIN(MAX(YEAR(Q$41)-YEAR($K99)+$J99+1,1),14)))),0)</f>
        <v>0</v>
      </c>
      <c r="R99" s="68" cm="1">
        <f t="array" ref="R99">IFERROR(IF(R$41&lt;$K99,0,$F99*_xlfn.XLOOKUP($D99,'Capital Call&amp;Distributions data'!$A:$A,INDEX('Capital Call&amp;Distributions data'!$C:$O,0,MIN(MAX(YEAR(R$41)-YEAR($K99)+$J99+1,1),14)))),0)</f>
        <v>0</v>
      </c>
      <c r="S99" s="68" cm="1">
        <f t="array" ref="S99">IFERROR(IF(S$41&lt;$K99,0,$F99*_xlfn.XLOOKUP($D99,'Capital Call&amp;Distributions data'!$A:$A,INDEX('Capital Call&amp;Distributions data'!$C:$O,0,MIN(MAX(YEAR(S$41)-YEAR($K99)+$J99+1,1),14)))),0)</f>
        <v>0</v>
      </c>
      <c r="T99" s="68" cm="1">
        <f t="array" ref="T99">IFERROR(IF(T$41&lt;$K99,0,$F99*_xlfn.XLOOKUP($D99,'Capital Call&amp;Distributions data'!$A:$A,INDEX('Capital Call&amp;Distributions data'!$C:$O,0,MIN(MAX(YEAR(T$41)-YEAR($K99)+$J99+1,1),14)))),0)</f>
        <v>0</v>
      </c>
      <c r="U99" s="68" cm="1">
        <f t="array" ref="U99">IFERROR(IF(U$41&lt;$K99,0,$F99*_xlfn.XLOOKUP($D99,'Capital Call&amp;Distributions data'!$A:$A,INDEX('Capital Call&amp;Distributions data'!$C:$O,0,MIN(MAX(YEAR(U$41)-YEAR($K99)+$J99+1,1),14)))),0)</f>
        <v>0</v>
      </c>
      <c r="V99" s="68" cm="1">
        <f t="array" ref="V99">IFERROR(IF(V$41&lt;$K99,0,$F99*_xlfn.XLOOKUP($D99,'Capital Call&amp;Distributions data'!$A:$A,INDEX('Capital Call&amp;Distributions data'!$C:$O,0,MIN(MAX(YEAR(V$41)-YEAR($K99)+$J99+1,1),14)))),0)</f>
        <v>0</v>
      </c>
      <c r="W99" s="68" cm="1">
        <f t="array" ref="W99">IFERROR(IF(W$41&lt;$K99,0,$F99*_xlfn.XLOOKUP($D99,'Capital Call&amp;Distributions data'!$A:$A,INDEX('Capital Call&amp;Distributions data'!$C:$O,0,MIN(MAX(YEAR(W$41)-YEAR($K99)+$J99+1,1),14)))),0)</f>
        <v>0</v>
      </c>
      <c r="X99" s="68" cm="1">
        <f t="array" ref="X99">IFERROR(IF(X$41&lt;$K99,0,$F99*_xlfn.XLOOKUP($D99,'Capital Call&amp;Distributions data'!$A:$A,INDEX('Capital Call&amp;Distributions data'!$C:$O,0,MIN(MAX(YEAR(X$41)-YEAR($K99)+$J99+1,1),14)))),0)</f>
        <v>0</v>
      </c>
      <c r="Y99" s="68" cm="1">
        <f t="array" ref="Y99">IFERROR(IF(Y$41&lt;$K99,0,$F99*_xlfn.XLOOKUP($D99,'Capital Call&amp;Distributions data'!$A:$A,INDEX('Capital Call&amp;Distributions data'!$C:$O,0,MIN(MAX(YEAR(Y$41)-YEAR($K99)+$J99+1,1),14)))),0)</f>
        <v>0</v>
      </c>
      <c r="Z99" s="68" cm="1">
        <f t="array" ref="Z99">IFERROR(IF(Z$41&lt;$K99,0,$F99*_xlfn.XLOOKUP($D99,'Capital Call&amp;Distributions data'!$A:$A,INDEX('Capital Call&amp;Distributions data'!$C:$O,0,MIN(MAX(YEAR(Z$41)-YEAR($K99)+$J99+1,1),14)))),0)</f>
        <v>0</v>
      </c>
      <c r="AA99" s="68" cm="1">
        <f t="array" ref="AA99">IFERROR(IF(AA$41&lt;$K99,0,$F99*_xlfn.XLOOKUP($D99,'Capital Call&amp;Distributions data'!$A:$A,INDEX('Capital Call&amp;Distributions data'!$C:$O,0,MIN(MAX(YEAR(AA$41)-YEAR($K99)+$J99+1,1),14)))),0)</f>
        <v>0</v>
      </c>
      <c r="AB99" s="68" cm="1">
        <f t="array" ref="AB99">IFERROR(IF(AB$41&lt;$K99,0,$F99*_xlfn.XLOOKUP($D99,'Capital Call&amp;Distributions data'!$A:$A,INDEX('Capital Call&amp;Distributions data'!$C:$O,0,MIN(MAX(YEAR(AB$41)-YEAR($K99)+$J99+1,1),14)))),0)</f>
        <v>0</v>
      </c>
      <c r="AC99" s="68" cm="1">
        <f t="array" ref="AC99">IFERROR(IF(AC$41&lt;$K99,0,$F99*_xlfn.XLOOKUP($D99,'Capital Call&amp;Distributions data'!$A:$A,INDEX('Capital Call&amp;Distributions data'!$C:$O,0,MIN(MAX(YEAR(AC$41)-YEAR($K99)+$J99+1,1),14)))),0)</f>
        <v>0</v>
      </c>
      <c r="AD99" s="68" cm="1">
        <f t="array" ref="AD99">IFERROR(IF(AD$41&lt;$K99,0,$F99*_xlfn.XLOOKUP($D99,'Capital Call&amp;Distributions data'!$A:$A,INDEX('Capital Call&amp;Distributions data'!$C:$O,0,MIN(MAX(YEAR(AD$41)-YEAR($K99)+$J99+1,1),14)))),0)</f>
        <v>0</v>
      </c>
      <c r="AE99" s="68" cm="1">
        <f t="array" ref="AE99">IFERROR(IF(AE$41&lt;$K99,0,$F99*_xlfn.XLOOKUP($D99,'Capital Call&amp;Distributions data'!$A:$A,INDEX('Capital Call&amp;Distributions data'!$C:$O,0,MIN(MAX(YEAR(AE$41)-YEAR($K99)+$J99+1,1),14)))),0)</f>
        <v>0</v>
      </c>
      <c r="AF99" s="68" cm="1">
        <f t="array" ref="AF99">IFERROR(IF(AF$41&lt;$K99,0,$F99*_xlfn.XLOOKUP($D99,'Capital Call&amp;Distributions data'!$A:$A,INDEX('Capital Call&amp;Distributions data'!$C:$O,0,MIN(MAX(YEAR(AF$41)-YEAR($K99)+$J99+1,1),14)))),0)</f>
        <v>0</v>
      </c>
      <c r="AG99" s="68" cm="1">
        <f t="array" ref="AG99">IFERROR(IF(AG$41&lt;$K99,0,$F99*_xlfn.XLOOKUP($D99,'Capital Call&amp;Distributions data'!$A:$A,INDEX('Capital Call&amp;Distributions data'!$C:$O,0,MIN(MAX(YEAR(AG$41)-YEAR($K99)+$J99+1,1),14)))),0)</f>
        <v>0</v>
      </c>
      <c r="AH99" s="68" cm="1">
        <f t="array" ref="AH99">IFERROR(IF(AH$41&lt;$K99,0,$F99*_xlfn.XLOOKUP($D99,'Capital Call&amp;Distributions data'!$A:$A,INDEX('Capital Call&amp;Distributions data'!$C:$O,0,MIN(MAX(YEAR(AH$41)-YEAR($K99)+$J99+1,1),14)))),0)</f>
        <v>0</v>
      </c>
      <c r="AI99" s="68" cm="1">
        <f t="array" ref="AI99">IFERROR(IF(AI$41&lt;$K99,0,$F99*_xlfn.XLOOKUP($D99,'Capital Call&amp;Distributions data'!$A:$A,INDEX('Capital Call&amp;Distributions data'!$C:$O,0,MIN(MAX(YEAR(AI$41)-YEAR($K99)+$J99+1,1),14)))),0)</f>
        <v>0</v>
      </c>
      <c r="AJ99" s="68" cm="1">
        <f t="array" ref="AJ99">IFERROR(IF(AJ$41&lt;$K99,0,$F99*_xlfn.XLOOKUP($D99,'Capital Call&amp;Distributions data'!$A:$A,INDEX('Capital Call&amp;Distributions data'!$C:$O,0,MIN(MAX(YEAR(AJ$41)-YEAR($K99)+$J99+1,1),14)))),0)</f>
        <v>0</v>
      </c>
      <c r="AK99" s="68" cm="1">
        <f t="array" ref="AK99">IFERROR(IF(AK$41&lt;$K99,0,$F99*_xlfn.XLOOKUP($D99,'Capital Call&amp;Distributions data'!$A:$A,INDEX('Capital Call&amp;Distributions data'!$C:$O,0,MIN(MAX(YEAR(AK$41)-YEAR($K99)+$J99+1,1),14)))),0)</f>
        <v>0</v>
      </c>
      <c r="AL99" s="68" cm="1">
        <f t="array" ref="AL99">IFERROR(IF(AL$41&lt;$K99,0,$F99*_xlfn.XLOOKUP($D99,'Capital Call&amp;Distributions data'!$A:$A,INDEX('Capital Call&amp;Distributions data'!$C:$O,0,MIN(MAX(YEAR(AL$41)-YEAR($K99)+$J99+1,1),14)))),0)</f>
        <v>0</v>
      </c>
      <c r="AM99" s="68" cm="1">
        <f t="array" ref="AM99">IFERROR(IF(AM$41&lt;$K99,0,$F99*_xlfn.XLOOKUP($D99,'Capital Call&amp;Distributions data'!$A:$A,INDEX('Capital Call&amp;Distributions data'!$C:$O,0,MIN(MAX(YEAR(AM$41)-YEAR($K99)+$J99+1,1),14)))),0)</f>
        <v>0</v>
      </c>
      <c r="AN99" s="68" cm="1">
        <f t="array" ref="AN99">IFERROR(IF(AN$41&lt;$K99,0,$F99*_xlfn.XLOOKUP($D99,'Capital Call&amp;Distributions data'!$A:$A,INDEX('Capital Call&amp;Distributions data'!$C:$O,0,MIN(MAX(YEAR(AN$41)-YEAR($K99)+$J99+1,1),14)))),0)</f>
        <v>0</v>
      </c>
      <c r="AO99" s="68" cm="1">
        <f t="array" ref="AO99">IFERROR(IF(AO$41&lt;$K99,0,$F99*_xlfn.XLOOKUP($D99,'Capital Call&amp;Distributions data'!$A:$A,INDEX('Capital Call&amp;Distributions data'!$C:$O,0,MIN(MAX(YEAR(AO$41)-YEAR($K99)+$J99+1,1),14)))),0)</f>
        <v>0</v>
      </c>
      <c r="AP99" s="68" cm="1">
        <f t="array" ref="AP99">IFERROR(IF(AP$41&lt;$K99,0,$F99*_xlfn.XLOOKUP($D99,'Capital Call&amp;Distributions data'!$A:$A,INDEX('Capital Call&amp;Distributions data'!$C:$O,0,MIN(MAX(YEAR(AP$41)-YEAR($K99)+$J99+1,1),14)))),0)</f>
        <v>0</v>
      </c>
      <c r="AQ99" s="68" cm="1">
        <f t="array" ref="AQ99">IFERROR(IF(AQ$41&lt;$K99,0,$F99*_xlfn.XLOOKUP($D99,'Capital Call&amp;Distributions data'!$A:$A,INDEX('Capital Call&amp;Distributions data'!$C:$O,0,MIN(MAX(YEAR(AQ$41)-YEAR($K99)+$J99+1,1),14)))),0)</f>
        <v>0</v>
      </c>
      <c r="AR99" s="68" cm="1">
        <f t="array" ref="AR99">IFERROR(IF(AR$41&lt;$K99,0,$F99*_xlfn.XLOOKUP($D99,'Capital Call&amp;Distributions data'!$A:$A,INDEX('Capital Call&amp;Distributions data'!$C:$O,0,MIN(MAX(YEAR(AR$41)-YEAR($K99)+$J99+1,1),14)))),0)</f>
        <v>0</v>
      </c>
      <c r="AS99" s="68" cm="1">
        <f t="array" ref="AS99">IFERROR(IF(AS$41&lt;$K99,0,$F99*_xlfn.XLOOKUP($D99,'Capital Call&amp;Distributions data'!$A:$A,INDEX('Capital Call&amp;Distributions data'!$C:$O,0,MIN(MAX(YEAR(AS$41)-YEAR($K99)+$J99+1,1),14)))),0)</f>
        <v>0</v>
      </c>
      <c r="AT99" s="68" cm="1">
        <f t="array" ref="AT99">IFERROR(IF(AT$41&lt;$K99,0,$F99*_xlfn.XLOOKUP($D99,'Capital Call&amp;Distributions data'!$A:$A,INDEX('Capital Call&amp;Distributions data'!$C:$O,0,MIN(MAX(YEAR(AT$41)-YEAR($K99)+$J99+1,1),14)))),0)</f>
        <v>0</v>
      </c>
      <c r="AU99" s="68" cm="1">
        <f t="array" ref="AU99">IFERROR(IF(AU$41&lt;$K99,0,$F99*_xlfn.XLOOKUP($D99,'Capital Call&amp;Distributions data'!$A:$A,INDEX('Capital Call&amp;Distributions data'!$C:$O,0,MIN(MAX(YEAR(AU$41)-YEAR($K99)+$J99+1,1),14)))),0)</f>
        <v>0</v>
      </c>
      <c r="AW99" s="1"/>
      <c r="DJ99" s="11"/>
    </row>
    <row r="100" spans="2:114" ht="29.25" hidden="1" customHeight="1" outlineLevel="1">
      <c r="C100" s="20"/>
      <c r="D100" s="21">
        <f>_xlfn.XLOOKUP(C100,Fondsen!B:B,Fondsen!C:C,"0",0,1)</f>
        <v>0</v>
      </c>
      <c r="E100" s="21" t="s">
        <v>10</v>
      </c>
      <c r="F100" s="83"/>
      <c r="G100" s="143" t="str">
        <f ca="1">IFERROR(IF(SUM(OFFSET(INDEX('Capital Call&amp;Distributions data'!A:A,MATCH(D100,'Capital Call&amp;Distributions data'!A:A,0)),-1,2,1,1000))=0,"✔",""),"")</f>
        <v/>
      </c>
      <c r="H100" s="138" t="str">
        <f t="shared" si="4"/>
        <v/>
      </c>
      <c r="I100" s="96">
        <v>45292</v>
      </c>
      <c r="J100" s="70">
        <f t="shared" si="3"/>
        <v>0</v>
      </c>
      <c r="K100" s="96">
        <v>45292</v>
      </c>
      <c r="L100" s="68" cm="1">
        <f t="array" ref="L100">IFERROR(IF(L$41&lt;$K100,0,$F100*_xlfn.XLOOKUP($D100,'Capital Call&amp;Distributions data'!$A:$A,INDEX('Capital Call&amp;Distributions data'!$C:$O,0,MIN(MAX(YEAR(L$41)-YEAR($K100)+$J100+1,1),14)))),0)</f>
        <v>0</v>
      </c>
      <c r="M100" s="68" cm="1">
        <f t="array" ref="M100">IFERROR(IF(M$41&lt;$K100,0,$F100*_xlfn.XLOOKUP($D100,'Capital Call&amp;Distributions data'!$A:$A,INDEX('Capital Call&amp;Distributions data'!$C:$O,0,MIN(MAX(YEAR(M$41)-YEAR($K100)+$J100+1,1),14)))),0)</f>
        <v>0</v>
      </c>
      <c r="N100" s="68" cm="1">
        <f t="array" ref="N100">IFERROR(IF(N$41&lt;$K100,0,$F100*_xlfn.XLOOKUP($D100,'Capital Call&amp;Distributions data'!$A:$A,INDEX('Capital Call&amp;Distributions data'!$C:$O,0,MIN(MAX(YEAR(N$41)-YEAR($K100)+$J100+1,1),14)))),0)</f>
        <v>0</v>
      </c>
      <c r="O100" s="68" cm="1">
        <f t="array" ref="O100">IFERROR(IF(O$41&lt;$K100,0,$F100*_xlfn.XLOOKUP($D100,'Capital Call&amp;Distributions data'!$A:$A,INDEX('Capital Call&amp;Distributions data'!$C:$O,0,MIN(MAX(YEAR(O$41)-YEAR($K100)+$J100+1,1),14)))),0)</f>
        <v>0</v>
      </c>
      <c r="P100" s="68" cm="1">
        <f t="array" ref="P100">IFERROR(IF(P$41&lt;$K100,0,$F100*_xlfn.XLOOKUP($D100,'Capital Call&amp;Distributions data'!$A:$A,INDEX('Capital Call&amp;Distributions data'!$C:$O,0,MIN(MAX(YEAR(P$41)-YEAR($K100)+$J100+1,1),14)))),0)</f>
        <v>0</v>
      </c>
      <c r="Q100" s="68" cm="1">
        <f t="array" ref="Q100">IFERROR(IF(Q$41&lt;$K100,0,$F100*_xlfn.XLOOKUP($D100,'Capital Call&amp;Distributions data'!$A:$A,INDEX('Capital Call&amp;Distributions data'!$C:$O,0,MIN(MAX(YEAR(Q$41)-YEAR($K100)+$J100+1,1),14)))),0)</f>
        <v>0</v>
      </c>
      <c r="R100" s="68" cm="1">
        <f t="array" ref="R100">IFERROR(IF(R$41&lt;$K100,0,$F100*_xlfn.XLOOKUP($D100,'Capital Call&amp;Distributions data'!$A:$A,INDEX('Capital Call&amp;Distributions data'!$C:$O,0,MIN(MAX(YEAR(R$41)-YEAR($K100)+$J100+1,1),14)))),0)</f>
        <v>0</v>
      </c>
      <c r="S100" s="68" cm="1">
        <f t="array" ref="S100">IFERROR(IF(S$41&lt;$K100,0,$F100*_xlfn.XLOOKUP($D100,'Capital Call&amp;Distributions data'!$A:$A,INDEX('Capital Call&amp;Distributions data'!$C:$O,0,MIN(MAX(YEAR(S$41)-YEAR($K100)+$J100+1,1),14)))),0)</f>
        <v>0</v>
      </c>
      <c r="T100" s="68" cm="1">
        <f t="array" ref="T100">IFERROR(IF(T$41&lt;$K100,0,$F100*_xlfn.XLOOKUP($D100,'Capital Call&amp;Distributions data'!$A:$A,INDEX('Capital Call&amp;Distributions data'!$C:$O,0,MIN(MAX(YEAR(T$41)-YEAR($K100)+$J100+1,1),14)))),0)</f>
        <v>0</v>
      </c>
      <c r="U100" s="68" cm="1">
        <f t="array" ref="U100">IFERROR(IF(U$41&lt;$K100,0,$F100*_xlfn.XLOOKUP($D100,'Capital Call&amp;Distributions data'!$A:$A,INDEX('Capital Call&amp;Distributions data'!$C:$O,0,MIN(MAX(YEAR(U$41)-YEAR($K100)+$J100+1,1),14)))),0)</f>
        <v>0</v>
      </c>
      <c r="V100" s="68" cm="1">
        <f t="array" ref="V100">IFERROR(IF(V$41&lt;$K100,0,$F100*_xlfn.XLOOKUP($D100,'Capital Call&amp;Distributions data'!$A:$A,INDEX('Capital Call&amp;Distributions data'!$C:$O,0,MIN(MAX(YEAR(V$41)-YEAR($K100)+$J100+1,1),14)))),0)</f>
        <v>0</v>
      </c>
      <c r="W100" s="68" cm="1">
        <f t="array" ref="W100">IFERROR(IF(W$41&lt;$K100,0,$F100*_xlfn.XLOOKUP($D100,'Capital Call&amp;Distributions data'!$A:$A,INDEX('Capital Call&amp;Distributions data'!$C:$O,0,MIN(MAX(YEAR(W$41)-YEAR($K100)+$J100+1,1),14)))),0)</f>
        <v>0</v>
      </c>
      <c r="X100" s="68" cm="1">
        <f t="array" ref="X100">IFERROR(IF(X$41&lt;$K100,0,$F100*_xlfn.XLOOKUP($D100,'Capital Call&amp;Distributions data'!$A:$A,INDEX('Capital Call&amp;Distributions data'!$C:$O,0,MIN(MAX(YEAR(X$41)-YEAR($K100)+$J100+1,1),14)))),0)</f>
        <v>0</v>
      </c>
      <c r="Y100" s="68" cm="1">
        <f t="array" ref="Y100">IFERROR(IF(Y$41&lt;$K100,0,$F100*_xlfn.XLOOKUP($D100,'Capital Call&amp;Distributions data'!$A:$A,INDEX('Capital Call&amp;Distributions data'!$C:$O,0,MIN(MAX(YEAR(Y$41)-YEAR($K100)+$J100+1,1),14)))),0)</f>
        <v>0</v>
      </c>
      <c r="Z100" s="68" cm="1">
        <f t="array" ref="Z100">IFERROR(IF(Z$41&lt;$K100,0,$F100*_xlfn.XLOOKUP($D100,'Capital Call&amp;Distributions data'!$A:$A,INDEX('Capital Call&amp;Distributions data'!$C:$O,0,MIN(MAX(YEAR(Z$41)-YEAR($K100)+$J100+1,1),14)))),0)</f>
        <v>0</v>
      </c>
      <c r="AA100" s="68" cm="1">
        <f t="array" ref="AA100">IFERROR(IF(AA$41&lt;$K100,0,$F100*_xlfn.XLOOKUP($D100,'Capital Call&amp;Distributions data'!$A:$A,INDEX('Capital Call&amp;Distributions data'!$C:$O,0,MIN(MAX(YEAR(AA$41)-YEAR($K100)+$J100+1,1),14)))),0)</f>
        <v>0</v>
      </c>
      <c r="AB100" s="68" cm="1">
        <f t="array" ref="AB100">IFERROR(IF(AB$41&lt;$K100,0,$F100*_xlfn.XLOOKUP($D100,'Capital Call&amp;Distributions data'!$A:$A,INDEX('Capital Call&amp;Distributions data'!$C:$O,0,MIN(MAX(YEAR(AB$41)-YEAR($K100)+$J100+1,1),14)))),0)</f>
        <v>0</v>
      </c>
      <c r="AC100" s="68" cm="1">
        <f t="array" ref="AC100">IFERROR(IF(AC$41&lt;$K100,0,$F100*_xlfn.XLOOKUP($D100,'Capital Call&amp;Distributions data'!$A:$A,INDEX('Capital Call&amp;Distributions data'!$C:$O,0,MIN(MAX(YEAR(AC$41)-YEAR($K100)+$J100+1,1),14)))),0)</f>
        <v>0</v>
      </c>
      <c r="AD100" s="68" cm="1">
        <f t="array" ref="AD100">IFERROR(IF(AD$41&lt;$K100,0,$F100*_xlfn.XLOOKUP($D100,'Capital Call&amp;Distributions data'!$A:$A,INDEX('Capital Call&amp;Distributions data'!$C:$O,0,MIN(MAX(YEAR(AD$41)-YEAR($K100)+$J100+1,1),14)))),0)</f>
        <v>0</v>
      </c>
      <c r="AE100" s="68" cm="1">
        <f t="array" ref="AE100">IFERROR(IF(AE$41&lt;$K100,0,$F100*_xlfn.XLOOKUP($D100,'Capital Call&amp;Distributions data'!$A:$A,INDEX('Capital Call&amp;Distributions data'!$C:$O,0,MIN(MAX(YEAR(AE$41)-YEAR($K100)+$J100+1,1),14)))),0)</f>
        <v>0</v>
      </c>
      <c r="AF100" s="68" cm="1">
        <f t="array" ref="AF100">IFERROR(IF(AF$41&lt;$K100,0,$F100*_xlfn.XLOOKUP($D100,'Capital Call&amp;Distributions data'!$A:$A,INDEX('Capital Call&amp;Distributions data'!$C:$O,0,MIN(MAX(YEAR(AF$41)-YEAR($K100)+$J100+1,1),14)))),0)</f>
        <v>0</v>
      </c>
      <c r="AG100" s="68" cm="1">
        <f t="array" ref="AG100">IFERROR(IF(AG$41&lt;$K100,0,$F100*_xlfn.XLOOKUP($D100,'Capital Call&amp;Distributions data'!$A:$A,INDEX('Capital Call&amp;Distributions data'!$C:$O,0,MIN(MAX(YEAR(AG$41)-YEAR($K100)+$J100+1,1),14)))),0)</f>
        <v>0</v>
      </c>
      <c r="AH100" s="68" cm="1">
        <f t="array" ref="AH100">IFERROR(IF(AH$41&lt;$K100,0,$F100*_xlfn.XLOOKUP($D100,'Capital Call&amp;Distributions data'!$A:$A,INDEX('Capital Call&amp;Distributions data'!$C:$O,0,MIN(MAX(YEAR(AH$41)-YEAR($K100)+$J100+1,1),14)))),0)</f>
        <v>0</v>
      </c>
      <c r="AI100" s="68" cm="1">
        <f t="array" ref="AI100">IFERROR(IF(AI$41&lt;$K100,0,$F100*_xlfn.XLOOKUP($D100,'Capital Call&amp;Distributions data'!$A:$A,INDEX('Capital Call&amp;Distributions data'!$C:$O,0,MIN(MAX(YEAR(AI$41)-YEAR($K100)+$J100+1,1),14)))),0)</f>
        <v>0</v>
      </c>
      <c r="AJ100" s="68" cm="1">
        <f t="array" ref="AJ100">IFERROR(IF(AJ$41&lt;$K100,0,$F100*_xlfn.XLOOKUP($D100,'Capital Call&amp;Distributions data'!$A:$A,INDEX('Capital Call&amp;Distributions data'!$C:$O,0,MIN(MAX(YEAR(AJ$41)-YEAR($K100)+$J100+1,1),14)))),0)</f>
        <v>0</v>
      </c>
      <c r="AK100" s="68" cm="1">
        <f t="array" ref="AK100">IFERROR(IF(AK$41&lt;$K100,0,$F100*_xlfn.XLOOKUP($D100,'Capital Call&amp;Distributions data'!$A:$A,INDEX('Capital Call&amp;Distributions data'!$C:$O,0,MIN(MAX(YEAR(AK$41)-YEAR($K100)+$J100+1,1),14)))),0)</f>
        <v>0</v>
      </c>
      <c r="AL100" s="68" cm="1">
        <f t="array" ref="AL100">IFERROR(IF(AL$41&lt;$K100,0,$F100*_xlfn.XLOOKUP($D100,'Capital Call&amp;Distributions data'!$A:$A,INDEX('Capital Call&amp;Distributions data'!$C:$O,0,MIN(MAX(YEAR(AL$41)-YEAR($K100)+$J100+1,1),14)))),0)</f>
        <v>0</v>
      </c>
      <c r="AM100" s="68" cm="1">
        <f t="array" ref="AM100">IFERROR(IF(AM$41&lt;$K100,0,$F100*_xlfn.XLOOKUP($D100,'Capital Call&amp;Distributions data'!$A:$A,INDEX('Capital Call&amp;Distributions data'!$C:$O,0,MIN(MAX(YEAR(AM$41)-YEAR($K100)+$J100+1,1),14)))),0)</f>
        <v>0</v>
      </c>
      <c r="AN100" s="68" cm="1">
        <f t="array" ref="AN100">IFERROR(IF(AN$41&lt;$K100,0,$F100*_xlfn.XLOOKUP($D100,'Capital Call&amp;Distributions data'!$A:$A,INDEX('Capital Call&amp;Distributions data'!$C:$O,0,MIN(MAX(YEAR(AN$41)-YEAR($K100)+$J100+1,1),14)))),0)</f>
        <v>0</v>
      </c>
      <c r="AO100" s="68" cm="1">
        <f t="array" ref="AO100">IFERROR(IF(AO$41&lt;$K100,0,$F100*_xlfn.XLOOKUP($D100,'Capital Call&amp;Distributions data'!$A:$A,INDEX('Capital Call&amp;Distributions data'!$C:$O,0,MIN(MAX(YEAR(AO$41)-YEAR($K100)+$J100+1,1),14)))),0)</f>
        <v>0</v>
      </c>
      <c r="AP100" s="68" cm="1">
        <f t="array" ref="AP100">IFERROR(IF(AP$41&lt;$K100,0,$F100*_xlfn.XLOOKUP($D100,'Capital Call&amp;Distributions data'!$A:$A,INDEX('Capital Call&amp;Distributions data'!$C:$O,0,MIN(MAX(YEAR(AP$41)-YEAR($K100)+$J100+1,1),14)))),0)</f>
        <v>0</v>
      </c>
      <c r="AQ100" s="68" cm="1">
        <f t="array" ref="AQ100">IFERROR(IF(AQ$41&lt;$K100,0,$F100*_xlfn.XLOOKUP($D100,'Capital Call&amp;Distributions data'!$A:$A,INDEX('Capital Call&amp;Distributions data'!$C:$O,0,MIN(MAX(YEAR(AQ$41)-YEAR($K100)+$J100+1,1),14)))),0)</f>
        <v>0</v>
      </c>
      <c r="AR100" s="68" cm="1">
        <f t="array" ref="AR100">IFERROR(IF(AR$41&lt;$K100,0,$F100*_xlfn.XLOOKUP($D100,'Capital Call&amp;Distributions data'!$A:$A,INDEX('Capital Call&amp;Distributions data'!$C:$O,0,MIN(MAX(YEAR(AR$41)-YEAR($K100)+$J100+1,1),14)))),0)</f>
        <v>0</v>
      </c>
      <c r="AS100" s="68" cm="1">
        <f t="array" ref="AS100">IFERROR(IF(AS$41&lt;$K100,0,$F100*_xlfn.XLOOKUP($D100,'Capital Call&amp;Distributions data'!$A:$A,INDEX('Capital Call&amp;Distributions data'!$C:$O,0,MIN(MAX(YEAR(AS$41)-YEAR($K100)+$J100+1,1),14)))),0)</f>
        <v>0</v>
      </c>
      <c r="AT100" s="68" cm="1">
        <f t="array" ref="AT100">IFERROR(IF(AT$41&lt;$K100,0,$F100*_xlfn.XLOOKUP($D100,'Capital Call&amp;Distributions data'!$A:$A,INDEX('Capital Call&amp;Distributions data'!$C:$O,0,MIN(MAX(YEAR(AT$41)-YEAR($K100)+$J100+1,1),14)))),0)</f>
        <v>0</v>
      </c>
      <c r="AU100" s="68" cm="1">
        <f t="array" ref="AU100">IFERROR(IF(AU$41&lt;$K100,0,$F100*_xlfn.XLOOKUP($D100,'Capital Call&amp;Distributions data'!$A:$A,INDEX('Capital Call&amp;Distributions data'!$C:$O,0,MIN(MAX(YEAR(AU$41)-YEAR($K100)+$J100+1,1),14)))),0)</f>
        <v>0</v>
      </c>
      <c r="AW100" s="1"/>
      <c r="DJ100" s="11"/>
    </row>
    <row r="101" spans="2:114" ht="29.25" customHeight="1" collapsed="1">
      <c r="C101" s="73" t="s">
        <v>16</v>
      </c>
      <c r="D101" s="72"/>
      <c r="E101" s="72" t="s">
        <v>10</v>
      </c>
      <c r="F101" s="84"/>
      <c r="G101" s="84"/>
      <c r="H101" s="117"/>
      <c r="I101" s="72"/>
      <c r="J101" s="72"/>
      <c r="K101" s="72"/>
      <c r="L101" s="71">
        <f>SUM(L43:L100)</f>
        <v>-3660881.3447073605</v>
      </c>
      <c r="M101" s="71">
        <f t="shared" ref="M101:X101" si="5">L101+SUM(M43:M100)</f>
        <v>-7815303.8017175542</v>
      </c>
      <c r="N101" s="71">
        <f t="shared" si="5"/>
        <v>-10002771.166185178</v>
      </c>
      <c r="O101" s="71">
        <f t="shared" si="5"/>
        <v>-10002777.532274157</v>
      </c>
      <c r="P101" s="71">
        <f>O101+SUM(P43:P100)</f>
        <v>-10002943.07477772</v>
      </c>
      <c r="Q101" s="71">
        <f t="shared" si="5"/>
        <v>-10000746.943338444</v>
      </c>
      <c r="R101" s="71">
        <f t="shared" si="5"/>
        <v>-10000926.489497112</v>
      </c>
      <c r="S101" s="71">
        <f t="shared" si="5"/>
        <v>-10000200.072532604</v>
      </c>
      <c r="T101" s="71">
        <f t="shared" si="5"/>
        <v>-5370909.6599959619</v>
      </c>
      <c r="U101" s="71">
        <f t="shared" si="5"/>
        <v>863248.52997005638</v>
      </c>
      <c r="V101" s="71">
        <f t="shared" si="5"/>
        <v>7021144.2561154673</v>
      </c>
      <c r="W101" s="71">
        <f t="shared" si="5"/>
        <v>12939262.181998599</v>
      </c>
      <c r="X101" s="71">
        <f t="shared" si="5"/>
        <v>17885582.867059659</v>
      </c>
      <c r="Y101" s="71">
        <f t="shared" ref="Y101:AU101" si="6">X101+SUM(Y43:Y100)</f>
        <v>21629147.04096581</v>
      </c>
      <c r="Z101" s="71">
        <f t="shared" si="6"/>
        <v>23929375.026040167</v>
      </c>
      <c r="AA101" s="71">
        <f t="shared" si="6"/>
        <v>25220360.318469137</v>
      </c>
      <c r="AB101" s="71">
        <f t="shared" si="6"/>
        <v>25801762.446637768</v>
      </c>
      <c r="AC101" s="71">
        <f t="shared" si="6"/>
        <v>25938557.044305157</v>
      </c>
      <c r="AD101" s="71">
        <f t="shared" si="6"/>
        <v>25938557.044305157</v>
      </c>
      <c r="AE101" s="71">
        <f t="shared" si="6"/>
        <v>25938557.044305157</v>
      </c>
      <c r="AF101" s="71">
        <f t="shared" si="6"/>
        <v>25938557.044305157</v>
      </c>
      <c r="AG101" s="71">
        <f t="shared" si="6"/>
        <v>25938557.044305157</v>
      </c>
      <c r="AH101" s="71">
        <f t="shared" si="6"/>
        <v>25938557.044305157</v>
      </c>
      <c r="AI101" s="71">
        <f t="shared" si="6"/>
        <v>25938557.044305157</v>
      </c>
      <c r="AJ101" s="71">
        <f t="shared" si="6"/>
        <v>25938557.044305157</v>
      </c>
      <c r="AK101" s="71">
        <f t="shared" si="6"/>
        <v>25938557.044305157</v>
      </c>
      <c r="AL101" s="71">
        <f t="shared" si="6"/>
        <v>25938557.044305157</v>
      </c>
      <c r="AM101" s="71">
        <f t="shared" si="6"/>
        <v>25938557.044305157</v>
      </c>
      <c r="AN101" s="71">
        <f t="shared" si="6"/>
        <v>25938557.044305157</v>
      </c>
      <c r="AO101" s="71">
        <f t="shared" si="6"/>
        <v>25938557.044305157</v>
      </c>
      <c r="AP101" s="71">
        <f t="shared" si="6"/>
        <v>25938557.044305157</v>
      </c>
      <c r="AQ101" s="71">
        <f t="shared" si="6"/>
        <v>25938557.044305157</v>
      </c>
      <c r="AR101" s="71">
        <f t="shared" si="6"/>
        <v>25938557.044305157</v>
      </c>
      <c r="AS101" s="71">
        <f t="shared" si="6"/>
        <v>25938557.044305157</v>
      </c>
      <c r="AT101" s="71">
        <f t="shared" si="6"/>
        <v>25938557.044305157</v>
      </c>
      <c r="AU101" s="71">
        <f t="shared" si="6"/>
        <v>25938557.044305157</v>
      </c>
      <c r="AW101" s="1"/>
      <c r="DJ101" s="11"/>
    </row>
    <row r="102" spans="2:114" s="25" customFormat="1" ht="19.5" customHeight="1">
      <c r="C102" s="22" t="s">
        <v>17</v>
      </c>
      <c r="D102" s="23" t="s">
        <v>18</v>
      </c>
      <c r="E102" s="23"/>
      <c r="F102" s="85"/>
      <c r="G102" s="85"/>
      <c r="H102" s="118" t="s">
        <v>19</v>
      </c>
      <c r="I102" s="23" t="s">
        <v>20</v>
      </c>
      <c r="J102" s="70"/>
      <c r="K102" s="23" t="s">
        <v>21</v>
      </c>
      <c r="L102" s="23"/>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row>
    <row r="103" spans="2:114" ht="30" customHeight="1">
      <c r="B103" s="76"/>
      <c r="C103" s="20" t="s">
        <v>446</v>
      </c>
      <c r="D103" s="21">
        <f>J103</f>
        <v>1</v>
      </c>
      <c r="E103" s="21" t="s">
        <v>10</v>
      </c>
      <c r="F103" s="83">
        <v>4154000</v>
      </c>
      <c r="G103" s="83"/>
      <c r="H103" s="105">
        <v>0.08</v>
      </c>
      <c r="I103" s="69">
        <v>46023</v>
      </c>
      <c r="J103" s="70">
        <f t="shared" ref="J103:J111" si="7">YEAR(K103)-YEAR(I103)</f>
        <v>1</v>
      </c>
      <c r="K103" s="69">
        <v>46388</v>
      </c>
      <c r="L103" s="21" cm="1">
        <f t="array" ref="L103">IF(OR(Samenvatting!$C103="",ISBLANK(Samenvatting!$C103)),"0,0",IFERROR(SUMPRODUCT((Renteberekening!$B$2:$B$29=Samenvatting!$C103) * (YEAR(Renteberekening!$J$1:$UK$1)=YEAR(Samenvatting!L$41)) * Renteberekening!$J$2:$UK$29),0))</f>
        <v>-3930664.88</v>
      </c>
      <c r="M103" s="21" cm="1">
        <f t="array" ref="M103">IF(OR(Samenvatting!$C103="",ISBLANK(Samenvatting!$C103)),"0,0",IFERROR(SUMPRODUCT((Renteberekening!$B$2:$B$29=Samenvatting!$C103) * (YEAR(Renteberekening!$J$1:$UK$1)=YEAR(Samenvatting!M$41)) * Renteberekening!$J$2:$UK$29),0))</f>
        <v>4154653.0266666668</v>
      </c>
      <c r="N103" s="21" cm="1">
        <f t="array" ref="N103">IF(OR(Samenvatting!$C103="",ISBLANK(Samenvatting!$C103)),"0,0",IFERROR(SUMPRODUCT((Renteberekening!$B$2:$B$29=Samenvatting!$C103) * (YEAR(Renteberekening!$J$1:$UK$1)=YEAR(Samenvatting!N$41)) * Renteberekening!$J$2:$UK$29),0))</f>
        <v>0</v>
      </c>
      <c r="O103" s="21" cm="1">
        <f t="array" ref="O103">IF(OR(Samenvatting!$C103="",ISBLANK(Samenvatting!$C103)),"0,0",IFERROR(SUMPRODUCT((Renteberekening!$B$2:$B$29=Samenvatting!$C103) * (YEAR(Renteberekening!$J$1:$UK$1)=YEAR(Samenvatting!O$41)) * Renteberekening!$J$2:$UK$29),0))</f>
        <v>0</v>
      </c>
      <c r="P103" s="21" cm="1">
        <f t="array" ref="P103">IF(OR(Samenvatting!$C103="",ISBLANK(Samenvatting!$C103)),"0,0",IFERROR(SUMPRODUCT((Renteberekening!$B$2:$B$29=Samenvatting!$C103) * (YEAR(Renteberekening!$J$1:$UK$1)=YEAR(Samenvatting!P$41)) * Renteberekening!$J$2:$UK$29),0))</f>
        <v>0</v>
      </c>
      <c r="Q103" s="21" cm="1">
        <f t="array" ref="Q103">IF(OR(Samenvatting!$C103="",ISBLANK(Samenvatting!$C103)),"0,0",IFERROR(SUMPRODUCT((Renteberekening!$B$2:$B$29=Samenvatting!$C103) * (YEAR(Renteberekening!$J$1:$UK$1)=YEAR(Samenvatting!Q$41)) * Renteberekening!$J$2:$UK$29),0))</f>
        <v>0</v>
      </c>
      <c r="R103" s="21" cm="1">
        <f t="array" ref="R103">IF(OR(Samenvatting!$C103="",ISBLANK(Samenvatting!$C103)),"0,0",IFERROR(SUMPRODUCT((Renteberekening!$B$2:$B$29=Samenvatting!$C103) * (YEAR(Renteberekening!$J$1:$UK$1)=YEAR(Samenvatting!R$41)) * Renteberekening!$J$2:$UK$29),0))</f>
        <v>0</v>
      </c>
      <c r="S103" s="21" cm="1">
        <f t="array" ref="S103">IF(OR(Samenvatting!$C103="",ISBLANK(Samenvatting!$C103)),"0,0",IFERROR(SUMPRODUCT((Renteberekening!$B$2:$B$29=Samenvatting!$C103) * (YEAR(Renteberekening!$J$1:$UK$1)=YEAR(Samenvatting!S$41)) * Renteberekening!$J$2:$UK$29),0))</f>
        <v>0</v>
      </c>
      <c r="T103" s="21" cm="1">
        <f t="array" ref="T103">IF(OR(Samenvatting!$C103="",ISBLANK(Samenvatting!$C103)),"0,0",IFERROR(SUMPRODUCT((Renteberekening!$B$2:$B$29=Samenvatting!$C103) * (YEAR(Renteberekening!$J$1:$UK$1)=YEAR(Samenvatting!T$41)) * Renteberekening!$J$2:$UK$29),0))</f>
        <v>0</v>
      </c>
      <c r="U103" s="21" cm="1">
        <f t="array" ref="U103">IF(OR(Samenvatting!$C103="",ISBLANK(Samenvatting!$C103)),"0,0",IFERROR(SUMPRODUCT((Renteberekening!$B$2:$B$29=Samenvatting!$C103) * (YEAR(Renteberekening!$J$1:$UK$1)=YEAR(Samenvatting!U$41)) * Renteberekening!$J$2:$UK$29),0))</f>
        <v>0</v>
      </c>
      <c r="V103" s="21" cm="1">
        <f t="array" ref="V103">IF(OR(Samenvatting!$C103="",ISBLANK(Samenvatting!$C103)),"0,0",IFERROR(SUMPRODUCT((Renteberekening!$B$2:$B$29=Samenvatting!$C103) * (YEAR(Renteberekening!$J$1:$UK$1)=YEAR(Samenvatting!V$41)) * Renteberekening!$J$2:$UK$29),0))</f>
        <v>0</v>
      </c>
      <c r="W103" s="21" cm="1">
        <f t="array" ref="W103">IF(OR(Samenvatting!$C103="",ISBLANK(Samenvatting!$C103)),"0,0",IFERROR(SUMPRODUCT((Renteberekening!$B$2:$B$29=Samenvatting!$C103) * (YEAR(Renteberekening!$J$1:$UK$1)=YEAR(Samenvatting!W$41)) * Renteberekening!$J$2:$UK$29),0))</f>
        <v>0</v>
      </c>
      <c r="X103" s="21" cm="1">
        <f t="array" ref="X103">IF(OR(Samenvatting!$C103="",ISBLANK(Samenvatting!$C103)),"0,0",IFERROR(SUMPRODUCT((Renteberekening!$B$2:$B$29=Samenvatting!$C103) * (YEAR(Renteberekening!$J$1:$UK$1)=YEAR(Samenvatting!X$41)) * Renteberekening!$J$2:$UK$29),0))</f>
        <v>0</v>
      </c>
      <c r="Y103" s="21" cm="1">
        <f t="array" ref="Y103">IF(OR(Samenvatting!$C103="",ISBLANK(Samenvatting!$C103)),"0,0",IFERROR(SUMPRODUCT((Renteberekening!$B$2:$B$29=Samenvatting!$C103) * (YEAR(Renteberekening!$J$1:$UK$1)=YEAR(Samenvatting!Y$41)) * Renteberekening!$J$2:$UK$29),0))</f>
        <v>0</v>
      </c>
      <c r="Z103" s="21" cm="1">
        <f t="array" ref="Z103">IF(OR(Samenvatting!$C103="",ISBLANK(Samenvatting!$C103)),"0,0",IFERROR(SUMPRODUCT((Renteberekening!$B$2:$B$29=Samenvatting!$C103) * (YEAR(Renteberekening!$J$1:$UK$1)=YEAR(Samenvatting!Z$41)) * Renteberekening!$J$2:$UK$29),0))</f>
        <v>0</v>
      </c>
      <c r="AA103" s="21" cm="1">
        <f t="array" ref="AA103">IF(OR(Samenvatting!$C103="",ISBLANK(Samenvatting!$C103)),"0,0",IFERROR(SUMPRODUCT((Renteberekening!$B$2:$B$29=Samenvatting!$C103) * (YEAR(Renteberekening!$J$1:$UK$1)=YEAR(Samenvatting!AA$41)) * Renteberekening!$J$2:$UK$29),0))</f>
        <v>0</v>
      </c>
      <c r="AB103" s="21" cm="1">
        <f t="array" ref="AB103">IF(OR(Samenvatting!$C103="",ISBLANK(Samenvatting!$C103)),"0,0",IFERROR(SUMPRODUCT((Renteberekening!$B$2:$B$29=Samenvatting!$C103) * (YEAR(Renteberekening!$J$1:$UK$1)=YEAR(Samenvatting!AB$41)) * Renteberekening!$J$2:$UK$29),0))</f>
        <v>0</v>
      </c>
      <c r="AC103" s="21" cm="1">
        <f t="array" ref="AC103">IF(OR(Samenvatting!$C103="",ISBLANK(Samenvatting!$C103)),"0,0",IFERROR(SUMPRODUCT((Renteberekening!$B$2:$B$29=Samenvatting!$C103) * (YEAR(Renteberekening!$J$1:$UK$1)=YEAR(Samenvatting!AC$41)) * Renteberekening!$J$2:$UK$29),0))</f>
        <v>0</v>
      </c>
      <c r="AD103" s="21" cm="1">
        <f t="array" ref="AD103">IF(OR(Samenvatting!$C103="",ISBLANK(Samenvatting!$C103)),"0,0",IFERROR(SUMPRODUCT((Renteberekening!$B$2:$B$29=Samenvatting!$C103) * (YEAR(Renteberekening!$J$1:$UK$1)=YEAR(Samenvatting!AD$41)) * Renteberekening!$J$2:$UK$29),0))</f>
        <v>0</v>
      </c>
      <c r="AE103" s="21" cm="1">
        <f t="array" ref="AE103">IF(OR(Samenvatting!$C103="",ISBLANK(Samenvatting!$C103)),"0,0",IFERROR(SUMPRODUCT((Renteberekening!$B$2:$B$29=Samenvatting!$C103) * (YEAR(Renteberekening!$J$1:$UK$1)=YEAR(Samenvatting!AE$41)) * Renteberekening!$J$2:$UK$29),0))</f>
        <v>0</v>
      </c>
      <c r="AF103" s="21" cm="1">
        <f t="array" ref="AF103">IF(OR(Samenvatting!$C103="",ISBLANK(Samenvatting!$C103)),"0,0",IFERROR(SUMPRODUCT((Renteberekening!$B$2:$B$29=Samenvatting!$C103) * (YEAR(Renteberekening!$J$1:$UK$1)=YEAR(Samenvatting!AF$41)) * Renteberekening!$J$2:$UK$29),0))</f>
        <v>0</v>
      </c>
      <c r="AG103" s="21" cm="1">
        <f t="array" ref="AG103">IF(OR(Samenvatting!$C103="",ISBLANK(Samenvatting!$C103)),"0,0",IFERROR(SUMPRODUCT((Renteberekening!$B$2:$B$29=Samenvatting!$C103) * (YEAR(Renteberekening!$J$1:$UK$1)=YEAR(Samenvatting!AG$41)) * Renteberekening!$J$2:$UK$29),0))</f>
        <v>0</v>
      </c>
      <c r="AH103" s="21" cm="1">
        <f t="array" ref="AH103">IF(OR(Samenvatting!$C103="",ISBLANK(Samenvatting!$C103)),"0,0",IFERROR(SUMPRODUCT((Renteberekening!$B$2:$B$29=Samenvatting!$C103) * (YEAR(Renteberekening!$J$1:$UK$1)=YEAR(Samenvatting!AH$41)) * Renteberekening!$J$2:$UK$29),0))</f>
        <v>0</v>
      </c>
      <c r="AI103" s="21" cm="1">
        <f t="array" ref="AI103">IF(OR(Samenvatting!$C103="",ISBLANK(Samenvatting!$C103)),"0,0",IFERROR(SUMPRODUCT((Renteberekening!$B$2:$B$29=Samenvatting!$C103) * (YEAR(Renteberekening!$J$1:$UK$1)=YEAR(Samenvatting!AI$41)) * Renteberekening!$J$2:$UK$29),0))</f>
        <v>0</v>
      </c>
      <c r="AJ103" s="21" cm="1">
        <f t="array" ref="AJ103">IF(OR(Samenvatting!$C103="",ISBLANK(Samenvatting!$C103)),"0,0",IFERROR(SUMPRODUCT((Renteberekening!$B$2:$B$29=Samenvatting!$C103) * (YEAR(Renteberekening!$J$1:$UK$1)=YEAR(Samenvatting!AJ$41)) * Renteberekening!$J$2:$UK$29),0))</f>
        <v>0</v>
      </c>
      <c r="AK103" s="21" cm="1">
        <f t="array" ref="AK103">IF(OR(Samenvatting!$C103="",ISBLANK(Samenvatting!$C103)),"0,0",IFERROR(SUMPRODUCT((Renteberekening!$B$2:$B$29=Samenvatting!$C103) * (YEAR(Renteberekening!$J$1:$UK$1)=YEAR(Samenvatting!AK$41)) * Renteberekening!$J$2:$UK$29),0))</f>
        <v>0</v>
      </c>
      <c r="AL103" s="21" cm="1">
        <f t="array" ref="AL103">IF(OR(Samenvatting!$C103="",ISBLANK(Samenvatting!$C103)),"0,0",IFERROR(SUMPRODUCT((Renteberekening!$B$2:$B$29=Samenvatting!$C103) * (YEAR(Renteberekening!$J$1:$UK$1)=YEAR(Samenvatting!AL$41)) * Renteberekening!$J$2:$UK$29),0))</f>
        <v>0</v>
      </c>
      <c r="AM103" s="21" cm="1">
        <f t="array" ref="AM103">IF(OR(Samenvatting!$C103="",ISBLANK(Samenvatting!$C103)),"0,0",IFERROR(SUMPRODUCT((Renteberekening!$B$2:$B$29=Samenvatting!$C103) * (YEAR(Renteberekening!$J$1:$UK$1)=YEAR(Samenvatting!AM$41)) * Renteberekening!$J$2:$UK$29),0))</f>
        <v>0</v>
      </c>
      <c r="AN103" s="21" cm="1">
        <f t="array" ref="AN103">IF(OR(Samenvatting!$C103="",ISBLANK(Samenvatting!$C103)),"0,0",IFERROR(SUMPRODUCT((Renteberekening!$B$2:$B$29=Samenvatting!$C103) * (YEAR(Renteberekening!$J$1:$UK$1)=YEAR(Samenvatting!AN$41)) * Renteberekening!$J$2:$UK$29),0))</f>
        <v>0</v>
      </c>
      <c r="AO103" s="21" cm="1">
        <f t="array" ref="AO103">IF(OR(Samenvatting!$C103="",ISBLANK(Samenvatting!$C103)),"0,0",IFERROR(SUMPRODUCT((Renteberekening!$B$2:$B$29=Samenvatting!$C103) * (YEAR(Renteberekening!$J$1:$UK$1)=YEAR(Samenvatting!AO$41)) * Renteberekening!$J$2:$UK$29),0))</f>
        <v>0</v>
      </c>
      <c r="AP103" s="21" cm="1">
        <f t="array" ref="AP103">IF(OR(Samenvatting!$C103="",ISBLANK(Samenvatting!$C103)),"0,0",IFERROR(SUMPRODUCT((Renteberekening!$B$2:$B$29=Samenvatting!$C103) * (YEAR(Renteberekening!$J$1:$UK$1)=YEAR(Samenvatting!AP$41)) * Renteberekening!$J$2:$UK$29),0))</f>
        <v>0</v>
      </c>
      <c r="AQ103" s="21" cm="1">
        <f t="array" ref="AQ103">IF(OR(Samenvatting!$C103="",ISBLANK(Samenvatting!$C103)),"0,0",IFERROR(SUMPRODUCT((Renteberekening!$B$2:$B$29=Samenvatting!$C103) * (YEAR(Renteberekening!$J$1:$UK$1)=YEAR(Samenvatting!AQ$41)) * Renteberekening!$J$2:$UK$29),0))</f>
        <v>0</v>
      </c>
      <c r="AR103" s="21" cm="1">
        <f t="array" ref="AR103">IF(OR(Samenvatting!$C103="",ISBLANK(Samenvatting!$C103)),"0,0",IFERROR(SUMPRODUCT((Renteberekening!$B$2:$B$29=Samenvatting!$C103) * (YEAR(Renteberekening!$J$1:$UK$1)=YEAR(Samenvatting!AR$41)) * Renteberekening!$J$2:$UK$29),0))</f>
        <v>0</v>
      </c>
      <c r="AS103" s="21" cm="1">
        <f t="array" ref="AS103">IF(OR(Samenvatting!$C103="",ISBLANK(Samenvatting!$C103)),"0,0",IFERROR(SUMPRODUCT((Renteberekening!$B$2:$B$29=Samenvatting!$C103) * (YEAR(Renteberekening!$J$1:$UK$1)=YEAR(Samenvatting!AS$41)) * Renteberekening!$J$2:$UK$29),0))</f>
        <v>0</v>
      </c>
      <c r="AT103" s="21" cm="1">
        <f t="array" ref="AT103">IF(OR(Samenvatting!$C103="",ISBLANK(Samenvatting!$C103)),"0,0",IFERROR(SUMPRODUCT((Renteberekening!$B$2:$B$29=Samenvatting!$C103) * (YEAR(Renteberekening!$J$1:$UK$1)=YEAR(Samenvatting!AT$41)) * Renteberekening!$J$2:$UK$29),0))</f>
        <v>0</v>
      </c>
      <c r="AU103" s="21" cm="1">
        <f t="array" ref="AU103">IF(OR(Samenvatting!$C103="",ISBLANK(Samenvatting!$C103)),"0,0",IFERROR(SUMPRODUCT((Renteberekening!$B$2:$B$29=Samenvatting!$C103) * (YEAR(Renteberekening!$J$1:$UK$1)=YEAR(Samenvatting!AU$41)) * Renteberekening!$J$2:$UK$29),0))</f>
        <v>0</v>
      </c>
      <c r="AW103" s="1"/>
      <c r="DJ103" s="11"/>
    </row>
    <row r="104" spans="2:114" ht="30" customHeight="1">
      <c r="C104" s="20" t="s">
        <v>447</v>
      </c>
      <c r="D104" s="21">
        <f>J104</f>
        <v>2</v>
      </c>
      <c r="E104" s="21" t="s">
        <v>10</v>
      </c>
      <c r="F104" s="83">
        <v>2187467</v>
      </c>
      <c r="G104" s="83"/>
      <c r="H104" s="105">
        <v>0.08</v>
      </c>
      <c r="I104" s="69">
        <v>46023</v>
      </c>
      <c r="J104" s="70">
        <f t="shared" si="7"/>
        <v>2</v>
      </c>
      <c r="K104" s="69">
        <v>46753</v>
      </c>
      <c r="L104" s="21" cm="1">
        <f t="array" ref="L104">IF(OR(Samenvatting!$C104="",ISBLANK(Samenvatting!$C104)),"0,0",IFERROR(SUMPRODUCT((Renteberekening!$B$2:$B$29=Samenvatting!$C104) * (YEAR(Renteberekening!$J$1:$UK$1)=YEAR(Samenvatting!L$41)) * Renteberekening!$J$2:$UK$29),0))</f>
        <v>-2069860.3064658069</v>
      </c>
      <c r="M104" s="21" cm="1">
        <f t="array" ref="M104">IF(OR(Samenvatting!$C104="",ISBLANK(Samenvatting!$C104)),"0,0",IFERROR(SUMPRODUCT((Renteberekening!$B$2:$B$29=Samenvatting!$C104) * (YEAR(Renteberekening!$J$1:$UK$1)=YEAR(Samenvatting!M$41)) * Renteberekening!$J$2:$UK$29),0))</f>
        <v>127923.07016000002</v>
      </c>
      <c r="N104" s="21" cm="1">
        <f t="array" ref="N104">IF(OR(Samenvatting!$C104="",ISBLANK(Samenvatting!$C104)),"0,0",IFERROR(SUMPRODUCT((Renteberekening!$B$2:$B$29=Samenvatting!$C104) * (YEAR(Renteberekening!$J$1:$UK$1)=YEAR(Samenvatting!N$41)) * Renteberekening!$J$2:$UK$29),0))</f>
        <v>2187810.8792208601</v>
      </c>
      <c r="O104" s="21" cm="1">
        <f t="array" ref="O104">IF(OR(Samenvatting!$C104="",ISBLANK(Samenvatting!$C104)),"0,0",IFERROR(SUMPRODUCT((Renteberekening!$B$2:$B$29=Samenvatting!$C104) * (YEAR(Renteberekening!$J$1:$UK$1)=YEAR(Samenvatting!O$41)) * Renteberekening!$J$2:$UK$29),0))</f>
        <v>0</v>
      </c>
      <c r="P104" s="21" cm="1">
        <f t="array" ref="P104">IF(OR(Samenvatting!$C104="",ISBLANK(Samenvatting!$C104)),"0,0",IFERROR(SUMPRODUCT((Renteberekening!$B$2:$B$29=Samenvatting!$C104) * (YEAR(Renteberekening!$J$1:$UK$1)=YEAR(Samenvatting!P$41)) * Renteberekening!$J$2:$UK$29),0))</f>
        <v>0</v>
      </c>
      <c r="Q104" s="21" cm="1">
        <f t="array" ref="Q104">IF(OR(Samenvatting!$C104="",ISBLANK(Samenvatting!$C104)),"0,0",IFERROR(SUMPRODUCT((Renteberekening!$B$2:$B$29=Samenvatting!$C104) * (YEAR(Renteberekening!$J$1:$UK$1)=YEAR(Samenvatting!Q$41)) * Renteberekening!$J$2:$UK$29),0))</f>
        <v>0</v>
      </c>
      <c r="R104" s="21" cm="1">
        <f t="array" ref="R104">IF(OR(Samenvatting!$C104="",ISBLANK(Samenvatting!$C104)),"0,0",IFERROR(SUMPRODUCT((Renteberekening!$B$2:$B$29=Samenvatting!$C104) * (YEAR(Renteberekening!$J$1:$UK$1)=YEAR(Samenvatting!R$41)) * Renteberekening!$J$2:$UK$29),0))</f>
        <v>0</v>
      </c>
      <c r="S104" s="21" cm="1">
        <f t="array" ref="S104">IF(OR(Samenvatting!$C104="",ISBLANK(Samenvatting!$C104)),"0,0",IFERROR(SUMPRODUCT((Renteberekening!$B$2:$B$29=Samenvatting!$C104) * (YEAR(Renteberekening!$J$1:$UK$1)=YEAR(Samenvatting!S$41)) * Renteberekening!$J$2:$UK$29),0))</f>
        <v>0</v>
      </c>
      <c r="T104" s="21" cm="1">
        <f t="array" ref="T104">IF(OR(Samenvatting!$C104="",ISBLANK(Samenvatting!$C104)),"0,0",IFERROR(SUMPRODUCT((Renteberekening!$B$2:$B$29=Samenvatting!$C104) * (YEAR(Renteberekening!$J$1:$UK$1)=YEAR(Samenvatting!T$41)) * Renteberekening!$J$2:$UK$29),0))</f>
        <v>0</v>
      </c>
      <c r="U104" s="21" cm="1">
        <f t="array" ref="U104">IF(OR(Samenvatting!$C104="",ISBLANK(Samenvatting!$C104)),"0,0",IFERROR(SUMPRODUCT((Renteberekening!$B$2:$B$29=Samenvatting!$C104) * (YEAR(Renteberekening!$J$1:$UK$1)=YEAR(Samenvatting!U$41)) * Renteberekening!$J$2:$UK$29),0))</f>
        <v>0</v>
      </c>
      <c r="V104" s="21" cm="1">
        <f t="array" ref="V104">IF(OR(Samenvatting!$C104="",ISBLANK(Samenvatting!$C104)),"0,0",IFERROR(SUMPRODUCT((Renteberekening!$B$2:$B$29=Samenvatting!$C104) * (YEAR(Renteberekening!$J$1:$UK$1)=YEAR(Samenvatting!V$41)) * Renteberekening!$J$2:$UK$29),0))</f>
        <v>0</v>
      </c>
      <c r="W104" s="21" cm="1">
        <f t="array" ref="W104">IF(OR(Samenvatting!$C104="",ISBLANK(Samenvatting!$C104)),"0,0",IFERROR(SUMPRODUCT((Renteberekening!$B$2:$B$29=Samenvatting!$C104) * (YEAR(Renteberekening!$J$1:$UK$1)=YEAR(Samenvatting!W$41)) * Renteberekening!$J$2:$UK$29),0))</f>
        <v>0</v>
      </c>
      <c r="X104" s="21" cm="1">
        <f t="array" ref="X104">IF(OR(Samenvatting!$C104="",ISBLANK(Samenvatting!$C104)),"0,0",IFERROR(SUMPRODUCT((Renteberekening!$B$2:$B$29=Samenvatting!$C104) * (YEAR(Renteberekening!$J$1:$UK$1)=YEAR(Samenvatting!X$41)) * Renteberekening!$J$2:$UK$29),0))</f>
        <v>0</v>
      </c>
      <c r="Y104" s="21" cm="1">
        <f t="array" ref="Y104">IF(OR(Samenvatting!$C104="",ISBLANK(Samenvatting!$C104)),"0,0",IFERROR(SUMPRODUCT((Renteberekening!$B$2:$B$29=Samenvatting!$C104) * (YEAR(Renteberekening!$J$1:$UK$1)=YEAR(Samenvatting!Y$41)) * Renteberekening!$J$2:$UK$29),0))</f>
        <v>0</v>
      </c>
      <c r="Z104" s="21" cm="1">
        <f t="array" ref="Z104">IF(OR(Samenvatting!$C104="",ISBLANK(Samenvatting!$C104)),"0,0",IFERROR(SUMPRODUCT((Renteberekening!$B$2:$B$29=Samenvatting!$C104) * (YEAR(Renteberekening!$J$1:$UK$1)=YEAR(Samenvatting!Z$41)) * Renteberekening!$J$2:$UK$29),0))</f>
        <v>0</v>
      </c>
      <c r="AA104" s="21" cm="1">
        <f t="array" ref="AA104">IF(OR(Samenvatting!$C104="",ISBLANK(Samenvatting!$C104)),"0,0",IFERROR(SUMPRODUCT((Renteberekening!$B$2:$B$29=Samenvatting!$C104) * (YEAR(Renteberekening!$J$1:$UK$1)=YEAR(Samenvatting!AA$41)) * Renteberekening!$J$2:$UK$29),0))</f>
        <v>0</v>
      </c>
      <c r="AB104" s="21" cm="1">
        <f t="array" ref="AB104">IF(OR(Samenvatting!$C104="",ISBLANK(Samenvatting!$C104)),"0,0",IFERROR(SUMPRODUCT((Renteberekening!$B$2:$B$29=Samenvatting!$C104) * (YEAR(Renteberekening!$J$1:$UK$1)=YEAR(Samenvatting!AB$41)) * Renteberekening!$J$2:$UK$29),0))</f>
        <v>0</v>
      </c>
      <c r="AC104" s="21" cm="1">
        <f t="array" ref="AC104">IF(OR(Samenvatting!$C104="",ISBLANK(Samenvatting!$C104)),"0,0",IFERROR(SUMPRODUCT((Renteberekening!$B$2:$B$29=Samenvatting!$C104) * (YEAR(Renteberekening!$J$1:$UK$1)=YEAR(Samenvatting!AC$41)) * Renteberekening!$J$2:$UK$29),0))</f>
        <v>0</v>
      </c>
      <c r="AD104" s="21" cm="1">
        <f t="array" ref="AD104">IF(OR(Samenvatting!$C104="",ISBLANK(Samenvatting!$C104)),"0,0",IFERROR(SUMPRODUCT((Renteberekening!$B$2:$B$29=Samenvatting!$C104) * (YEAR(Renteberekening!$J$1:$UK$1)=YEAR(Samenvatting!AD$41)) * Renteberekening!$J$2:$UK$29),0))</f>
        <v>0</v>
      </c>
      <c r="AE104" s="21" cm="1">
        <f t="array" ref="AE104">IF(OR(Samenvatting!$C104="",ISBLANK(Samenvatting!$C104)),"0,0",IFERROR(SUMPRODUCT((Renteberekening!$B$2:$B$29=Samenvatting!$C104) * (YEAR(Renteberekening!$J$1:$UK$1)=YEAR(Samenvatting!AE$41)) * Renteberekening!$J$2:$UK$29),0))</f>
        <v>0</v>
      </c>
      <c r="AF104" s="21" cm="1">
        <f t="array" ref="AF104">IF(OR(Samenvatting!$C104="",ISBLANK(Samenvatting!$C104)),"0,0",IFERROR(SUMPRODUCT((Renteberekening!$B$2:$B$29=Samenvatting!$C104) * (YEAR(Renteberekening!$J$1:$UK$1)=YEAR(Samenvatting!AF$41)) * Renteberekening!$J$2:$UK$29),0))</f>
        <v>0</v>
      </c>
      <c r="AG104" s="21" cm="1">
        <f t="array" ref="AG104">IF(OR(Samenvatting!$C104="",ISBLANK(Samenvatting!$C104)),"0,0",IFERROR(SUMPRODUCT((Renteberekening!$B$2:$B$29=Samenvatting!$C104) * (YEAR(Renteberekening!$J$1:$UK$1)=YEAR(Samenvatting!AG$41)) * Renteberekening!$J$2:$UK$29),0))</f>
        <v>0</v>
      </c>
      <c r="AH104" s="21" cm="1">
        <f t="array" ref="AH104">IF(OR(Samenvatting!$C104="",ISBLANK(Samenvatting!$C104)),"0,0",IFERROR(SUMPRODUCT((Renteberekening!$B$2:$B$29=Samenvatting!$C104) * (YEAR(Renteberekening!$J$1:$UK$1)=YEAR(Samenvatting!AH$41)) * Renteberekening!$J$2:$UK$29),0))</f>
        <v>0</v>
      </c>
      <c r="AI104" s="21" cm="1">
        <f t="array" ref="AI104">IF(OR(Samenvatting!$C104="",ISBLANK(Samenvatting!$C104)),"0,0",IFERROR(SUMPRODUCT((Renteberekening!$B$2:$B$29=Samenvatting!$C104) * (YEAR(Renteberekening!$J$1:$UK$1)=YEAR(Samenvatting!AI$41)) * Renteberekening!$J$2:$UK$29),0))</f>
        <v>0</v>
      </c>
      <c r="AJ104" s="21" cm="1">
        <f t="array" ref="AJ104">IF(OR(Samenvatting!$C104="",ISBLANK(Samenvatting!$C104)),"0,0",IFERROR(SUMPRODUCT((Renteberekening!$B$2:$B$29=Samenvatting!$C104) * (YEAR(Renteberekening!$J$1:$UK$1)=YEAR(Samenvatting!AJ$41)) * Renteberekening!$J$2:$UK$29),0))</f>
        <v>0</v>
      </c>
      <c r="AK104" s="21" cm="1">
        <f t="array" ref="AK104">IF(OR(Samenvatting!$C104="",ISBLANK(Samenvatting!$C104)),"0,0",IFERROR(SUMPRODUCT((Renteberekening!$B$2:$B$29=Samenvatting!$C104) * (YEAR(Renteberekening!$J$1:$UK$1)=YEAR(Samenvatting!AK$41)) * Renteberekening!$J$2:$UK$29),0))</f>
        <v>0</v>
      </c>
      <c r="AL104" s="21" cm="1">
        <f t="array" ref="AL104">IF(OR(Samenvatting!$C104="",ISBLANK(Samenvatting!$C104)),"0,0",IFERROR(SUMPRODUCT((Renteberekening!$B$2:$B$29=Samenvatting!$C104) * (YEAR(Renteberekening!$J$1:$UK$1)=YEAR(Samenvatting!AL$41)) * Renteberekening!$J$2:$UK$29),0))</f>
        <v>0</v>
      </c>
      <c r="AM104" s="21" cm="1">
        <f t="array" ref="AM104">IF(OR(Samenvatting!$C104="",ISBLANK(Samenvatting!$C104)),"0,0",IFERROR(SUMPRODUCT((Renteberekening!$B$2:$B$29=Samenvatting!$C104) * (YEAR(Renteberekening!$J$1:$UK$1)=YEAR(Samenvatting!AM$41)) * Renteberekening!$J$2:$UK$29),0))</f>
        <v>0</v>
      </c>
      <c r="AN104" s="21" cm="1">
        <f t="array" ref="AN104">IF(OR(Samenvatting!$C104="",ISBLANK(Samenvatting!$C104)),"0,0",IFERROR(SUMPRODUCT((Renteberekening!$B$2:$B$29=Samenvatting!$C104) * (YEAR(Renteberekening!$J$1:$UK$1)=YEAR(Samenvatting!AN$41)) * Renteberekening!$J$2:$UK$29),0))</f>
        <v>0</v>
      </c>
      <c r="AO104" s="21" cm="1">
        <f t="array" ref="AO104">IF(OR(Samenvatting!$C104="",ISBLANK(Samenvatting!$C104)),"0,0",IFERROR(SUMPRODUCT((Renteberekening!$B$2:$B$29=Samenvatting!$C104) * (YEAR(Renteberekening!$J$1:$UK$1)=YEAR(Samenvatting!AO$41)) * Renteberekening!$J$2:$UK$29),0))</f>
        <v>0</v>
      </c>
      <c r="AP104" s="21" cm="1">
        <f t="array" ref="AP104">IF(OR(Samenvatting!$C104="",ISBLANK(Samenvatting!$C104)),"0,0",IFERROR(SUMPRODUCT((Renteberekening!$B$2:$B$29=Samenvatting!$C104) * (YEAR(Renteberekening!$J$1:$UK$1)=YEAR(Samenvatting!AP$41)) * Renteberekening!$J$2:$UK$29),0))</f>
        <v>0</v>
      </c>
      <c r="AQ104" s="21" cm="1">
        <f t="array" ref="AQ104">IF(OR(Samenvatting!$C104="",ISBLANK(Samenvatting!$C104)),"0,0",IFERROR(SUMPRODUCT((Renteberekening!$B$2:$B$29=Samenvatting!$C104) * (YEAR(Renteberekening!$J$1:$UK$1)=YEAR(Samenvatting!AQ$41)) * Renteberekening!$J$2:$UK$29),0))</f>
        <v>0</v>
      </c>
      <c r="AR104" s="21" cm="1">
        <f t="array" ref="AR104">IF(OR(Samenvatting!$C104="",ISBLANK(Samenvatting!$C104)),"0,0",IFERROR(SUMPRODUCT((Renteberekening!$B$2:$B$29=Samenvatting!$C104) * (YEAR(Renteberekening!$J$1:$UK$1)=YEAR(Samenvatting!AR$41)) * Renteberekening!$J$2:$UK$29),0))</f>
        <v>0</v>
      </c>
      <c r="AS104" s="21" cm="1">
        <f t="array" ref="AS104">IF(OR(Samenvatting!$C104="",ISBLANK(Samenvatting!$C104)),"0,0",IFERROR(SUMPRODUCT((Renteberekening!$B$2:$B$29=Samenvatting!$C104) * (YEAR(Renteberekening!$J$1:$UK$1)=YEAR(Samenvatting!AS$41)) * Renteberekening!$J$2:$UK$29),0))</f>
        <v>0</v>
      </c>
      <c r="AT104" s="21" cm="1">
        <f t="array" ref="AT104">IF(OR(Samenvatting!$C104="",ISBLANK(Samenvatting!$C104)),"0,0",IFERROR(SUMPRODUCT((Renteberekening!$B$2:$B$29=Samenvatting!$C104) * (YEAR(Renteberekening!$J$1:$UK$1)=YEAR(Samenvatting!AT$41)) * Renteberekening!$J$2:$UK$29),0))</f>
        <v>0</v>
      </c>
      <c r="AU104" s="21" cm="1">
        <f t="array" ref="AU104">IF(OR(Samenvatting!$C104="",ISBLANK(Samenvatting!$C104)),"0,0",IFERROR(SUMPRODUCT((Renteberekening!$B$2:$B$29=Samenvatting!$C104) * (YEAR(Renteberekening!$J$1:$UK$1)=YEAR(Samenvatting!AU$41)) * Renteberekening!$J$2:$UK$29),0))</f>
        <v>0</v>
      </c>
      <c r="AW104" s="1"/>
      <c r="DJ104" s="11"/>
    </row>
    <row r="105" spans="2:114" ht="30" hidden="1" customHeight="1" outlineLevel="1">
      <c r="C105" s="20"/>
      <c r="D105" s="21">
        <f>J105</f>
        <v>5</v>
      </c>
      <c r="E105" s="21" t="s">
        <v>10</v>
      </c>
      <c r="F105" s="83"/>
      <c r="G105" s="83"/>
      <c r="H105" s="105">
        <v>0.08</v>
      </c>
      <c r="I105" s="69">
        <v>45867</v>
      </c>
      <c r="J105" s="70">
        <f t="shared" si="7"/>
        <v>5</v>
      </c>
      <c r="K105" s="69">
        <v>47484</v>
      </c>
      <c r="L105" s="21" t="str" cm="1">
        <f t="array" ref="L105">IF(OR(Samenvatting!$C105="",ISBLANK(Samenvatting!$C105)),"0,0",IFERROR(SUMPRODUCT((Renteberekening!$B$2:$B$29=Samenvatting!$C105) * (YEAR(Renteberekening!$J$1:$UK$1)=YEAR(Samenvatting!L$41)) * Renteberekening!$J$2:$UK$29),0))</f>
        <v>0,0</v>
      </c>
      <c r="M105" s="21" t="str" cm="1">
        <f t="array" ref="M105">IF(OR(Samenvatting!$C105="",ISBLANK(Samenvatting!$C105)),"0,0",IFERROR(SUMPRODUCT((Renteberekening!$B$2:$B$29=Samenvatting!$C105) * (YEAR(Renteberekening!$J$1:$UK$1)=YEAR(Samenvatting!M$41)) * Renteberekening!$J$2:$UK$29),0))</f>
        <v>0,0</v>
      </c>
      <c r="N105" s="21" t="str" cm="1">
        <f t="array" ref="N105">IF(OR(Samenvatting!$C105="",ISBLANK(Samenvatting!$C105)),"0,0",IFERROR(SUMPRODUCT((Renteberekening!$B$2:$B$29=Samenvatting!$C105) * (YEAR(Renteberekening!$J$1:$UK$1)=YEAR(Samenvatting!N$41)) * Renteberekening!$J$2:$UK$29),0))</f>
        <v>0,0</v>
      </c>
      <c r="O105" s="21" t="str" cm="1">
        <f t="array" ref="O105">IF(OR(Samenvatting!$C105="",ISBLANK(Samenvatting!$C105)),"0,0",IFERROR(SUMPRODUCT((Renteberekening!$B$2:$B$29=Samenvatting!$C105) * (YEAR(Renteberekening!$J$1:$UK$1)=YEAR(Samenvatting!O$41)) * Renteberekening!$J$2:$UK$29),0))</f>
        <v>0,0</v>
      </c>
      <c r="P105" s="21" t="str" cm="1">
        <f t="array" ref="P105">IF(OR(Samenvatting!$C105="",ISBLANK(Samenvatting!$C105)),"0,0",IFERROR(SUMPRODUCT((Renteberekening!$B$2:$B$29=Samenvatting!$C105) * (YEAR(Renteberekening!$J$1:$UK$1)=YEAR(Samenvatting!P$41)) * Renteberekening!$J$2:$UK$29),0))</f>
        <v>0,0</v>
      </c>
      <c r="Q105" s="21" t="str" cm="1">
        <f t="array" ref="Q105">IF(OR(Samenvatting!$C105="",ISBLANK(Samenvatting!$C105)),"0,0",IFERROR(SUMPRODUCT((Renteberekening!$B$2:$B$29=Samenvatting!$C105) * (YEAR(Renteberekening!$J$1:$UK$1)=YEAR(Samenvatting!Q$41)) * Renteberekening!$J$2:$UK$29),0))</f>
        <v>0,0</v>
      </c>
      <c r="R105" s="21" t="str" cm="1">
        <f t="array" ref="R105">IF(OR(Samenvatting!$C105="",ISBLANK(Samenvatting!$C105)),"0,0",IFERROR(SUMPRODUCT((Renteberekening!$B$2:$B$29=Samenvatting!$C105) * (YEAR(Renteberekening!$J$1:$UK$1)=YEAR(Samenvatting!R$41)) * Renteberekening!$J$2:$UK$29),0))</f>
        <v>0,0</v>
      </c>
      <c r="S105" s="21" t="str" cm="1">
        <f t="array" ref="S105">IF(OR(Samenvatting!$C105="",ISBLANK(Samenvatting!$C105)),"0,0",IFERROR(SUMPRODUCT((Renteberekening!$B$2:$B$29=Samenvatting!$C105) * (YEAR(Renteberekening!$J$1:$UK$1)=YEAR(Samenvatting!S$41)) * Renteberekening!$J$2:$UK$29),0))</f>
        <v>0,0</v>
      </c>
      <c r="T105" s="21" t="str" cm="1">
        <f t="array" ref="T105">IF(OR(Samenvatting!$C105="",ISBLANK(Samenvatting!$C105)),"0,0",IFERROR(SUMPRODUCT((Renteberekening!$B$2:$B$29=Samenvatting!$C105) * (YEAR(Renteberekening!$J$1:$UK$1)=YEAR(Samenvatting!T$41)) * Renteberekening!$J$2:$UK$29),0))</f>
        <v>0,0</v>
      </c>
      <c r="U105" s="21" t="str" cm="1">
        <f t="array" ref="U105">IF(OR(Samenvatting!$C105="",ISBLANK(Samenvatting!$C105)),"0,0",IFERROR(SUMPRODUCT((Renteberekening!$B$2:$B$29=Samenvatting!$C105) * (YEAR(Renteberekening!$J$1:$UK$1)=YEAR(Samenvatting!U$41)) * Renteberekening!$J$2:$UK$29),0))</f>
        <v>0,0</v>
      </c>
      <c r="V105" s="21" t="str" cm="1">
        <f t="array" ref="V105">IF(OR(Samenvatting!$C105="",ISBLANK(Samenvatting!$C105)),"0,0",IFERROR(SUMPRODUCT((Renteberekening!$B$2:$B$29=Samenvatting!$C105) * (YEAR(Renteberekening!$J$1:$UK$1)=YEAR(Samenvatting!V$41)) * Renteberekening!$J$2:$UK$29),0))</f>
        <v>0,0</v>
      </c>
      <c r="W105" s="21" t="str" cm="1">
        <f t="array" ref="W105">IF(OR(Samenvatting!$C105="",ISBLANK(Samenvatting!$C105)),"0,0",IFERROR(SUMPRODUCT((Renteberekening!$B$2:$B$29=Samenvatting!$C105) * (YEAR(Renteberekening!$J$1:$UK$1)=YEAR(Samenvatting!W$41)) * Renteberekening!$J$2:$UK$29),0))</f>
        <v>0,0</v>
      </c>
      <c r="X105" s="21" t="str" cm="1">
        <f t="array" ref="X105">IF(OR(Samenvatting!$C105="",ISBLANK(Samenvatting!$C105)),"0,0",IFERROR(SUMPRODUCT((Renteberekening!$B$2:$B$29=Samenvatting!$C105) * (YEAR(Renteberekening!$J$1:$UK$1)=YEAR(Samenvatting!X$41)) * Renteberekening!$J$2:$UK$29),0))</f>
        <v>0,0</v>
      </c>
      <c r="Y105" s="21" t="str" cm="1">
        <f t="array" ref="Y105">IF(OR(Samenvatting!$C105="",ISBLANK(Samenvatting!$C105)),"0,0",IFERROR(SUMPRODUCT((Renteberekening!$B$2:$B$29=Samenvatting!$C105) * (YEAR(Renteberekening!$J$1:$UK$1)=YEAR(Samenvatting!Y$41)) * Renteberekening!$J$2:$UK$29),0))</f>
        <v>0,0</v>
      </c>
      <c r="Z105" s="21" t="str" cm="1">
        <f t="array" ref="Z105">IF(OR(Samenvatting!$C105="",ISBLANK(Samenvatting!$C105)),"0,0",IFERROR(SUMPRODUCT((Renteberekening!$B$2:$B$29=Samenvatting!$C105) * (YEAR(Renteberekening!$J$1:$UK$1)=YEAR(Samenvatting!Z$41)) * Renteberekening!$J$2:$UK$29),0))</f>
        <v>0,0</v>
      </c>
      <c r="AA105" s="21" t="str" cm="1">
        <f t="array" ref="AA105">IF(OR(Samenvatting!$C105="",ISBLANK(Samenvatting!$C105)),"0,0",IFERROR(SUMPRODUCT((Renteberekening!$B$2:$B$29=Samenvatting!$C105) * (YEAR(Renteberekening!$J$1:$UK$1)=YEAR(Samenvatting!AA$41)) * Renteberekening!$J$2:$UK$29),0))</f>
        <v>0,0</v>
      </c>
      <c r="AB105" s="21" t="str" cm="1">
        <f t="array" ref="AB105">IF(OR(Samenvatting!$C105="",ISBLANK(Samenvatting!$C105)),"0,0",IFERROR(SUMPRODUCT((Renteberekening!$B$2:$B$29=Samenvatting!$C105) * (YEAR(Renteberekening!$J$1:$UK$1)=YEAR(Samenvatting!AB$41)) * Renteberekening!$J$2:$UK$29),0))</f>
        <v>0,0</v>
      </c>
      <c r="AC105" s="21" t="str" cm="1">
        <f t="array" ref="AC105">IF(OR(Samenvatting!$C105="",ISBLANK(Samenvatting!$C105)),"0,0",IFERROR(SUMPRODUCT((Renteberekening!$B$2:$B$29=Samenvatting!$C105) * (YEAR(Renteberekening!$J$1:$UK$1)=YEAR(Samenvatting!AC$41)) * Renteberekening!$J$2:$UK$29),0))</f>
        <v>0,0</v>
      </c>
      <c r="AD105" s="21" t="str" cm="1">
        <f t="array" ref="AD105">IF(OR(Samenvatting!$C105="",ISBLANK(Samenvatting!$C105)),"0,0",IFERROR(SUMPRODUCT((Renteberekening!$B$2:$B$29=Samenvatting!$C105) * (YEAR(Renteberekening!$J$1:$UK$1)=YEAR(Samenvatting!AD$41)) * Renteberekening!$J$2:$UK$29),0))</f>
        <v>0,0</v>
      </c>
      <c r="AE105" s="21" t="str" cm="1">
        <f t="array" ref="AE105">IF(OR(Samenvatting!$C105="",ISBLANK(Samenvatting!$C105)),"0,0",IFERROR(SUMPRODUCT((Renteberekening!$B$2:$B$29=Samenvatting!$C105) * (YEAR(Renteberekening!$J$1:$UK$1)=YEAR(Samenvatting!AE$41)) * Renteberekening!$J$2:$UK$29),0))</f>
        <v>0,0</v>
      </c>
      <c r="AF105" s="21" t="str" cm="1">
        <f t="array" ref="AF105">IF(OR(Samenvatting!$C105="",ISBLANK(Samenvatting!$C105)),"0,0",IFERROR(SUMPRODUCT((Renteberekening!$B$2:$B$29=Samenvatting!$C105) * (YEAR(Renteberekening!$J$1:$UK$1)=YEAR(Samenvatting!AF$41)) * Renteberekening!$J$2:$UK$29),0))</f>
        <v>0,0</v>
      </c>
      <c r="AG105" s="21" t="str" cm="1">
        <f t="array" ref="AG105">IF(OR(Samenvatting!$C105="",ISBLANK(Samenvatting!$C105)),"0,0",IFERROR(SUMPRODUCT((Renteberekening!$B$2:$B$29=Samenvatting!$C105) * (YEAR(Renteberekening!$J$1:$UK$1)=YEAR(Samenvatting!AG$41)) * Renteberekening!$J$2:$UK$29),0))</f>
        <v>0,0</v>
      </c>
      <c r="AH105" s="21" t="str" cm="1">
        <f t="array" ref="AH105">IF(OR(Samenvatting!$C105="",ISBLANK(Samenvatting!$C105)),"0,0",IFERROR(SUMPRODUCT((Renteberekening!$B$2:$B$29=Samenvatting!$C105) * (YEAR(Renteberekening!$J$1:$UK$1)=YEAR(Samenvatting!AH$41)) * Renteberekening!$J$2:$UK$29),0))</f>
        <v>0,0</v>
      </c>
      <c r="AI105" s="21" t="str" cm="1">
        <f t="array" ref="AI105">IF(OR(Samenvatting!$C105="",ISBLANK(Samenvatting!$C105)),"0,0",IFERROR(SUMPRODUCT((Renteberekening!$B$2:$B$29=Samenvatting!$C105) * (YEAR(Renteberekening!$J$1:$UK$1)=YEAR(Samenvatting!AI$41)) * Renteberekening!$J$2:$UK$29),0))</f>
        <v>0,0</v>
      </c>
      <c r="AJ105" s="21" t="str" cm="1">
        <f t="array" ref="AJ105">IF(OR(Samenvatting!$C105="",ISBLANK(Samenvatting!$C105)),"0,0",IFERROR(SUMPRODUCT((Renteberekening!$B$2:$B$29=Samenvatting!$C105) * (YEAR(Renteberekening!$J$1:$UK$1)=YEAR(Samenvatting!AJ$41)) * Renteberekening!$J$2:$UK$29),0))</f>
        <v>0,0</v>
      </c>
      <c r="AK105" s="21" t="str" cm="1">
        <f t="array" ref="AK105">IF(OR(Samenvatting!$C105="",ISBLANK(Samenvatting!$C105)),"0,0",IFERROR(SUMPRODUCT((Renteberekening!$B$2:$B$29=Samenvatting!$C105) * (YEAR(Renteberekening!$J$1:$UK$1)=YEAR(Samenvatting!AK$41)) * Renteberekening!$J$2:$UK$29),0))</f>
        <v>0,0</v>
      </c>
      <c r="AL105" s="21" t="str" cm="1">
        <f t="array" ref="AL105">IF(OR(Samenvatting!$C105="",ISBLANK(Samenvatting!$C105)),"0,0",IFERROR(SUMPRODUCT((Renteberekening!$B$2:$B$29=Samenvatting!$C105) * (YEAR(Renteberekening!$J$1:$UK$1)=YEAR(Samenvatting!AL$41)) * Renteberekening!$J$2:$UK$29),0))</f>
        <v>0,0</v>
      </c>
      <c r="AM105" s="21" t="str" cm="1">
        <f t="array" ref="AM105">IF(OR(Samenvatting!$C105="",ISBLANK(Samenvatting!$C105)),"0,0",IFERROR(SUMPRODUCT((Renteberekening!$B$2:$B$29=Samenvatting!$C105) * (YEAR(Renteberekening!$J$1:$UK$1)=YEAR(Samenvatting!AM$41)) * Renteberekening!$J$2:$UK$29),0))</f>
        <v>0,0</v>
      </c>
      <c r="AN105" s="21" t="str" cm="1">
        <f t="array" ref="AN105">IF(OR(Samenvatting!$C105="",ISBLANK(Samenvatting!$C105)),"0,0",IFERROR(SUMPRODUCT((Renteberekening!$B$2:$B$29=Samenvatting!$C105) * (YEAR(Renteberekening!$J$1:$UK$1)=YEAR(Samenvatting!AN$41)) * Renteberekening!$J$2:$UK$29),0))</f>
        <v>0,0</v>
      </c>
      <c r="AO105" s="21" t="str" cm="1">
        <f t="array" ref="AO105">IF(OR(Samenvatting!$C105="",ISBLANK(Samenvatting!$C105)),"0,0",IFERROR(SUMPRODUCT((Renteberekening!$B$2:$B$29=Samenvatting!$C105) * (YEAR(Renteberekening!$J$1:$UK$1)=YEAR(Samenvatting!AO$41)) * Renteberekening!$J$2:$UK$29),0))</f>
        <v>0,0</v>
      </c>
      <c r="AP105" s="21" t="str" cm="1">
        <f t="array" ref="AP105">IF(OR(Samenvatting!$C105="",ISBLANK(Samenvatting!$C105)),"0,0",IFERROR(SUMPRODUCT((Renteberekening!$B$2:$B$29=Samenvatting!$C105) * (YEAR(Renteberekening!$J$1:$UK$1)=YEAR(Samenvatting!AP$41)) * Renteberekening!$J$2:$UK$29),0))</f>
        <v>0,0</v>
      </c>
      <c r="AQ105" s="21" t="str" cm="1">
        <f t="array" ref="AQ105">IF(OR(Samenvatting!$C105="",ISBLANK(Samenvatting!$C105)),"0,0",IFERROR(SUMPRODUCT((Renteberekening!$B$2:$B$29=Samenvatting!$C105) * (YEAR(Renteberekening!$J$1:$UK$1)=YEAR(Samenvatting!AQ$41)) * Renteberekening!$J$2:$UK$29),0))</f>
        <v>0,0</v>
      </c>
      <c r="AR105" s="21" t="str" cm="1">
        <f t="array" ref="AR105">IF(OR(Samenvatting!$C105="",ISBLANK(Samenvatting!$C105)),"0,0",IFERROR(SUMPRODUCT((Renteberekening!$B$2:$B$29=Samenvatting!$C105) * (YEAR(Renteberekening!$J$1:$UK$1)=YEAR(Samenvatting!AR$41)) * Renteberekening!$J$2:$UK$29),0))</f>
        <v>0,0</v>
      </c>
      <c r="AS105" s="21" t="str" cm="1">
        <f t="array" ref="AS105">IF(OR(Samenvatting!$C105="",ISBLANK(Samenvatting!$C105)),"0,0",IFERROR(SUMPRODUCT((Renteberekening!$B$2:$B$29=Samenvatting!$C105) * (YEAR(Renteberekening!$J$1:$UK$1)=YEAR(Samenvatting!AS$41)) * Renteberekening!$J$2:$UK$29),0))</f>
        <v>0,0</v>
      </c>
      <c r="AT105" s="21" t="str" cm="1">
        <f t="array" ref="AT105">IF(OR(Samenvatting!$C105="",ISBLANK(Samenvatting!$C105)),"0,0",IFERROR(SUMPRODUCT((Renteberekening!$B$2:$B$29=Samenvatting!$C105) * (YEAR(Renteberekening!$J$1:$UK$1)=YEAR(Samenvatting!AT$41)) * Renteberekening!$J$2:$UK$29),0))</f>
        <v>0,0</v>
      </c>
      <c r="AU105" s="21" t="str" cm="1">
        <f t="array" ref="AU105">IF(OR(Samenvatting!$C105="",ISBLANK(Samenvatting!$C105)),"0,0",IFERROR(SUMPRODUCT((Renteberekening!$B$2:$B$29=Samenvatting!$C105) * (YEAR(Renteberekening!$J$1:$UK$1)=YEAR(Samenvatting!AU$41)) * Renteberekening!$J$2:$UK$29),0))</f>
        <v>0,0</v>
      </c>
      <c r="AW105" s="1"/>
      <c r="DJ105" s="11"/>
    </row>
    <row r="106" spans="2:114" ht="30" hidden="1" customHeight="1" outlineLevel="1">
      <c r="C106" s="20"/>
      <c r="D106" s="21">
        <v>1</v>
      </c>
      <c r="E106" s="21" t="s">
        <v>10</v>
      </c>
      <c r="F106" s="86"/>
      <c r="G106" s="86"/>
      <c r="H106" s="105">
        <v>7.4999999999999997E-2</v>
      </c>
      <c r="I106" s="69">
        <v>45867</v>
      </c>
      <c r="J106" s="70">
        <f t="shared" si="7"/>
        <v>0</v>
      </c>
      <c r="K106" s="69">
        <v>45658</v>
      </c>
      <c r="L106" s="21" t="str" cm="1">
        <f t="array" ref="L106">IF(OR(Samenvatting!$C106="",ISBLANK(Samenvatting!$C106)),"0,0",IFERROR(SUMPRODUCT((Renteberekening!$B$2:$B$29=Samenvatting!$C106) * (YEAR(Renteberekening!$J$1:$UK$1)=YEAR(Samenvatting!L$41)) * Renteberekening!$J$2:$UK$29),0))</f>
        <v>0,0</v>
      </c>
      <c r="M106" s="21" t="str" cm="1">
        <f t="array" ref="M106">IF(OR(Samenvatting!$C106="",ISBLANK(Samenvatting!$C106)),"0,0",IFERROR(SUMPRODUCT((Renteberekening!$B$2:$B$29=Samenvatting!$C106) * (YEAR(Renteberekening!$J$1:$UK$1)=YEAR(Samenvatting!M$41)) * Renteberekening!$J$2:$UK$29),0))</f>
        <v>0,0</v>
      </c>
      <c r="N106" s="21" t="str" cm="1">
        <f t="array" ref="N106">IF(OR(Samenvatting!$C106="",ISBLANK(Samenvatting!$C106)),"0,0",IFERROR(SUMPRODUCT((Renteberekening!$B$2:$B$29=Samenvatting!$C106) * (YEAR(Renteberekening!$J$1:$UK$1)=YEAR(Samenvatting!N$41)) * Renteberekening!$J$2:$UK$29),0))</f>
        <v>0,0</v>
      </c>
      <c r="O106" s="21" t="str" cm="1">
        <f t="array" ref="O106">IF(OR(Samenvatting!$C106="",ISBLANK(Samenvatting!$C106)),"0,0",IFERROR(SUMPRODUCT((Renteberekening!$B$2:$B$29=Samenvatting!$C106) * (YEAR(Renteberekening!$J$1:$UK$1)=YEAR(Samenvatting!O$41)) * Renteberekening!$J$2:$UK$29),0))</f>
        <v>0,0</v>
      </c>
      <c r="P106" s="21" t="str" cm="1">
        <f t="array" ref="P106">IF(OR(Samenvatting!$C106="",ISBLANK(Samenvatting!$C106)),"0,0",IFERROR(SUMPRODUCT((Renteberekening!$B$2:$B$29=Samenvatting!$C106) * (YEAR(Renteberekening!$J$1:$UK$1)=YEAR(Samenvatting!P$41)) * Renteberekening!$J$2:$UK$29),0))</f>
        <v>0,0</v>
      </c>
      <c r="Q106" s="21" t="str" cm="1">
        <f t="array" ref="Q106">IF(OR(Samenvatting!$C106="",ISBLANK(Samenvatting!$C106)),"0,0",IFERROR(SUMPRODUCT((Renteberekening!$B$2:$B$29=Samenvatting!$C106) * (YEAR(Renteberekening!$J$1:$UK$1)=YEAR(Samenvatting!Q$41)) * Renteberekening!$J$2:$UK$29),0))</f>
        <v>0,0</v>
      </c>
      <c r="R106" s="21" t="str" cm="1">
        <f t="array" ref="R106">IF(OR(Samenvatting!$C106="",ISBLANK(Samenvatting!$C106)),"0,0",IFERROR(SUMPRODUCT((Renteberekening!$B$2:$B$29=Samenvatting!$C106) * (YEAR(Renteberekening!$J$1:$UK$1)=YEAR(Samenvatting!R$41)) * Renteberekening!$J$2:$UK$29),0))</f>
        <v>0,0</v>
      </c>
      <c r="S106" s="21" t="str" cm="1">
        <f t="array" ref="S106">IF(OR(Samenvatting!$C106="",ISBLANK(Samenvatting!$C106)),"0,0",IFERROR(SUMPRODUCT((Renteberekening!$B$2:$B$29=Samenvatting!$C106) * (YEAR(Renteberekening!$J$1:$UK$1)=YEAR(Samenvatting!S$41)) * Renteberekening!$J$2:$UK$29),0))</f>
        <v>0,0</v>
      </c>
      <c r="T106" s="21" t="str" cm="1">
        <f t="array" ref="T106">IF(OR(Samenvatting!$C106="",ISBLANK(Samenvatting!$C106)),"0,0",IFERROR(SUMPRODUCT((Renteberekening!$B$2:$B$29=Samenvatting!$C106) * (YEAR(Renteberekening!$J$1:$UK$1)=YEAR(Samenvatting!T$41)) * Renteberekening!$J$2:$UK$29),0))</f>
        <v>0,0</v>
      </c>
      <c r="U106" s="21" t="str" cm="1">
        <f t="array" ref="U106">IF(OR(Samenvatting!$C106="",ISBLANK(Samenvatting!$C106)),"0,0",IFERROR(SUMPRODUCT((Renteberekening!$B$2:$B$29=Samenvatting!$C106) * (YEAR(Renteberekening!$J$1:$UK$1)=YEAR(Samenvatting!U$41)) * Renteberekening!$J$2:$UK$29),0))</f>
        <v>0,0</v>
      </c>
      <c r="V106" s="21" t="str" cm="1">
        <f t="array" ref="V106">IF(OR(Samenvatting!$C106="",ISBLANK(Samenvatting!$C106)),"0,0",IFERROR(SUMPRODUCT((Renteberekening!$B$2:$B$29=Samenvatting!$C106) * (YEAR(Renteberekening!$J$1:$UK$1)=YEAR(Samenvatting!V$41)) * Renteberekening!$J$2:$UK$29),0))</f>
        <v>0,0</v>
      </c>
      <c r="W106" s="21" t="str" cm="1">
        <f t="array" ref="W106">IF(OR(Samenvatting!$C106="",ISBLANK(Samenvatting!$C106)),"0,0",IFERROR(SUMPRODUCT((Renteberekening!$B$2:$B$29=Samenvatting!$C106) * (YEAR(Renteberekening!$J$1:$UK$1)=YEAR(Samenvatting!W$41)) * Renteberekening!$J$2:$UK$29),0))</f>
        <v>0,0</v>
      </c>
      <c r="X106" s="21" t="str" cm="1">
        <f t="array" ref="X106">IF(OR(Samenvatting!$C106="",ISBLANK(Samenvatting!$C106)),"0,0",IFERROR(SUMPRODUCT((Renteberekening!$B$2:$B$29=Samenvatting!$C106) * (YEAR(Renteberekening!$J$1:$UK$1)=YEAR(Samenvatting!X$41)) * Renteberekening!$J$2:$UK$29),0))</f>
        <v>0,0</v>
      </c>
      <c r="Y106" s="21" t="str" cm="1">
        <f t="array" ref="Y106">IF(OR(Samenvatting!$C106="",ISBLANK(Samenvatting!$C106)),"0,0",IFERROR(SUMPRODUCT((Renteberekening!$B$2:$B$29=Samenvatting!$C106) * (YEAR(Renteberekening!$J$1:$UK$1)=YEAR(Samenvatting!Y$41)) * Renteberekening!$J$2:$UK$29),0))</f>
        <v>0,0</v>
      </c>
      <c r="Z106" s="21" t="str" cm="1">
        <f t="array" ref="Z106">IF(OR(Samenvatting!$C106="",ISBLANK(Samenvatting!$C106)),"0,0",IFERROR(SUMPRODUCT((Renteberekening!$B$2:$B$29=Samenvatting!$C106) * (YEAR(Renteberekening!$J$1:$UK$1)=YEAR(Samenvatting!Z$41)) * Renteberekening!$J$2:$UK$29),0))</f>
        <v>0,0</v>
      </c>
      <c r="AA106" s="21" t="str" cm="1">
        <f t="array" ref="AA106">IF(OR(Samenvatting!$C106="",ISBLANK(Samenvatting!$C106)),"0,0",IFERROR(SUMPRODUCT((Renteberekening!$B$2:$B$29=Samenvatting!$C106) * (YEAR(Renteberekening!$J$1:$UK$1)=YEAR(Samenvatting!AA$41)) * Renteberekening!$J$2:$UK$29),0))</f>
        <v>0,0</v>
      </c>
      <c r="AB106" s="21" t="str" cm="1">
        <f t="array" ref="AB106">IF(OR(Samenvatting!$C106="",ISBLANK(Samenvatting!$C106)),"0,0",IFERROR(SUMPRODUCT((Renteberekening!$B$2:$B$29=Samenvatting!$C106) * (YEAR(Renteberekening!$J$1:$UK$1)=YEAR(Samenvatting!AB$41)) * Renteberekening!$J$2:$UK$29),0))</f>
        <v>0,0</v>
      </c>
      <c r="AC106" s="21" t="str" cm="1">
        <f t="array" ref="AC106">IF(OR(Samenvatting!$C106="",ISBLANK(Samenvatting!$C106)),"0,0",IFERROR(SUMPRODUCT((Renteberekening!$B$2:$B$29=Samenvatting!$C106) * (YEAR(Renteberekening!$J$1:$UK$1)=YEAR(Samenvatting!AC$41)) * Renteberekening!$J$2:$UK$29),0))</f>
        <v>0,0</v>
      </c>
      <c r="AD106" s="21" t="str" cm="1">
        <f t="array" ref="AD106">IF(OR(Samenvatting!$C106="",ISBLANK(Samenvatting!$C106)),"0,0",IFERROR(SUMPRODUCT((Renteberekening!$B$2:$B$29=Samenvatting!$C106) * (YEAR(Renteberekening!$J$1:$UK$1)=YEAR(Samenvatting!AD$41)) * Renteberekening!$J$2:$UK$29),0))</f>
        <v>0,0</v>
      </c>
      <c r="AE106" s="21" t="str" cm="1">
        <f t="array" ref="AE106">IF(OR(Samenvatting!$C106="",ISBLANK(Samenvatting!$C106)),"0,0",IFERROR(SUMPRODUCT((Renteberekening!$B$2:$B$29=Samenvatting!$C106) * (YEAR(Renteberekening!$J$1:$UK$1)=YEAR(Samenvatting!AE$41)) * Renteberekening!$J$2:$UK$29),0))</f>
        <v>0,0</v>
      </c>
      <c r="AF106" s="21" t="str" cm="1">
        <f t="array" ref="AF106">IF(OR(Samenvatting!$C106="",ISBLANK(Samenvatting!$C106)),"0,0",IFERROR(SUMPRODUCT((Renteberekening!$B$2:$B$29=Samenvatting!$C106) * (YEAR(Renteberekening!$J$1:$UK$1)=YEAR(Samenvatting!AF$41)) * Renteberekening!$J$2:$UK$29),0))</f>
        <v>0,0</v>
      </c>
      <c r="AG106" s="21" t="str" cm="1">
        <f t="array" ref="AG106">IF(OR(Samenvatting!$C106="",ISBLANK(Samenvatting!$C106)),"0,0",IFERROR(SUMPRODUCT((Renteberekening!$B$2:$B$29=Samenvatting!$C106) * (YEAR(Renteberekening!$J$1:$UK$1)=YEAR(Samenvatting!AG$41)) * Renteberekening!$J$2:$UK$29),0))</f>
        <v>0,0</v>
      </c>
      <c r="AH106" s="21" t="str" cm="1">
        <f t="array" ref="AH106">IF(OR(Samenvatting!$C106="",ISBLANK(Samenvatting!$C106)),"0,0",IFERROR(SUMPRODUCT((Renteberekening!$B$2:$B$29=Samenvatting!$C106) * (YEAR(Renteberekening!$J$1:$UK$1)=YEAR(Samenvatting!AH$41)) * Renteberekening!$J$2:$UK$29),0))</f>
        <v>0,0</v>
      </c>
      <c r="AI106" s="21" t="str" cm="1">
        <f t="array" ref="AI106">IF(OR(Samenvatting!$C106="",ISBLANK(Samenvatting!$C106)),"0,0",IFERROR(SUMPRODUCT((Renteberekening!$B$2:$B$29=Samenvatting!$C106) * (YEAR(Renteberekening!$J$1:$UK$1)=YEAR(Samenvatting!AI$41)) * Renteberekening!$J$2:$UK$29),0))</f>
        <v>0,0</v>
      </c>
      <c r="AJ106" s="21" t="str" cm="1">
        <f t="array" ref="AJ106">IF(OR(Samenvatting!$C106="",ISBLANK(Samenvatting!$C106)),"0,0",IFERROR(SUMPRODUCT((Renteberekening!$B$2:$B$29=Samenvatting!$C106) * (YEAR(Renteberekening!$J$1:$UK$1)=YEAR(Samenvatting!AJ$41)) * Renteberekening!$J$2:$UK$29),0))</f>
        <v>0,0</v>
      </c>
      <c r="AK106" s="21" t="str" cm="1">
        <f t="array" ref="AK106">IF(OR(Samenvatting!$C106="",ISBLANK(Samenvatting!$C106)),"0,0",IFERROR(SUMPRODUCT((Renteberekening!$B$2:$B$29=Samenvatting!$C106) * (YEAR(Renteberekening!$J$1:$UK$1)=YEAR(Samenvatting!AK$41)) * Renteberekening!$J$2:$UK$29),0))</f>
        <v>0,0</v>
      </c>
      <c r="AL106" s="21" t="str" cm="1">
        <f t="array" ref="AL106">IF(OR(Samenvatting!$C106="",ISBLANK(Samenvatting!$C106)),"0,0",IFERROR(SUMPRODUCT((Renteberekening!$B$2:$B$29=Samenvatting!$C106) * (YEAR(Renteberekening!$J$1:$UK$1)=YEAR(Samenvatting!AL$41)) * Renteberekening!$J$2:$UK$29),0))</f>
        <v>0,0</v>
      </c>
      <c r="AM106" s="21" t="str" cm="1">
        <f t="array" ref="AM106">IF(OR(Samenvatting!$C106="",ISBLANK(Samenvatting!$C106)),"0,0",IFERROR(SUMPRODUCT((Renteberekening!$B$2:$B$29=Samenvatting!$C106) * (YEAR(Renteberekening!$J$1:$UK$1)=YEAR(Samenvatting!AM$41)) * Renteberekening!$J$2:$UK$29),0))</f>
        <v>0,0</v>
      </c>
      <c r="AN106" s="21" t="str" cm="1">
        <f t="array" ref="AN106">IF(OR(Samenvatting!$C106="",ISBLANK(Samenvatting!$C106)),"0,0",IFERROR(SUMPRODUCT((Renteberekening!$B$2:$B$29=Samenvatting!$C106) * (YEAR(Renteberekening!$J$1:$UK$1)=YEAR(Samenvatting!AN$41)) * Renteberekening!$J$2:$UK$29),0))</f>
        <v>0,0</v>
      </c>
      <c r="AO106" s="21" t="str" cm="1">
        <f t="array" ref="AO106">IF(OR(Samenvatting!$C106="",ISBLANK(Samenvatting!$C106)),"0,0",IFERROR(SUMPRODUCT((Renteberekening!$B$2:$B$29=Samenvatting!$C106) * (YEAR(Renteberekening!$J$1:$UK$1)=YEAR(Samenvatting!AO$41)) * Renteberekening!$J$2:$UK$29),0))</f>
        <v>0,0</v>
      </c>
      <c r="AP106" s="21" t="str" cm="1">
        <f t="array" ref="AP106">IF(OR(Samenvatting!$C106="",ISBLANK(Samenvatting!$C106)),"0,0",IFERROR(SUMPRODUCT((Renteberekening!$B$2:$B$29=Samenvatting!$C106) * (YEAR(Renteberekening!$J$1:$UK$1)=YEAR(Samenvatting!AP$41)) * Renteberekening!$J$2:$UK$29),0))</f>
        <v>0,0</v>
      </c>
      <c r="AQ106" s="21" t="str" cm="1">
        <f t="array" ref="AQ106">IF(OR(Samenvatting!$C106="",ISBLANK(Samenvatting!$C106)),"0,0",IFERROR(SUMPRODUCT((Renteberekening!$B$2:$B$29=Samenvatting!$C106) * (YEAR(Renteberekening!$J$1:$UK$1)=YEAR(Samenvatting!AQ$41)) * Renteberekening!$J$2:$UK$29),0))</f>
        <v>0,0</v>
      </c>
      <c r="AR106" s="21" t="str" cm="1">
        <f t="array" ref="AR106">IF(OR(Samenvatting!$C106="",ISBLANK(Samenvatting!$C106)),"0,0",IFERROR(SUMPRODUCT((Renteberekening!$B$2:$B$29=Samenvatting!$C106) * (YEAR(Renteberekening!$J$1:$UK$1)=YEAR(Samenvatting!AR$41)) * Renteberekening!$J$2:$UK$29),0))</f>
        <v>0,0</v>
      </c>
      <c r="AS106" s="21" t="str" cm="1">
        <f t="array" ref="AS106">IF(OR(Samenvatting!$C106="",ISBLANK(Samenvatting!$C106)),"0,0",IFERROR(SUMPRODUCT((Renteberekening!$B$2:$B$29=Samenvatting!$C106) * (YEAR(Renteberekening!$J$1:$UK$1)=YEAR(Samenvatting!AS$41)) * Renteberekening!$J$2:$UK$29),0))</f>
        <v>0,0</v>
      </c>
      <c r="AT106" s="21" t="str" cm="1">
        <f t="array" ref="AT106">IF(OR(Samenvatting!$C106="",ISBLANK(Samenvatting!$C106)),"0,0",IFERROR(SUMPRODUCT((Renteberekening!$B$2:$B$29=Samenvatting!$C106) * (YEAR(Renteberekening!$J$1:$UK$1)=YEAR(Samenvatting!AT$41)) * Renteberekening!$J$2:$UK$29),0))</f>
        <v>0,0</v>
      </c>
      <c r="AU106" s="21" t="str" cm="1">
        <f t="array" ref="AU106">IF(OR(Samenvatting!$C106="",ISBLANK(Samenvatting!$C106)),"0,0",IFERROR(SUMPRODUCT((Renteberekening!$B$2:$B$29=Samenvatting!$C106) * (YEAR(Renteberekening!$J$1:$UK$1)=YEAR(Samenvatting!AU$41)) * Renteberekening!$J$2:$UK$29),0))</f>
        <v>0,0</v>
      </c>
      <c r="AW106" s="1"/>
      <c r="DJ106" s="11"/>
    </row>
    <row r="107" spans="2:114" ht="30" hidden="1" customHeight="1" outlineLevel="1">
      <c r="C107" s="20"/>
      <c r="D107" s="21">
        <v>1</v>
      </c>
      <c r="E107" s="21" t="s">
        <v>10</v>
      </c>
      <c r="F107" s="86"/>
      <c r="G107" s="86"/>
      <c r="H107" s="105">
        <v>7.4999999999999997E-2</v>
      </c>
      <c r="I107" s="69">
        <v>45239</v>
      </c>
      <c r="J107" s="70">
        <f t="shared" si="7"/>
        <v>0</v>
      </c>
      <c r="K107" s="69">
        <v>45239</v>
      </c>
      <c r="L107" s="21" t="str" cm="1">
        <f t="array" ref="L107">IF(OR(Samenvatting!$C107="",ISBLANK(Samenvatting!$C107)),"0,0",IFERROR(SUMPRODUCT((Renteberekening!$B$2:$B$29=Samenvatting!$C107) * (YEAR(Renteberekening!$J$1:$UK$1)=YEAR(Samenvatting!L$41)) * Renteberekening!$J$2:$UK$29),0))</f>
        <v>0,0</v>
      </c>
      <c r="M107" s="21" t="str" cm="1">
        <f t="array" ref="M107">IF(OR(Samenvatting!$C107="",ISBLANK(Samenvatting!$C107)),"0,0",IFERROR(SUMPRODUCT((Renteberekening!$B$2:$B$29=Samenvatting!$C107) * (YEAR(Renteberekening!$J$1:$UK$1)=YEAR(Samenvatting!M$41)) * Renteberekening!$J$2:$UK$29),0))</f>
        <v>0,0</v>
      </c>
      <c r="N107" s="21" t="str" cm="1">
        <f t="array" ref="N107">IF(OR(Samenvatting!$C107="",ISBLANK(Samenvatting!$C107)),"0,0",IFERROR(SUMPRODUCT((Renteberekening!$B$2:$B$29=Samenvatting!$C107) * (YEAR(Renteberekening!$J$1:$UK$1)=YEAR(Samenvatting!N$41)) * Renteberekening!$J$2:$UK$29),0))</f>
        <v>0,0</v>
      </c>
      <c r="O107" s="21" t="str" cm="1">
        <f t="array" ref="O107">IF(OR(Samenvatting!$C107="",ISBLANK(Samenvatting!$C107)),"0,0",IFERROR(SUMPRODUCT((Renteberekening!$B$2:$B$29=Samenvatting!$C107) * (YEAR(Renteberekening!$J$1:$UK$1)=YEAR(Samenvatting!O$41)) * Renteberekening!$J$2:$UK$29),0))</f>
        <v>0,0</v>
      </c>
      <c r="P107" s="21" t="str" cm="1">
        <f t="array" ref="P107">IF(OR(Samenvatting!$C107="",ISBLANK(Samenvatting!$C107)),"0,0",IFERROR(SUMPRODUCT((Renteberekening!$B$2:$B$29=Samenvatting!$C107) * (YEAR(Renteberekening!$J$1:$UK$1)=YEAR(Samenvatting!P$41)) * Renteberekening!$J$2:$UK$29),0))</f>
        <v>0,0</v>
      </c>
      <c r="Q107" s="21" t="str" cm="1">
        <f t="array" ref="Q107">IF(OR(Samenvatting!$C107="",ISBLANK(Samenvatting!$C107)),"0,0",IFERROR(SUMPRODUCT((Renteberekening!$B$2:$B$29=Samenvatting!$C107) * (YEAR(Renteberekening!$J$1:$UK$1)=YEAR(Samenvatting!Q$41)) * Renteberekening!$J$2:$UK$29),0))</f>
        <v>0,0</v>
      </c>
      <c r="R107" s="21" t="str" cm="1">
        <f t="array" ref="R107">IF(OR(Samenvatting!$C107="",ISBLANK(Samenvatting!$C107)),"0,0",IFERROR(SUMPRODUCT((Renteberekening!$B$2:$B$29=Samenvatting!$C107) * (YEAR(Renteberekening!$J$1:$UK$1)=YEAR(Samenvatting!R$41)) * Renteberekening!$J$2:$UK$29),0))</f>
        <v>0,0</v>
      </c>
      <c r="S107" s="21" t="str" cm="1">
        <f t="array" ref="S107">IF(OR(Samenvatting!$C107="",ISBLANK(Samenvatting!$C107)),"0,0",IFERROR(SUMPRODUCT((Renteberekening!$B$2:$B$29=Samenvatting!$C107) * (YEAR(Renteberekening!$J$1:$UK$1)=YEAR(Samenvatting!S$41)) * Renteberekening!$J$2:$UK$29),0))</f>
        <v>0,0</v>
      </c>
      <c r="T107" s="21" t="str" cm="1">
        <f t="array" ref="T107">IF(OR(Samenvatting!$C107="",ISBLANK(Samenvatting!$C107)),"0,0",IFERROR(SUMPRODUCT((Renteberekening!$B$2:$B$29=Samenvatting!$C107) * (YEAR(Renteberekening!$J$1:$UK$1)=YEAR(Samenvatting!T$41)) * Renteberekening!$J$2:$UK$29),0))</f>
        <v>0,0</v>
      </c>
      <c r="U107" s="21" t="str" cm="1">
        <f t="array" ref="U107">IF(OR(Samenvatting!$C107="",ISBLANK(Samenvatting!$C107)),"0,0",IFERROR(SUMPRODUCT((Renteberekening!$B$2:$B$29=Samenvatting!$C107) * (YEAR(Renteberekening!$J$1:$UK$1)=YEAR(Samenvatting!U$41)) * Renteberekening!$J$2:$UK$29),0))</f>
        <v>0,0</v>
      </c>
      <c r="V107" s="21" t="str" cm="1">
        <f t="array" ref="V107">IF(OR(Samenvatting!$C107="",ISBLANK(Samenvatting!$C107)),"0,0",IFERROR(SUMPRODUCT((Renteberekening!$B$2:$B$29=Samenvatting!$C107) * (YEAR(Renteberekening!$J$1:$UK$1)=YEAR(Samenvatting!V$41)) * Renteberekening!$J$2:$UK$29),0))</f>
        <v>0,0</v>
      </c>
      <c r="W107" s="21" t="str" cm="1">
        <f t="array" ref="W107">IF(OR(Samenvatting!$C107="",ISBLANK(Samenvatting!$C107)),"0,0",IFERROR(SUMPRODUCT((Renteberekening!$B$2:$B$29=Samenvatting!$C107) * (YEAR(Renteberekening!$J$1:$UK$1)=YEAR(Samenvatting!W$41)) * Renteberekening!$J$2:$UK$29),0))</f>
        <v>0,0</v>
      </c>
      <c r="X107" s="21" t="str" cm="1">
        <f t="array" ref="X107">IF(OR(Samenvatting!$C107="",ISBLANK(Samenvatting!$C107)),"0,0",IFERROR(SUMPRODUCT((Renteberekening!$B$2:$B$29=Samenvatting!$C107) * (YEAR(Renteberekening!$J$1:$UK$1)=YEAR(Samenvatting!X$41)) * Renteberekening!$J$2:$UK$29),0))</f>
        <v>0,0</v>
      </c>
      <c r="Y107" s="21" t="str" cm="1">
        <f t="array" ref="Y107">IF(OR(Samenvatting!$C107="",ISBLANK(Samenvatting!$C107)),"0,0",IFERROR(SUMPRODUCT((Renteberekening!$B$2:$B$29=Samenvatting!$C107) * (YEAR(Renteberekening!$J$1:$UK$1)=YEAR(Samenvatting!Y$41)) * Renteberekening!$J$2:$UK$29),0))</f>
        <v>0,0</v>
      </c>
      <c r="Z107" s="21" t="str" cm="1">
        <f t="array" ref="Z107">IF(OR(Samenvatting!$C107="",ISBLANK(Samenvatting!$C107)),"0,0",IFERROR(SUMPRODUCT((Renteberekening!$B$2:$B$29=Samenvatting!$C107) * (YEAR(Renteberekening!$J$1:$UK$1)=YEAR(Samenvatting!Z$41)) * Renteberekening!$J$2:$UK$29),0))</f>
        <v>0,0</v>
      </c>
      <c r="AA107" s="21" t="str" cm="1">
        <f t="array" ref="AA107">IF(OR(Samenvatting!$C107="",ISBLANK(Samenvatting!$C107)),"0,0",IFERROR(SUMPRODUCT((Renteberekening!$B$2:$B$29=Samenvatting!$C107) * (YEAR(Renteberekening!$J$1:$UK$1)=YEAR(Samenvatting!AA$41)) * Renteberekening!$J$2:$UK$29),0))</f>
        <v>0,0</v>
      </c>
      <c r="AB107" s="21" t="str" cm="1">
        <f t="array" ref="AB107">IF(OR(Samenvatting!$C107="",ISBLANK(Samenvatting!$C107)),"0,0",IFERROR(SUMPRODUCT((Renteberekening!$B$2:$B$29=Samenvatting!$C107) * (YEAR(Renteberekening!$J$1:$UK$1)=YEAR(Samenvatting!AB$41)) * Renteberekening!$J$2:$UK$29),0))</f>
        <v>0,0</v>
      </c>
      <c r="AC107" s="21" t="str" cm="1">
        <f t="array" ref="AC107">IF(OR(Samenvatting!$C107="",ISBLANK(Samenvatting!$C107)),"0,0",IFERROR(SUMPRODUCT((Renteberekening!$B$2:$B$29=Samenvatting!$C107) * (YEAR(Renteberekening!$J$1:$UK$1)=YEAR(Samenvatting!AC$41)) * Renteberekening!$J$2:$UK$29),0))</f>
        <v>0,0</v>
      </c>
      <c r="AD107" s="21" t="str" cm="1">
        <f t="array" ref="AD107">IF(OR(Samenvatting!$C107="",ISBLANK(Samenvatting!$C107)),"0,0",IFERROR(SUMPRODUCT((Renteberekening!$B$2:$B$29=Samenvatting!$C107) * (YEAR(Renteberekening!$J$1:$UK$1)=YEAR(Samenvatting!AD$41)) * Renteberekening!$J$2:$UK$29),0))</f>
        <v>0,0</v>
      </c>
      <c r="AE107" s="21" t="str" cm="1">
        <f t="array" ref="AE107">IF(OR(Samenvatting!$C107="",ISBLANK(Samenvatting!$C107)),"0,0",IFERROR(SUMPRODUCT((Renteberekening!$B$2:$B$29=Samenvatting!$C107) * (YEAR(Renteberekening!$J$1:$UK$1)=YEAR(Samenvatting!AE$41)) * Renteberekening!$J$2:$UK$29),0))</f>
        <v>0,0</v>
      </c>
      <c r="AF107" s="21" t="str" cm="1">
        <f t="array" ref="AF107">IF(OR(Samenvatting!$C107="",ISBLANK(Samenvatting!$C107)),"0,0",IFERROR(SUMPRODUCT((Renteberekening!$B$2:$B$29=Samenvatting!$C107) * (YEAR(Renteberekening!$J$1:$UK$1)=YEAR(Samenvatting!AF$41)) * Renteberekening!$J$2:$UK$29),0))</f>
        <v>0,0</v>
      </c>
      <c r="AG107" s="21" t="str" cm="1">
        <f t="array" ref="AG107">IF(OR(Samenvatting!$C107="",ISBLANK(Samenvatting!$C107)),"0,0",IFERROR(SUMPRODUCT((Renteberekening!$B$2:$B$29=Samenvatting!$C107) * (YEAR(Renteberekening!$J$1:$UK$1)=YEAR(Samenvatting!AG$41)) * Renteberekening!$J$2:$UK$29),0))</f>
        <v>0,0</v>
      </c>
      <c r="AH107" s="21" t="str" cm="1">
        <f t="array" ref="AH107">IF(OR(Samenvatting!$C107="",ISBLANK(Samenvatting!$C107)),"0,0",IFERROR(SUMPRODUCT((Renteberekening!$B$2:$B$29=Samenvatting!$C107) * (YEAR(Renteberekening!$J$1:$UK$1)=YEAR(Samenvatting!AH$41)) * Renteberekening!$J$2:$UK$29),0))</f>
        <v>0,0</v>
      </c>
      <c r="AI107" s="21" t="str" cm="1">
        <f t="array" ref="AI107">IF(OR(Samenvatting!$C107="",ISBLANK(Samenvatting!$C107)),"0,0",IFERROR(SUMPRODUCT((Renteberekening!$B$2:$B$29=Samenvatting!$C107) * (YEAR(Renteberekening!$J$1:$UK$1)=YEAR(Samenvatting!AI$41)) * Renteberekening!$J$2:$UK$29),0))</f>
        <v>0,0</v>
      </c>
      <c r="AJ107" s="21" t="str" cm="1">
        <f t="array" ref="AJ107">IF(OR(Samenvatting!$C107="",ISBLANK(Samenvatting!$C107)),"0,0",IFERROR(SUMPRODUCT((Renteberekening!$B$2:$B$29=Samenvatting!$C107) * (YEAR(Renteberekening!$J$1:$UK$1)=YEAR(Samenvatting!AJ$41)) * Renteberekening!$J$2:$UK$29),0))</f>
        <v>0,0</v>
      </c>
      <c r="AK107" s="21" t="str" cm="1">
        <f t="array" ref="AK107">IF(OR(Samenvatting!$C107="",ISBLANK(Samenvatting!$C107)),"0,0",IFERROR(SUMPRODUCT((Renteberekening!$B$2:$B$29=Samenvatting!$C107) * (YEAR(Renteberekening!$J$1:$UK$1)=YEAR(Samenvatting!AK$41)) * Renteberekening!$J$2:$UK$29),0))</f>
        <v>0,0</v>
      </c>
      <c r="AL107" s="21" t="str" cm="1">
        <f t="array" ref="AL107">IF(OR(Samenvatting!$C107="",ISBLANK(Samenvatting!$C107)),"0,0",IFERROR(SUMPRODUCT((Renteberekening!$B$2:$B$29=Samenvatting!$C107) * (YEAR(Renteberekening!$J$1:$UK$1)=YEAR(Samenvatting!AL$41)) * Renteberekening!$J$2:$UK$29),0))</f>
        <v>0,0</v>
      </c>
      <c r="AM107" s="21" t="str" cm="1">
        <f t="array" ref="AM107">IF(OR(Samenvatting!$C107="",ISBLANK(Samenvatting!$C107)),"0,0",IFERROR(SUMPRODUCT((Renteberekening!$B$2:$B$29=Samenvatting!$C107) * (YEAR(Renteberekening!$J$1:$UK$1)=YEAR(Samenvatting!AM$41)) * Renteberekening!$J$2:$UK$29),0))</f>
        <v>0,0</v>
      </c>
      <c r="AN107" s="21" t="str" cm="1">
        <f t="array" ref="AN107">IF(OR(Samenvatting!$C107="",ISBLANK(Samenvatting!$C107)),"0,0",IFERROR(SUMPRODUCT((Renteberekening!$B$2:$B$29=Samenvatting!$C107) * (YEAR(Renteberekening!$J$1:$UK$1)=YEAR(Samenvatting!AN$41)) * Renteberekening!$J$2:$UK$29),0))</f>
        <v>0,0</v>
      </c>
      <c r="AO107" s="21" t="str" cm="1">
        <f t="array" ref="AO107">IF(OR(Samenvatting!$C107="",ISBLANK(Samenvatting!$C107)),"0,0",IFERROR(SUMPRODUCT((Renteberekening!$B$2:$B$29=Samenvatting!$C107) * (YEAR(Renteberekening!$J$1:$UK$1)=YEAR(Samenvatting!AO$41)) * Renteberekening!$J$2:$UK$29),0))</f>
        <v>0,0</v>
      </c>
      <c r="AP107" s="21" t="str" cm="1">
        <f t="array" ref="AP107">IF(OR(Samenvatting!$C107="",ISBLANK(Samenvatting!$C107)),"0,0",IFERROR(SUMPRODUCT((Renteberekening!$B$2:$B$29=Samenvatting!$C107) * (YEAR(Renteberekening!$J$1:$UK$1)=YEAR(Samenvatting!AP$41)) * Renteberekening!$J$2:$UK$29),0))</f>
        <v>0,0</v>
      </c>
      <c r="AQ107" s="21" t="str" cm="1">
        <f t="array" ref="AQ107">IF(OR(Samenvatting!$C107="",ISBLANK(Samenvatting!$C107)),"0,0",IFERROR(SUMPRODUCT((Renteberekening!$B$2:$B$29=Samenvatting!$C107) * (YEAR(Renteberekening!$J$1:$UK$1)=YEAR(Samenvatting!AQ$41)) * Renteberekening!$J$2:$UK$29),0))</f>
        <v>0,0</v>
      </c>
      <c r="AR107" s="21" t="str" cm="1">
        <f t="array" ref="AR107">IF(OR(Samenvatting!$C107="",ISBLANK(Samenvatting!$C107)),"0,0",IFERROR(SUMPRODUCT((Renteberekening!$B$2:$B$29=Samenvatting!$C107) * (YEAR(Renteberekening!$J$1:$UK$1)=YEAR(Samenvatting!AR$41)) * Renteberekening!$J$2:$UK$29),0))</f>
        <v>0,0</v>
      </c>
      <c r="AS107" s="21" t="str" cm="1">
        <f t="array" ref="AS107">IF(OR(Samenvatting!$C107="",ISBLANK(Samenvatting!$C107)),"0,0",IFERROR(SUMPRODUCT((Renteberekening!$B$2:$B$29=Samenvatting!$C107) * (YEAR(Renteberekening!$J$1:$UK$1)=YEAR(Samenvatting!AS$41)) * Renteberekening!$J$2:$UK$29),0))</f>
        <v>0,0</v>
      </c>
      <c r="AT107" s="21" t="str" cm="1">
        <f t="array" ref="AT107">IF(OR(Samenvatting!$C107="",ISBLANK(Samenvatting!$C107)),"0,0",IFERROR(SUMPRODUCT((Renteberekening!$B$2:$B$29=Samenvatting!$C107) * (YEAR(Renteberekening!$J$1:$UK$1)=YEAR(Samenvatting!AT$41)) * Renteberekening!$J$2:$UK$29),0))</f>
        <v>0,0</v>
      </c>
      <c r="AU107" s="21" t="str" cm="1">
        <f t="array" ref="AU107">IF(OR(Samenvatting!$C107="",ISBLANK(Samenvatting!$C107)),"0,0",IFERROR(SUMPRODUCT((Renteberekening!$B$2:$B$29=Samenvatting!$C107) * (YEAR(Renteberekening!$J$1:$UK$1)=YEAR(Samenvatting!AU$41)) * Renteberekening!$J$2:$UK$29),0))</f>
        <v>0,0</v>
      </c>
      <c r="AW107" s="1"/>
      <c r="DJ107" s="11"/>
    </row>
    <row r="108" spans="2:114" ht="30" hidden="1" customHeight="1" outlineLevel="1">
      <c r="C108" s="20"/>
      <c r="D108" s="21">
        <v>1</v>
      </c>
      <c r="E108" s="21" t="s">
        <v>10</v>
      </c>
      <c r="F108" s="86"/>
      <c r="G108" s="86"/>
      <c r="H108" s="105">
        <v>7.4999999999999997E-2</v>
      </c>
      <c r="I108" s="69">
        <v>45292</v>
      </c>
      <c r="J108" s="70">
        <f t="shared" si="7"/>
        <v>1</v>
      </c>
      <c r="K108" s="69">
        <v>45867</v>
      </c>
      <c r="L108" s="21" t="str" cm="1">
        <f t="array" ref="L108">IF(OR(Samenvatting!$C108="",ISBLANK(Samenvatting!$C108)),"0,0",IFERROR(SUMPRODUCT((Renteberekening!$B$2:$B$29=Samenvatting!$C108) * (YEAR(Renteberekening!$J$1:$UK$1)=YEAR(Samenvatting!L$41)) * Renteberekening!$J$2:$UK$29),0))</f>
        <v>0,0</v>
      </c>
      <c r="M108" s="21" t="str" cm="1">
        <f t="array" ref="M108">IF(OR(Samenvatting!$C108="",ISBLANK(Samenvatting!$C108)),"0,0",IFERROR(SUMPRODUCT((Renteberekening!$B$2:$B$29=Samenvatting!$C108) * (YEAR(Renteberekening!$J$1:$UK$1)=YEAR(Samenvatting!M$41)) * Renteberekening!$J$2:$UK$29),0))</f>
        <v>0,0</v>
      </c>
      <c r="N108" s="21" t="str" cm="1">
        <f t="array" ref="N108">IF(OR(Samenvatting!$C108="",ISBLANK(Samenvatting!$C108)),"0,0",IFERROR(SUMPRODUCT((Renteberekening!$B$2:$B$29=Samenvatting!$C108) * (YEAR(Renteberekening!$J$1:$UK$1)=YEAR(Samenvatting!N$41)) * Renteberekening!$J$2:$UK$29),0))</f>
        <v>0,0</v>
      </c>
      <c r="O108" s="21" t="str" cm="1">
        <f t="array" ref="O108">IF(OR(Samenvatting!$C108="",ISBLANK(Samenvatting!$C108)),"0,0",IFERROR(SUMPRODUCT((Renteberekening!$B$2:$B$29=Samenvatting!$C108) * (YEAR(Renteberekening!$J$1:$UK$1)=YEAR(Samenvatting!O$41)) * Renteberekening!$J$2:$UK$29),0))</f>
        <v>0,0</v>
      </c>
      <c r="P108" s="21" t="str" cm="1">
        <f t="array" ref="P108">IF(OR(Samenvatting!$C108="",ISBLANK(Samenvatting!$C108)),"0,0",IFERROR(SUMPRODUCT((Renteberekening!$B$2:$B$29=Samenvatting!$C108) * (YEAR(Renteberekening!$J$1:$UK$1)=YEAR(Samenvatting!P$41)) * Renteberekening!$J$2:$UK$29),0))</f>
        <v>0,0</v>
      </c>
      <c r="Q108" s="21" t="str" cm="1">
        <f t="array" ref="Q108">IF(OR(Samenvatting!$C108="",ISBLANK(Samenvatting!$C108)),"0,0",IFERROR(SUMPRODUCT((Renteberekening!$B$2:$B$29=Samenvatting!$C108) * (YEAR(Renteberekening!$J$1:$UK$1)=YEAR(Samenvatting!Q$41)) * Renteberekening!$J$2:$UK$29),0))</f>
        <v>0,0</v>
      </c>
      <c r="R108" s="21" t="str" cm="1">
        <f t="array" ref="R108">IF(OR(Samenvatting!$C108="",ISBLANK(Samenvatting!$C108)),"0,0",IFERROR(SUMPRODUCT((Renteberekening!$B$2:$B$29=Samenvatting!$C108) * (YEAR(Renteberekening!$J$1:$UK$1)=YEAR(Samenvatting!R$41)) * Renteberekening!$J$2:$UK$29),0))</f>
        <v>0,0</v>
      </c>
      <c r="S108" s="21" t="str" cm="1">
        <f t="array" ref="S108">IF(OR(Samenvatting!$C108="",ISBLANK(Samenvatting!$C108)),"0,0",IFERROR(SUMPRODUCT((Renteberekening!$B$2:$B$29=Samenvatting!$C108) * (YEAR(Renteberekening!$J$1:$UK$1)=YEAR(Samenvatting!S$41)) * Renteberekening!$J$2:$UK$29),0))</f>
        <v>0,0</v>
      </c>
      <c r="T108" s="21" t="str" cm="1">
        <f t="array" ref="T108">IF(OR(Samenvatting!$C108="",ISBLANK(Samenvatting!$C108)),"0,0",IFERROR(SUMPRODUCT((Renteberekening!$B$2:$B$29=Samenvatting!$C108) * (YEAR(Renteberekening!$J$1:$UK$1)=YEAR(Samenvatting!T$41)) * Renteberekening!$J$2:$UK$29),0))</f>
        <v>0,0</v>
      </c>
      <c r="U108" s="21" t="str" cm="1">
        <f t="array" ref="U108">IF(OR(Samenvatting!$C108="",ISBLANK(Samenvatting!$C108)),"0,0",IFERROR(SUMPRODUCT((Renteberekening!$B$2:$B$29=Samenvatting!$C108) * (YEAR(Renteberekening!$J$1:$UK$1)=YEAR(Samenvatting!U$41)) * Renteberekening!$J$2:$UK$29),0))</f>
        <v>0,0</v>
      </c>
      <c r="V108" s="21" t="str" cm="1">
        <f t="array" ref="V108">IF(OR(Samenvatting!$C108="",ISBLANK(Samenvatting!$C108)),"0,0",IFERROR(SUMPRODUCT((Renteberekening!$B$2:$B$29=Samenvatting!$C108) * (YEAR(Renteberekening!$J$1:$UK$1)=YEAR(Samenvatting!V$41)) * Renteberekening!$J$2:$UK$29),0))</f>
        <v>0,0</v>
      </c>
      <c r="W108" s="21" t="str" cm="1">
        <f t="array" ref="W108">IF(OR(Samenvatting!$C108="",ISBLANK(Samenvatting!$C108)),"0,0",IFERROR(SUMPRODUCT((Renteberekening!$B$2:$B$29=Samenvatting!$C108) * (YEAR(Renteberekening!$J$1:$UK$1)=YEAR(Samenvatting!W$41)) * Renteberekening!$J$2:$UK$29),0))</f>
        <v>0,0</v>
      </c>
      <c r="X108" s="21" t="str" cm="1">
        <f t="array" ref="X108">IF(OR(Samenvatting!$C108="",ISBLANK(Samenvatting!$C108)),"0,0",IFERROR(SUMPRODUCT((Renteberekening!$B$2:$B$29=Samenvatting!$C108) * (YEAR(Renteberekening!$J$1:$UK$1)=YEAR(Samenvatting!X$41)) * Renteberekening!$J$2:$UK$29),0))</f>
        <v>0,0</v>
      </c>
      <c r="Y108" s="21" t="str" cm="1">
        <f t="array" ref="Y108">IF(OR(Samenvatting!$C108="",ISBLANK(Samenvatting!$C108)),"0,0",IFERROR(SUMPRODUCT((Renteberekening!$B$2:$B$29=Samenvatting!$C108) * (YEAR(Renteberekening!$J$1:$UK$1)=YEAR(Samenvatting!Y$41)) * Renteberekening!$J$2:$UK$29),0))</f>
        <v>0,0</v>
      </c>
      <c r="Z108" s="21" t="str" cm="1">
        <f t="array" ref="Z108">IF(OR(Samenvatting!$C108="",ISBLANK(Samenvatting!$C108)),"0,0",IFERROR(SUMPRODUCT((Renteberekening!$B$2:$B$29=Samenvatting!$C108) * (YEAR(Renteberekening!$J$1:$UK$1)=YEAR(Samenvatting!Z$41)) * Renteberekening!$J$2:$UK$29),0))</f>
        <v>0,0</v>
      </c>
      <c r="AA108" s="21" t="str" cm="1">
        <f t="array" ref="AA108">IF(OR(Samenvatting!$C108="",ISBLANK(Samenvatting!$C108)),"0,0",IFERROR(SUMPRODUCT((Renteberekening!$B$2:$B$29=Samenvatting!$C108) * (YEAR(Renteberekening!$J$1:$UK$1)=YEAR(Samenvatting!AA$41)) * Renteberekening!$J$2:$UK$29),0))</f>
        <v>0,0</v>
      </c>
      <c r="AB108" s="21" t="str" cm="1">
        <f t="array" ref="AB108">IF(OR(Samenvatting!$C108="",ISBLANK(Samenvatting!$C108)),"0,0",IFERROR(SUMPRODUCT((Renteberekening!$B$2:$B$29=Samenvatting!$C108) * (YEAR(Renteberekening!$J$1:$UK$1)=YEAR(Samenvatting!AB$41)) * Renteberekening!$J$2:$UK$29),0))</f>
        <v>0,0</v>
      </c>
      <c r="AC108" s="21" t="str" cm="1">
        <f t="array" ref="AC108">IF(OR(Samenvatting!$C108="",ISBLANK(Samenvatting!$C108)),"0,0",IFERROR(SUMPRODUCT((Renteberekening!$B$2:$B$29=Samenvatting!$C108) * (YEAR(Renteberekening!$J$1:$UK$1)=YEAR(Samenvatting!AC$41)) * Renteberekening!$J$2:$UK$29),0))</f>
        <v>0,0</v>
      </c>
      <c r="AD108" s="21" t="str" cm="1">
        <f t="array" ref="AD108">IF(OR(Samenvatting!$C108="",ISBLANK(Samenvatting!$C108)),"0,0",IFERROR(SUMPRODUCT((Renteberekening!$B$2:$B$29=Samenvatting!$C108) * (YEAR(Renteberekening!$J$1:$UK$1)=YEAR(Samenvatting!AD$41)) * Renteberekening!$J$2:$UK$29),0))</f>
        <v>0,0</v>
      </c>
      <c r="AE108" s="21" t="str" cm="1">
        <f t="array" ref="AE108">IF(OR(Samenvatting!$C108="",ISBLANK(Samenvatting!$C108)),"0,0",IFERROR(SUMPRODUCT((Renteberekening!$B$2:$B$29=Samenvatting!$C108) * (YEAR(Renteberekening!$J$1:$UK$1)=YEAR(Samenvatting!AE$41)) * Renteberekening!$J$2:$UK$29),0))</f>
        <v>0,0</v>
      </c>
      <c r="AF108" s="21" t="str" cm="1">
        <f t="array" ref="AF108">IF(OR(Samenvatting!$C108="",ISBLANK(Samenvatting!$C108)),"0,0",IFERROR(SUMPRODUCT((Renteberekening!$B$2:$B$29=Samenvatting!$C108) * (YEAR(Renteberekening!$J$1:$UK$1)=YEAR(Samenvatting!AF$41)) * Renteberekening!$J$2:$UK$29),0))</f>
        <v>0,0</v>
      </c>
      <c r="AG108" s="21" t="str" cm="1">
        <f t="array" ref="AG108">IF(OR(Samenvatting!$C108="",ISBLANK(Samenvatting!$C108)),"0,0",IFERROR(SUMPRODUCT((Renteberekening!$B$2:$B$29=Samenvatting!$C108) * (YEAR(Renteberekening!$J$1:$UK$1)=YEAR(Samenvatting!AG$41)) * Renteberekening!$J$2:$UK$29),0))</f>
        <v>0,0</v>
      </c>
      <c r="AH108" s="21" t="str" cm="1">
        <f t="array" ref="AH108">IF(OR(Samenvatting!$C108="",ISBLANK(Samenvatting!$C108)),"0,0",IFERROR(SUMPRODUCT((Renteberekening!$B$2:$B$29=Samenvatting!$C108) * (YEAR(Renteberekening!$J$1:$UK$1)=YEAR(Samenvatting!AH$41)) * Renteberekening!$J$2:$UK$29),0))</f>
        <v>0,0</v>
      </c>
      <c r="AI108" s="21" t="str" cm="1">
        <f t="array" ref="AI108">IF(OR(Samenvatting!$C108="",ISBLANK(Samenvatting!$C108)),"0,0",IFERROR(SUMPRODUCT((Renteberekening!$B$2:$B$29=Samenvatting!$C108) * (YEAR(Renteberekening!$J$1:$UK$1)=YEAR(Samenvatting!AI$41)) * Renteberekening!$J$2:$UK$29),0))</f>
        <v>0,0</v>
      </c>
      <c r="AJ108" s="21" t="str" cm="1">
        <f t="array" ref="AJ108">IF(OR(Samenvatting!$C108="",ISBLANK(Samenvatting!$C108)),"0,0",IFERROR(SUMPRODUCT((Renteberekening!$B$2:$B$29=Samenvatting!$C108) * (YEAR(Renteberekening!$J$1:$UK$1)=YEAR(Samenvatting!AJ$41)) * Renteberekening!$J$2:$UK$29),0))</f>
        <v>0,0</v>
      </c>
      <c r="AK108" s="21" t="str" cm="1">
        <f t="array" ref="AK108">IF(OR(Samenvatting!$C108="",ISBLANK(Samenvatting!$C108)),"0,0",IFERROR(SUMPRODUCT((Renteberekening!$B$2:$B$29=Samenvatting!$C108) * (YEAR(Renteberekening!$J$1:$UK$1)=YEAR(Samenvatting!AK$41)) * Renteberekening!$J$2:$UK$29),0))</f>
        <v>0,0</v>
      </c>
      <c r="AL108" s="21" t="str" cm="1">
        <f t="array" ref="AL108">IF(OR(Samenvatting!$C108="",ISBLANK(Samenvatting!$C108)),"0,0",IFERROR(SUMPRODUCT((Renteberekening!$B$2:$B$29=Samenvatting!$C108) * (YEAR(Renteberekening!$J$1:$UK$1)=YEAR(Samenvatting!AL$41)) * Renteberekening!$J$2:$UK$29),0))</f>
        <v>0,0</v>
      </c>
      <c r="AM108" s="21" t="str" cm="1">
        <f t="array" ref="AM108">IF(OR(Samenvatting!$C108="",ISBLANK(Samenvatting!$C108)),"0,0",IFERROR(SUMPRODUCT((Renteberekening!$B$2:$B$29=Samenvatting!$C108) * (YEAR(Renteberekening!$J$1:$UK$1)=YEAR(Samenvatting!AM$41)) * Renteberekening!$J$2:$UK$29),0))</f>
        <v>0,0</v>
      </c>
      <c r="AN108" s="21" t="str" cm="1">
        <f t="array" ref="AN108">IF(OR(Samenvatting!$C108="",ISBLANK(Samenvatting!$C108)),"0,0",IFERROR(SUMPRODUCT((Renteberekening!$B$2:$B$29=Samenvatting!$C108) * (YEAR(Renteberekening!$J$1:$UK$1)=YEAR(Samenvatting!AN$41)) * Renteberekening!$J$2:$UK$29),0))</f>
        <v>0,0</v>
      </c>
      <c r="AO108" s="21" t="str" cm="1">
        <f t="array" ref="AO108">IF(OR(Samenvatting!$C108="",ISBLANK(Samenvatting!$C108)),"0,0",IFERROR(SUMPRODUCT((Renteberekening!$B$2:$B$29=Samenvatting!$C108) * (YEAR(Renteberekening!$J$1:$UK$1)=YEAR(Samenvatting!AO$41)) * Renteberekening!$J$2:$UK$29),0))</f>
        <v>0,0</v>
      </c>
      <c r="AP108" s="21" t="str" cm="1">
        <f t="array" ref="AP108">IF(OR(Samenvatting!$C108="",ISBLANK(Samenvatting!$C108)),"0,0",IFERROR(SUMPRODUCT((Renteberekening!$B$2:$B$29=Samenvatting!$C108) * (YEAR(Renteberekening!$J$1:$UK$1)=YEAR(Samenvatting!AP$41)) * Renteberekening!$J$2:$UK$29),0))</f>
        <v>0,0</v>
      </c>
      <c r="AQ108" s="21" t="str" cm="1">
        <f t="array" ref="AQ108">IF(OR(Samenvatting!$C108="",ISBLANK(Samenvatting!$C108)),"0,0",IFERROR(SUMPRODUCT((Renteberekening!$B$2:$B$29=Samenvatting!$C108) * (YEAR(Renteberekening!$J$1:$UK$1)=YEAR(Samenvatting!AQ$41)) * Renteberekening!$J$2:$UK$29),0))</f>
        <v>0,0</v>
      </c>
      <c r="AR108" s="21" t="str" cm="1">
        <f t="array" ref="AR108">IF(OR(Samenvatting!$C108="",ISBLANK(Samenvatting!$C108)),"0,0",IFERROR(SUMPRODUCT((Renteberekening!$B$2:$B$29=Samenvatting!$C108) * (YEAR(Renteberekening!$J$1:$UK$1)=YEAR(Samenvatting!AR$41)) * Renteberekening!$J$2:$UK$29),0))</f>
        <v>0,0</v>
      </c>
      <c r="AS108" s="21" t="str" cm="1">
        <f t="array" ref="AS108">IF(OR(Samenvatting!$C108="",ISBLANK(Samenvatting!$C108)),"0,0",IFERROR(SUMPRODUCT((Renteberekening!$B$2:$B$29=Samenvatting!$C108) * (YEAR(Renteberekening!$J$1:$UK$1)=YEAR(Samenvatting!AS$41)) * Renteberekening!$J$2:$UK$29),0))</f>
        <v>0,0</v>
      </c>
      <c r="AT108" s="21" t="str" cm="1">
        <f t="array" ref="AT108">IF(OR(Samenvatting!$C108="",ISBLANK(Samenvatting!$C108)),"0,0",IFERROR(SUMPRODUCT((Renteberekening!$B$2:$B$29=Samenvatting!$C108) * (YEAR(Renteberekening!$J$1:$UK$1)=YEAR(Samenvatting!AT$41)) * Renteberekening!$J$2:$UK$29),0))</f>
        <v>0,0</v>
      </c>
      <c r="AU108" s="21" t="str" cm="1">
        <f t="array" ref="AU108">IF(OR(Samenvatting!$C108="",ISBLANK(Samenvatting!$C108)),"0,0",IFERROR(SUMPRODUCT((Renteberekening!$B$2:$B$29=Samenvatting!$C108) * (YEAR(Renteberekening!$J$1:$UK$1)=YEAR(Samenvatting!AU$41)) * Renteberekening!$J$2:$UK$29),0))</f>
        <v>0,0</v>
      </c>
      <c r="AW108" s="1"/>
      <c r="DJ108" s="11"/>
    </row>
    <row r="109" spans="2:114" ht="30" hidden="1" customHeight="1" outlineLevel="1">
      <c r="C109" s="20"/>
      <c r="D109" s="21">
        <v>1</v>
      </c>
      <c r="E109" s="21" t="s">
        <v>10</v>
      </c>
      <c r="F109" s="83"/>
      <c r="G109" s="83"/>
      <c r="H109" s="105">
        <v>7.4999999999999997E-2</v>
      </c>
      <c r="I109" s="69">
        <v>45292</v>
      </c>
      <c r="J109" s="70">
        <f t="shared" si="7"/>
        <v>2</v>
      </c>
      <c r="K109" s="69">
        <v>46060</v>
      </c>
      <c r="L109" s="21" t="str" cm="1">
        <f t="array" ref="L109">IF(OR(Samenvatting!$C109="",ISBLANK(Samenvatting!$C109)),"0,0",IFERROR(SUMPRODUCT((Renteberekening!$B$2:$B$29=Samenvatting!$C109) * (YEAR(Renteberekening!$J$1:$UK$1)=YEAR(Samenvatting!L$41)) * Renteberekening!$J$2:$UK$29),0))</f>
        <v>0,0</v>
      </c>
      <c r="M109" s="21" t="str" cm="1">
        <f t="array" ref="M109">IF(OR(Samenvatting!$C109="",ISBLANK(Samenvatting!$C109)),"0,0",IFERROR(SUMPRODUCT((Renteberekening!$B$2:$B$29=Samenvatting!$C109) * (YEAR(Renteberekening!$J$1:$UK$1)=YEAR(Samenvatting!M$41)) * Renteberekening!$J$2:$UK$29),0))</f>
        <v>0,0</v>
      </c>
      <c r="N109" s="21" t="str" cm="1">
        <f t="array" ref="N109">IF(OR(Samenvatting!$C109="",ISBLANK(Samenvatting!$C109)),"0,0",IFERROR(SUMPRODUCT((Renteberekening!$B$2:$B$29=Samenvatting!$C109) * (YEAR(Renteberekening!$J$1:$UK$1)=YEAR(Samenvatting!N$41)) * Renteberekening!$J$2:$UK$29),0))</f>
        <v>0,0</v>
      </c>
      <c r="O109" s="21" t="str" cm="1">
        <f t="array" ref="O109">IF(OR(Samenvatting!$C109="",ISBLANK(Samenvatting!$C109)),"0,0",IFERROR(SUMPRODUCT((Renteberekening!$B$2:$B$29=Samenvatting!$C109) * (YEAR(Renteberekening!$J$1:$UK$1)=YEAR(Samenvatting!O$41)) * Renteberekening!$J$2:$UK$29),0))</f>
        <v>0,0</v>
      </c>
      <c r="P109" s="21" t="str" cm="1">
        <f t="array" ref="P109">IF(OR(Samenvatting!$C109="",ISBLANK(Samenvatting!$C109)),"0,0",IFERROR(SUMPRODUCT((Renteberekening!$B$2:$B$29=Samenvatting!$C109) * (YEAR(Renteberekening!$J$1:$UK$1)=YEAR(Samenvatting!P$41)) * Renteberekening!$J$2:$UK$29),0))</f>
        <v>0,0</v>
      </c>
      <c r="Q109" s="21" t="str" cm="1">
        <f t="array" ref="Q109">IF(OR(Samenvatting!$C109="",ISBLANK(Samenvatting!$C109)),"0,0",IFERROR(SUMPRODUCT((Renteberekening!$B$2:$B$29=Samenvatting!$C109) * (YEAR(Renteberekening!$J$1:$UK$1)=YEAR(Samenvatting!Q$41)) * Renteberekening!$J$2:$UK$29),0))</f>
        <v>0,0</v>
      </c>
      <c r="R109" s="21" t="str" cm="1">
        <f t="array" ref="R109">IF(OR(Samenvatting!$C109="",ISBLANK(Samenvatting!$C109)),"0,0",IFERROR(SUMPRODUCT((Renteberekening!$B$2:$B$29=Samenvatting!$C109) * (YEAR(Renteberekening!$J$1:$UK$1)=YEAR(Samenvatting!R$41)) * Renteberekening!$J$2:$UK$29),0))</f>
        <v>0,0</v>
      </c>
      <c r="S109" s="21" t="str" cm="1">
        <f t="array" ref="S109">IF(OR(Samenvatting!$C109="",ISBLANK(Samenvatting!$C109)),"0,0",IFERROR(SUMPRODUCT((Renteberekening!$B$2:$B$29=Samenvatting!$C109) * (YEAR(Renteberekening!$J$1:$UK$1)=YEAR(Samenvatting!S$41)) * Renteberekening!$J$2:$UK$29),0))</f>
        <v>0,0</v>
      </c>
      <c r="T109" s="21" t="str" cm="1">
        <f t="array" ref="T109">IF(OR(Samenvatting!$C109="",ISBLANK(Samenvatting!$C109)),"0,0",IFERROR(SUMPRODUCT((Renteberekening!$B$2:$B$29=Samenvatting!$C109) * (YEAR(Renteberekening!$J$1:$UK$1)=YEAR(Samenvatting!T$41)) * Renteberekening!$J$2:$UK$29),0))</f>
        <v>0,0</v>
      </c>
      <c r="U109" s="21" t="str" cm="1">
        <f t="array" ref="U109">IF(OR(Samenvatting!$C109="",ISBLANK(Samenvatting!$C109)),"0,0",IFERROR(SUMPRODUCT((Renteberekening!$B$2:$B$29=Samenvatting!$C109) * (YEAR(Renteberekening!$J$1:$UK$1)=YEAR(Samenvatting!U$41)) * Renteberekening!$J$2:$UK$29),0))</f>
        <v>0,0</v>
      </c>
      <c r="V109" s="21" t="str" cm="1">
        <f t="array" ref="V109">IF(OR(Samenvatting!$C109="",ISBLANK(Samenvatting!$C109)),"0,0",IFERROR(SUMPRODUCT((Renteberekening!$B$2:$B$29=Samenvatting!$C109) * (YEAR(Renteberekening!$J$1:$UK$1)=YEAR(Samenvatting!V$41)) * Renteberekening!$J$2:$UK$29),0))</f>
        <v>0,0</v>
      </c>
      <c r="W109" s="21" t="str" cm="1">
        <f t="array" ref="W109">IF(OR(Samenvatting!$C109="",ISBLANK(Samenvatting!$C109)),"0,0",IFERROR(SUMPRODUCT((Renteberekening!$B$2:$B$29=Samenvatting!$C109) * (YEAR(Renteberekening!$J$1:$UK$1)=YEAR(Samenvatting!W$41)) * Renteberekening!$J$2:$UK$29),0))</f>
        <v>0,0</v>
      </c>
      <c r="X109" s="21" t="str" cm="1">
        <f t="array" ref="X109">IF(OR(Samenvatting!$C109="",ISBLANK(Samenvatting!$C109)),"0,0",IFERROR(SUMPRODUCT((Renteberekening!$B$2:$B$29=Samenvatting!$C109) * (YEAR(Renteberekening!$J$1:$UK$1)=YEAR(Samenvatting!X$41)) * Renteberekening!$J$2:$UK$29),0))</f>
        <v>0,0</v>
      </c>
      <c r="Y109" s="21" t="str" cm="1">
        <f t="array" ref="Y109">IF(OR(Samenvatting!$C109="",ISBLANK(Samenvatting!$C109)),"0,0",IFERROR(SUMPRODUCT((Renteberekening!$B$2:$B$29=Samenvatting!$C109) * (YEAR(Renteberekening!$J$1:$UK$1)=YEAR(Samenvatting!Y$41)) * Renteberekening!$J$2:$UK$29),0))</f>
        <v>0,0</v>
      </c>
      <c r="Z109" s="21" t="str" cm="1">
        <f t="array" ref="Z109">IF(OR(Samenvatting!$C109="",ISBLANK(Samenvatting!$C109)),"0,0",IFERROR(SUMPRODUCT((Renteberekening!$B$2:$B$29=Samenvatting!$C109) * (YEAR(Renteberekening!$J$1:$UK$1)=YEAR(Samenvatting!Z$41)) * Renteberekening!$J$2:$UK$29),0))</f>
        <v>0,0</v>
      </c>
      <c r="AA109" s="21" t="str" cm="1">
        <f t="array" ref="AA109">IF(OR(Samenvatting!$C109="",ISBLANK(Samenvatting!$C109)),"0,0",IFERROR(SUMPRODUCT((Renteberekening!$B$2:$B$29=Samenvatting!$C109) * (YEAR(Renteberekening!$J$1:$UK$1)=YEAR(Samenvatting!AA$41)) * Renteberekening!$J$2:$UK$29),0))</f>
        <v>0,0</v>
      </c>
      <c r="AB109" s="21" t="str" cm="1">
        <f t="array" ref="AB109">IF(OR(Samenvatting!$C109="",ISBLANK(Samenvatting!$C109)),"0,0",IFERROR(SUMPRODUCT((Renteberekening!$B$2:$B$29=Samenvatting!$C109) * (YEAR(Renteberekening!$J$1:$UK$1)=YEAR(Samenvatting!AB$41)) * Renteberekening!$J$2:$UK$29),0))</f>
        <v>0,0</v>
      </c>
      <c r="AC109" s="21" t="str" cm="1">
        <f t="array" ref="AC109">IF(OR(Samenvatting!$C109="",ISBLANK(Samenvatting!$C109)),"0,0",IFERROR(SUMPRODUCT((Renteberekening!$B$2:$B$29=Samenvatting!$C109) * (YEAR(Renteberekening!$J$1:$UK$1)=YEAR(Samenvatting!AC$41)) * Renteberekening!$J$2:$UK$29),0))</f>
        <v>0,0</v>
      </c>
      <c r="AD109" s="21" t="str" cm="1">
        <f t="array" ref="AD109">IF(OR(Samenvatting!$C109="",ISBLANK(Samenvatting!$C109)),"0,0",IFERROR(SUMPRODUCT((Renteberekening!$B$2:$B$29=Samenvatting!$C109) * (YEAR(Renteberekening!$J$1:$UK$1)=YEAR(Samenvatting!AD$41)) * Renteberekening!$J$2:$UK$29),0))</f>
        <v>0,0</v>
      </c>
      <c r="AE109" s="21" t="str" cm="1">
        <f t="array" ref="AE109">IF(OR(Samenvatting!$C109="",ISBLANK(Samenvatting!$C109)),"0,0",IFERROR(SUMPRODUCT((Renteberekening!$B$2:$B$29=Samenvatting!$C109) * (YEAR(Renteberekening!$J$1:$UK$1)=YEAR(Samenvatting!AE$41)) * Renteberekening!$J$2:$UK$29),0))</f>
        <v>0,0</v>
      </c>
      <c r="AF109" s="21" t="str" cm="1">
        <f t="array" ref="AF109">IF(OR(Samenvatting!$C109="",ISBLANK(Samenvatting!$C109)),"0,0",IFERROR(SUMPRODUCT((Renteberekening!$B$2:$B$29=Samenvatting!$C109) * (YEAR(Renteberekening!$J$1:$UK$1)=YEAR(Samenvatting!AF$41)) * Renteberekening!$J$2:$UK$29),0))</f>
        <v>0,0</v>
      </c>
      <c r="AG109" s="21" t="str" cm="1">
        <f t="array" ref="AG109">IF(OR(Samenvatting!$C109="",ISBLANK(Samenvatting!$C109)),"0,0",IFERROR(SUMPRODUCT((Renteberekening!$B$2:$B$29=Samenvatting!$C109) * (YEAR(Renteberekening!$J$1:$UK$1)=YEAR(Samenvatting!AG$41)) * Renteberekening!$J$2:$UK$29),0))</f>
        <v>0,0</v>
      </c>
      <c r="AH109" s="21" t="str" cm="1">
        <f t="array" ref="AH109">IF(OR(Samenvatting!$C109="",ISBLANK(Samenvatting!$C109)),"0,0",IFERROR(SUMPRODUCT((Renteberekening!$B$2:$B$29=Samenvatting!$C109) * (YEAR(Renteberekening!$J$1:$UK$1)=YEAR(Samenvatting!AH$41)) * Renteberekening!$J$2:$UK$29),0))</f>
        <v>0,0</v>
      </c>
      <c r="AI109" s="21" t="str" cm="1">
        <f t="array" ref="AI109">IF(OR(Samenvatting!$C109="",ISBLANK(Samenvatting!$C109)),"0,0",IFERROR(SUMPRODUCT((Renteberekening!$B$2:$B$29=Samenvatting!$C109) * (YEAR(Renteberekening!$J$1:$UK$1)=YEAR(Samenvatting!AI$41)) * Renteberekening!$J$2:$UK$29),0))</f>
        <v>0,0</v>
      </c>
      <c r="AJ109" s="21" t="str" cm="1">
        <f t="array" ref="AJ109">IF(OR(Samenvatting!$C109="",ISBLANK(Samenvatting!$C109)),"0,0",IFERROR(SUMPRODUCT((Renteberekening!$B$2:$B$29=Samenvatting!$C109) * (YEAR(Renteberekening!$J$1:$UK$1)=YEAR(Samenvatting!AJ$41)) * Renteberekening!$J$2:$UK$29),0))</f>
        <v>0,0</v>
      </c>
      <c r="AK109" s="21" t="str" cm="1">
        <f t="array" ref="AK109">IF(OR(Samenvatting!$C109="",ISBLANK(Samenvatting!$C109)),"0,0",IFERROR(SUMPRODUCT((Renteberekening!$B$2:$B$29=Samenvatting!$C109) * (YEAR(Renteberekening!$J$1:$UK$1)=YEAR(Samenvatting!AK$41)) * Renteberekening!$J$2:$UK$29),0))</f>
        <v>0,0</v>
      </c>
      <c r="AL109" s="21" t="str" cm="1">
        <f t="array" ref="AL109">IF(OR(Samenvatting!$C109="",ISBLANK(Samenvatting!$C109)),"0,0",IFERROR(SUMPRODUCT((Renteberekening!$B$2:$B$29=Samenvatting!$C109) * (YEAR(Renteberekening!$J$1:$UK$1)=YEAR(Samenvatting!AL$41)) * Renteberekening!$J$2:$UK$29),0))</f>
        <v>0,0</v>
      </c>
      <c r="AM109" s="21" t="str" cm="1">
        <f t="array" ref="AM109">IF(OR(Samenvatting!$C109="",ISBLANK(Samenvatting!$C109)),"0,0",IFERROR(SUMPRODUCT((Renteberekening!$B$2:$B$29=Samenvatting!$C109) * (YEAR(Renteberekening!$J$1:$UK$1)=YEAR(Samenvatting!AM$41)) * Renteberekening!$J$2:$UK$29),0))</f>
        <v>0,0</v>
      </c>
      <c r="AN109" s="21" t="str" cm="1">
        <f t="array" ref="AN109">IF(OR(Samenvatting!$C109="",ISBLANK(Samenvatting!$C109)),"0,0",IFERROR(SUMPRODUCT((Renteberekening!$B$2:$B$29=Samenvatting!$C109) * (YEAR(Renteberekening!$J$1:$UK$1)=YEAR(Samenvatting!AN$41)) * Renteberekening!$J$2:$UK$29),0))</f>
        <v>0,0</v>
      </c>
      <c r="AO109" s="21" t="str" cm="1">
        <f t="array" ref="AO109">IF(OR(Samenvatting!$C109="",ISBLANK(Samenvatting!$C109)),"0,0",IFERROR(SUMPRODUCT((Renteberekening!$B$2:$B$29=Samenvatting!$C109) * (YEAR(Renteberekening!$J$1:$UK$1)=YEAR(Samenvatting!AO$41)) * Renteberekening!$J$2:$UK$29),0))</f>
        <v>0,0</v>
      </c>
      <c r="AP109" s="21" t="str" cm="1">
        <f t="array" ref="AP109">IF(OR(Samenvatting!$C109="",ISBLANK(Samenvatting!$C109)),"0,0",IFERROR(SUMPRODUCT((Renteberekening!$B$2:$B$29=Samenvatting!$C109) * (YEAR(Renteberekening!$J$1:$UK$1)=YEAR(Samenvatting!AP$41)) * Renteberekening!$J$2:$UK$29),0))</f>
        <v>0,0</v>
      </c>
      <c r="AQ109" s="21" t="str" cm="1">
        <f t="array" ref="AQ109">IF(OR(Samenvatting!$C109="",ISBLANK(Samenvatting!$C109)),"0,0",IFERROR(SUMPRODUCT((Renteberekening!$B$2:$B$29=Samenvatting!$C109) * (YEAR(Renteberekening!$J$1:$UK$1)=YEAR(Samenvatting!AQ$41)) * Renteberekening!$J$2:$UK$29),0))</f>
        <v>0,0</v>
      </c>
      <c r="AR109" s="21" t="str" cm="1">
        <f t="array" ref="AR109">IF(OR(Samenvatting!$C109="",ISBLANK(Samenvatting!$C109)),"0,0",IFERROR(SUMPRODUCT((Renteberekening!$B$2:$B$29=Samenvatting!$C109) * (YEAR(Renteberekening!$J$1:$UK$1)=YEAR(Samenvatting!AR$41)) * Renteberekening!$J$2:$UK$29),0))</f>
        <v>0,0</v>
      </c>
      <c r="AS109" s="21" t="str" cm="1">
        <f t="array" ref="AS109">IF(OR(Samenvatting!$C109="",ISBLANK(Samenvatting!$C109)),"0,0",IFERROR(SUMPRODUCT((Renteberekening!$B$2:$B$29=Samenvatting!$C109) * (YEAR(Renteberekening!$J$1:$UK$1)=YEAR(Samenvatting!AS$41)) * Renteberekening!$J$2:$UK$29),0))</f>
        <v>0,0</v>
      </c>
      <c r="AT109" s="21" t="str" cm="1">
        <f t="array" ref="AT109">IF(OR(Samenvatting!$C109="",ISBLANK(Samenvatting!$C109)),"0,0",IFERROR(SUMPRODUCT((Renteberekening!$B$2:$B$29=Samenvatting!$C109) * (YEAR(Renteberekening!$J$1:$UK$1)=YEAR(Samenvatting!AT$41)) * Renteberekening!$J$2:$UK$29),0))</f>
        <v>0,0</v>
      </c>
      <c r="AU109" s="21" t="str" cm="1">
        <f t="array" ref="AU109">IF(OR(Samenvatting!$C109="",ISBLANK(Samenvatting!$C109)),"0,0",IFERROR(SUMPRODUCT((Renteberekening!$B$2:$B$29=Samenvatting!$C109) * (YEAR(Renteberekening!$J$1:$UK$1)=YEAR(Samenvatting!AU$41)) * Renteberekening!$J$2:$UK$29),0))</f>
        <v>0,0</v>
      </c>
      <c r="AW109" s="1"/>
      <c r="DJ109" s="11"/>
    </row>
    <row r="110" spans="2:114" ht="30" hidden="1" customHeight="1" outlineLevel="1">
      <c r="C110" s="20"/>
      <c r="D110" s="21">
        <v>1</v>
      </c>
      <c r="E110" s="21" t="s">
        <v>10</v>
      </c>
      <c r="F110" s="83"/>
      <c r="G110" s="83"/>
      <c r="H110" s="105">
        <v>7.4999999999999997E-2</v>
      </c>
      <c r="I110" s="69">
        <v>45292</v>
      </c>
      <c r="J110" s="70">
        <f t="shared" si="7"/>
        <v>1</v>
      </c>
      <c r="K110" s="69">
        <v>45695</v>
      </c>
      <c r="L110" s="21" t="str" cm="1">
        <f t="array" ref="L110">IF(OR(Samenvatting!$C110="",ISBLANK(Samenvatting!$C110)),"0,0",IFERROR(SUMPRODUCT((Renteberekening!$B$2:$B$29=Samenvatting!$C110) * (YEAR(Renteberekening!$J$1:$UK$1)=YEAR(Samenvatting!L$41)) * Renteberekening!$J$2:$UK$29),0))</f>
        <v>0,0</v>
      </c>
      <c r="M110" s="21" t="str" cm="1">
        <f t="array" ref="M110">IF(OR(Samenvatting!$C110="",ISBLANK(Samenvatting!$C110)),"0,0",IFERROR(SUMPRODUCT((Renteberekening!$B$2:$B$29=Samenvatting!$C110) * (YEAR(Renteberekening!$J$1:$UK$1)=YEAR(Samenvatting!M$41)) * Renteberekening!$J$2:$UK$29),0))</f>
        <v>0,0</v>
      </c>
      <c r="N110" s="21" t="str" cm="1">
        <f t="array" ref="N110">IF(OR(Samenvatting!$C110="",ISBLANK(Samenvatting!$C110)),"0,0",IFERROR(SUMPRODUCT((Renteberekening!$B$2:$B$29=Samenvatting!$C110) * (YEAR(Renteberekening!$J$1:$UK$1)=YEAR(Samenvatting!N$41)) * Renteberekening!$J$2:$UK$29),0))</f>
        <v>0,0</v>
      </c>
      <c r="O110" s="21" t="str" cm="1">
        <f t="array" ref="O110">IF(OR(Samenvatting!$C110="",ISBLANK(Samenvatting!$C110)),"0,0",IFERROR(SUMPRODUCT((Renteberekening!$B$2:$B$29=Samenvatting!$C110) * (YEAR(Renteberekening!$J$1:$UK$1)=YEAR(Samenvatting!O$41)) * Renteberekening!$J$2:$UK$29),0))</f>
        <v>0,0</v>
      </c>
      <c r="P110" s="21" t="str" cm="1">
        <f t="array" ref="P110">IF(OR(Samenvatting!$C110="",ISBLANK(Samenvatting!$C110)),"0,0",IFERROR(SUMPRODUCT((Renteberekening!$B$2:$B$29=Samenvatting!$C110) * (YEAR(Renteberekening!$J$1:$UK$1)=YEAR(Samenvatting!P$41)) * Renteberekening!$J$2:$UK$29),0))</f>
        <v>0,0</v>
      </c>
      <c r="Q110" s="21" t="str" cm="1">
        <f t="array" ref="Q110">IF(OR(Samenvatting!$C110="",ISBLANK(Samenvatting!$C110)),"0,0",IFERROR(SUMPRODUCT((Renteberekening!$B$2:$B$29=Samenvatting!$C110) * (YEAR(Renteberekening!$J$1:$UK$1)=YEAR(Samenvatting!Q$41)) * Renteberekening!$J$2:$UK$29),0))</f>
        <v>0,0</v>
      </c>
      <c r="R110" s="21" t="str" cm="1">
        <f t="array" ref="R110">IF(OR(Samenvatting!$C110="",ISBLANK(Samenvatting!$C110)),"0,0",IFERROR(SUMPRODUCT((Renteberekening!$B$2:$B$29=Samenvatting!$C110) * (YEAR(Renteberekening!$J$1:$UK$1)=YEAR(Samenvatting!R$41)) * Renteberekening!$J$2:$UK$29),0))</f>
        <v>0,0</v>
      </c>
      <c r="S110" s="21" t="str" cm="1">
        <f t="array" ref="S110">IF(OR(Samenvatting!$C110="",ISBLANK(Samenvatting!$C110)),"0,0",IFERROR(SUMPRODUCT((Renteberekening!$B$2:$B$29=Samenvatting!$C110) * (YEAR(Renteberekening!$J$1:$UK$1)=YEAR(Samenvatting!S$41)) * Renteberekening!$J$2:$UK$29),0))</f>
        <v>0,0</v>
      </c>
      <c r="T110" s="21" t="str" cm="1">
        <f t="array" ref="T110">IF(OR(Samenvatting!$C110="",ISBLANK(Samenvatting!$C110)),"0,0",IFERROR(SUMPRODUCT((Renteberekening!$B$2:$B$29=Samenvatting!$C110) * (YEAR(Renteberekening!$J$1:$UK$1)=YEAR(Samenvatting!T$41)) * Renteberekening!$J$2:$UK$29),0))</f>
        <v>0,0</v>
      </c>
      <c r="U110" s="21" t="str" cm="1">
        <f t="array" ref="U110">IF(OR(Samenvatting!$C110="",ISBLANK(Samenvatting!$C110)),"0,0",IFERROR(SUMPRODUCT((Renteberekening!$B$2:$B$29=Samenvatting!$C110) * (YEAR(Renteberekening!$J$1:$UK$1)=YEAR(Samenvatting!U$41)) * Renteberekening!$J$2:$UK$29),0))</f>
        <v>0,0</v>
      </c>
      <c r="V110" s="21" t="str" cm="1">
        <f t="array" ref="V110">IF(OR(Samenvatting!$C110="",ISBLANK(Samenvatting!$C110)),"0,0",IFERROR(SUMPRODUCT((Renteberekening!$B$2:$B$29=Samenvatting!$C110) * (YEAR(Renteberekening!$J$1:$UK$1)=YEAR(Samenvatting!V$41)) * Renteberekening!$J$2:$UK$29),0))</f>
        <v>0,0</v>
      </c>
      <c r="W110" s="21" t="str" cm="1">
        <f t="array" ref="W110">IF(OR(Samenvatting!$C110="",ISBLANK(Samenvatting!$C110)),"0,0",IFERROR(SUMPRODUCT((Renteberekening!$B$2:$B$29=Samenvatting!$C110) * (YEAR(Renteberekening!$J$1:$UK$1)=YEAR(Samenvatting!W$41)) * Renteberekening!$J$2:$UK$29),0))</f>
        <v>0,0</v>
      </c>
      <c r="X110" s="21" t="str" cm="1">
        <f t="array" ref="X110">IF(OR(Samenvatting!$C110="",ISBLANK(Samenvatting!$C110)),"0,0",IFERROR(SUMPRODUCT((Renteberekening!$B$2:$B$29=Samenvatting!$C110) * (YEAR(Renteberekening!$J$1:$UK$1)=YEAR(Samenvatting!X$41)) * Renteberekening!$J$2:$UK$29),0))</f>
        <v>0,0</v>
      </c>
      <c r="Y110" s="21" t="str" cm="1">
        <f t="array" ref="Y110">IF(OR(Samenvatting!$C110="",ISBLANK(Samenvatting!$C110)),"0,0",IFERROR(SUMPRODUCT((Renteberekening!$B$2:$B$29=Samenvatting!$C110) * (YEAR(Renteberekening!$J$1:$UK$1)=YEAR(Samenvatting!Y$41)) * Renteberekening!$J$2:$UK$29),0))</f>
        <v>0,0</v>
      </c>
      <c r="Z110" s="21" t="str" cm="1">
        <f t="array" ref="Z110">IF(OR(Samenvatting!$C110="",ISBLANK(Samenvatting!$C110)),"0,0",IFERROR(SUMPRODUCT((Renteberekening!$B$2:$B$29=Samenvatting!$C110) * (YEAR(Renteberekening!$J$1:$UK$1)=YEAR(Samenvatting!Z$41)) * Renteberekening!$J$2:$UK$29),0))</f>
        <v>0,0</v>
      </c>
      <c r="AA110" s="21" t="str" cm="1">
        <f t="array" ref="AA110">IF(OR(Samenvatting!$C110="",ISBLANK(Samenvatting!$C110)),"0,0",IFERROR(SUMPRODUCT((Renteberekening!$B$2:$B$29=Samenvatting!$C110) * (YEAR(Renteberekening!$J$1:$UK$1)=YEAR(Samenvatting!AA$41)) * Renteberekening!$J$2:$UK$29),0))</f>
        <v>0,0</v>
      </c>
      <c r="AB110" s="21" t="str" cm="1">
        <f t="array" ref="AB110">IF(OR(Samenvatting!$C110="",ISBLANK(Samenvatting!$C110)),"0,0",IFERROR(SUMPRODUCT((Renteberekening!$B$2:$B$29=Samenvatting!$C110) * (YEAR(Renteberekening!$J$1:$UK$1)=YEAR(Samenvatting!AB$41)) * Renteberekening!$J$2:$UK$29),0))</f>
        <v>0,0</v>
      </c>
      <c r="AC110" s="21" t="str" cm="1">
        <f t="array" ref="AC110">IF(OR(Samenvatting!$C110="",ISBLANK(Samenvatting!$C110)),"0,0",IFERROR(SUMPRODUCT((Renteberekening!$B$2:$B$29=Samenvatting!$C110) * (YEAR(Renteberekening!$J$1:$UK$1)=YEAR(Samenvatting!AC$41)) * Renteberekening!$J$2:$UK$29),0))</f>
        <v>0,0</v>
      </c>
      <c r="AD110" s="21" t="str" cm="1">
        <f t="array" ref="AD110">IF(OR(Samenvatting!$C110="",ISBLANK(Samenvatting!$C110)),"0,0",IFERROR(SUMPRODUCT((Renteberekening!$B$2:$B$29=Samenvatting!$C110) * (YEAR(Renteberekening!$J$1:$UK$1)=YEAR(Samenvatting!AD$41)) * Renteberekening!$J$2:$UK$29),0))</f>
        <v>0,0</v>
      </c>
      <c r="AE110" s="21" t="str" cm="1">
        <f t="array" ref="AE110">IF(OR(Samenvatting!$C110="",ISBLANK(Samenvatting!$C110)),"0,0",IFERROR(SUMPRODUCT((Renteberekening!$B$2:$B$29=Samenvatting!$C110) * (YEAR(Renteberekening!$J$1:$UK$1)=YEAR(Samenvatting!AE$41)) * Renteberekening!$J$2:$UK$29),0))</f>
        <v>0,0</v>
      </c>
      <c r="AF110" s="21" t="str" cm="1">
        <f t="array" ref="AF110">IF(OR(Samenvatting!$C110="",ISBLANK(Samenvatting!$C110)),"0,0",IFERROR(SUMPRODUCT((Renteberekening!$B$2:$B$29=Samenvatting!$C110) * (YEAR(Renteberekening!$J$1:$UK$1)=YEAR(Samenvatting!AF$41)) * Renteberekening!$J$2:$UK$29),0))</f>
        <v>0,0</v>
      </c>
      <c r="AG110" s="21" t="str" cm="1">
        <f t="array" ref="AG110">IF(OR(Samenvatting!$C110="",ISBLANK(Samenvatting!$C110)),"0,0",IFERROR(SUMPRODUCT((Renteberekening!$B$2:$B$29=Samenvatting!$C110) * (YEAR(Renteberekening!$J$1:$UK$1)=YEAR(Samenvatting!AG$41)) * Renteberekening!$J$2:$UK$29),0))</f>
        <v>0,0</v>
      </c>
      <c r="AH110" s="21" t="str" cm="1">
        <f t="array" ref="AH110">IF(OR(Samenvatting!$C110="",ISBLANK(Samenvatting!$C110)),"0,0",IFERROR(SUMPRODUCT((Renteberekening!$B$2:$B$29=Samenvatting!$C110) * (YEAR(Renteberekening!$J$1:$UK$1)=YEAR(Samenvatting!AH$41)) * Renteberekening!$J$2:$UK$29),0))</f>
        <v>0,0</v>
      </c>
      <c r="AI110" s="21" t="str" cm="1">
        <f t="array" ref="AI110">IF(OR(Samenvatting!$C110="",ISBLANK(Samenvatting!$C110)),"0,0",IFERROR(SUMPRODUCT((Renteberekening!$B$2:$B$29=Samenvatting!$C110) * (YEAR(Renteberekening!$J$1:$UK$1)=YEAR(Samenvatting!AI$41)) * Renteberekening!$J$2:$UK$29),0))</f>
        <v>0,0</v>
      </c>
      <c r="AJ110" s="21" t="str" cm="1">
        <f t="array" ref="AJ110">IF(OR(Samenvatting!$C110="",ISBLANK(Samenvatting!$C110)),"0,0",IFERROR(SUMPRODUCT((Renteberekening!$B$2:$B$29=Samenvatting!$C110) * (YEAR(Renteberekening!$J$1:$UK$1)=YEAR(Samenvatting!AJ$41)) * Renteberekening!$J$2:$UK$29),0))</f>
        <v>0,0</v>
      </c>
      <c r="AK110" s="21" t="str" cm="1">
        <f t="array" ref="AK110">IF(OR(Samenvatting!$C110="",ISBLANK(Samenvatting!$C110)),"0,0",IFERROR(SUMPRODUCT((Renteberekening!$B$2:$B$29=Samenvatting!$C110) * (YEAR(Renteberekening!$J$1:$UK$1)=YEAR(Samenvatting!AK$41)) * Renteberekening!$J$2:$UK$29),0))</f>
        <v>0,0</v>
      </c>
      <c r="AL110" s="21" t="str" cm="1">
        <f t="array" ref="AL110">IF(OR(Samenvatting!$C110="",ISBLANK(Samenvatting!$C110)),"0,0",IFERROR(SUMPRODUCT((Renteberekening!$B$2:$B$29=Samenvatting!$C110) * (YEAR(Renteberekening!$J$1:$UK$1)=YEAR(Samenvatting!AL$41)) * Renteberekening!$J$2:$UK$29),0))</f>
        <v>0,0</v>
      </c>
      <c r="AM110" s="21" t="str" cm="1">
        <f t="array" ref="AM110">IF(OR(Samenvatting!$C110="",ISBLANK(Samenvatting!$C110)),"0,0",IFERROR(SUMPRODUCT((Renteberekening!$B$2:$B$29=Samenvatting!$C110) * (YEAR(Renteberekening!$J$1:$UK$1)=YEAR(Samenvatting!AM$41)) * Renteberekening!$J$2:$UK$29),0))</f>
        <v>0,0</v>
      </c>
      <c r="AN110" s="21" t="str" cm="1">
        <f t="array" ref="AN110">IF(OR(Samenvatting!$C110="",ISBLANK(Samenvatting!$C110)),"0,0",IFERROR(SUMPRODUCT((Renteberekening!$B$2:$B$29=Samenvatting!$C110) * (YEAR(Renteberekening!$J$1:$UK$1)=YEAR(Samenvatting!AN$41)) * Renteberekening!$J$2:$UK$29),0))</f>
        <v>0,0</v>
      </c>
      <c r="AO110" s="21" t="str" cm="1">
        <f t="array" ref="AO110">IF(OR(Samenvatting!$C110="",ISBLANK(Samenvatting!$C110)),"0,0",IFERROR(SUMPRODUCT((Renteberekening!$B$2:$B$29=Samenvatting!$C110) * (YEAR(Renteberekening!$J$1:$UK$1)=YEAR(Samenvatting!AO$41)) * Renteberekening!$J$2:$UK$29),0))</f>
        <v>0,0</v>
      </c>
      <c r="AP110" s="21" t="str" cm="1">
        <f t="array" ref="AP110">IF(OR(Samenvatting!$C110="",ISBLANK(Samenvatting!$C110)),"0,0",IFERROR(SUMPRODUCT((Renteberekening!$B$2:$B$29=Samenvatting!$C110) * (YEAR(Renteberekening!$J$1:$UK$1)=YEAR(Samenvatting!AP$41)) * Renteberekening!$J$2:$UK$29),0))</f>
        <v>0,0</v>
      </c>
      <c r="AQ110" s="21" t="str" cm="1">
        <f t="array" ref="AQ110">IF(OR(Samenvatting!$C110="",ISBLANK(Samenvatting!$C110)),"0,0",IFERROR(SUMPRODUCT((Renteberekening!$B$2:$B$29=Samenvatting!$C110) * (YEAR(Renteberekening!$J$1:$UK$1)=YEAR(Samenvatting!AQ$41)) * Renteberekening!$J$2:$UK$29),0))</f>
        <v>0,0</v>
      </c>
      <c r="AR110" s="21" t="str" cm="1">
        <f t="array" ref="AR110">IF(OR(Samenvatting!$C110="",ISBLANK(Samenvatting!$C110)),"0,0",IFERROR(SUMPRODUCT((Renteberekening!$B$2:$B$29=Samenvatting!$C110) * (YEAR(Renteberekening!$J$1:$UK$1)=YEAR(Samenvatting!AR$41)) * Renteberekening!$J$2:$UK$29),0))</f>
        <v>0,0</v>
      </c>
      <c r="AS110" s="21" t="str" cm="1">
        <f t="array" ref="AS110">IF(OR(Samenvatting!$C110="",ISBLANK(Samenvatting!$C110)),"0,0",IFERROR(SUMPRODUCT((Renteberekening!$B$2:$B$29=Samenvatting!$C110) * (YEAR(Renteberekening!$J$1:$UK$1)=YEAR(Samenvatting!AS$41)) * Renteberekening!$J$2:$UK$29),0))</f>
        <v>0,0</v>
      </c>
      <c r="AT110" s="21" t="str" cm="1">
        <f t="array" ref="AT110">IF(OR(Samenvatting!$C110="",ISBLANK(Samenvatting!$C110)),"0,0",IFERROR(SUMPRODUCT((Renteberekening!$B$2:$B$29=Samenvatting!$C110) * (YEAR(Renteberekening!$J$1:$UK$1)=YEAR(Samenvatting!AT$41)) * Renteberekening!$J$2:$UK$29),0))</f>
        <v>0,0</v>
      </c>
      <c r="AU110" s="21" t="str" cm="1">
        <f t="array" ref="AU110">IF(OR(Samenvatting!$C110="",ISBLANK(Samenvatting!$C110)),"0,0",IFERROR(SUMPRODUCT((Renteberekening!$B$2:$B$29=Samenvatting!$C110) * (YEAR(Renteberekening!$J$1:$UK$1)=YEAR(Samenvatting!AU$41)) * Renteberekening!$J$2:$UK$29),0))</f>
        <v>0,0</v>
      </c>
      <c r="AW110" s="1"/>
      <c r="DJ110" s="11"/>
    </row>
    <row r="111" spans="2:114" ht="30" hidden="1" customHeight="1" outlineLevel="1">
      <c r="C111" s="20"/>
      <c r="D111" s="21">
        <v>1</v>
      </c>
      <c r="E111" s="21" t="s">
        <v>10</v>
      </c>
      <c r="F111" s="83"/>
      <c r="G111" s="83"/>
      <c r="H111" s="105">
        <v>7.4999999999999997E-2</v>
      </c>
      <c r="I111" s="69">
        <v>45292</v>
      </c>
      <c r="J111" s="70">
        <f t="shared" si="7"/>
        <v>3</v>
      </c>
      <c r="K111" s="69">
        <v>46447</v>
      </c>
      <c r="L111" s="21" t="str" cm="1">
        <f t="array" ref="L111">IF(OR(Samenvatting!$C111="",ISBLANK(Samenvatting!$C111)),"0,0",IFERROR(SUMPRODUCT((Renteberekening!$B$2:$B$29=Samenvatting!$C111) * (YEAR(Renteberekening!$J$1:$UK$1)=YEAR(Samenvatting!L$41)) * Renteberekening!$J$2:$UK$29),0))</f>
        <v>0,0</v>
      </c>
      <c r="M111" s="21" t="str" cm="1">
        <f t="array" ref="M111">IF(OR(Samenvatting!$C111="",ISBLANK(Samenvatting!$C111)),"0,0",IFERROR(SUMPRODUCT((Renteberekening!$B$2:$B$29=Samenvatting!$C111) * (YEAR(Renteberekening!$J$1:$UK$1)=YEAR(Samenvatting!M$41)) * Renteberekening!$J$2:$UK$29),0))</f>
        <v>0,0</v>
      </c>
      <c r="N111" s="21" t="str" cm="1">
        <f t="array" ref="N111">IF(OR(Samenvatting!$C111="",ISBLANK(Samenvatting!$C111)),"0,0",IFERROR(SUMPRODUCT((Renteberekening!$B$2:$B$29=Samenvatting!$C111) * (YEAR(Renteberekening!$J$1:$UK$1)=YEAR(Samenvatting!N$41)) * Renteberekening!$J$2:$UK$29),0))</f>
        <v>0,0</v>
      </c>
      <c r="O111" s="21" t="str" cm="1">
        <f t="array" ref="O111">IF(OR(Samenvatting!$C111="",ISBLANK(Samenvatting!$C111)),"0,0",IFERROR(SUMPRODUCT((Renteberekening!$B$2:$B$29=Samenvatting!$C111) * (YEAR(Renteberekening!$J$1:$UK$1)=YEAR(Samenvatting!O$41)) * Renteberekening!$J$2:$UK$29),0))</f>
        <v>0,0</v>
      </c>
      <c r="P111" s="21" t="str" cm="1">
        <f t="array" ref="P111">IF(OR(Samenvatting!$C111="",ISBLANK(Samenvatting!$C111)),"0,0",IFERROR(SUMPRODUCT((Renteberekening!$B$2:$B$29=Samenvatting!$C111) * (YEAR(Renteberekening!$J$1:$UK$1)=YEAR(Samenvatting!P$41)) * Renteberekening!$J$2:$UK$29),0))</f>
        <v>0,0</v>
      </c>
      <c r="Q111" s="21" t="str" cm="1">
        <f t="array" ref="Q111">IF(OR(Samenvatting!$C111="",ISBLANK(Samenvatting!$C111)),"0,0",IFERROR(SUMPRODUCT((Renteberekening!$B$2:$B$29=Samenvatting!$C111) * (YEAR(Renteberekening!$J$1:$UK$1)=YEAR(Samenvatting!Q$41)) * Renteberekening!$J$2:$UK$29),0))</f>
        <v>0,0</v>
      </c>
      <c r="R111" s="21" t="str" cm="1">
        <f t="array" ref="R111">IF(OR(Samenvatting!$C111="",ISBLANK(Samenvatting!$C111)),"0,0",IFERROR(SUMPRODUCT((Renteberekening!$B$2:$B$29=Samenvatting!$C111) * (YEAR(Renteberekening!$J$1:$UK$1)=YEAR(Samenvatting!R$41)) * Renteberekening!$J$2:$UK$29),0))</f>
        <v>0,0</v>
      </c>
      <c r="S111" s="21" t="str" cm="1">
        <f t="array" ref="S111">IF(OR(Samenvatting!$C111="",ISBLANK(Samenvatting!$C111)),"0,0",IFERROR(SUMPRODUCT((Renteberekening!$B$2:$B$29=Samenvatting!$C111) * (YEAR(Renteberekening!$J$1:$UK$1)=YEAR(Samenvatting!S$41)) * Renteberekening!$J$2:$UK$29),0))</f>
        <v>0,0</v>
      </c>
      <c r="T111" s="21" t="str" cm="1">
        <f t="array" ref="T111">IF(OR(Samenvatting!$C111="",ISBLANK(Samenvatting!$C111)),"0,0",IFERROR(SUMPRODUCT((Renteberekening!$B$2:$B$29=Samenvatting!$C111) * (YEAR(Renteberekening!$J$1:$UK$1)=YEAR(Samenvatting!T$41)) * Renteberekening!$J$2:$UK$29),0))</f>
        <v>0,0</v>
      </c>
      <c r="U111" s="21" t="str" cm="1">
        <f t="array" ref="U111">IF(OR(Samenvatting!$C111="",ISBLANK(Samenvatting!$C111)),"0,0",IFERROR(SUMPRODUCT((Renteberekening!$B$2:$B$29=Samenvatting!$C111) * (YEAR(Renteberekening!$J$1:$UK$1)=YEAR(Samenvatting!U$41)) * Renteberekening!$J$2:$UK$29),0))</f>
        <v>0,0</v>
      </c>
      <c r="V111" s="21" t="str" cm="1">
        <f t="array" ref="V111">IF(OR(Samenvatting!$C111="",ISBLANK(Samenvatting!$C111)),"0,0",IFERROR(SUMPRODUCT((Renteberekening!$B$2:$B$29=Samenvatting!$C111) * (YEAR(Renteberekening!$J$1:$UK$1)=YEAR(Samenvatting!V$41)) * Renteberekening!$J$2:$UK$29),0))</f>
        <v>0,0</v>
      </c>
      <c r="W111" s="21" t="str" cm="1">
        <f t="array" ref="W111">IF(OR(Samenvatting!$C111="",ISBLANK(Samenvatting!$C111)),"0,0",IFERROR(SUMPRODUCT((Renteberekening!$B$2:$B$29=Samenvatting!$C111) * (YEAR(Renteberekening!$J$1:$UK$1)=YEAR(Samenvatting!W$41)) * Renteberekening!$J$2:$UK$29),0))</f>
        <v>0,0</v>
      </c>
      <c r="X111" s="21" t="str" cm="1">
        <f t="array" ref="X111">IF(OR(Samenvatting!$C111="",ISBLANK(Samenvatting!$C111)),"0,0",IFERROR(SUMPRODUCT((Renteberekening!$B$2:$B$29=Samenvatting!$C111) * (YEAR(Renteberekening!$J$1:$UK$1)=YEAR(Samenvatting!X$41)) * Renteberekening!$J$2:$UK$29),0))</f>
        <v>0,0</v>
      </c>
      <c r="Y111" s="21" t="str" cm="1">
        <f t="array" ref="Y111">IF(OR(Samenvatting!$C111="",ISBLANK(Samenvatting!$C111)),"0,0",IFERROR(SUMPRODUCT((Renteberekening!$B$2:$B$29=Samenvatting!$C111) * (YEAR(Renteberekening!$J$1:$UK$1)=YEAR(Samenvatting!Y$41)) * Renteberekening!$J$2:$UK$29),0))</f>
        <v>0,0</v>
      </c>
      <c r="Z111" s="21" t="str" cm="1">
        <f t="array" ref="Z111">IF(OR(Samenvatting!$C111="",ISBLANK(Samenvatting!$C111)),"0,0",IFERROR(SUMPRODUCT((Renteberekening!$B$2:$B$29=Samenvatting!$C111) * (YEAR(Renteberekening!$J$1:$UK$1)=YEAR(Samenvatting!Z$41)) * Renteberekening!$J$2:$UK$29),0))</f>
        <v>0,0</v>
      </c>
      <c r="AA111" s="21" t="str" cm="1">
        <f t="array" ref="AA111">IF(OR(Samenvatting!$C111="",ISBLANK(Samenvatting!$C111)),"0,0",IFERROR(SUMPRODUCT((Renteberekening!$B$2:$B$29=Samenvatting!$C111) * (YEAR(Renteberekening!$J$1:$UK$1)=YEAR(Samenvatting!AA$41)) * Renteberekening!$J$2:$UK$29),0))</f>
        <v>0,0</v>
      </c>
      <c r="AB111" s="21" t="str" cm="1">
        <f t="array" ref="AB111">IF(OR(Samenvatting!$C111="",ISBLANK(Samenvatting!$C111)),"0,0",IFERROR(SUMPRODUCT((Renteberekening!$B$2:$B$29=Samenvatting!$C111) * (YEAR(Renteberekening!$J$1:$UK$1)=YEAR(Samenvatting!AB$41)) * Renteberekening!$J$2:$UK$29),0))</f>
        <v>0,0</v>
      </c>
      <c r="AC111" s="21" t="str" cm="1">
        <f t="array" ref="AC111">IF(OR(Samenvatting!$C111="",ISBLANK(Samenvatting!$C111)),"0,0",IFERROR(SUMPRODUCT((Renteberekening!$B$2:$B$29=Samenvatting!$C111) * (YEAR(Renteberekening!$J$1:$UK$1)=YEAR(Samenvatting!AC$41)) * Renteberekening!$J$2:$UK$29),0))</f>
        <v>0,0</v>
      </c>
      <c r="AD111" s="21" t="str" cm="1">
        <f t="array" ref="AD111">IF(OR(Samenvatting!$C111="",ISBLANK(Samenvatting!$C111)),"0,0",IFERROR(SUMPRODUCT((Renteberekening!$B$2:$B$29=Samenvatting!$C111) * (YEAR(Renteberekening!$J$1:$UK$1)=YEAR(Samenvatting!AD$41)) * Renteberekening!$J$2:$UK$29),0))</f>
        <v>0,0</v>
      </c>
      <c r="AE111" s="21" t="str" cm="1">
        <f t="array" ref="AE111">IF(OR(Samenvatting!$C111="",ISBLANK(Samenvatting!$C111)),"0,0",IFERROR(SUMPRODUCT((Renteberekening!$B$2:$B$29=Samenvatting!$C111) * (YEAR(Renteberekening!$J$1:$UK$1)=YEAR(Samenvatting!AE$41)) * Renteberekening!$J$2:$UK$29),0))</f>
        <v>0,0</v>
      </c>
      <c r="AF111" s="21" t="str" cm="1">
        <f t="array" ref="AF111">IF(OR(Samenvatting!$C111="",ISBLANK(Samenvatting!$C111)),"0,0",IFERROR(SUMPRODUCT((Renteberekening!$B$2:$B$29=Samenvatting!$C111) * (YEAR(Renteberekening!$J$1:$UK$1)=YEAR(Samenvatting!AF$41)) * Renteberekening!$J$2:$UK$29),0))</f>
        <v>0,0</v>
      </c>
      <c r="AG111" s="21" t="str" cm="1">
        <f t="array" ref="AG111">IF(OR(Samenvatting!$C111="",ISBLANK(Samenvatting!$C111)),"0,0",IFERROR(SUMPRODUCT((Renteberekening!$B$2:$B$29=Samenvatting!$C111) * (YEAR(Renteberekening!$J$1:$UK$1)=YEAR(Samenvatting!AG$41)) * Renteberekening!$J$2:$UK$29),0))</f>
        <v>0,0</v>
      </c>
      <c r="AH111" s="21" t="str" cm="1">
        <f t="array" ref="AH111">IF(OR(Samenvatting!$C111="",ISBLANK(Samenvatting!$C111)),"0,0",IFERROR(SUMPRODUCT((Renteberekening!$B$2:$B$29=Samenvatting!$C111) * (YEAR(Renteberekening!$J$1:$UK$1)=YEAR(Samenvatting!AH$41)) * Renteberekening!$J$2:$UK$29),0))</f>
        <v>0,0</v>
      </c>
      <c r="AI111" s="21" t="str" cm="1">
        <f t="array" ref="AI111">IF(OR(Samenvatting!$C111="",ISBLANK(Samenvatting!$C111)),"0,0",IFERROR(SUMPRODUCT((Renteberekening!$B$2:$B$29=Samenvatting!$C111) * (YEAR(Renteberekening!$J$1:$UK$1)=YEAR(Samenvatting!AI$41)) * Renteberekening!$J$2:$UK$29),0))</f>
        <v>0,0</v>
      </c>
      <c r="AJ111" s="21" t="str" cm="1">
        <f t="array" ref="AJ111">IF(OR(Samenvatting!$C111="",ISBLANK(Samenvatting!$C111)),"0,0",IFERROR(SUMPRODUCT((Renteberekening!$B$2:$B$29=Samenvatting!$C111) * (YEAR(Renteberekening!$J$1:$UK$1)=YEAR(Samenvatting!AJ$41)) * Renteberekening!$J$2:$UK$29),0))</f>
        <v>0,0</v>
      </c>
      <c r="AK111" s="21" t="str" cm="1">
        <f t="array" ref="AK111">IF(OR(Samenvatting!$C111="",ISBLANK(Samenvatting!$C111)),"0,0",IFERROR(SUMPRODUCT((Renteberekening!$B$2:$B$29=Samenvatting!$C111) * (YEAR(Renteberekening!$J$1:$UK$1)=YEAR(Samenvatting!AK$41)) * Renteberekening!$J$2:$UK$29),0))</f>
        <v>0,0</v>
      </c>
      <c r="AL111" s="21" t="str" cm="1">
        <f t="array" ref="AL111">IF(OR(Samenvatting!$C111="",ISBLANK(Samenvatting!$C111)),"0,0",IFERROR(SUMPRODUCT((Renteberekening!$B$2:$B$29=Samenvatting!$C111) * (YEAR(Renteberekening!$J$1:$UK$1)=YEAR(Samenvatting!AL$41)) * Renteberekening!$J$2:$UK$29),0))</f>
        <v>0,0</v>
      </c>
      <c r="AM111" s="21" t="str" cm="1">
        <f t="array" ref="AM111">IF(OR(Samenvatting!$C111="",ISBLANK(Samenvatting!$C111)),"0,0",IFERROR(SUMPRODUCT((Renteberekening!$B$2:$B$29=Samenvatting!$C111) * (YEAR(Renteberekening!$J$1:$UK$1)=YEAR(Samenvatting!AM$41)) * Renteberekening!$J$2:$UK$29),0))</f>
        <v>0,0</v>
      </c>
      <c r="AN111" s="21" t="str" cm="1">
        <f t="array" ref="AN111">IF(OR(Samenvatting!$C111="",ISBLANK(Samenvatting!$C111)),"0,0",IFERROR(SUMPRODUCT((Renteberekening!$B$2:$B$29=Samenvatting!$C111) * (YEAR(Renteberekening!$J$1:$UK$1)=YEAR(Samenvatting!AN$41)) * Renteberekening!$J$2:$UK$29),0))</f>
        <v>0,0</v>
      </c>
      <c r="AO111" s="21" t="str" cm="1">
        <f t="array" ref="AO111">IF(OR(Samenvatting!$C111="",ISBLANK(Samenvatting!$C111)),"0,0",IFERROR(SUMPRODUCT((Renteberekening!$B$2:$B$29=Samenvatting!$C111) * (YEAR(Renteberekening!$J$1:$UK$1)=YEAR(Samenvatting!AO$41)) * Renteberekening!$J$2:$UK$29),0))</f>
        <v>0,0</v>
      </c>
      <c r="AP111" s="21" t="str" cm="1">
        <f t="array" ref="AP111">IF(OR(Samenvatting!$C111="",ISBLANK(Samenvatting!$C111)),"0,0",IFERROR(SUMPRODUCT((Renteberekening!$B$2:$B$29=Samenvatting!$C111) * (YEAR(Renteberekening!$J$1:$UK$1)=YEAR(Samenvatting!AP$41)) * Renteberekening!$J$2:$UK$29),0))</f>
        <v>0,0</v>
      </c>
      <c r="AQ111" s="21" t="str" cm="1">
        <f t="array" ref="AQ111">IF(OR(Samenvatting!$C111="",ISBLANK(Samenvatting!$C111)),"0,0",IFERROR(SUMPRODUCT((Renteberekening!$B$2:$B$29=Samenvatting!$C111) * (YEAR(Renteberekening!$J$1:$UK$1)=YEAR(Samenvatting!AQ$41)) * Renteberekening!$J$2:$UK$29),0))</f>
        <v>0,0</v>
      </c>
      <c r="AR111" s="21" t="str" cm="1">
        <f t="array" ref="AR111">IF(OR(Samenvatting!$C111="",ISBLANK(Samenvatting!$C111)),"0,0",IFERROR(SUMPRODUCT((Renteberekening!$B$2:$B$29=Samenvatting!$C111) * (YEAR(Renteberekening!$J$1:$UK$1)=YEAR(Samenvatting!AR$41)) * Renteberekening!$J$2:$UK$29),0))</f>
        <v>0,0</v>
      </c>
      <c r="AS111" s="21" t="str" cm="1">
        <f t="array" ref="AS111">IF(OR(Samenvatting!$C111="",ISBLANK(Samenvatting!$C111)),"0,0",IFERROR(SUMPRODUCT((Renteberekening!$B$2:$B$29=Samenvatting!$C111) * (YEAR(Renteberekening!$J$1:$UK$1)=YEAR(Samenvatting!AS$41)) * Renteberekening!$J$2:$UK$29),0))</f>
        <v>0,0</v>
      </c>
      <c r="AT111" s="21" t="str" cm="1">
        <f t="array" ref="AT111">IF(OR(Samenvatting!$C111="",ISBLANK(Samenvatting!$C111)),"0,0",IFERROR(SUMPRODUCT((Renteberekening!$B$2:$B$29=Samenvatting!$C111) * (YEAR(Renteberekening!$J$1:$UK$1)=YEAR(Samenvatting!AT$41)) * Renteberekening!$J$2:$UK$29),0))</f>
        <v>0,0</v>
      </c>
      <c r="AU111" s="21" t="str" cm="1">
        <f t="array" ref="AU111">IF(OR(Samenvatting!$C111="",ISBLANK(Samenvatting!$C111)),"0,0",IFERROR(SUMPRODUCT((Renteberekening!$B$2:$B$29=Samenvatting!$C111) * (YEAR(Renteberekening!$J$1:$UK$1)=YEAR(Samenvatting!AU$41)) * Renteberekening!$J$2:$UK$29),0))</f>
        <v>0,0</v>
      </c>
      <c r="AW111" s="1"/>
      <c r="DJ111" s="11"/>
    </row>
    <row r="112" spans="2:114" ht="30" hidden="1" customHeight="1" outlineLevel="1">
      <c r="C112" s="20"/>
      <c r="D112" s="21">
        <v>1</v>
      </c>
      <c r="E112" s="21" t="s">
        <v>10</v>
      </c>
      <c r="F112" s="83"/>
      <c r="G112" s="83"/>
      <c r="H112" s="105">
        <v>7.4999999999999997E-2</v>
      </c>
      <c r="I112" s="69">
        <v>45292</v>
      </c>
      <c r="J112" s="70">
        <f t="shared" ref="J112:J130" si="8">YEAR(K112)-YEAR(I112)</f>
        <v>3</v>
      </c>
      <c r="K112" s="69">
        <v>46447</v>
      </c>
      <c r="L112" s="21" t="str" cm="1">
        <f t="array" ref="L112">IF(OR(Samenvatting!$C112="",ISBLANK(Samenvatting!$C112)),"0,0",IFERROR(SUMPRODUCT((Renteberekening!$B$2:$B$29=Samenvatting!$C112) * (YEAR(Renteberekening!$J$1:$UK$1)=YEAR(Samenvatting!L$41)) * Renteberekening!$J$2:$UK$29),0))</f>
        <v>0,0</v>
      </c>
      <c r="M112" s="21" t="str" cm="1">
        <f t="array" ref="M112">IF(OR(Samenvatting!$C112="",ISBLANK(Samenvatting!$C112)),"0,0",IFERROR(SUMPRODUCT((Renteberekening!$B$2:$B$29=Samenvatting!$C112) * (YEAR(Renteberekening!$J$1:$UK$1)=YEAR(Samenvatting!M$41)) * Renteberekening!$J$2:$UK$29),0))</f>
        <v>0,0</v>
      </c>
      <c r="N112" s="21" t="str" cm="1">
        <f t="array" ref="N112">IF(OR(Samenvatting!$C112="",ISBLANK(Samenvatting!$C112)),"0,0",IFERROR(SUMPRODUCT((Renteberekening!$B$2:$B$29=Samenvatting!$C112) * (YEAR(Renteberekening!$J$1:$UK$1)=YEAR(Samenvatting!N$41)) * Renteberekening!$J$2:$UK$29),0))</f>
        <v>0,0</v>
      </c>
      <c r="O112" s="21" t="str" cm="1">
        <f t="array" ref="O112">IF(OR(Samenvatting!$C112="",ISBLANK(Samenvatting!$C112)),"0,0",IFERROR(SUMPRODUCT((Renteberekening!$B$2:$B$29=Samenvatting!$C112) * (YEAR(Renteberekening!$J$1:$UK$1)=YEAR(Samenvatting!O$41)) * Renteberekening!$J$2:$UK$29),0))</f>
        <v>0,0</v>
      </c>
      <c r="P112" s="21" t="str" cm="1">
        <f t="array" ref="P112">IF(OR(Samenvatting!$C112="",ISBLANK(Samenvatting!$C112)),"0,0",IFERROR(SUMPRODUCT((Renteberekening!$B$2:$B$29=Samenvatting!$C112) * (YEAR(Renteberekening!$J$1:$UK$1)=YEAR(Samenvatting!P$41)) * Renteberekening!$J$2:$UK$29),0))</f>
        <v>0,0</v>
      </c>
      <c r="Q112" s="21" t="str" cm="1">
        <f t="array" ref="Q112">IF(OR(Samenvatting!$C112="",ISBLANK(Samenvatting!$C112)),"0,0",IFERROR(SUMPRODUCT((Renteberekening!$B$2:$B$29=Samenvatting!$C112) * (YEAR(Renteberekening!$J$1:$UK$1)=YEAR(Samenvatting!Q$41)) * Renteberekening!$J$2:$UK$29),0))</f>
        <v>0,0</v>
      </c>
      <c r="R112" s="21" t="str" cm="1">
        <f t="array" ref="R112">IF(OR(Samenvatting!$C112="",ISBLANK(Samenvatting!$C112)),"0,0",IFERROR(SUMPRODUCT((Renteberekening!$B$2:$B$29=Samenvatting!$C112) * (YEAR(Renteberekening!$J$1:$UK$1)=YEAR(Samenvatting!R$41)) * Renteberekening!$J$2:$UK$29),0))</f>
        <v>0,0</v>
      </c>
      <c r="S112" s="21" t="str" cm="1">
        <f t="array" ref="S112">IF(OR(Samenvatting!$C112="",ISBLANK(Samenvatting!$C112)),"0,0",IFERROR(SUMPRODUCT((Renteberekening!$B$2:$B$29=Samenvatting!$C112) * (YEAR(Renteberekening!$J$1:$UK$1)=YEAR(Samenvatting!S$41)) * Renteberekening!$J$2:$UK$29),0))</f>
        <v>0,0</v>
      </c>
      <c r="T112" s="21" t="str" cm="1">
        <f t="array" ref="T112">IF(OR(Samenvatting!$C112="",ISBLANK(Samenvatting!$C112)),"0,0",IFERROR(SUMPRODUCT((Renteberekening!$B$2:$B$29=Samenvatting!$C112) * (YEAR(Renteberekening!$J$1:$UK$1)=YEAR(Samenvatting!T$41)) * Renteberekening!$J$2:$UK$29),0))</f>
        <v>0,0</v>
      </c>
      <c r="U112" s="21" t="str" cm="1">
        <f t="array" ref="U112">IF(OR(Samenvatting!$C112="",ISBLANK(Samenvatting!$C112)),"0,0",IFERROR(SUMPRODUCT((Renteberekening!$B$2:$B$29=Samenvatting!$C112) * (YEAR(Renteberekening!$J$1:$UK$1)=YEAR(Samenvatting!U$41)) * Renteberekening!$J$2:$UK$29),0))</f>
        <v>0,0</v>
      </c>
      <c r="V112" s="21" t="str" cm="1">
        <f t="array" ref="V112">IF(OR(Samenvatting!$C112="",ISBLANK(Samenvatting!$C112)),"0,0",IFERROR(SUMPRODUCT((Renteberekening!$B$2:$B$29=Samenvatting!$C112) * (YEAR(Renteberekening!$J$1:$UK$1)=YEAR(Samenvatting!V$41)) * Renteberekening!$J$2:$UK$29),0))</f>
        <v>0,0</v>
      </c>
      <c r="W112" s="21" t="str" cm="1">
        <f t="array" ref="W112">IF(OR(Samenvatting!$C112="",ISBLANK(Samenvatting!$C112)),"0,0",IFERROR(SUMPRODUCT((Renteberekening!$B$2:$B$29=Samenvatting!$C112) * (YEAR(Renteberekening!$J$1:$UK$1)=YEAR(Samenvatting!W$41)) * Renteberekening!$J$2:$UK$29),0))</f>
        <v>0,0</v>
      </c>
      <c r="X112" s="21" t="str" cm="1">
        <f t="array" ref="X112">IF(OR(Samenvatting!$C112="",ISBLANK(Samenvatting!$C112)),"0,0",IFERROR(SUMPRODUCT((Renteberekening!$B$2:$B$29=Samenvatting!$C112) * (YEAR(Renteberekening!$J$1:$UK$1)=YEAR(Samenvatting!X$41)) * Renteberekening!$J$2:$UK$29),0))</f>
        <v>0,0</v>
      </c>
      <c r="Y112" s="21" t="str" cm="1">
        <f t="array" ref="Y112">IF(OR(Samenvatting!$C112="",ISBLANK(Samenvatting!$C112)),"0,0",IFERROR(SUMPRODUCT((Renteberekening!$B$2:$B$29=Samenvatting!$C112) * (YEAR(Renteberekening!$J$1:$UK$1)=YEAR(Samenvatting!Y$41)) * Renteberekening!$J$2:$UK$29),0))</f>
        <v>0,0</v>
      </c>
      <c r="Z112" s="21" t="str" cm="1">
        <f t="array" ref="Z112">IF(OR(Samenvatting!$C112="",ISBLANK(Samenvatting!$C112)),"0,0",IFERROR(SUMPRODUCT((Renteberekening!$B$2:$B$29=Samenvatting!$C112) * (YEAR(Renteberekening!$J$1:$UK$1)=YEAR(Samenvatting!Z$41)) * Renteberekening!$J$2:$UK$29),0))</f>
        <v>0,0</v>
      </c>
      <c r="AA112" s="21" t="str" cm="1">
        <f t="array" ref="AA112">IF(OR(Samenvatting!$C112="",ISBLANK(Samenvatting!$C112)),"0,0",IFERROR(SUMPRODUCT((Renteberekening!$B$2:$B$29=Samenvatting!$C112) * (YEAR(Renteberekening!$J$1:$UK$1)=YEAR(Samenvatting!AA$41)) * Renteberekening!$J$2:$UK$29),0))</f>
        <v>0,0</v>
      </c>
      <c r="AB112" s="21" t="str" cm="1">
        <f t="array" ref="AB112">IF(OR(Samenvatting!$C112="",ISBLANK(Samenvatting!$C112)),"0,0",IFERROR(SUMPRODUCT((Renteberekening!$B$2:$B$29=Samenvatting!$C112) * (YEAR(Renteberekening!$J$1:$UK$1)=YEAR(Samenvatting!AB$41)) * Renteberekening!$J$2:$UK$29),0))</f>
        <v>0,0</v>
      </c>
      <c r="AC112" s="21" t="str" cm="1">
        <f t="array" ref="AC112">IF(OR(Samenvatting!$C112="",ISBLANK(Samenvatting!$C112)),"0,0",IFERROR(SUMPRODUCT((Renteberekening!$B$2:$B$29=Samenvatting!$C112) * (YEAR(Renteberekening!$J$1:$UK$1)=YEAR(Samenvatting!AC$41)) * Renteberekening!$J$2:$UK$29),0))</f>
        <v>0,0</v>
      </c>
      <c r="AD112" s="21" t="str" cm="1">
        <f t="array" ref="AD112">IF(OR(Samenvatting!$C112="",ISBLANK(Samenvatting!$C112)),"0,0",IFERROR(SUMPRODUCT((Renteberekening!$B$2:$B$29=Samenvatting!$C112) * (YEAR(Renteberekening!$J$1:$UK$1)=YEAR(Samenvatting!AD$41)) * Renteberekening!$J$2:$UK$29),0))</f>
        <v>0,0</v>
      </c>
      <c r="AE112" s="21" t="str" cm="1">
        <f t="array" ref="AE112">IF(OR(Samenvatting!$C112="",ISBLANK(Samenvatting!$C112)),"0,0",IFERROR(SUMPRODUCT((Renteberekening!$B$2:$B$29=Samenvatting!$C112) * (YEAR(Renteberekening!$J$1:$UK$1)=YEAR(Samenvatting!AE$41)) * Renteberekening!$J$2:$UK$29),0))</f>
        <v>0,0</v>
      </c>
      <c r="AF112" s="21" t="str" cm="1">
        <f t="array" ref="AF112">IF(OR(Samenvatting!$C112="",ISBLANK(Samenvatting!$C112)),"0,0",IFERROR(SUMPRODUCT((Renteberekening!$B$2:$B$29=Samenvatting!$C112) * (YEAR(Renteberekening!$J$1:$UK$1)=YEAR(Samenvatting!AF$41)) * Renteberekening!$J$2:$UK$29),0))</f>
        <v>0,0</v>
      </c>
      <c r="AG112" s="21" t="str" cm="1">
        <f t="array" ref="AG112">IF(OR(Samenvatting!$C112="",ISBLANK(Samenvatting!$C112)),"0,0",IFERROR(SUMPRODUCT((Renteberekening!$B$2:$B$29=Samenvatting!$C112) * (YEAR(Renteberekening!$J$1:$UK$1)=YEAR(Samenvatting!AG$41)) * Renteberekening!$J$2:$UK$29),0))</f>
        <v>0,0</v>
      </c>
      <c r="AH112" s="21" t="str" cm="1">
        <f t="array" ref="AH112">IF(OR(Samenvatting!$C112="",ISBLANK(Samenvatting!$C112)),"0,0",IFERROR(SUMPRODUCT((Renteberekening!$B$2:$B$29=Samenvatting!$C112) * (YEAR(Renteberekening!$J$1:$UK$1)=YEAR(Samenvatting!AH$41)) * Renteberekening!$J$2:$UK$29),0))</f>
        <v>0,0</v>
      </c>
      <c r="AI112" s="21" t="str" cm="1">
        <f t="array" ref="AI112">IF(OR(Samenvatting!$C112="",ISBLANK(Samenvatting!$C112)),"0,0",IFERROR(SUMPRODUCT((Renteberekening!$B$2:$B$29=Samenvatting!$C112) * (YEAR(Renteberekening!$J$1:$UK$1)=YEAR(Samenvatting!AI$41)) * Renteberekening!$J$2:$UK$29),0))</f>
        <v>0,0</v>
      </c>
      <c r="AJ112" s="21" t="str" cm="1">
        <f t="array" ref="AJ112">IF(OR(Samenvatting!$C112="",ISBLANK(Samenvatting!$C112)),"0,0",IFERROR(SUMPRODUCT((Renteberekening!$B$2:$B$29=Samenvatting!$C112) * (YEAR(Renteberekening!$J$1:$UK$1)=YEAR(Samenvatting!AJ$41)) * Renteberekening!$J$2:$UK$29),0))</f>
        <v>0,0</v>
      </c>
      <c r="AK112" s="21" t="str" cm="1">
        <f t="array" ref="AK112">IF(OR(Samenvatting!$C112="",ISBLANK(Samenvatting!$C112)),"0,0",IFERROR(SUMPRODUCT((Renteberekening!$B$2:$B$29=Samenvatting!$C112) * (YEAR(Renteberekening!$J$1:$UK$1)=YEAR(Samenvatting!AK$41)) * Renteberekening!$J$2:$UK$29),0))</f>
        <v>0,0</v>
      </c>
      <c r="AL112" s="21" t="str" cm="1">
        <f t="array" ref="AL112">IF(OR(Samenvatting!$C112="",ISBLANK(Samenvatting!$C112)),"0,0",IFERROR(SUMPRODUCT((Renteberekening!$B$2:$B$29=Samenvatting!$C112) * (YEAR(Renteberekening!$J$1:$UK$1)=YEAR(Samenvatting!AL$41)) * Renteberekening!$J$2:$UK$29),0))</f>
        <v>0,0</v>
      </c>
      <c r="AM112" s="21" t="str" cm="1">
        <f t="array" ref="AM112">IF(OR(Samenvatting!$C112="",ISBLANK(Samenvatting!$C112)),"0,0",IFERROR(SUMPRODUCT((Renteberekening!$B$2:$B$29=Samenvatting!$C112) * (YEAR(Renteberekening!$J$1:$UK$1)=YEAR(Samenvatting!AM$41)) * Renteberekening!$J$2:$UK$29),0))</f>
        <v>0,0</v>
      </c>
      <c r="AN112" s="21" t="str" cm="1">
        <f t="array" ref="AN112">IF(OR(Samenvatting!$C112="",ISBLANK(Samenvatting!$C112)),"0,0",IFERROR(SUMPRODUCT((Renteberekening!$B$2:$B$29=Samenvatting!$C112) * (YEAR(Renteberekening!$J$1:$UK$1)=YEAR(Samenvatting!AN$41)) * Renteberekening!$J$2:$UK$29),0))</f>
        <v>0,0</v>
      </c>
      <c r="AO112" s="21" t="str" cm="1">
        <f t="array" ref="AO112">IF(OR(Samenvatting!$C112="",ISBLANK(Samenvatting!$C112)),"0,0",IFERROR(SUMPRODUCT((Renteberekening!$B$2:$B$29=Samenvatting!$C112) * (YEAR(Renteberekening!$J$1:$UK$1)=YEAR(Samenvatting!AO$41)) * Renteberekening!$J$2:$UK$29),0))</f>
        <v>0,0</v>
      </c>
      <c r="AP112" s="21" t="str" cm="1">
        <f t="array" ref="AP112">IF(OR(Samenvatting!$C112="",ISBLANK(Samenvatting!$C112)),"0,0",IFERROR(SUMPRODUCT((Renteberekening!$B$2:$B$29=Samenvatting!$C112) * (YEAR(Renteberekening!$J$1:$UK$1)=YEAR(Samenvatting!AP$41)) * Renteberekening!$J$2:$UK$29),0))</f>
        <v>0,0</v>
      </c>
      <c r="AQ112" s="21" t="str" cm="1">
        <f t="array" ref="AQ112">IF(OR(Samenvatting!$C112="",ISBLANK(Samenvatting!$C112)),"0,0",IFERROR(SUMPRODUCT((Renteberekening!$B$2:$B$29=Samenvatting!$C112) * (YEAR(Renteberekening!$J$1:$UK$1)=YEAR(Samenvatting!AQ$41)) * Renteberekening!$J$2:$UK$29),0))</f>
        <v>0,0</v>
      </c>
      <c r="AR112" s="21" t="str" cm="1">
        <f t="array" ref="AR112">IF(OR(Samenvatting!$C112="",ISBLANK(Samenvatting!$C112)),"0,0",IFERROR(SUMPRODUCT((Renteberekening!$B$2:$B$29=Samenvatting!$C112) * (YEAR(Renteberekening!$J$1:$UK$1)=YEAR(Samenvatting!AR$41)) * Renteberekening!$J$2:$UK$29),0))</f>
        <v>0,0</v>
      </c>
      <c r="AS112" s="21" t="str" cm="1">
        <f t="array" ref="AS112">IF(OR(Samenvatting!$C112="",ISBLANK(Samenvatting!$C112)),"0,0",IFERROR(SUMPRODUCT((Renteberekening!$B$2:$B$29=Samenvatting!$C112) * (YEAR(Renteberekening!$J$1:$UK$1)=YEAR(Samenvatting!AS$41)) * Renteberekening!$J$2:$UK$29),0))</f>
        <v>0,0</v>
      </c>
      <c r="AT112" s="21" t="str" cm="1">
        <f t="array" ref="AT112">IF(OR(Samenvatting!$C112="",ISBLANK(Samenvatting!$C112)),"0,0",IFERROR(SUMPRODUCT((Renteberekening!$B$2:$B$29=Samenvatting!$C112) * (YEAR(Renteberekening!$J$1:$UK$1)=YEAR(Samenvatting!AT$41)) * Renteberekening!$J$2:$UK$29),0))</f>
        <v>0,0</v>
      </c>
      <c r="AU112" s="21" t="str" cm="1">
        <f t="array" ref="AU112">IF(OR(Samenvatting!$C112="",ISBLANK(Samenvatting!$C112)),"0,0",IFERROR(SUMPRODUCT((Renteberekening!$B$2:$B$29=Samenvatting!$C112) * (YEAR(Renteberekening!$J$1:$UK$1)=YEAR(Samenvatting!AU$41)) * Renteberekening!$J$2:$UK$29),0))</f>
        <v>0,0</v>
      </c>
      <c r="AW112" s="1"/>
      <c r="DJ112" s="11"/>
    </row>
    <row r="113" spans="3:114" ht="30" hidden="1" customHeight="1" outlineLevel="1">
      <c r="C113" s="20"/>
      <c r="D113" s="21">
        <v>1</v>
      </c>
      <c r="E113" s="21" t="s">
        <v>10</v>
      </c>
      <c r="F113" s="86"/>
      <c r="G113" s="86"/>
      <c r="H113" s="105">
        <v>7.4999999999999997E-2</v>
      </c>
      <c r="I113" s="69">
        <v>45292</v>
      </c>
      <c r="J113" s="70">
        <f t="shared" si="8"/>
        <v>3</v>
      </c>
      <c r="K113" s="69">
        <v>46447</v>
      </c>
      <c r="L113" s="21" t="str" cm="1">
        <f t="array" ref="L113">IF(OR(Samenvatting!$C113="",ISBLANK(Samenvatting!$C113)),"0,0",IFERROR(SUMPRODUCT((Renteberekening!$B$2:$B$29=Samenvatting!$C113) * (YEAR(Renteberekening!$J$1:$UK$1)=YEAR(Samenvatting!L$41)) * Renteberekening!$J$2:$UK$29),0))</f>
        <v>0,0</v>
      </c>
      <c r="M113" s="21" t="str" cm="1">
        <f t="array" ref="M113">IF(OR(Samenvatting!$C113="",ISBLANK(Samenvatting!$C113)),"0,0",IFERROR(SUMPRODUCT((Renteberekening!$B$2:$B$29=Samenvatting!$C113) * (YEAR(Renteberekening!$J$1:$UK$1)=YEAR(Samenvatting!M$41)) * Renteberekening!$J$2:$UK$29),0))</f>
        <v>0,0</v>
      </c>
      <c r="N113" s="21" t="str" cm="1">
        <f t="array" ref="N113">IF(OR(Samenvatting!$C113="",ISBLANK(Samenvatting!$C113)),"0,0",IFERROR(SUMPRODUCT((Renteberekening!$B$2:$B$29=Samenvatting!$C113) * (YEAR(Renteberekening!$J$1:$UK$1)=YEAR(Samenvatting!N$41)) * Renteberekening!$J$2:$UK$29),0))</f>
        <v>0,0</v>
      </c>
      <c r="O113" s="21" t="str" cm="1">
        <f t="array" ref="O113">IF(OR(Samenvatting!$C113="",ISBLANK(Samenvatting!$C113)),"0,0",IFERROR(SUMPRODUCT((Renteberekening!$B$2:$B$29=Samenvatting!$C113) * (YEAR(Renteberekening!$J$1:$UK$1)=YEAR(Samenvatting!O$41)) * Renteberekening!$J$2:$UK$29),0))</f>
        <v>0,0</v>
      </c>
      <c r="P113" s="21" t="str" cm="1">
        <f t="array" ref="P113">IF(OR(Samenvatting!$C113="",ISBLANK(Samenvatting!$C113)),"0,0",IFERROR(SUMPRODUCT((Renteberekening!$B$2:$B$29=Samenvatting!$C113) * (YEAR(Renteberekening!$J$1:$UK$1)=YEAR(Samenvatting!P$41)) * Renteberekening!$J$2:$UK$29),0))</f>
        <v>0,0</v>
      </c>
      <c r="Q113" s="21" t="str" cm="1">
        <f t="array" ref="Q113">IF(OR(Samenvatting!$C113="",ISBLANK(Samenvatting!$C113)),"0,0",IFERROR(SUMPRODUCT((Renteberekening!$B$2:$B$29=Samenvatting!$C113) * (YEAR(Renteberekening!$J$1:$UK$1)=YEAR(Samenvatting!Q$41)) * Renteberekening!$J$2:$UK$29),0))</f>
        <v>0,0</v>
      </c>
      <c r="R113" s="21" t="str" cm="1">
        <f t="array" ref="R113">IF(OR(Samenvatting!$C113="",ISBLANK(Samenvatting!$C113)),"0,0",IFERROR(SUMPRODUCT((Renteberekening!$B$2:$B$29=Samenvatting!$C113) * (YEAR(Renteberekening!$J$1:$UK$1)=YEAR(Samenvatting!R$41)) * Renteberekening!$J$2:$UK$29),0))</f>
        <v>0,0</v>
      </c>
      <c r="S113" s="21" t="str" cm="1">
        <f t="array" ref="S113">IF(OR(Samenvatting!$C113="",ISBLANK(Samenvatting!$C113)),"0,0",IFERROR(SUMPRODUCT((Renteberekening!$B$2:$B$29=Samenvatting!$C113) * (YEAR(Renteberekening!$J$1:$UK$1)=YEAR(Samenvatting!S$41)) * Renteberekening!$J$2:$UK$29),0))</f>
        <v>0,0</v>
      </c>
      <c r="T113" s="21" t="str" cm="1">
        <f t="array" ref="T113">IF(OR(Samenvatting!$C113="",ISBLANK(Samenvatting!$C113)),"0,0",IFERROR(SUMPRODUCT((Renteberekening!$B$2:$B$29=Samenvatting!$C113) * (YEAR(Renteberekening!$J$1:$UK$1)=YEAR(Samenvatting!T$41)) * Renteberekening!$J$2:$UK$29),0))</f>
        <v>0,0</v>
      </c>
      <c r="U113" s="21" t="str" cm="1">
        <f t="array" ref="U113">IF(OR(Samenvatting!$C113="",ISBLANK(Samenvatting!$C113)),"0,0",IFERROR(SUMPRODUCT((Renteberekening!$B$2:$B$29=Samenvatting!$C113) * (YEAR(Renteberekening!$J$1:$UK$1)=YEAR(Samenvatting!U$41)) * Renteberekening!$J$2:$UK$29),0))</f>
        <v>0,0</v>
      </c>
      <c r="V113" s="21" t="str" cm="1">
        <f t="array" ref="V113">IF(OR(Samenvatting!$C113="",ISBLANK(Samenvatting!$C113)),"0,0",IFERROR(SUMPRODUCT((Renteberekening!$B$2:$B$29=Samenvatting!$C113) * (YEAR(Renteberekening!$J$1:$UK$1)=YEAR(Samenvatting!V$41)) * Renteberekening!$J$2:$UK$29),0))</f>
        <v>0,0</v>
      </c>
      <c r="W113" s="21" t="str" cm="1">
        <f t="array" ref="W113">IF(OR(Samenvatting!$C113="",ISBLANK(Samenvatting!$C113)),"0,0",IFERROR(SUMPRODUCT((Renteberekening!$B$2:$B$29=Samenvatting!$C113) * (YEAR(Renteberekening!$J$1:$UK$1)=YEAR(Samenvatting!W$41)) * Renteberekening!$J$2:$UK$29),0))</f>
        <v>0,0</v>
      </c>
      <c r="X113" s="21" t="str" cm="1">
        <f t="array" ref="X113">IF(OR(Samenvatting!$C113="",ISBLANK(Samenvatting!$C113)),"0,0",IFERROR(SUMPRODUCT((Renteberekening!$B$2:$B$29=Samenvatting!$C113) * (YEAR(Renteberekening!$J$1:$UK$1)=YEAR(Samenvatting!X$41)) * Renteberekening!$J$2:$UK$29),0))</f>
        <v>0,0</v>
      </c>
      <c r="Y113" s="21" t="str" cm="1">
        <f t="array" ref="Y113">IF(OR(Samenvatting!$C113="",ISBLANK(Samenvatting!$C113)),"0,0",IFERROR(SUMPRODUCT((Renteberekening!$B$2:$B$29=Samenvatting!$C113) * (YEAR(Renteberekening!$J$1:$UK$1)=YEAR(Samenvatting!Y$41)) * Renteberekening!$J$2:$UK$29),0))</f>
        <v>0,0</v>
      </c>
      <c r="Z113" s="21" t="str" cm="1">
        <f t="array" ref="Z113">IF(OR(Samenvatting!$C113="",ISBLANK(Samenvatting!$C113)),"0,0",IFERROR(SUMPRODUCT((Renteberekening!$B$2:$B$29=Samenvatting!$C113) * (YEAR(Renteberekening!$J$1:$UK$1)=YEAR(Samenvatting!Z$41)) * Renteberekening!$J$2:$UK$29),0))</f>
        <v>0,0</v>
      </c>
      <c r="AA113" s="21" t="str" cm="1">
        <f t="array" ref="AA113">IF(OR(Samenvatting!$C113="",ISBLANK(Samenvatting!$C113)),"0,0",IFERROR(SUMPRODUCT((Renteberekening!$B$2:$B$29=Samenvatting!$C113) * (YEAR(Renteberekening!$J$1:$UK$1)=YEAR(Samenvatting!AA$41)) * Renteberekening!$J$2:$UK$29),0))</f>
        <v>0,0</v>
      </c>
      <c r="AB113" s="21" t="str" cm="1">
        <f t="array" ref="AB113">IF(OR(Samenvatting!$C113="",ISBLANK(Samenvatting!$C113)),"0,0",IFERROR(SUMPRODUCT((Renteberekening!$B$2:$B$29=Samenvatting!$C113) * (YEAR(Renteberekening!$J$1:$UK$1)=YEAR(Samenvatting!AB$41)) * Renteberekening!$J$2:$UK$29),0))</f>
        <v>0,0</v>
      </c>
      <c r="AC113" s="21" t="str" cm="1">
        <f t="array" ref="AC113">IF(OR(Samenvatting!$C113="",ISBLANK(Samenvatting!$C113)),"0,0",IFERROR(SUMPRODUCT((Renteberekening!$B$2:$B$29=Samenvatting!$C113) * (YEAR(Renteberekening!$J$1:$UK$1)=YEAR(Samenvatting!AC$41)) * Renteberekening!$J$2:$UK$29),0))</f>
        <v>0,0</v>
      </c>
      <c r="AD113" s="21" t="str" cm="1">
        <f t="array" ref="AD113">IF(OR(Samenvatting!$C113="",ISBLANK(Samenvatting!$C113)),"0,0",IFERROR(SUMPRODUCT((Renteberekening!$B$2:$B$29=Samenvatting!$C113) * (YEAR(Renteberekening!$J$1:$UK$1)=YEAR(Samenvatting!AD$41)) * Renteberekening!$J$2:$UK$29),0))</f>
        <v>0,0</v>
      </c>
      <c r="AE113" s="21" t="str" cm="1">
        <f t="array" ref="AE113">IF(OR(Samenvatting!$C113="",ISBLANK(Samenvatting!$C113)),"0,0",IFERROR(SUMPRODUCT((Renteberekening!$B$2:$B$29=Samenvatting!$C113) * (YEAR(Renteberekening!$J$1:$UK$1)=YEAR(Samenvatting!AE$41)) * Renteberekening!$J$2:$UK$29),0))</f>
        <v>0,0</v>
      </c>
      <c r="AF113" s="21" t="str" cm="1">
        <f t="array" ref="AF113">IF(OR(Samenvatting!$C113="",ISBLANK(Samenvatting!$C113)),"0,0",IFERROR(SUMPRODUCT((Renteberekening!$B$2:$B$29=Samenvatting!$C113) * (YEAR(Renteberekening!$J$1:$UK$1)=YEAR(Samenvatting!AF$41)) * Renteberekening!$J$2:$UK$29),0))</f>
        <v>0,0</v>
      </c>
      <c r="AG113" s="21" t="str" cm="1">
        <f t="array" ref="AG113">IF(OR(Samenvatting!$C113="",ISBLANK(Samenvatting!$C113)),"0,0",IFERROR(SUMPRODUCT((Renteberekening!$B$2:$B$29=Samenvatting!$C113) * (YEAR(Renteberekening!$J$1:$UK$1)=YEAR(Samenvatting!AG$41)) * Renteberekening!$J$2:$UK$29),0))</f>
        <v>0,0</v>
      </c>
      <c r="AH113" s="21" t="str" cm="1">
        <f t="array" ref="AH113">IF(OR(Samenvatting!$C113="",ISBLANK(Samenvatting!$C113)),"0,0",IFERROR(SUMPRODUCT((Renteberekening!$B$2:$B$29=Samenvatting!$C113) * (YEAR(Renteberekening!$J$1:$UK$1)=YEAR(Samenvatting!AH$41)) * Renteberekening!$J$2:$UK$29),0))</f>
        <v>0,0</v>
      </c>
      <c r="AI113" s="21" t="str" cm="1">
        <f t="array" ref="AI113">IF(OR(Samenvatting!$C113="",ISBLANK(Samenvatting!$C113)),"0,0",IFERROR(SUMPRODUCT((Renteberekening!$B$2:$B$29=Samenvatting!$C113) * (YEAR(Renteberekening!$J$1:$UK$1)=YEAR(Samenvatting!AI$41)) * Renteberekening!$J$2:$UK$29),0))</f>
        <v>0,0</v>
      </c>
      <c r="AJ113" s="21" t="str" cm="1">
        <f t="array" ref="AJ113">IF(OR(Samenvatting!$C113="",ISBLANK(Samenvatting!$C113)),"0,0",IFERROR(SUMPRODUCT((Renteberekening!$B$2:$B$29=Samenvatting!$C113) * (YEAR(Renteberekening!$J$1:$UK$1)=YEAR(Samenvatting!AJ$41)) * Renteberekening!$J$2:$UK$29),0))</f>
        <v>0,0</v>
      </c>
      <c r="AK113" s="21" t="str" cm="1">
        <f t="array" ref="AK113">IF(OR(Samenvatting!$C113="",ISBLANK(Samenvatting!$C113)),"0,0",IFERROR(SUMPRODUCT((Renteberekening!$B$2:$B$29=Samenvatting!$C113) * (YEAR(Renteberekening!$J$1:$UK$1)=YEAR(Samenvatting!AK$41)) * Renteberekening!$J$2:$UK$29),0))</f>
        <v>0,0</v>
      </c>
      <c r="AL113" s="21" t="str" cm="1">
        <f t="array" ref="AL113">IF(OR(Samenvatting!$C113="",ISBLANK(Samenvatting!$C113)),"0,0",IFERROR(SUMPRODUCT((Renteberekening!$B$2:$B$29=Samenvatting!$C113) * (YEAR(Renteberekening!$J$1:$UK$1)=YEAR(Samenvatting!AL$41)) * Renteberekening!$J$2:$UK$29),0))</f>
        <v>0,0</v>
      </c>
      <c r="AM113" s="21" t="str" cm="1">
        <f t="array" ref="AM113">IF(OR(Samenvatting!$C113="",ISBLANK(Samenvatting!$C113)),"0,0",IFERROR(SUMPRODUCT((Renteberekening!$B$2:$B$29=Samenvatting!$C113) * (YEAR(Renteberekening!$J$1:$UK$1)=YEAR(Samenvatting!AM$41)) * Renteberekening!$J$2:$UK$29),0))</f>
        <v>0,0</v>
      </c>
      <c r="AN113" s="21" t="str" cm="1">
        <f t="array" ref="AN113">IF(OR(Samenvatting!$C113="",ISBLANK(Samenvatting!$C113)),"0,0",IFERROR(SUMPRODUCT((Renteberekening!$B$2:$B$29=Samenvatting!$C113) * (YEAR(Renteberekening!$J$1:$UK$1)=YEAR(Samenvatting!AN$41)) * Renteberekening!$J$2:$UK$29),0))</f>
        <v>0,0</v>
      </c>
      <c r="AO113" s="21" t="str" cm="1">
        <f t="array" ref="AO113">IF(OR(Samenvatting!$C113="",ISBLANK(Samenvatting!$C113)),"0,0",IFERROR(SUMPRODUCT((Renteberekening!$B$2:$B$29=Samenvatting!$C113) * (YEAR(Renteberekening!$J$1:$UK$1)=YEAR(Samenvatting!AO$41)) * Renteberekening!$J$2:$UK$29),0))</f>
        <v>0,0</v>
      </c>
      <c r="AP113" s="21" t="str" cm="1">
        <f t="array" ref="AP113">IF(OR(Samenvatting!$C113="",ISBLANK(Samenvatting!$C113)),"0,0",IFERROR(SUMPRODUCT((Renteberekening!$B$2:$B$29=Samenvatting!$C113) * (YEAR(Renteberekening!$J$1:$UK$1)=YEAR(Samenvatting!AP$41)) * Renteberekening!$J$2:$UK$29),0))</f>
        <v>0,0</v>
      </c>
      <c r="AQ113" s="21" t="str" cm="1">
        <f t="array" ref="AQ113">IF(OR(Samenvatting!$C113="",ISBLANK(Samenvatting!$C113)),"0,0",IFERROR(SUMPRODUCT((Renteberekening!$B$2:$B$29=Samenvatting!$C113) * (YEAR(Renteberekening!$J$1:$UK$1)=YEAR(Samenvatting!AQ$41)) * Renteberekening!$J$2:$UK$29),0))</f>
        <v>0,0</v>
      </c>
      <c r="AR113" s="21" t="str" cm="1">
        <f t="array" ref="AR113">IF(OR(Samenvatting!$C113="",ISBLANK(Samenvatting!$C113)),"0,0",IFERROR(SUMPRODUCT((Renteberekening!$B$2:$B$29=Samenvatting!$C113) * (YEAR(Renteberekening!$J$1:$UK$1)=YEAR(Samenvatting!AR$41)) * Renteberekening!$J$2:$UK$29),0))</f>
        <v>0,0</v>
      </c>
      <c r="AS113" s="21" t="str" cm="1">
        <f t="array" ref="AS113">IF(OR(Samenvatting!$C113="",ISBLANK(Samenvatting!$C113)),"0,0",IFERROR(SUMPRODUCT((Renteberekening!$B$2:$B$29=Samenvatting!$C113) * (YEAR(Renteberekening!$J$1:$UK$1)=YEAR(Samenvatting!AS$41)) * Renteberekening!$J$2:$UK$29),0))</f>
        <v>0,0</v>
      </c>
      <c r="AT113" s="21" t="str" cm="1">
        <f t="array" ref="AT113">IF(OR(Samenvatting!$C113="",ISBLANK(Samenvatting!$C113)),"0,0",IFERROR(SUMPRODUCT((Renteberekening!$B$2:$B$29=Samenvatting!$C113) * (YEAR(Renteberekening!$J$1:$UK$1)=YEAR(Samenvatting!AT$41)) * Renteberekening!$J$2:$UK$29),0))</f>
        <v>0,0</v>
      </c>
      <c r="AU113" s="21" t="str" cm="1">
        <f t="array" ref="AU113">IF(OR(Samenvatting!$C113="",ISBLANK(Samenvatting!$C113)),"0,0",IFERROR(SUMPRODUCT((Renteberekening!$B$2:$B$29=Samenvatting!$C113) * (YEAR(Renteberekening!$J$1:$UK$1)=YEAR(Samenvatting!AU$41)) * Renteberekening!$J$2:$UK$29),0))</f>
        <v>0,0</v>
      </c>
      <c r="AW113" s="1"/>
      <c r="DJ113" s="11"/>
    </row>
    <row r="114" spans="3:114" ht="30" hidden="1" customHeight="1" outlineLevel="1">
      <c r="C114" s="20"/>
      <c r="D114" s="21">
        <v>1</v>
      </c>
      <c r="E114" s="21" t="s">
        <v>10</v>
      </c>
      <c r="F114" s="86"/>
      <c r="G114" s="86"/>
      <c r="H114" s="105">
        <v>7.4999999999999997E-2</v>
      </c>
      <c r="I114" s="69">
        <v>45292</v>
      </c>
      <c r="J114" s="70">
        <f t="shared" si="8"/>
        <v>3</v>
      </c>
      <c r="K114" s="69">
        <v>46478</v>
      </c>
      <c r="L114" s="21" t="str" cm="1">
        <f t="array" ref="L114">IF(OR(Samenvatting!$C114="",ISBLANK(Samenvatting!$C114)),"0,0",IFERROR(SUMPRODUCT((Renteberekening!$B$2:$B$29=Samenvatting!$C114) * (YEAR(Renteberekening!$J$1:$UK$1)=YEAR(Samenvatting!L$41)) * Renteberekening!$J$2:$UK$29),0))</f>
        <v>0,0</v>
      </c>
      <c r="M114" s="21" t="str" cm="1">
        <f t="array" ref="M114">IF(OR(Samenvatting!$C114="",ISBLANK(Samenvatting!$C114)),"0,0",IFERROR(SUMPRODUCT((Renteberekening!$B$2:$B$29=Samenvatting!$C114) * (YEAR(Renteberekening!$J$1:$UK$1)=YEAR(Samenvatting!M$41)) * Renteberekening!$J$2:$UK$29),0))</f>
        <v>0,0</v>
      </c>
      <c r="N114" s="21" t="str" cm="1">
        <f t="array" ref="N114">IF(OR(Samenvatting!$C114="",ISBLANK(Samenvatting!$C114)),"0,0",IFERROR(SUMPRODUCT((Renteberekening!$B$2:$B$29=Samenvatting!$C114) * (YEAR(Renteberekening!$J$1:$UK$1)=YEAR(Samenvatting!N$41)) * Renteberekening!$J$2:$UK$29),0))</f>
        <v>0,0</v>
      </c>
      <c r="O114" s="21" t="str" cm="1">
        <f t="array" ref="O114">IF(OR(Samenvatting!$C114="",ISBLANK(Samenvatting!$C114)),"0,0",IFERROR(SUMPRODUCT((Renteberekening!$B$2:$B$29=Samenvatting!$C114) * (YEAR(Renteberekening!$J$1:$UK$1)=YEAR(Samenvatting!O$41)) * Renteberekening!$J$2:$UK$29),0))</f>
        <v>0,0</v>
      </c>
      <c r="P114" s="21" t="str" cm="1">
        <f t="array" ref="P114">IF(OR(Samenvatting!$C114="",ISBLANK(Samenvatting!$C114)),"0,0",IFERROR(SUMPRODUCT((Renteberekening!$B$2:$B$29=Samenvatting!$C114) * (YEAR(Renteberekening!$J$1:$UK$1)=YEAR(Samenvatting!P$41)) * Renteberekening!$J$2:$UK$29),0))</f>
        <v>0,0</v>
      </c>
      <c r="Q114" s="21" t="str" cm="1">
        <f t="array" ref="Q114">IF(OR(Samenvatting!$C114="",ISBLANK(Samenvatting!$C114)),"0,0",IFERROR(SUMPRODUCT((Renteberekening!$B$2:$B$29=Samenvatting!$C114) * (YEAR(Renteberekening!$J$1:$UK$1)=YEAR(Samenvatting!Q$41)) * Renteberekening!$J$2:$UK$29),0))</f>
        <v>0,0</v>
      </c>
      <c r="R114" s="21" t="str" cm="1">
        <f t="array" ref="R114">IF(OR(Samenvatting!$C114="",ISBLANK(Samenvatting!$C114)),"0,0",IFERROR(SUMPRODUCT((Renteberekening!$B$2:$B$29=Samenvatting!$C114) * (YEAR(Renteberekening!$J$1:$UK$1)=YEAR(Samenvatting!R$41)) * Renteberekening!$J$2:$UK$29),0))</f>
        <v>0,0</v>
      </c>
      <c r="S114" s="21" t="str" cm="1">
        <f t="array" ref="S114">IF(OR(Samenvatting!$C114="",ISBLANK(Samenvatting!$C114)),"0,0",IFERROR(SUMPRODUCT((Renteberekening!$B$2:$B$29=Samenvatting!$C114) * (YEAR(Renteberekening!$J$1:$UK$1)=YEAR(Samenvatting!S$41)) * Renteberekening!$J$2:$UK$29),0))</f>
        <v>0,0</v>
      </c>
      <c r="T114" s="21" t="str" cm="1">
        <f t="array" ref="T114">IF(OR(Samenvatting!$C114="",ISBLANK(Samenvatting!$C114)),"0,0",IFERROR(SUMPRODUCT((Renteberekening!$B$2:$B$29=Samenvatting!$C114) * (YEAR(Renteberekening!$J$1:$UK$1)=YEAR(Samenvatting!T$41)) * Renteberekening!$J$2:$UK$29),0))</f>
        <v>0,0</v>
      </c>
      <c r="U114" s="21" t="str" cm="1">
        <f t="array" ref="U114">IF(OR(Samenvatting!$C114="",ISBLANK(Samenvatting!$C114)),"0,0",IFERROR(SUMPRODUCT((Renteberekening!$B$2:$B$29=Samenvatting!$C114) * (YEAR(Renteberekening!$J$1:$UK$1)=YEAR(Samenvatting!U$41)) * Renteberekening!$J$2:$UK$29),0))</f>
        <v>0,0</v>
      </c>
      <c r="V114" s="21" t="str" cm="1">
        <f t="array" ref="V114">IF(OR(Samenvatting!$C114="",ISBLANK(Samenvatting!$C114)),"0,0",IFERROR(SUMPRODUCT((Renteberekening!$B$2:$B$29=Samenvatting!$C114) * (YEAR(Renteberekening!$J$1:$UK$1)=YEAR(Samenvatting!V$41)) * Renteberekening!$J$2:$UK$29),0))</f>
        <v>0,0</v>
      </c>
      <c r="W114" s="21" t="str" cm="1">
        <f t="array" ref="W114">IF(OR(Samenvatting!$C114="",ISBLANK(Samenvatting!$C114)),"0,0",IFERROR(SUMPRODUCT((Renteberekening!$B$2:$B$29=Samenvatting!$C114) * (YEAR(Renteberekening!$J$1:$UK$1)=YEAR(Samenvatting!W$41)) * Renteberekening!$J$2:$UK$29),0))</f>
        <v>0,0</v>
      </c>
      <c r="X114" s="21" t="str" cm="1">
        <f t="array" ref="X114">IF(OR(Samenvatting!$C114="",ISBLANK(Samenvatting!$C114)),"0,0",IFERROR(SUMPRODUCT((Renteberekening!$B$2:$B$29=Samenvatting!$C114) * (YEAR(Renteberekening!$J$1:$UK$1)=YEAR(Samenvatting!X$41)) * Renteberekening!$J$2:$UK$29),0))</f>
        <v>0,0</v>
      </c>
      <c r="Y114" s="21" t="str" cm="1">
        <f t="array" ref="Y114">IF(OR(Samenvatting!$C114="",ISBLANK(Samenvatting!$C114)),"0,0",IFERROR(SUMPRODUCT((Renteberekening!$B$2:$B$29=Samenvatting!$C114) * (YEAR(Renteberekening!$J$1:$UK$1)=YEAR(Samenvatting!Y$41)) * Renteberekening!$J$2:$UK$29),0))</f>
        <v>0,0</v>
      </c>
      <c r="Z114" s="21" t="str" cm="1">
        <f t="array" ref="Z114">IF(OR(Samenvatting!$C114="",ISBLANK(Samenvatting!$C114)),"0,0",IFERROR(SUMPRODUCT((Renteberekening!$B$2:$B$29=Samenvatting!$C114) * (YEAR(Renteberekening!$J$1:$UK$1)=YEAR(Samenvatting!Z$41)) * Renteberekening!$J$2:$UK$29),0))</f>
        <v>0,0</v>
      </c>
      <c r="AA114" s="21" t="str" cm="1">
        <f t="array" ref="AA114">IF(OR(Samenvatting!$C114="",ISBLANK(Samenvatting!$C114)),"0,0",IFERROR(SUMPRODUCT((Renteberekening!$B$2:$B$29=Samenvatting!$C114) * (YEAR(Renteberekening!$J$1:$UK$1)=YEAR(Samenvatting!AA$41)) * Renteberekening!$J$2:$UK$29),0))</f>
        <v>0,0</v>
      </c>
      <c r="AB114" s="21" t="str" cm="1">
        <f t="array" ref="AB114">IF(OR(Samenvatting!$C114="",ISBLANK(Samenvatting!$C114)),"0,0",IFERROR(SUMPRODUCT((Renteberekening!$B$2:$B$29=Samenvatting!$C114) * (YEAR(Renteberekening!$J$1:$UK$1)=YEAR(Samenvatting!AB$41)) * Renteberekening!$J$2:$UK$29),0))</f>
        <v>0,0</v>
      </c>
      <c r="AC114" s="21" t="str" cm="1">
        <f t="array" ref="AC114">IF(OR(Samenvatting!$C114="",ISBLANK(Samenvatting!$C114)),"0,0",IFERROR(SUMPRODUCT((Renteberekening!$B$2:$B$29=Samenvatting!$C114) * (YEAR(Renteberekening!$J$1:$UK$1)=YEAR(Samenvatting!AC$41)) * Renteberekening!$J$2:$UK$29),0))</f>
        <v>0,0</v>
      </c>
      <c r="AD114" s="21" t="str" cm="1">
        <f t="array" ref="AD114">IF(OR(Samenvatting!$C114="",ISBLANK(Samenvatting!$C114)),"0,0",IFERROR(SUMPRODUCT((Renteberekening!$B$2:$B$29=Samenvatting!$C114) * (YEAR(Renteberekening!$J$1:$UK$1)=YEAR(Samenvatting!AD$41)) * Renteberekening!$J$2:$UK$29),0))</f>
        <v>0,0</v>
      </c>
      <c r="AE114" s="21" t="str" cm="1">
        <f t="array" ref="AE114">IF(OR(Samenvatting!$C114="",ISBLANK(Samenvatting!$C114)),"0,0",IFERROR(SUMPRODUCT((Renteberekening!$B$2:$B$29=Samenvatting!$C114) * (YEAR(Renteberekening!$J$1:$UK$1)=YEAR(Samenvatting!AE$41)) * Renteberekening!$J$2:$UK$29),0))</f>
        <v>0,0</v>
      </c>
      <c r="AF114" s="21" t="str" cm="1">
        <f t="array" ref="AF114">IF(OR(Samenvatting!$C114="",ISBLANK(Samenvatting!$C114)),"0,0",IFERROR(SUMPRODUCT((Renteberekening!$B$2:$B$29=Samenvatting!$C114) * (YEAR(Renteberekening!$J$1:$UK$1)=YEAR(Samenvatting!AF$41)) * Renteberekening!$J$2:$UK$29),0))</f>
        <v>0,0</v>
      </c>
      <c r="AG114" s="21" t="str" cm="1">
        <f t="array" ref="AG114">IF(OR(Samenvatting!$C114="",ISBLANK(Samenvatting!$C114)),"0,0",IFERROR(SUMPRODUCT((Renteberekening!$B$2:$B$29=Samenvatting!$C114) * (YEAR(Renteberekening!$J$1:$UK$1)=YEAR(Samenvatting!AG$41)) * Renteberekening!$J$2:$UK$29),0))</f>
        <v>0,0</v>
      </c>
      <c r="AH114" s="21" t="str" cm="1">
        <f t="array" ref="AH114">IF(OR(Samenvatting!$C114="",ISBLANK(Samenvatting!$C114)),"0,0",IFERROR(SUMPRODUCT((Renteberekening!$B$2:$B$29=Samenvatting!$C114) * (YEAR(Renteberekening!$J$1:$UK$1)=YEAR(Samenvatting!AH$41)) * Renteberekening!$J$2:$UK$29),0))</f>
        <v>0,0</v>
      </c>
      <c r="AI114" s="21" t="str" cm="1">
        <f t="array" ref="AI114">IF(OR(Samenvatting!$C114="",ISBLANK(Samenvatting!$C114)),"0,0",IFERROR(SUMPRODUCT((Renteberekening!$B$2:$B$29=Samenvatting!$C114) * (YEAR(Renteberekening!$J$1:$UK$1)=YEAR(Samenvatting!AI$41)) * Renteberekening!$J$2:$UK$29),0))</f>
        <v>0,0</v>
      </c>
      <c r="AJ114" s="21" t="str" cm="1">
        <f t="array" ref="AJ114">IF(OR(Samenvatting!$C114="",ISBLANK(Samenvatting!$C114)),"0,0",IFERROR(SUMPRODUCT((Renteberekening!$B$2:$B$29=Samenvatting!$C114) * (YEAR(Renteberekening!$J$1:$UK$1)=YEAR(Samenvatting!AJ$41)) * Renteberekening!$J$2:$UK$29),0))</f>
        <v>0,0</v>
      </c>
      <c r="AK114" s="21" t="str" cm="1">
        <f t="array" ref="AK114">IF(OR(Samenvatting!$C114="",ISBLANK(Samenvatting!$C114)),"0,0",IFERROR(SUMPRODUCT((Renteberekening!$B$2:$B$29=Samenvatting!$C114) * (YEAR(Renteberekening!$J$1:$UK$1)=YEAR(Samenvatting!AK$41)) * Renteberekening!$J$2:$UK$29),0))</f>
        <v>0,0</v>
      </c>
      <c r="AL114" s="21" t="str" cm="1">
        <f t="array" ref="AL114">IF(OR(Samenvatting!$C114="",ISBLANK(Samenvatting!$C114)),"0,0",IFERROR(SUMPRODUCT((Renteberekening!$B$2:$B$29=Samenvatting!$C114) * (YEAR(Renteberekening!$J$1:$UK$1)=YEAR(Samenvatting!AL$41)) * Renteberekening!$J$2:$UK$29),0))</f>
        <v>0,0</v>
      </c>
      <c r="AM114" s="21" t="str" cm="1">
        <f t="array" ref="AM114">IF(OR(Samenvatting!$C114="",ISBLANK(Samenvatting!$C114)),"0,0",IFERROR(SUMPRODUCT((Renteberekening!$B$2:$B$29=Samenvatting!$C114) * (YEAR(Renteberekening!$J$1:$UK$1)=YEAR(Samenvatting!AM$41)) * Renteberekening!$J$2:$UK$29),0))</f>
        <v>0,0</v>
      </c>
      <c r="AN114" s="21" t="str" cm="1">
        <f t="array" ref="AN114">IF(OR(Samenvatting!$C114="",ISBLANK(Samenvatting!$C114)),"0,0",IFERROR(SUMPRODUCT((Renteberekening!$B$2:$B$29=Samenvatting!$C114) * (YEAR(Renteberekening!$J$1:$UK$1)=YEAR(Samenvatting!AN$41)) * Renteberekening!$J$2:$UK$29),0))</f>
        <v>0,0</v>
      </c>
      <c r="AO114" s="21" t="str" cm="1">
        <f t="array" ref="AO114">IF(OR(Samenvatting!$C114="",ISBLANK(Samenvatting!$C114)),"0,0",IFERROR(SUMPRODUCT((Renteberekening!$B$2:$B$29=Samenvatting!$C114) * (YEAR(Renteberekening!$J$1:$UK$1)=YEAR(Samenvatting!AO$41)) * Renteberekening!$J$2:$UK$29),0))</f>
        <v>0,0</v>
      </c>
      <c r="AP114" s="21" t="str" cm="1">
        <f t="array" ref="AP114">IF(OR(Samenvatting!$C114="",ISBLANK(Samenvatting!$C114)),"0,0",IFERROR(SUMPRODUCT((Renteberekening!$B$2:$B$29=Samenvatting!$C114) * (YEAR(Renteberekening!$J$1:$UK$1)=YEAR(Samenvatting!AP$41)) * Renteberekening!$J$2:$UK$29),0))</f>
        <v>0,0</v>
      </c>
      <c r="AQ114" s="21" t="str" cm="1">
        <f t="array" ref="AQ114">IF(OR(Samenvatting!$C114="",ISBLANK(Samenvatting!$C114)),"0,0",IFERROR(SUMPRODUCT((Renteberekening!$B$2:$B$29=Samenvatting!$C114) * (YEAR(Renteberekening!$J$1:$UK$1)=YEAR(Samenvatting!AQ$41)) * Renteberekening!$J$2:$UK$29),0))</f>
        <v>0,0</v>
      </c>
      <c r="AR114" s="21" t="str" cm="1">
        <f t="array" ref="AR114">IF(OR(Samenvatting!$C114="",ISBLANK(Samenvatting!$C114)),"0,0",IFERROR(SUMPRODUCT((Renteberekening!$B$2:$B$29=Samenvatting!$C114) * (YEAR(Renteberekening!$J$1:$UK$1)=YEAR(Samenvatting!AR$41)) * Renteberekening!$J$2:$UK$29),0))</f>
        <v>0,0</v>
      </c>
      <c r="AS114" s="21" t="str" cm="1">
        <f t="array" ref="AS114">IF(OR(Samenvatting!$C114="",ISBLANK(Samenvatting!$C114)),"0,0",IFERROR(SUMPRODUCT((Renteberekening!$B$2:$B$29=Samenvatting!$C114) * (YEAR(Renteberekening!$J$1:$UK$1)=YEAR(Samenvatting!AS$41)) * Renteberekening!$J$2:$UK$29),0))</f>
        <v>0,0</v>
      </c>
      <c r="AT114" s="21" t="str" cm="1">
        <f t="array" ref="AT114">IF(OR(Samenvatting!$C114="",ISBLANK(Samenvatting!$C114)),"0,0",IFERROR(SUMPRODUCT((Renteberekening!$B$2:$B$29=Samenvatting!$C114) * (YEAR(Renteberekening!$J$1:$UK$1)=YEAR(Samenvatting!AT$41)) * Renteberekening!$J$2:$UK$29),0))</f>
        <v>0,0</v>
      </c>
      <c r="AU114" s="21" t="str" cm="1">
        <f t="array" ref="AU114">IF(OR(Samenvatting!$C114="",ISBLANK(Samenvatting!$C114)),"0,0",IFERROR(SUMPRODUCT((Renteberekening!$B$2:$B$29=Samenvatting!$C114) * (YEAR(Renteberekening!$J$1:$UK$1)=YEAR(Samenvatting!AU$41)) * Renteberekening!$J$2:$UK$29),0))</f>
        <v>0,0</v>
      </c>
      <c r="AW114" s="1"/>
      <c r="DJ114" s="11"/>
    </row>
    <row r="115" spans="3:114" ht="30" hidden="1" customHeight="1" outlineLevel="1">
      <c r="C115" s="20"/>
      <c r="D115" s="21">
        <v>1</v>
      </c>
      <c r="E115" s="21" t="s">
        <v>10</v>
      </c>
      <c r="F115" s="83"/>
      <c r="G115" s="83"/>
      <c r="H115" s="105">
        <v>7.4999999999999997E-2</v>
      </c>
      <c r="I115" s="69">
        <v>45292</v>
      </c>
      <c r="J115" s="70">
        <f t="shared" si="8"/>
        <v>3</v>
      </c>
      <c r="K115" s="69">
        <v>46631</v>
      </c>
      <c r="L115" s="21" t="str" cm="1">
        <f t="array" ref="L115">IF(OR(Samenvatting!$C115="",ISBLANK(Samenvatting!$C115)),"0,0",IFERROR(SUMPRODUCT((Renteberekening!$B$2:$B$29=Samenvatting!$C115) * (YEAR(Renteberekening!$J$1:$UK$1)=YEAR(Samenvatting!L$41)) * Renteberekening!$J$2:$UK$29),0))</f>
        <v>0,0</v>
      </c>
      <c r="M115" s="21" t="str" cm="1">
        <f t="array" ref="M115">IF(OR(Samenvatting!$C115="",ISBLANK(Samenvatting!$C115)),"0,0",IFERROR(SUMPRODUCT((Renteberekening!$B$2:$B$29=Samenvatting!$C115) * (YEAR(Renteberekening!$J$1:$UK$1)=YEAR(Samenvatting!M$41)) * Renteberekening!$J$2:$UK$29),0))</f>
        <v>0,0</v>
      </c>
      <c r="N115" s="21" t="str" cm="1">
        <f t="array" ref="N115">IF(OR(Samenvatting!$C115="",ISBLANK(Samenvatting!$C115)),"0,0",IFERROR(SUMPRODUCT((Renteberekening!$B$2:$B$29=Samenvatting!$C115) * (YEAR(Renteberekening!$J$1:$UK$1)=YEAR(Samenvatting!N$41)) * Renteberekening!$J$2:$UK$29),0))</f>
        <v>0,0</v>
      </c>
      <c r="O115" s="21" t="str" cm="1">
        <f t="array" ref="O115">IF(OR(Samenvatting!$C115="",ISBLANK(Samenvatting!$C115)),"0,0",IFERROR(SUMPRODUCT((Renteberekening!$B$2:$B$29=Samenvatting!$C115) * (YEAR(Renteberekening!$J$1:$UK$1)=YEAR(Samenvatting!O$41)) * Renteberekening!$J$2:$UK$29),0))</f>
        <v>0,0</v>
      </c>
      <c r="P115" s="21" t="str" cm="1">
        <f t="array" ref="P115">IF(OR(Samenvatting!$C115="",ISBLANK(Samenvatting!$C115)),"0,0",IFERROR(SUMPRODUCT((Renteberekening!$B$2:$B$29=Samenvatting!$C115) * (YEAR(Renteberekening!$J$1:$UK$1)=YEAR(Samenvatting!P$41)) * Renteberekening!$J$2:$UK$29),0))</f>
        <v>0,0</v>
      </c>
      <c r="Q115" s="21" t="str" cm="1">
        <f t="array" ref="Q115">IF(OR(Samenvatting!$C115="",ISBLANK(Samenvatting!$C115)),"0,0",IFERROR(SUMPRODUCT((Renteberekening!$B$2:$B$29=Samenvatting!$C115) * (YEAR(Renteberekening!$J$1:$UK$1)=YEAR(Samenvatting!Q$41)) * Renteberekening!$J$2:$UK$29),0))</f>
        <v>0,0</v>
      </c>
      <c r="R115" s="21" t="str" cm="1">
        <f t="array" ref="R115">IF(OR(Samenvatting!$C115="",ISBLANK(Samenvatting!$C115)),"0,0",IFERROR(SUMPRODUCT((Renteberekening!$B$2:$B$29=Samenvatting!$C115) * (YEAR(Renteberekening!$J$1:$UK$1)=YEAR(Samenvatting!R$41)) * Renteberekening!$J$2:$UK$29),0))</f>
        <v>0,0</v>
      </c>
      <c r="S115" s="21" t="str" cm="1">
        <f t="array" ref="S115">IF(OR(Samenvatting!$C115="",ISBLANK(Samenvatting!$C115)),"0,0",IFERROR(SUMPRODUCT((Renteberekening!$B$2:$B$29=Samenvatting!$C115) * (YEAR(Renteberekening!$J$1:$UK$1)=YEAR(Samenvatting!S$41)) * Renteberekening!$J$2:$UK$29),0))</f>
        <v>0,0</v>
      </c>
      <c r="T115" s="21" t="str" cm="1">
        <f t="array" ref="T115">IF(OR(Samenvatting!$C115="",ISBLANK(Samenvatting!$C115)),"0,0",IFERROR(SUMPRODUCT((Renteberekening!$B$2:$B$29=Samenvatting!$C115) * (YEAR(Renteberekening!$J$1:$UK$1)=YEAR(Samenvatting!T$41)) * Renteberekening!$J$2:$UK$29),0))</f>
        <v>0,0</v>
      </c>
      <c r="U115" s="21" t="str" cm="1">
        <f t="array" ref="U115">IF(OR(Samenvatting!$C115="",ISBLANK(Samenvatting!$C115)),"0,0",IFERROR(SUMPRODUCT((Renteberekening!$B$2:$B$29=Samenvatting!$C115) * (YEAR(Renteberekening!$J$1:$UK$1)=YEAR(Samenvatting!U$41)) * Renteberekening!$J$2:$UK$29),0))</f>
        <v>0,0</v>
      </c>
      <c r="V115" s="21" t="str" cm="1">
        <f t="array" ref="V115">IF(OR(Samenvatting!$C115="",ISBLANK(Samenvatting!$C115)),"0,0",IFERROR(SUMPRODUCT((Renteberekening!$B$2:$B$29=Samenvatting!$C115) * (YEAR(Renteberekening!$J$1:$UK$1)=YEAR(Samenvatting!V$41)) * Renteberekening!$J$2:$UK$29),0))</f>
        <v>0,0</v>
      </c>
      <c r="W115" s="21" t="str" cm="1">
        <f t="array" ref="W115">IF(OR(Samenvatting!$C115="",ISBLANK(Samenvatting!$C115)),"0,0",IFERROR(SUMPRODUCT((Renteberekening!$B$2:$B$29=Samenvatting!$C115) * (YEAR(Renteberekening!$J$1:$UK$1)=YEAR(Samenvatting!W$41)) * Renteberekening!$J$2:$UK$29),0))</f>
        <v>0,0</v>
      </c>
      <c r="X115" s="21" t="str" cm="1">
        <f t="array" ref="X115">IF(OR(Samenvatting!$C115="",ISBLANK(Samenvatting!$C115)),"0,0",IFERROR(SUMPRODUCT((Renteberekening!$B$2:$B$29=Samenvatting!$C115) * (YEAR(Renteberekening!$J$1:$UK$1)=YEAR(Samenvatting!X$41)) * Renteberekening!$J$2:$UK$29),0))</f>
        <v>0,0</v>
      </c>
      <c r="Y115" s="21" t="str" cm="1">
        <f t="array" ref="Y115">IF(OR(Samenvatting!$C115="",ISBLANK(Samenvatting!$C115)),"0,0",IFERROR(SUMPRODUCT((Renteberekening!$B$2:$B$29=Samenvatting!$C115) * (YEAR(Renteberekening!$J$1:$UK$1)=YEAR(Samenvatting!Y$41)) * Renteberekening!$J$2:$UK$29),0))</f>
        <v>0,0</v>
      </c>
      <c r="Z115" s="21" t="str" cm="1">
        <f t="array" ref="Z115">IF(OR(Samenvatting!$C115="",ISBLANK(Samenvatting!$C115)),"0,0",IFERROR(SUMPRODUCT((Renteberekening!$B$2:$B$29=Samenvatting!$C115) * (YEAR(Renteberekening!$J$1:$UK$1)=YEAR(Samenvatting!Z$41)) * Renteberekening!$J$2:$UK$29),0))</f>
        <v>0,0</v>
      </c>
      <c r="AA115" s="21" t="str" cm="1">
        <f t="array" ref="AA115">IF(OR(Samenvatting!$C115="",ISBLANK(Samenvatting!$C115)),"0,0",IFERROR(SUMPRODUCT((Renteberekening!$B$2:$B$29=Samenvatting!$C115) * (YEAR(Renteberekening!$J$1:$UK$1)=YEAR(Samenvatting!AA$41)) * Renteberekening!$J$2:$UK$29),0))</f>
        <v>0,0</v>
      </c>
      <c r="AB115" s="21" t="str" cm="1">
        <f t="array" ref="AB115">IF(OR(Samenvatting!$C115="",ISBLANK(Samenvatting!$C115)),"0,0",IFERROR(SUMPRODUCT((Renteberekening!$B$2:$B$29=Samenvatting!$C115) * (YEAR(Renteberekening!$J$1:$UK$1)=YEAR(Samenvatting!AB$41)) * Renteberekening!$J$2:$UK$29),0))</f>
        <v>0,0</v>
      </c>
      <c r="AC115" s="21" t="str" cm="1">
        <f t="array" ref="AC115">IF(OR(Samenvatting!$C115="",ISBLANK(Samenvatting!$C115)),"0,0",IFERROR(SUMPRODUCT((Renteberekening!$B$2:$B$29=Samenvatting!$C115) * (YEAR(Renteberekening!$J$1:$UK$1)=YEAR(Samenvatting!AC$41)) * Renteberekening!$J$2:$UK$29),0))</f>
        <v>0,0</v>
      </c>
      <c r="AD115" s="21" t="str" cm="1">
        <f t="array" ref="AD115">IF(OR(Samenvatting!$C115="",ISBLANK(Samenvatting!$C115)),"0,0",IFERROR(SUMPRODUCT((Renteberekening!$B$2:$B$29=Samenvatting!$C115) * (YEAR(Renteberekening!$J$1:$UK$1)=YEAR(Samenvatting!AD$41)) * Renteberekening!$J$2:$UK$29),0))</f>
        <v>0,0</v>
      </c>
      <c r="AE115" s="21" t="str" cm="1">
        <f t="array" ref="AE115">IF(OR(Samenvatting!$C115="",ISBLANK(Samenvatting!$C115)),"0,0",IFERROR(SUMPRODUCT((Renteberekening!$B$2:$B$29=Samenvatting!$C115) * (YEAR(Renteberekening!$J$1:$UK$1)=YEAR(Samenvatting!AE$41)) * Renteberekening!$J$2:$UK$29),0))</f>
        <v>0,0</v>
      </c>
      <c r="AF115" s="21" t="str" cm="1">
        <f t="array" ref="AF115">IF(OR(Samenvatting!$C115="",ISBLANK(Samenvatting!$C115)),"0,0",IFERROR(SUMPRODUCT((Renteberekening!$B$2:$B$29=Samenvatting!$C115) * (YEAR(Renteberekening!$J$1:$UK$1)=YEAR(Samenvatting!AF$41)) * Renteberekening!$J$2:$UK$29),0))</f>
        <v>0,0</v>
      </c>
      <c r="AG115" s="21" t="str" cm="1">
        <f t="array" ref="AG115">IF(OR(Samenvatting!$C115="",ISBLANK(Samenvatting!$C115)),"0,0",IFERROR(SUMPRODUCT((Renteberekening!$B$2:$B$29=Samenvatting!$C115) * (YEAR(Renteberekening!$J$1:$UK$1)=YEAR(Samenvatting!AG$41)) * Renteberekening!$J$2:$UK$29),0))</f>
        <v>0,0</v>
      </c>
      <c r="AH115" s="21" t="str" cm="1">
        <f t="array" ref="AH115">IF(OR(Samenvatting!$C115="",ISBLANK(Samenvatting!$C115)),"0,0",IFERROR(SUMPRODUCT((Renteberekening!$B$2:$B$29=Samenvatting!$C115) * (YEAR(Renteberekening!$J$1:$UK$1)=YEAR(Samenvatting!AH$41)) * Renteberekening!$J$2:$UK$29),0))</f>
        <v>0,0</v>
      </c>
      <c r="AI115" s="21" t="str" cm="1">
        <f t="array" ref="AI115">IF(OR(Samenvatting!$C115="",ISBLANK(Samenvatting!$C115)),"0,0",IFERROR(SUMPRODUCT((Renteberekening!$B$2:$B$29=Samenvatting!$C115) * (YEAR(Renteberekening!$J$1:$UK$1)=YEAR(Samenvatting!AI$41)) * Renteberekening!$J$2:$UK$29),0))</f>
        <v>0,0</v>
      </c>
      <c r="AJ115" s="21" t="str" cm="1">
        <f t="array" ref="AJ115">IF(OR(Samenvatting!$C115="",ISBLANK(Samenvatting!$C115)),"0,0",IFERROR(SUMPRODUCT((Renteberekening!$B$2:$B$29=Samenvatting!$C115) * (YEAR(Renteberekening!$J$1:$UK$1)=YEAR(Samenvatting!AJ$41)) * Renteberekening!$J$2:$UK$29),0))</f>
        <v>0,0</v>
      </c>
      <c r="AK115" s="21" t="str" cm="1">
        <f t="array" ref="AK115">IF(OR(Samenvatting!$C115="",ISBLANK(Samenvatting!$C115)),"0,0",IFERROR(SUMPRODUCT((Renteberekening!$B$2:$B$29=Samenvatting!$C115) * (YEAR(Renteberekening!$J$1:$UK$1)=YEAR(Samenvatting!AK$41)) * Renteberekening!$J$2:$UK$29),0))</f>
        <v>0,0</v>
      </c>
      <c r="AL115" s="21" t="str" cm="1">
        <f t="array" ref="AL115">IF(OR(Samenvatting!$C115="",ISBLANK(Samenvatting!$C115)),"0,0",IFERROR(SUMPRODUCT((Renteberekening!$B$2:$B$29=Samenvatting!$C115) * (YEAR(Renteberekening!$J$1:$UK$1)=YEAR(Samenvatting!AL$41)) * Renteberekening!$J$2:$UK$29),0))</f>
        <v>0,0</v>
      </c>
      <c r="AM115" s="21" t="str" cm="1">
        <f t="array" ref="AM115">IF(OR(Samenvatting!$C115="",ISBLANK(Samenvatting!$C115)),"0,0",IFERROR(SUMPRODUCT((Renteberekening!$B$2:$B$29=Samenvatting!$C115) * (YEAR(Renteberekening!$J$1:$UK$1)=YEAR(Samenvatting!AM$41)) * Renteberekening!$J$2:$UK$29),0))</f>
        <v>0,0</v>
      </c>
      <c r="AN115" s="21" t="str" cm="1">
        <f t="array" ref="AN115">IF(OR(Samenvatting!$C115="",ISBLANK(Samenvatting!$C115)),"0,0",IFERROR(SUMPRODUCT((Renteberekening!$B$2:$B$29=Samenvatting!$C115) * (YEAR(Renteberekening!$J$1:$UK$1)=YEAR(Samenvatting!AN$41)) * Renteberekening!$J$2:$UK$29),0))</f>
        <v>0,0</v>
      </c>
      <c r="AO115" s="21" t="str" cm="1">
        <f t="array" ref="AO115">IF(OR(Samenvatting!$C115="",ISBLANK(Samenvatting!$C115)),"0,0",IFERROR(SUMPRODUCT((Renteberekening!$B$2:$B$29=Samenvatting!$C115) * (YEAR(Renteberekening!$J$1:$UK$1)=YEAR(Samenvatting!AO$41)) * Renteberekening!$J$2:$UK$29),0))</f>
        <v>0,0</v>
      </c>
      <c r="AP115" s="21" t="str" cm="1">
        <f t="array" ref="AP115">IF(OR(Samenvatting!$C115="",ISBLANK(Samenvatting!$C115)),"0,0",IFERROR(SUMPRODUCT((Renteberekening!$B$2:$B$29=Samenvatting!$C115) * (YEAR(Renteberekening!$J$1:$UK$1)=YEAR(Samenvatting!AP$41)) * Renteberekening!$J$2:$UK$29),0))</f>
        <v>0,0</v>
      </c>
      <c r="AQ115" s="21" t="str" cm="1">
        <f t="array" ref="AQ115">IF(OR(Samenvatting!$C115="",ISBLANK(Samenvatting!$C115)),"0,0",IFERROR(SUMPRODUCT((Renteberekening!$B$2:$B$29=Samenvatting!$C115) * (YEAR(Renteberekening!$J$1:$UK$1)=YEAR(Samenvatting!AQ$41)) * Renteberekening!$J$2:$UK$29),0))</f>
        <v>0,0</v>
      </c>
      <c r="AR115" s="21" t="str" cm="1">
        <f t="array" ref="AR115">IF(OR(Samenvatting!$C115="",ISBLANK(Samenvatting!$C115)),"0,0",IFERROR(SUMPRODUCT((Renteberekening!$B$2:$B$29=Samenvatting!$C115) * (YEAR(Renteberekening!$J$1:$UK$1)=YEAR(Samenvatting!AR$41)) * Renteberekening!$J$2:$UK$29),0))</f>
        <v>0,0</v>
      </c>
      <c r="AS115" s="21" t="str" cm="1">
        <f t="array" ref="AS115">IF(OR(Samenvatting!$C115="",ISBLANK(Samenvatting!$C115)),"0,0",IFERROR(SUMPRODUCT((Renteberekening!$B$2:$B$29=Samenvatting!$C115) * (YEAR(Renteberekening!$J$1:$UK$1)=YEAR(Samenvatting!AS$41)) * Renteberekening!$J$2:$UK$29),0))</f>
        <v>0,0</v>
      </c>
      <c r="AT115" s="21" t="str" cm="1">
        <f t="array" ref="AT115">IF(OR(Samenvatting!$C115="",ISBLANK(Samenvatting!$C115)),"0,0",IFERROR(SUMPRODUCT((Renteberekening!$B$2:$B$29=Samenvatting!$C115) * (YEAR(Renteberekening!$J$1:$UK$1)=YEAR(Samenvatting!AT$41)) * Renteberekening!$J$2:$UK$29),0))</f>
        <v>0,0</v>
      </c>
      <c r="AU115" s="21" t="str" cm="1">
        <f t="array" ref="AU115">IF(OR(Samenvatting!$C115="",ISBLANK(Samenvatting!$C115)),"0,0",IFERROR(SUMPRODUCT((Renteberekening!$B$2:$B$29=Samenvatting!$C115) * (YEAR(Renteberekening!$J$1:$UK$1)=YEAR(Samenvatting!AU$41)) * Renteberekening!$J$2:$UK$29),0))</f>
        <v>0,0</v>
      </c>
      <c r="AW115" s="1"/>
      <c r="DJ115" s="11"/>
    </row>
    <row r="116" spans="3:114" ht="30" hidden="1" customHeight="1" outlineLevel="1">
      <c r="C116" s="20"/>
      <c r="D116" s="21">
        <v>1</v>
      </c>
      <c r="E116" s="21" t="s">
        <v>10</v>
      </c>
      <c r="F116" s="83"/>
      <c r="G116" s="83"/>
      <c r="H116" s="105">
        <v>7.4999999999999997E-2</v>
      </c>
      <c r="I116" s="69">
        <v>45292</v>
      </c>
      <c r="J116" s="70">
        <f t="shared" si="8"/>
        <v>1</v>
      </c>
      <c r="K116" s="69">
        <v>45962</v>
      </c>
      <c r="L116" s="21" t="str" cm="1">
        <f t="array" ref="L116">IF(OR(Samenvatting!$C116="",ISBLANK(Samenvatting!$C116)),"0,0",IFERROR(SUMPRODUCT((Renteberekening!$B$2:$B$29=Samenvatting!$C116) * (YEAR(Renteberekening!$J$1:$UK$1)=YEAR(Samenvatting!L$41)) * Renteberekening!$J$2:$UK$29),0))</f>
        <v>0,0</v>
      </c>
      <c r="M116" s="21" t="str" cm="1">
        <f t="array" ref="M116">IF(OR(Samenvatting!$C116="",ISBLANK(Samenvatting!$C116)),"0,0",IFERROR(SUMPRODUCT((Renteberekening!$B$2:$B$29=Samenvatting!$C116) * (YEAR(Renteberekening!$J$1:$UK$1)=YEAR(Samenvatting!M$41)) * Renteberekening!$J$2:$UK$29),0))</f>
        <v>0,0</v>
      </c>
      <c r="N116" s="21" t="str" cm="1">
        <f t="array" ref="N116">IF(OR(Samenvatting!$C116="",ISBLANK(Samenvatting!$C116)),"0,0",IFERROR(SUMPRODUCT((Renteberekening!$B$2:$B$29=Samenvatting!$C116) * (YEAR(Renteberekening!$J$1:$UK$1)=YEAR(Samenvatting!N$41)) * Renteberekening!$J$2:$UK$29),0))</f>
        <v>0,0</v>
      </c>
      <c r="O116" s="21" t="str" cm="1">
        <f t="array" ref="O116">IF(OR(Samenvatting!$C116="",ISBLANK(Samenvatting!$C116)),"0,0",IFERROR(SUMPRODUCT((Renteberekening!$B$2:$B$29=Samenvatting!$C116) * (YEAR(Renteberekening!$J$1:$UK$1)=YEAR(Samenvatting!O$41)) * Renteberekening!$J$2:$UK$29),0))</f>
        <v>0,0</v>
      </c>
      <c r="P116" s="21" t="str" cm="1">
        <f t="array" ref="P116">IF(OR(Samenvatting!$C116="",ISBLANK(Samenvatting!$C116)),"0,0",IFERROR(SUMPRODUCT((Renteberekening!$B$2:$B$29=Samenvatting!$C116) * (YEAR(Renteberekening!$J$1:$UK$1)=YEAR(Samenvatting!P$41)) * Renteberekening!$J$2:$UK$29),0))</f>
        <v>0,0</v>
      </c>
      <c r="Q116" s="21" t="str" cm="1">
        <f t="array" ref="Q116">IF(OR(Samenvatting!$C116="",ISBLANK(Samenvatting!$C116)),"0,0",IFERROR(SUMPRODUCT((Renteberekening!$B$2:$B$29=Samenvatting!$C116) * (YEAR(Renteberekening!$J$1:$UK$1)=YEAR(Samenvatting!Q$41)) * Renteberekening!$J$2:$UK$29),0))</f>
        <v>0,0</v>
      </c>
      <c r="R116" s="21" t="str" cm="1">
        <f t="array" ref="R116">IF(OR(Samenvatting!$C116="",ISBLANK(Samenvatting!$C116)),"0,0",IFERROR(SUMPRODUCT((Renteberekening!$B$2:$B$29=Samenvatting!$C116) * (YEAR(Renteberekening!$J$1:$UK$1)=YEAR(Samenvatting!R$41)) * Renteberekening!$J$2:$UK$29),0))</f>
        <v>0,0</v>
      </c>
      <c r="S116" s="21" t="str" cm="1">
        <f t="array" ref="S116">IF(OR(Samenvatting!$C116="",ISBLANK(Samenvatting!$C116)),"0,0",IFERROR(SUMPRODUCT((Renteberekening!$B$2:$B$29=Samenvatting!$C116) * (YEAR(Renteberekening!$J$1:$UK$1)=YEAR(Samenvatting!S$41)) * Renteberekening!$J$2:$UK$29),0))</f>
        <v>0,0</v>
      </c>
      <c r="T116" s="21" t="str" cm="1">
        <f t="array" ref="T116">IF(OR(Samenvatting!$C116="",ISBLANK(Samenvatting!$C116)),"0,0",IFERROR(SUMPRODUCT((Renteberekening!$B$2:$B$29=Samenvatting!$C116) * (YEAR(Renteberekening!$J$1:$UK$1)=YEAR(Samenvatting!T$41)) * Renteberekening!$J$2:$UK$29),0))</f>
        <v>0,0</v>
      </c>
      <c r="U116" s="21" t="str" cm="1">
        <f t="array" ref="U116">IF(OR(Samenvatting!$C116="",ISBLANK(Samenvatting!$C116)),"0,0",IFERROR(SUMPRODUCT((Renteberekening!$B$2:$B$29=Samenvatting!$C116) * (YEAR(Renteberekening!$J$1:$UK$1)=YEAR(Samenvatting!U$41)) * Renteberekening!$J$2:$UK$29),0))</f>
        <v>0,0</v>
      </c>
      <c r="V116" s="21" t="str" cm="1">
        <f t="array" ref="V116">IF(OR(Samenvatting!$C116="",ISBLANK(Samenvatting!$C116)),"0,0",IFERROR(SUMPRODUCT((Renteberekening!$B$2:$B$29=Samenvatting!$C116) * (YEAR(Renteberekening!$J$1:$UK$1)=YEAR(Samenvatting!V$41)) * Renteberekening!$J$2:$UK$29),0))</f>
        <v>0,0</v>
      </c>
      <c r="W116" s="21" t="str" cm="1">
        <f t="array" ref="W116">IF(OR(Samenvatting!$C116="",ISBLANK(Samenvatting!$C116)),"0,0",IFERROR(SUMPRODUCT((Renteberekening!$B$2:$B$29=Samenvatting!$C116) * (YEAR(Renteberekening!$J$1:$UK$1)=YEAR(Samenvatting!W$41)) * Renteberekening!$J$2:$UK$29),0))</f>
        <v>0,0</v>
      </c>
      <c r="X116" s="21" t="str" cm="1">
        <f t="array" ref="X116">IF(OR(Samenvatting!$C116="",ISBLANK(Samenvatting!$C116)),"0,0",IFERROR(SUMPRODUCT((Renteberekening!$B$2:$B$29=Samenvatting!$C116) * (YEAR(Renteberekening!$J$1:$UK$1)=YEAR(Samenvatting!X$41)) * Renteberekening!$J$2:$UK$29),0))</f>
        <v>0,0</v>
      </c>
      <c r="Y116" s="21" t="str" cm="1">
        <f t="array" ref="Y116">IF(OR(Samenvatting!$C116="",ISBLANK(Samenvatting!$C116)),"0,0",IFERROR(SUMPRODUCT((Renteberekening!$B$2:$B$29=Samenvatting!$C116) * (YEAR(Renteberekening!$J$1:$UK$1)=YEAR(Samenvatting!Y$41)) * Renteberekening!$J$2:$UK$29),0))</f>
        <v>0,0</v>
      </c>
      <c r="Z116" s="21" t="str" cm="1">
        <f t="array" ref="Z116">IF(OR(Samenvatting!$C116="",ISBLANK(Samenvatting!$C116)),"0,0",IFERROR(SUMPRODUCT((Renteberekening!$B$2:$B$29=Samenvatting!$C116) * (YEAR(Renteberekening!$J$1:$UK$1)=YEAR(Samenvatting!Z$41)) * Renteberekening!$J$2:$UK$29),0))</f>
        <v>0,0</v>
      </c>
      <c r="AA116" s="21" t="str" cm="1">
        <f t="array" ref="AA116">IF(OR(Samenvatting!$C116="",ISBLANK(Samenvatting!$C116)),"0,0",IFERROR(SUMPRODUCT((Renteberekening!$B$2:$B$29=Samenvatting!$C116) * (YEAR(Renteberekening!$J$1:$UK$1)=YEAR(Samenvatting!AA$41)) * Renteberekening!$J$2:$UK$29),0))</f>
        <v>0,0</v>
      </c>
      <c r="AB116" s="21" t="str" cm="1">
        <f t="array" ref="AB116">IF(OR(Samenvatting!$C116="",ISBLANK(Samenvatting!$C116)),"0,0",IFERROR(SUMPRODUCT((Renteberekening!$B$2:$B$29=Samenvatting!$C116) * (YEAR(Renteberekening!$J$1:$UK$1)=YEAR(Samenvatting!AB$41)) * Renteberekening!$J$2:$UK$29),0))</f>
        <v>0,0</v>
      </c>
      <c r="AC116" s="21" t="str" cm="1">
        <f t="array" ref="AC116">IF(OR(Samenvatting!$C116="",ISBLANK(Samenvatting!$C116)),"0,0",IFERROR(SUMPRODUCT((Renteberekening!$B$2:$B$29=Samenvatting!$C116) * (YEAR(Renteberekening!$J$1:$UK$1)=YEAR(Samenvatting!AC$41)) * Renteberekening!$J$2:$UK$29),0))</f>
        <v>0,0</v>
      </c>
      <c r="AD116" s="21" t="str" cm="1">
        <f t="array" ref="AD116">IF(OR(Samenvatting!$C116="",ISBLANK(Samenvatting!$C116)),"0,0",IFERROR(SUMPRODUCT((Renteberekening!$B$2:$B$29=Samenvatting!$C116) * (YEAR(Renteberekening!$J$1:$UK$1)=YEAR(Samenvatting!AD$41)) * Renteberekening!$J$2:$UK$29),0))</f>
        <v>0,0</v>
      </c>
      <c r="AE116" s="21" t="str" cm="1">
        <f t="array" ref="AE116">IF(OR(Samenvatting!$C116="",ISBLANK(Samenvatting!$C116)),"0,0",IFERROR(SUMPRODUCT((Renteberekening!$B$2:$B$29=Samenvatting!$C116) * (YEAR(Renteberekening!$J$1:$UK$1)=YEAR(Samenvatting!AE$41)) * Renteberekening!$J$2:$UK$29),0))</f>
        <v>0,0</v>
      </c>
      <c r="AF116" s="21" t="str" cm="1">
        <f t="array" ref="AF116">IF(OR(Samenvatting!$C116="",ISBLANK(Samenvatting!$C116)),"0,0",IFERROR(SUMPRODUCT((Renteberekening!$B$2:$B$29=Samenvatting!$C116) * (YEAR(Renteberekening!$J$1:$UK$1)=YEAR(Samenvatting!AF$41)) * Renteberekening!$J$2:$UK$29),0))</f>
        <v>0,0</v>
      </c>
      <c r="AG116" s="21" t="str" cm="1">
        <f t="array" ref="AG116">IF(OR(Samenvatting!$C116="",ISBLANK(Samenvatting!$C116)),"0,0",IFERROR(SUMPRODUCT((Renteberekening!$B$2:$B$29=Samenvatting!$C116) * (YEAR(Renteberekening!$J$1:$UK$1)=YEAR(Samenvatting!AG$41)) * Renteberekening!$J$2:$UK$29),0))</f>
        <v>0,0</v>
      </c>
      <c r="AH116" s="21" t="str" cm="1">
        <f t="array" ref="AH116">IF(OR(Samenvatting!$C116="",ISBLANK(Samenvatting!$C116)),"0,0",IFERROR(SUMPRODUCT((Renteberekening!$B$2:$B$29=Samenvatting!$C116) * (YEAR(Renteberekening!$J$1:$UK$1)=YEAR(Samenvatting!AH$41)) * Renteberekening!$J$2:$UK$29),0))</f>
        <v>0,0</v>
      </c>
      <c r="AI116" s="21" t="str" cm="1">
        <f t="array" ref="AI116">IF(OR(Samenvatting!$C116="",ISBLANK(Samenvatting!$C116)),"0,0",IFERROR(SUMPRODUCT((Renteberekening!$B$2:$B$29=Samenvatting!$C116) * (YEAR(Renteberekening!$J$1:$UK$1)=YEAR(Samenvatting!AI$41)) * Renteberekening!$J$2:$UK$29),0))</f>
        <v>0,0</v>
      </c>
      <c r="AJ116" s="21" t="str" cm="1">
        <f t="array" ref="AJ116">IF(OR(Samenvatting!$C116="",ISBLANK(Samenvatting!$C116)),"0,0",IFERROR(SUMPRODUCT((Renteberekening!$B$2:$B$29=Samenvatting!$C116) * (YEAR(Renteberekening!$J$1:$UK$1)=YEAR(Samenvatting!AJ$41)) * Renteberekening!$J$2:$UK$29),0))</f>
        <v>0,0</v>
      </c>
      <c r="AK116" s="21" t="str" cm="1">
        <f t="array" ref="AK116">IF(OR(Samenvatting!$C116="",ISBLANK(Samenvatting!$C116)),"0,0",IFERROR(SUMPRODUCT((Renteberekening!$B$2:$B$29=Samenvatting!$C116) * (YEAR(Renteberekening!$J$1:$UK$1)=YEAR(Samenvatting!AK$41)) * Renteberekening!$J$2:$UK$29),0))</f>
        <v>0,0</v>
      </c>
      <c r="AL116" s="21" t="str" cm="1">
        <f t="array" ref="AL116">IF(OR(Samenvatting!$C116="",ISBLANK(Samenvatting!$C116)),"0,0",IFERROR(SUMPRODUCT((Renteberekening!$B$2:$B$29=Samenvatting!$C116) * (YEAR(Renteberekening!$J$1:$UK$1)=YEAR(Samenvatting!AL$41)) * Renteberekening!$J$2:$UK$29),0))</f>
        <v>0,0</v>
      </c>
      <c r="AM116" s="21" t="str" cm="1">
        <f t="array" ref="AM116">IF(OR(Samenvatting!$C116="",ISBLANK(Samenvatting!$C116)),"0,0",IFERROR(SUMPRODUCT((Renteberekening!$B$2:$B$29=Samenvatting!$C116) * (YEAR(Renteberekening!$J$1:$UK$1)=YEAR(Samenvatting!AM$41)) * Renteberekening!$J$2:$UK$29),0))</f>
        <v>0,0</v>
      </c>
      <c r="AN116" s="21" t="str" cm="1">
        <f t="array" ref="AN116">IF(OR(Samenvatting!$C116="",ISBLANK(Samenvatting!$C116)),"0,0",IFERROR(SUMPRODUCT((Renteberekening!$B$2:$B$29=Samenvatting!$C116) * (YEAR(Renteberekening!$J$1:$UK$1)=YEAR(Samenvatting!AN$41)) * Renteberekening!$J$2:$UK$29),0))</f>
        <v>0,0</v>
      </c>
      <c r="AO116" s="21" t="str" cm="1">
        <f t="array" ref="AO116">IF(OR(Samenvatting!$C116="",ISBLANK(Samenvatting!$C116)),"0,0",IFERROR(SUMPRODUCT((Renteberekening!$B$2:$B$29=Samenvatting!$C116) * (YEAR(Renteberekening!$J$1:$UK$1)=YEAR(Samenvatting!AO$41)) * Renteberekening!$J$2:$UK$29),0))</f>
        <v>0,0</v>
      </c>
      <c r="AP116" s="21" t="str" cm="1">
        <f t="array" ref="AP116">IF(OR(Samenvatting!$C116="",ISBLANK(Samenvatting!$C116)),"0,0",IFERROR(SUMPRODUCT((Renteberekening!$B$2:$B$29=Samenvatting!$C116) * (YEAR(Renteberekening!$J$1:$UK$1)=YEAR(Samenvatting!AP$41)) * Renteberekening!$J$2:$UK$29),0))</f>
        <v>0,0</v>
      </c>
      <c r="AQ116" s="21" t="str" cm="1">
        <f t="array" ref="AQ116">IF(OR(Samenvatting!$C116="",ISBLANK(Samenvatting!$C116)),"0,0",IFERROR(SUMPRODUCT((Renteberekening!$B$2:$B$29=Samenvatting!$C116) * (YEAR(Renteberekening!$J$1:$UK$1)=YEAR(Samenvatting!AQ$41)) * Renteberekening!$J$2:$UK$29),0))</f>
        <v>0,0</v>
      </c>
      <c r="AR116" s="21" t="str" cm="1">
        <f t="array" ref="AR116">IF(OR(Samenvatting!$C116="",ISBLANK(Samenvatting!$C116)),"0,0",IFERROR(SUMPRODUCT((Renteberekening!$B$2:$B$29=Samenvatting!$C116) * (YEAR(Renteberekening!$J$1:$UK$1)=YEAR(Samenvatting!AR$41)) * Renteberekening!$J$2:$UK$29),0))</f>
        <v>0,0</v>
      </c>
      <c r="AS116" s="21" t="str" cm="1">
        <f t="array" ref="AS116">IF(OR(Samenvatting!$C116="",ISBLANK(Samenvatting!$C116)),"0,0",IFERROR(SUMPRODUCT((Renteberekening!$B$2:$B$29=Samenvatting!$C116) * (YEAR(Renteberekening!$J$1:$UK$1)=YEAR(Samenvatting!AS$41)) * Renteberekening!$J$2:$UK$29),0))</f>
        <v>0,0</v>
      </c>
      <c r="AT116" s="21" t="str" cm="1">
        <f t="array" ref="AT116">IF(OR(Samenvatting!$C116="",ISBLANK(Samenvatting!$C116)),"0,0",IFERROR(SUMPRODUCT((Renteberekening!$B$2:$B$29=Samenvatting!$C116) * (YEAR(Renteberekening!$J$1:$UK$1)=YEAR(Samenvatting!AT$41)) * Renteberekening!$J$2:$UK$29),0))</f>
        <v>0,0</v>
      </c>
      <c r="AU116" s="21" t="str" cm="1">
        <f t="array" ref="AU116">IF(OR(Samenvatting!$C116="",ISBLANK(Samenvatting!$C116)),"0,0",IFERROR(SUMPRODUCT((Renteberekening!$B$2:$B$29=Samenvatting!$C116) * (YEAR(Renteberekening!$J$1:$UK$1)=YEAR(Samenvatting!AU$41)) * Renteberekening!$J$2:$UK$29),0))</f>
        <v>0,0</v>
      </c>
      <c r="AW116" s="1"/>
      <c r="DJ116" s="11"/>
    </row>
    <row r="117" spans="3:114" ht="30" hidden="1" customHeight="1" outlineLevel="1">
      <c r="C117" s="20"/>
      <c r="D117" s="21">
        <v>1</v>
      </c>
      <c r="E117" s="21" t="s">
        <v>10</v>
      </c>
      <c r="F117" s="83"/>
      <c r="G117" s="83"/>
      <c r="H117" s="105">
        <v>7.4999999999999997E-2</v>
      </c>
      <c r="I117" s="69">
        <v>45292</v>
      </c>
      <c r="J117" s="70">
        <f t="shared" si="8"/>
        <v>1</v>
      </c>
      <c r="K117" s="69">
        <v>45809</v>
      </c>
      <c r="L117" s="21" t="str" cm="1">
        <f t="array" ref="L117">IF(OR(Samenvatting!$C117="",ISBLANK(Samenvatting!$C117)),"0,0",IFERROR(SUMPRODUCT((Renteberekening!$B$2:$B$29=Samenvatting!$C117) * (YEAR(Renteberekening!$J$1:$UK$1)=YEAR(Samenvatting!L$41)) * Renteberekening!$J$2:$UK$29),0))</f>
        <v>0,0</v>
      </c>
      <c r="M117" s="21" t="str" cm="1">
        <f t="array" ref="M117">IF(OR(Samenvatting!$C117="",ISBLANK(Samenvatting!$C117)),"0,0",IFERROR(SUMPRODUCT((Renteberekening!$B$2:$B$29=Samenvatting!$C117) * (YEAR(Renteberekening!$J$1:$UK$1)=YEAR(Samenvatting!M$41)) * Renteberekening!$J$2:$UK$29),0))</f>
        <v>0,0</v>
      </c>
      <c r="N117" s="21" t="str" cm="1">
        <f t="array" ref="N117">IF(OR(Samenvatting!$C117="",ISBLANK(Samenvatting!$C117)),"0,0",IFERROR(SUMPRODUCT((Renteberekening!$B$2:$B$29=Samenvatting!$C117) * (YEAR(Renteberekening!$J$1:$UK$1)=YEAR(Samenvatting!N$41)) * Renteberekening!$J$2:$UK$29),0))</f>
        <v>0,0</v>
      </c>
      <c r="O117" s="21" t="str" cm="1">
        <f t="array" ref="O117">IF(OR(Samenvatting!$C117="",ISBLANK(Samenvatting!$C117)),"0,0",IFERROR(SUMPRODUCT((Renteberekening!$B$2:$B$29=Samenvatting!$C117) * (YEAR(Renteberekening!$J$1:$UK$1)=YEAR(Samenvatting!O$41)) * Renteberekening!$J$2:$UK$29),0))</f>
        <v>0,0</v>
      </c>
      <c r="P117" s="21" t="str" cm="1">
        <f t="array" ref="P117">IF(OR(Samenvatting!$C117="",ISBLANK(Samenvatting!$C117)),"0,0",IFERROR(SUMPRODUCT((Renteberekening!$B$2:$B$29=Samenvatting!$C117) * (YEAR(Renteberekening!$J$1:$UK$1)=YEAR(Samenvatting!P$41)) * Renteberekening!$J$2:$UK$29),0))</f>
        <v>0,0</v>
      </c>
      <c r="Q117" s="21" t="str" cm="1">
        <f t="array" ref="Q117">IF(OR(Samenvatting!$C117="",ISBLANK(Samenvatting!$C117)),"0,0",IFERROR(SUMPRODUCT((Renteberekening!$B$2:$B$29=Samenvatting!$C117) * (YEAR(Renteberekening!$J$1:$UK$1)=YEAR(Samenvatting!Q$41)) * Renteberekening!$J$2:$UK$29),0))</f>
        <v>0,0</v>
      </c>
      <c r="R117" s="21" t="str" cm="1">
        <f t="array" ref="R117">IF(OR(Samenvatting!$C117="",ISBLANK(Samenvatting!$C117)),"0,0",IFERROR(SUMPRODUCT((Renteberekening!$B$2:$B$29=Samenvatting!$C117) * (YEAR(Renteberekening!$J$1:$UK$1)=YEAR(Samenvatting!R$41)) * Renteberekening!$J$2:$UK$29),0))</f>
        <v>0,0</v>
      </c>
      <c r="S117" s="21" t="str" cm="1">
        <f t="array" ref="S117">IF(OR(Samenvatting!$C117="",ISBLANK(Samenvatting!$C117)),"0,0",IFERROR(SUMPRODUCT((Renteberekening!$B$2:$B$29=Samenvatting!$C117) * (YEAR(Renteberekening!$J$1:$UK$1)=YEAR(Samenvatting!S$41)) * Renteberekening!$J$2:$UK$29),0))</f>
        <v>0,0</v>
      </c>
      <c r="T117" s="21" t="str" cm="1">
        <f t="array" ref="T117">IF(OR(Samenvatting!$C117="",ISBLANK(Samenvatting!$C117)),"0,0",IFERROR(SUMPRODUCT((Renteberekening!$B$2:$B$29=Samenvatting!$C117) * (YEAR(Renteberekening!$J$1:$UK$1)=YEAR(Samenvatting!T$41)) * Renteberekening!$J$2:$UK$29),0))</f>
        <v>0,0</v>
      </c>
      <c r="U117" s="21" t="str" cm="1">
        <f t="array" ref="U117">IF(OR(Samenvatting!$C117="",ISBLANK(Samenvatting!$C117)),"0,0",IFERROR(SUMPRODUCT((Renteberekening!$B$2:$B$29=Samenvatting!$C117) * (YEAR(Renteberekening!$J$1:$UK$1)=YEAR(Samenvatting!U$41)) * Renteberekening!$J$2:$UK$29),0))</f>
        <v>0,0</v>
      </c>
      <c r="V117" s="21" t="str" cm="1">
        <f t="array" ref="V117">IF(OR(Samenvatting!$C117="",ISBLANK(Samenvatting!$C117)),"0,0",IFERROR(SUMPRODUCT((Renteberekening!$B$2:$B$29=Samenvatting!$C117) * (YEAR(Renteberekening!$J$1:$UK$1)=YEAR(Samenvatting!V$41)) * Renteberekening!$J$2:$UK$29),0))</f>
        <v>0,0</v>
      </c>
      <c r="W117" s="21" t="str" cm="1">
        <f t="array" ref="W117">IF(OR(Samenvatting!$C117="",ISBLANK(Samenvatting!$C117)),"0,0",IFERROR(SUMPRODUCT((Renteberekening!$B$2:$B$29=Samenvatting!$C117) * (YEAR(Renteberekening!$J$1:$UK$1)=YEAR(Samenvatting!W$41)) * Renteberekening!$J$2:$UK$29),0))</f>
        <v>0,0</v>
      </c>
      <c r="X117" s="21" t="str" cm="1">
        <f t="array" ref="X117">IF(OR(Samenvatting!$C117="",ISBLANK(Samenvatting!$C117)),"0,0",IFERROR(SUMPRODUCT((Renteberekening!$B$2:$B$29=Samenvatting!$C117) * (YEAR(Renteberekening!$J$1:$UK$1)=YEAR(Samenvatting!X$41)) * Renteberekening!$J$2:$UK$29),0))</f>
        <v>0,0</v>
      </c>
      <c r="Y117" s="21" t="str" cm="1">
        <f t="array" ref="Y117">IF(OR(Samenvatting!$C117="",ISBLANK(Samenvatting!$C117)),"0,0",IFERROR(SUMPRODUCT((Renteberekening!$B$2:$B$29=Samenvatting!$C117) * (YEAR(Renteberekening!$J$1:$UK$1)=YEAR(Samenvatting!Y$41)) * Renteberekening!$J$2:$UK$29),0))</f>
        <v>0,0</v>
      </c>
      <c r="Z117" s="21" t="str" cm="1">
        <f t="array" ref="Z117">IF(OR(Samenvatting!$C117="",ISBLANK(Samenvatting!$C117)),"0,0",IFERROR(SUMPRODUCT((Renteberekening!$B$2:$B$29=Samenvatting!$C117) * (YEAR(Renteberekening!$J$1:$UK$1)=YEAR(Samenvatting!Z$41)) * Renteberekening!$J$2:$UK$29),0))</f>
        <v>0,0</v>
      </c>
      <c r="AA117" s="21" t="str" cm="1">
        <f t="array" ref="AA117">IF(OR(Samenvatting!$C117="",ISBLANK(Samenvatting!$C117)),"0,0",IFERROR(SUMPRODUCT((Renteberekening!$B$2:$B$29=Samenvatting!$C117) * (YEAR(Renteberekening!$J$1:$UK$1)=YEAR(Samenvatting!AA$41)) * Renteberekening!$J$2:$UK$29),0))</f>
        <v>0,0</v>
      </c>
      <c r="AB117" s="21" t="str" cm="1">
        <f t="array" ref="AB117">IF(OR(Samenvatting!$C117="",ISBLANK(Samenvatting!$C117)),"0,0",IFERROR(SUMPRODUCT((Renteberekening!$B$2:$B$29=Samenvatting!$C117) * (YEAR(Renteberekening!$J$1:$UK$1)=YEAR(Samenvatting!AB$41)) * Renteberekening!$J$2:$UK$29),0))</f>
        <v>0,0</v>
      </c>
      <c r="AC117" s="21" t="str" cm="1">
        <f t="array" ref="AC117">IF(OR(Samenvatting!$C117="",ISBLANK(Samenvatting!$C117)),"0,0",IFERROR(SUMPRODUCT((Renteberekening!$B$2:$B$29=Samenvatting!$C117) * (YEAR(Renteberekening!$J$1:$UK$1)=YEAR(Samenvatting!AC$41)) * Renteberekening!$J$2:$UK$29),0))</f>
        <v>0,0</v>
      </c>
      <c r="AD117" s="21" t="str" cm="1">
        <f t="array" ref="AD117">IF(OR(Samenvatting!$C117="",ISBLANK(Samenvatting!$C117)),"0,0",IFERROR(SUMPRODUCT((Renteberekening!$B$2:$B$29=Samenvatting!$C117) * (YEAR(Renteberekening!$J$1:$UK$1)=YEAR(Samenvatting!AD$41)) * Renteberekening!$J$2:$UK$29),0))</f>
        <v>0,0</v>
      </c>
      <c r="AE117" s="21" t="str" cm="1">
        <f t="array" ref="AE117">IF(OR(Samenvatting!$C117="",ISBLANK(Samenvatting!$C117)),"0,0",IFERROR(SUMPRODUCT((Renteberekening!$B$2:$B$29=Samenvatting!$C117) * (YEAR(Renteberekening!$J$1:$UK$1)=YEAR(Samenvatting!AE$41)) * Renteberekening!$J$2:$UK$29),0))</f>
        <v>0,0</v>
      </c>
      <c r="AF117" s="21" t="str" cm="1">
        <f t="array" ref="AF117">IF(OR(Samenvatting!$C117="",ISBLANK(Samenvatting!$C117)),"0,0",IFERROR(SUMPRODUCT((Renteberekening!$B$2:$B$29=Samenvatting!$C117) * (YEAR(Renteberekening!$J$1:$UK$1)=YEAR(Samenvatting!AF$41)) * Renteberekening!$J$2:$UK$29),0))</f>
        <v>0,0</v>
      </c>
      <c r="AG117" s="21" t="str" cm="1">
        <f t="array" ref="AG117">IF(OR(Samenvatting!$C117="",ISBLANK(Samenvatting!$C117)),"0,0",IFERROR(SUMPRODUCT((Renteberekening!$B$2:$B$29=Samenvatting!$C117) * (YEAR(Renteberekening!$J$1:$UK$1)=YEAR(Samenvatting!AG$41)) * Renteberekening!$J$2:$UK$29),0))</f>
        <v>0,0</v>
      </c>
      <c r="AH117" s="21" t="str" cm="1">
        <f t="array" ref="AH117">IF(OR(Samenvatting!$C117="",ISBLANK(Samenvatting!$C117)),"0,0",IFERROR(SUMPRODUCT((Renteberekening!$B$2:$B$29=Samenvatting!$C117) * (YEAR(Renteberekening!$J$1:$UK$1)=YEAR(Samenvatting!AH$41)) * Renteberekening!$J$2:$UK$29),0))</f>
        <v>0,0</v>
      </c>
      <c r="AI117" s="21" t="str" cm="1">
        <f t="array" ref="AI117">IF(OR(Samenvatting!$C117="",ISBLANK(Samenvatting!$C117)),"0,0",IFERROR(SUMPRODUCT((Renteberekening!$B$2:$B$29=Samenvatting!$C117) * (YEAR(Renteberekening!$J$1:$UK$1)=YEAR(Samenvatting!AI$41)) * Renteberekening!$J$2:$UK$29),0))</f>
        <v>0,0</v>
      </c>
      <c r="AJ117" s="21" t="str" cm="1">
        <f t="array" ref="AJ117">IF(OR(Samenvatting!$C117="",ISBLANK(Samenvatting!$C117)),"0,0",IFERROR(SUMPRODUCT((Renteberekening!$B$2:$B$29=Samenvatting!$C117) * (YEAR(Renteberekening!$J$1:$UK$1)=YEAR(Samenvatting!AJ$41)) * Renteberekening!$J$2:$UK$29),0))</f>
        <v>0,0</v>
      </c>
      <c r="AK117" s="21" t="str" cm="1">
        <f t="array" ref="AK117">IF(OR(Samenvatting!$C117="",ISBLANK(Samenvatting!$C117)),"0,0",IFERROR(SUMPRODUCT((Renteberekening!$B$2:$B$29=Samenvatting!$C117) * (YEAR(Renteberekening!$J$1:$UK$1)=YEAR(Samenvatting!AK$41)) * Renteberekening!$J$2:$UK$29),0))</f>
        <v>0,0</v>
      </c>
      <c r="AL117" s="21" t="str" cm="1">
        <f t="array" ref="AL117">IF(OR(Samenvatting!$C117="",ISBLANK(Samenvatting!$C117)),"0,0",IFERROR(SUMPRODUCT((Renteberekening!$B$2:$B$29=Samenvatting!$C117) * (YEAR(Renteberekening!$J$1:$UK$1)=YEAR(Samenvatting!AL$41)) * Renteberekening!$J$2:$UK$29),0))</f>
        <v>0,0</v>
      </c>
      <c r="AM117" s="21" t="str" cm="1">
        <f t="array" ref="AM117">IF(OR(Samenvatting!$C117="",ISBLANK(Samenvatting!$C117)),"0,0",IFERROR(SUMPRODUCT((Renteberekening!$B$2:$B$29=Samenvatting!$C117) * (YEAR(Renteberekening!$J$1:$UK$1)=YEAR(Samenvatting!AM$41)) * Renteberekening!$J$2:$UK$29),0))</f>
        <v>0,0</v>
      </c>
      <c r="AN117" s="21" t="str" cm="1">
        <f t="array" ref="AN117">IF(OR(Samenvatting!$C117="",ISBLANK(Samenvatting!$C117)),"0,0",IFERROR(SUMPRODUCT((Renteberekening!$B$2:$B$29=Samenvatting!$C117) * (YEAR(Renteberekening!$J$1:$UK$1)=YEAR(Samenvatting!AN$41)) * Renteberekening!$J$2:$UK$29),0))</f>
        <v>0,0</v>
      </c>
      <c r="AO117" s="21" t="str" cm="1">
        <f t="array" ref="AO117">IF(OR(Samenvatting!$C117="",ISBLANK(Samenvatting!$C117)),"0,0",IFERROR(SUMPRODUCT((Renteberekening!$B$2:$B$29=Samenvatting!$C117) * (YEAR(Renteberekening!$J$1:$UK$1)=YEAR(Samenvatting!AO$41)) * Renteberekening!$J$2:$UK$29),0))</f>
        <v>0,0</v>
      </c>
      <c r="AP117" s="21" t="str" cm="1">
        <f t="array" ref="AP117">IF(OR(Samenvatting!$C117="",ISBLANK(Samenvatting!$C117)),"0,0",IFERROR(SUMPRODUCT((Renteberekening!$B$2:$B$29=Samenvatting!$C117) * (YEAR(Renteberekening!$J$1:$UK$1)=YEAR(Samenvatting!AP$41)) * Renteberekening!$J$2:$UK$29),0))</f>
        <v>0,0</v>
      </c>
      <c r="AQ117" s="21" t="str" cm="1">
        <f t="array" ref="AQ117">IF(OR(Samenvatting!$C117="",ISBLANK(Samenvatting!$C117)),"0,0",IFERROR(SUMPRODUCT((Renteberekening!$B$2:$B$29=Samenvatting!$C117) * (YEAR(Renteberekening!$J$1:$UK$1)=YEAR(Samenvatting!AQ$41)) * Renteberekening!$J$2:$UK$29),0))</f>
        <v>0,0</v>
      </c>
      <c r="AR117" s="21" t="str" cm="1">
        <f t="array" ref="AR117">IF(OR(Samenvatting!$C117="",ISBLANK(Samenvatting!$C117)),"0,0",IFERROR(SUMPRODUCT((Renteberekening!$B$2:$B$29=Samenvatting!$C117) * (YEAR(Renteberekening!$J$1:$UK$1)=YEAR(Samenvatting!AR$41)) * Renteberekening!$J$2:$UK$29),0))</f>
        <v>0,0</v>
      </c>
      <c r="AS117" s="21" t="str" cm="1">
        <f t="array" ref="AS117">IF(OR(Samenvatting!$C117="",ISBLANK(Samenvatting!$C117)),"0,0",IFERROR(SUMPRODUCT((Renteberekening!$B$2:$B$29=Samenvatting!$C117) * (YEAR(Renteberekening!$J$1:$UK$1)=YEAR(Samenvatting!AS$41)) * Renteberekening!$J$2:$UK$29),0))</f>
        <v>0,0</v>
      </c>
      <c r="AT117" s="21" t="str" cm="1">
        <f t="array" ref="AT117">IF(OR(Samenvatting!$C117="",ISBLANK(Samenvatting!$C117)),"0,0",IFERROR(SUMPRODUCT((Renteberekening!$B$2:$B$29=Samenvatting!$C117) * (YEAR(Renteberekening!$J$1:$UK$1)=YEAR(Samenvatting!AT$41)) * Renteberekening!$J$2:$UK$29),0))</f>
        <v>0,0</v>
      </c>
      <c r="AU117" s="21" t="str" cm="1">
        <f t="array" ref="AU117">IF(OR(Samenvatting!$C117="",ISBLANK(Samenvatting!$C117)),"0,0",IFERROR(SUMPRODUCT((Renteberekening!$B$2:$B$29=Samenvatting!$C117) * (YEAR(Renteberekening!$J$1:$UK$1)=YEAR(Samenvatting!AU$41)) * Renteberekening!$J$2:$UK$29),0))</f>
        <v>0,0</v>
      </c>
      <c r="AW117" s="1"/>
      <c r="DJ117" s="11"/>
    </row>
    <row r="118" spans="3:114" ht="30" hidden="1" customHeight="1" outlineLevel="1">
      <c r="C118" s="20"/>
      <c r="D118" s="21">
        <v>1</v>
      </c>
      <c r="E118" s="21" t="s">
        <v>10</v>
      </c>
      <c r="F118" s="83"/>
      <c r="G118" s="83"/>
      <c r="H118" s="105">
        <v>7.4999999999999997E-2</v>
      </c>
      <c r="I118" s="69">
        <v>45292</v>
      </c>
      <c r="J118" s="70">
        <f t="shared" si="8"/>
        <v>2</v>
      </c>
      <c r="K118" s="69">
        <v>46346</v>
      </c>
      <c r="L118" s="21" t="str" cm="1">
        <f t="array" ref="L118">IF(OR(Samenvatting!$C118="",ISBLANK(Samenvatting!$C118)),"0,0",IFERROR(SUMPRODUCT((Renteberekening!$B$2:$B$29=Samenvatting!$C118) * (YEAR(Renteberekening!$J$1:$UK$1)=YEAR(Samenvatting!L$41)) * Renteberekening!$J$2:$UK$29),0))</f>
        <v>0,0</v>
      </c>
      <c r="M118" s="21" t="str" cm="1">
        <f t="array" ref="M118">IF(OR(Samenvatting!$C118="",ISBLANK(Samenvatting!$C118)),"0,0",IFERROR(SUMPRODUCT((Renteberekening!$B$2:$B$29=Samenvatting!$C118) * (YEAR(Renteberekening!$J$1:$UK$1)=YEAR(Samenvatting!M$41)) * Renteberekening!$J$2:$UK$29),0))</f>
        <v>0,0</v>
      </c>
      <c r="N118" s="21" t="str" cm="1">
        <f t="array" ref="N118">IF(OR(Samenvatting!$C118="",ISBLANK(Samenvatting!$C118)),"0,0",IFERROR(SUMPRODUCT((Renteberekening!$B$2:$B$29=Samenvatting!$C118) * (YEAR(Renteberekening!$J$1:$UK$1)=YEAR(Samenvatting!N$41)) * Renteberekening!$J$2:$UK$29),0))</f>
        <v>0,0</v>
      </c>
      <c r="O118" s="21" t="str" cm="1">
        <f t="array" ref="O118">IF(OR(Samenvatting!$C118="",ISBLANK(Samenvatting!$C118)),"0,0",IFERROR(SUMPRODUCT((Renteberekening!$B$2:$B$29=Samenvatting!$C118) * (YEAR(Renteberekening!$J$1:$UK$1)=YEAR(Samenvatting!O$41)) * Renteberekening!$J$2:$UK$29),0))</f>
        <v>0,0</v>
      </c>
      <c r="P118" s="21" t="str" cm="1">
        <f t="array" ref="P118">IF(OR(Samenvatting!$C118="",ISBLANK(Samenvatting!$C118)),"0,0",IFERROR(SUMPRODUCT((Renteberekening!$B$2:$B$29=Samenvatting!$C118) * (YEAR(Renteberekening!$J$1:$UK$1)=YEAR(Samenvatting!P$41)) * Renteberekening!$J$2:$UK$29),0))</f>
        <v>0,0</v>
      </c>
      <c r="Q118" s="21" t="str" cm="1">
        <f t="array" ref="Q118">IF(OR(Samenvatting!$C118="",ISBLANK(Samenvatting!$C118)),"0,0",IFERROR(SUMPRODUCT((Renteberekening!$B$2:$B$29=Samenvatting!$C118) * (YEAR(Renteberekening!$J$1:$UK$1)=YEAR(Samenvatting!Q$41)) * Renteberekening!$J$2:$UK$29),0))</f>
        <v>0,0</v>
      </c>
      <c r="R118" s="21" t="str" cm="1">
        <f t="array" ref="R118">IF(OR(Samenvatting!$C118="",ISBLANK(Samenvatting!$C118)),"0,0",IFERROR(SUMPRODUCT((Renteberekening!$B$2:$B$29=Samenvatting!$C118) * (YEAR(Renteberekening!$J$1:$UK$1)=YEAR(Samenvatting!R$41)) * Renteberekening!$J$2:$UK$29),0))</f>
        <v>0,0</v>
      </c>
      <c r="S118" s="21" t="str" cm="1">
        <f t="array" ref="S118">IF(OR(Samenvatting!$C118="",ISBLANK(Samenvatting!$C118)),"0,0",IFERROR(SUMPRODUCT((Renteberekening!$B$2:$B$29=Samenvatting!$C118) * (YEAR(Renteberekening!$J$1:$UK$1)=YEAR(Samenvatting!S$41)) * Renteberekening!$J$2:$UK$29),0))</f>
        <v>0,0</v>
      </c>
      <c r="T118" s="21" t="str" cm="1">
        <f t="array" ref="T118">IF(OR(Samenvatting!$C118="",ISBLANK(Samenvatting!$C118)),"0,0",IFERROR(SUMPRODUCT((Renteberekening!$B$2:$B$29=Samenvatting!$C118) * (YEAR(Renteberekening!$J$1:$UK$1)=YEAR(Samenvatting!T$41)) * Renteberekening!$J$2:$UK$29),0))</f>
        <v>0,0</v>
      </c>
      <c r="U118" s="21" t="str" cm="1">
        <f t="array" ref="U118">IF(OR(Samenvatting!$C118="",ISBLANK(Samenvatting!$C118)),"0,0",IFERROR(SUMPRODUCT((Renteberekening!$B$2:$B$29=Samenvatting!$C118) * (YEAR(Renteberekening!$J$1:$UK$1)=YEAR(Samenvatting!U$41)) * Renteberekening!$J$2:$UK$29),0))</f>
        <v>0,0</v>
      </c>
      <c r="V118" s="21" t="str" cm="1">
        <f t="array" ref="V118">IF(OR(Samenvatting!$C118="",ISBLANK(Samenvatting!$C118)),"0,0",IFERROR(SUMPRODUCT((Renteberekening!$B$2:$B$29=Samenvatting!$C118) * (YEAR(Renteberekening!$J$1:$UK$1)=YEAR(Samenvatting!V$41)) * Renteberekening!$J$2:$UK$29),0))</f>
        <v>0,0</v>
      </c>
      <c r="W118" s="21" t="str" cm="1">
        <f t="array" ref="W118">IF(OR(Samenvatting!$C118="",ISBLANK(Samenvatting!$C118)),"0,0",IFERROR(SUMPRODUCT((Renteberekening!$B$2:$B$29=Samenvatting!$C118) * (YEAR(Renteberekening!$J$1:$UK$1)=YEAR(Samenvatting!W$41)) * Renteberekening!$J$2:$UK$29),0))</f>
        <v>0,0</v>
      </c>
      <c r="X118" s="21" t="str" cm="1">
        <f t="array" ref="X118">IF(OR(Samenvatting!$C118="",ISBLANK(Samenvatting!$C118)),"0,0",IFERROR(SUMPRODUCT((Renteberekening!$B$2:$B$29=Samenvatting!$C118) * (YEAR(Renteberekening!$J$1:$UK$1)=YEAR(Samenvatting!X$41)) * Renteberekening!$J$2:$UK$29),0))</f>
        <v>0,0</v>
      </c>
      <c r="Y118" s="21" t="str" cm="1">
        <f t="array" ref="Y118">IF(OR(Samenvatting!$C118="",ISBLANK(Samenvatting!$C118)),"0,0",IFERROR(SUMPRODUCT((Renteberekening!$B$2:$B$29=Samenvatting!$C118) * (YEAR(Renteberekening!$J$1:$UK$1)=YEAR(Samenvatting!Y$41)) * Renteberekening!$J$2:$UK$29),0))</f>
        <v>0,0</v>
      </c>
      <c r="Z118" s="21" t="str" cm="1">
        <f t="array" ref="Z118">IF(OR(Samenvatting!$C118="",ISBLANK(Samenvatting!$C118)),"0,0",IFERROR(SUMPRODUCT((Renteberekening!$B$2:$B$29=Samenvatting!$C118) * (YEAR(Renteberekening!$J$1:$UK$1)=YEAR(Samenvatting!Z$41)) * Renteberekening!$J$2:$UK$29),0))</f>
        <v>0,0</v>
      </c>
      <c r="AA118" s="21" t="str" cm="1">
        <f t="array" ref="AA118">IF(OR(Samenvatting!$C118="",ISBLANK(Samenvatting!$C118)),"0,0",IFERROR(SUMPRODUCT((Renteberekening!$B$2:$B$29=Samenvatting!$C118) * (YEAR(Renteberekening!$J$1:$UK$1)=YEAR(Samenvatting!AA$41)) * Renteberekening!$J$2:$UK$29),0))</f>
        <v>0,0</v>
      </c>
      <c r="AB118" s="21" t="str" cm="1">
        <f t="array" ref="AB118">IF(OR(Samenvatting!$C118="",ISBLANK(Samenvatting!$C118)),"0,0",IFERROR(SUMPRODUCT((Renteberekening!$B$2:$B$29=Samenvatting!$C118) * (YEAR(Renteberekening!$J$1:$UK$1)=YEAR(Samenvatting!AB$41)) * Renteberekening!$J$2:$UK$29),0))</f>
        <v>0,0</v>
      </c>
      <c r="AC118" s="21" t="str" cm="1">
        <f t="array" ref="AC118">IF(OR(Samenvatting!$C118="",ISBLANK(Samenvatting!$C118)),"0,0",IFERROR(SUMPRODUCT((Renteberekening!$B$2:$B$29=Samenvatting!$C118) * (YEAR(Renteberekening!$J$1:$UK$1)=YEAR(Samenvatting!AC$41)) * Renteberekening!$J$2:$UK$29),0))</f>
        <v>0,0</v>
      </c>
      <c r="AD118" s="21" t="str" cm="1">
        <f t="array" ref="AD118">IF(OR(Samenvatting!$C118="",ISBLANK(Samenvatting!$C118)),"0,0",IFERROR(SUMPRODUCT((Renteberekening!$B$2:$B$29=Samenvatting!$C118) * (YEAR(Renteberekening!$J$1:$UK$1)=YEAR(Samenvatting!AD$41)) * Renteberekening!$J$2:$UK$29),0))</f>
        <v>0,0</v>
      </c>
      <c r="AE118" s="21" t="str" cm="1">
        <f t="array" ref="AE118">IF(OR(Samenvatting!$C118="",ISBLANK(Samenvatting!$C118)),"0,0",IFERROR(SUMPRODUCT((Renteberekening!$B$2:$B$29=Samenvatting!$C118) * (YEAR(Renteberekening!$J$1:$UK$1)=YEAR(Samenvatting!AE$41)) * Renteberekening!$J$2:$UK$29),0))</f>
        <v>0,0</v>
      </c>
      <c r="AF118" s="21" t="str" cm="1">
        <f t="array" ref="AF118">IF(OR(Samenvatting!$C118="",ISBLANK(Samenvatting!$C118)),"0,0",IFERROR(SUMPRODUCT((Renteberekening!$B$2:$B$29=Samenvatting!$C118) * (YEAR(Renteberekening!$J$1:$UK$1)=YEAR(Samenvatting!AF$41)) * Renteberekening!$J$2:$UK$29),0))</f>
        <v>0,0</v>
      </c>
      <c r="AG118" s="21" t="str" cm="1">
        <f t="array" ref="AG118">IF(OR(Samenvatting!$C118="",ISBLANK(Samenvatting!$C118)),"0,0",IFERROR(SUMPRODUCT((Renteberekening!$B$2:$B$29=Samenvatting!$C118) * (YEAR(Renteberekening!$J$1:$UK$1)=YEAR(Samenvatting!AG$41)) * Renteberekening!$J$2:$UK$29),0))</f>
        <v>0,0</v>
      </c>
      <c r="AH118" s="21" t="str" cm="1">
        <f t="array" ref="AH118">IF(OR(Samenvatting!$C118="",ISBLANK(Samenvatting!$C118)),"0,0",IFERROR(SUMPRODUCT((Renteberekening!$B$2:$B$29=Samenvatting!$C118) * (YEAR(Renteberekening!$J$1:$UK$1)=YEAR(Samenvatting!AH$41)) * Renteberekening!$J$2:$UK$29),0))</f>
        <v>0,0</v>
      </c>
      <c r="AI118" s="21" t="str" cm="1">
        <f t="array" ref="AI118">IF(OR(Samenvatting!$C118="",ISBLANK(Samenvatting!$C118)),"0,0",IFERROR(SUMPRODUCT((Renteberekening!$B$2:$B$29=Samenvatting!$C118) * (YEAR(Renteberekening!$J$1:$UK$1)=YEAR(Samenvatting!AI$41)) * Renteberekening!$J$2:$UK$29),0))</f>
        <v>0,0</v>
      </c>
      <c r="AJ118" s="21" t="str" cm="1">
        <f t="array" ref="AJ118">IF(OR(Samenvatting!$C118="",ISBLANK(Samenvatting!$C118)),"0,0",IFERROR(SUMPRODUCT((Renteberekening!$B$2:$B$29=Samenvatting!$C118) * (YEAR(Renteberekening!$J$1:$UK$1)=YEAR(Samenvatting!AJ$41)) * Renteberekening!$J$2:$UK$29),0))</f>
        <v>0,0</v>
      </c>
      <c r="AK118" s="21" t="str" cm="1">
        <f t="array" ref="AK118">IF(OR(Samenvatting!$C118="",ISBLANK(Samenvatting!$C118)),"0,0",IFERROR(SUMPRODUCT((Renteberekening!$B$2:$B$29=Samenvatting!$C118) * (YEAR(Renteberekening!$J$1:$UK$1)=YEAR(Samenvatting!AK$41)) * Renteberekening!$J$2:$UK$29),0))</f>
        <v>0,0</v>
      </c>
      <c r="AL118" s="21" t="str" cm="1">
        <f t="array" ref="AL118">IF(OR(Samenvatting!$C118="",ISBLANK(Samenvatting!$C118)),"0,0",IFERROR(SUMPRODUCT((Renteberekening!$B$2:$B$29=Samenvatting!$C118) * (YEAR(Renteberekening!$J$1:$UK$1)=YEAR(Samenvatting!AL$41)) * Renteberekening!$J$2:$UK$29),0))</f>
        <v>0,0</v>
      </c>
      <c r="AM118" s="21" t="str" cm="1">
        <f t="array" ref="AM118">IF(OR(Samenvatting!$C118="",ISBLANK(Samenvatting!$C118)),"0,0",IFERROR(SUMPRODUCT((Renteberekening!$B$2:$B$29=Samenvatting!$C118) * (YEAR(Renteberekening!$J$1:$UK$1)=YEAR(Samenvatting!AM$41)) * Renteberekening!$J$2:$UK$29),0))</f>
        <v>0,0</v>
      </c>
      <c r="AN118" s="21" t="str" cm="1">
        <f t="array" ref="AN118">IF(OR(Samenvatting!$C118="",ISBLANK(Samenvatting!$C118)),"0,0",IFERROR(SUMPRODUCT((Renteberekening!$B$2:$B$29=Samenvatting!$C118) * (YEAR(Renteberekening!$J$1:$UK$1)=YEAR(Samenvatting!AN$41)) * Renteberekening!$J$2:$UK$29),0))</f>
        <v>0,0</v>
      </c>
      <c r="AO118" s="21" t="str" cm="1">
        <f t="array" ref="AO118">IF(OR(Samenvatting!$C118="",ISBLANK(Samenvatting!$C118)),"0,0",IFERROR(SUMPRODUCT((Renteberekening!$B$2:$B$29=Samenvatting!$C118) * (YEAR(Renteberekening!$J$1:$UK$1)=YEAR(Samenvatting!AO$41)) * Renteberekening!$J$2:$UK$29),0))</f>
        <v>0,0</v>
      </c>
      <c r="AP118" s="21" t="str" cm="1">
        <f t="array" ref="AP118">IF(OR(Samenvatting!$C118="",ISBLANK(Samenvatting!$C118)),"0,0",IFERROR(SUMPRODUCT((Renteberekening!$B$2:$B$29=Samenvatting!$C118) * (YEAR(Renteberekening!$J$1:$UK$1)=YEAR(Samenvatting!AP$41)) * Renteberekening!$J$2:$UK$29),0))</f>
        <v>0,0</v>
      </c>
      <c r="AQ118" s="21" t="str" cm="1">
        <f t="array" ref="AQ118">IF(OR(Samenvatting!$C118="",ISBLANK(Samenvatting!$C118)),"0,0",IFERROR(SUMPRODUCT((Renteberekening!$B$2:$B$29=Samenvatting!$C118) * (YEAR(Renteberekening!$J$1:$UK$1)=YEAR(Samenvatting!AQ$41)) * Renteberekening!$J$2:$UK$29),0))</f>
        <v>0,0</v>
      </c>
      <c r="AR118" s="21" t="str" cm="1">
        <f t="array" ref="AR118">IF(OR(Samenvatting!$C118="",ISBLANK(Samenvatting!$C118)),"0,0",IFERROR(SUMPRODUCT((Renteberekening!$B$2:$B$29=Samenvatting!$C118) * (YEAR(Renteberekening!$J$1:$UK$1)=YEAR(Samenvatting!AR$41)) * Renteberekening!$J$2:$UK$29),0))</f>
        <v>0,0</v>
      </c>
      <c r="AS118" s="21" t="str" cm="1">
        <f t="array" ref="AS118">IF(OR(Samenvatting!$C118="",ISBLANK(Samenvatting!$C118)),"0,0",IFERROR(SUMPRODUCT((Renteberekening!$B$2:$B$29=Samenvatting!$C118) * (YEAR(Renteberekening!$J$1:$UK$1)=YEAR(Samenvatting!AS$41)) * Renteberekening!$J$2:$UK$29),0))</f>
        <v>0,0</v>
      </c>
      <c r="AT118" s="21" t="str" cm="1">
        <f t="array" ref="AT118">IF(OR(Samenvatting!$C118="",ISBLANK(Samenvatting!$C118)),"0,0",IFERROR(SUMPRODUCT((Renteberekening!$B$2:$B$29=Samenvatting!$C118) * (YEAR(Renteberekening!$J$1:$UK$1)=YEAR(Samenvatting!AT$41)) * Renteberekening!$J$2:$UK$29),0))</f>
        <v>0,0</v>
      </c>
      <c r="AU118" s="21" t="str" cm="1">
        <f t="array" ref="AU118">IF(OR(Samenvatting!$C118="",ISBLANK(Samenvatting!$C118)),"0,0",IFERROR(SUMPRODUCT((Renteberekening!$B$2:$B$29=Samenvatting!$C118) * (YEAR(Renteberekening!$J$1:$UK$1)=YEAR(Samenvatting!AU$41)) * Renteberekening!$J$2:$UK$29),0))</f>
        <v>0,0</v>
      </c>
      <c r="AW118" s="1"/>
      <c r="DJ118" s="11"/>
    </row>
    <row r="119" spans="3:114" ht="30" hidden="1" customHeight="1" outlineLevel="1">
      <c r="C119" s="20"/>
      <c r="D119" s="21">
        <v>1</v>
      </c>
      <c r="E119" s="21" t="s">
        <v>10</v>
      </c>
      <c r="F119" s="86"/>
      <c r="G119" s="86"/>
      <c r="H119" s="105">
        <v>7.4999999999999997E-2</v>
      </c>
      <c r="I119" s="69">
        <v>45292</v>
      </c>
      <c r="J119" s="70">
        <f t="shared" si="8"/>
        <v>3</v>
      </c>
      <c r="K119" s="69">
        <v>46535</v>
      </c>
      <c r="L119" s="21" t="str" cm="1">
        <f t="array" ref="L119">IF(OR(Samenvatting!$C119="",ISBLANK(Samenvatting!$C119)),"0,0",IFERROR(SUMPRODUCT((Renteberekening!$B$2:$B$29=Samenvatting!$C119) * (YEAR(Renteberekening!$J$1:$UK$1)=YEAR(Samenvatting!L$41)) * Renteberekening!$J$2:$UK$29),0))</f>
        <v>0,0</v>
      </c>
      <c r="M119" s="21" t="str" cm="1">
        <f t="array" ref="M119">IF(OR(Samenvatting!$C119="",ISBLANK(Samenvatting!$C119)),"0,0",IFERROR(SUMPRODUCT((Renteberekening!$B$2:$B$29=Samenvatting!$C119) * (YEAR(Renteberekening!$J$1:$UK$1)=YEAR(Samenvatting!M$41)) * Renteberekening!$J$2:$UK$29),0))</f>
        <v>0,0</v>
      </c>
      <c r="N119" s="21" t="str" cm="1">
        <f t="array" ref="N119">IF(OR(Samenvatting!$C119="",ISBLANK(Samenvatting!$C119)),"0,0",IFERROR(SUMPRODUCT((Renteberekening!$B$2:$B$29=Samenvatting!$C119) * (YEAR(Renteberekening!$J$1:$UK$1)=YEAR(Samenvatting!N$41)) * Renteberekening!$J$2:$UK$29),0))</f>
        <v>0,0</v>
      </c>
      <c r="O119" s="21" t="str" cm="1">
        <f t="array" ref="O119">IF(OR(Samenvatting!$C119="",ISBLANK(Samenvatting!$C119)),"0,0",IFERROR(SUMPRODUCT((Renteberekening!$B$2:$B$29=Samenvatting!$C119) * (YEAR(Renteberekening!$J$1:$UK$1)=YEAR(Samenvatting!O$41)) * Renteberekening!$J$2:$UK$29),0))</f>
        <v>0,0</v>
      </c>
      <c r="P119" s="21" t="str" cm="1">
        <f t="array" ref="P119">IF(OR(Samenvatting!$C119="",ISBLANK(Samenvatting!$C119)),"0,0",IFERROR(SUMPRODUCT((Renteberekening!$B$2:$B$29=Samenvatting!$C119) * (YEAR(Renteberekening!$J$1:$UK$1)=YEAR(Samenvatting!P$41)) * Renteberekening!$J$2:$UK$29),0))</f>
        <v>0,0</v>
      </c>
      <c r="Q119" s="21" t="str" cm="1">
        <f t="array" ref="Q119">IF(OR(Samenvatting!$C119="",ISBLANK(Samenvatting!$C119)),"0,0",IFERROR(SUMPRODUCT((Renteberekening!$B$2:$B$29=Samenvatting!$C119) * (YEAR(Renteberekening!$J$1:$UK$1)=YEAR(Samenvatting!Q$41)) * Renteberekening!$J$2:$UK$29),0))</f>
        <v>0,0</v>
      </c>
      <c r="R119" s="21" t="str" cm="1">
        <f t="array" ref="R119">IF(OR(Samenvatting!$C119="",ISBLANK(Samenvatting!$C119)),"0,0",IFERROR(SUMPRODUCT((Renteberekening!$B$2:$B$29=Samenvatting!$C119) * (YEAR(Renteberekening!$J$1:$UK$1)=YEAR(Samenvatting!R$41)) * Renteberekening!$J$2:$UK$29),0))</f>
        <v>0,0</v>
      </c>
      <c r="S119" s="21" t="str" cm="1">
        <f t="array" ref="S119">IF(OR(Samenvatting!$C119="",ISBLANK(Samenvatting!$C119)),"0,0",IFERROR(SUMPRODUCT((Renteberekening!$B$2:$B$29=Samenvatting!$C119) * (YEAR(Renteberekening!$J$1:$UK$1)=YEAR(Samenvatting!S$41)) * Renteberekening!$J$2:$UK$29),0))</f>
        <v>0,0</v>
      </c>
      <c r="T119" s="21" t="str" cm="1">
        <f t="array" ref="T119">IF(OR(Samenvatting!$C119="",ISBLANK(Samenvatting!$C119)),"0,0",IFERROR(SUMPRODUCT((Renteberekening!$B$2:$B$29=Samenvatting!$C119) * (YEAR(Renteberekening!$J$1:$UK$1)=YEAR(Samenvatting!T$41)) * Renteberekening!$J$2:$UK$29),0))</f>
        <v>0,0</v>
      </c>
      <c r="U119" s="21" t="str" cm="1">
        <f t="array" ref="U119">IF(OR(Samenvatting!$C119="",ISBLANK(Samenvatting!$C119)),"0,0",IFERROR(SUMPRODUCT((Renteberekening!$B$2:$B$29=Samenvatting!$C119) * (YEAR(Renteberekening!$J$1:$UK$1)=YEAR(Samenvatting!U$41)) * Renteberekening!$J$2:$UK$29),0))</f>
        <v>0,0</v>
      </c>
      <c r="V119" s="21" t="str" cm="1">
        <f t="array" ref="V119">IF(OR(Samenvatting!$C119="",ISBLANK(Samenvatting!$C119)),"0,0",IFERROR(SUMPRODUCT((Renteberekening!$B$2:$B$29=Samenvatting!$C119) * (YEAR(Renteberekening!$J$1:$UK$1)=YEAR(Samenvatting!V$41)) * Renteberekening!$J$2:$UK$29),0))</f>
        <v>0,0</v>
      </c>
      <c r="W119" s="21" t="str" cm="1">
        <f t="array" ref="W119">IF(OR(Samenvatting!$C119="",ISBLANK(Samenvatting!$C119)),"0,0",IFERROR(SUMPRODUCT((Renteberekening!$B$2:$B$29=Samenvatting!$C119) * (YEAR(Renteberekening!$J$1:$UK$1)=YEAR(Samenvatting!W$41)) * Renteberekening!$J$2:$UK$29),0))</f>
        <v>0,0</v>
      </c>
      <c r="X119" s="21" t="str" cm="1">
        <f t="array" ref="X119">IF(OR(Samenvatting!$C119="",ISBLANK(Samenvatting!$C119)),"0,0",IFERROR(SUMPRODUCT((Renteberekening!$B$2:$B$29=Samenvatting!$C119) * (YEAR(Renteberekening!$J$1:$UK$1)=YEAR(Samenvatting!X$41)) * Renteberekening!$J$2:$UK$29),0))</f>
        <v>0,0</v>
      </c>
      <c r="Y119" s="21" t="str" cm="1">
        <f t="array" ref="Y119">IF(OR(Samenvatting!$C119="",ISBLANK(Samenvatting!$C119)),"0,0",IFERROR(SUMPRODUCT((Renteberekening!$B$2:$B$29=Samenvatting!$C119) * (YEAR(Renteberekening!$J$1:$UK$1)=YEAR(Samenvatting!Y$41)) * Renteberekening!$J$2:$UK$29),0))</f>
        <v>0,0</v>
      </c>
      <c r="Z119" s="21" t="str" cm="1">
        <f t="array" ref="Z119">IF(OR(Samenvatting!$C119="",ISBLANK(Samenvatting!$C119)),"0,0",IFERROR(SUMPRODUCT((Renteberekening!$B$2:$B$29=Samenvatting!$C119) * (YEAR(Renteberekening!$J$1:$UK$1)=YEAR(Samenvatting!Z$41)) * Renteberekening!$J$2:$UK$29),0))</f>
        <v>0,0</v>
      </c>
      <c r="AA119" s="21" t="str" cm="1">
        <f t="array" ref="AA119">IF(OR(Samenvatting!$C119="",ISBLANK(Samenvatting!$C119)),"0,0",IFERROR(SUMPRODUCT((Renteberekening!$B$2:$B$29=Samenvatting!$C119) * (YEAR(Renteberekening!$J$1:$UK$1)=YEAR(Samenvatting!AA$41)) * Renteberekening!$J$2:$UK$29),0))</f>
        <v>0,0</v>
      </c>
      <c r="AB119" s="21" t="str" cm="1">
        <f t="array" ref="AB119">IF(OR(Samenvatting!$C119="",ISBLANK(Samenvatting!$C119)),"0,0",IFERROR(SUMPRODUCT((Renteberekening!$B$2:$B$29=Samenvatting!$C119) * (YEAR(Renteberekening!$J$1:$UK$1)=YEAR(Samenvatting!AB$41)) * Renteberekening!$J$2:$UK$29),0))</f>
        <v>0,0</v>
      </c>
      <c r="AC119" s="21" t="str" cm="1">
        <f t="array" ref="AC119">IF(OR(Samenvatting!$C119="",ISBLANK(Samenvatting!$C119)),"0,0",IFERROR(SUMPRODUCT((Renteberekening!$B$2:$B$29=Samenvatting!$C119) * (YEAR(Renteberekening!$J$1:$UK$1)=YEAR(Samenvatting!AC$41)) * Renteberekening!$J$2:$UK$29),0))</f>
        <v>0,0</v>
      </c>
      <c r="AD119" s="21" t="str" cm="1">
        <f t="array" ref="AD119">IF(OR(Samenvatting!$C119="",ISBLANK(Samenvatting!$C119)),"0,0",IFERROR(SUMPRODUCT((Renteberekening!$B$2:$B$29=Samenvatting!$C119) * (YEAR(Renteberekening!$J$1:$UK$1)=YEAR(Samenvatting!AD$41)) * Renteberekening!$J$2:$UK$29),0))</f>
        <v>0,0</v>
      </c>
      <c r="AE119" s="21" t="str" cm="1">
        <f t="array" ref="AE119">IF(OR(Samenvatting!$C119="",ISBLANK(Samenvatting!$C119)),"0,0",IFERROR(SUMPRODUCT((Renteberekening!$B$2:$B$29=Samenvatting!$C119) * (YEAR(Renteberekening!$J$1:$UK$1)=YEAR(Samenvatting!AE$41)) * Renteberekening!$J$2:$UK$29),0))</f>
        <v>0,0</v>
      </c>
      <c r="AF119" s="21" t="str" cm="1">
        <f t="array" ref="AF119">IF(OR(Samenvatting!$C119="",ISBLANK(Samenvatting!$C119)),"0,0",IFERROR(SUMPRODUCT((Renteberekening!$B$2:$B$29=Samenvatting!$C119) * (YEAR(Renteberekening!$J$1:$UK$1)=YEAR(Samenvatting!AF$41)) * Renteberekening!$J$2:$UK$29),0))</f>
        <v>0,0</v>
      </c>
      <c r="AG119" s="21" t="str" cm="1">
        <f t="array" ref="AG119">IF(OR(Samenvatting!$C119="",ISBLANK(Samenvatting!$C119)),"0,0",IFERROR(SUMPRODUCT((Renteberekening!$B$2:$B$29=Samenvatting!$C119) * (YEAR(Renteberekening!$J$1:$UK$1)=YEAR(Samenvatting!AG$41)) * Renteberekening!$J$2:$UK$29),0))</f>
        <v>0,0</v>
      </c>
      <c r="AH119" s="21" t="str" cm="1">
        <f t="array" ref="AH119">IF(OR(Samenvatting!$C119="",ISBLANK(Samenvatting!$C119)),"0,0",IFERROR(SUMPRODUCT((Renteberekening!$B$2:$B$29=Samenvatting!$C119) * (YEAR(Renteberekening!$J$1:$UK$1)=YEAR(Samenvatting!AH$41)) * Renteberekening!$J$2:$UK$29),0))</f>
        <v>0,0</v>
      </c>
      <c r="AI119" s="21" t="str" cm="1">
        <f t="array" ref="AI119">IF(OR(Samenvatting!$C119="",ISBLANK(Samenvatting!$C119)),"0,0",IFERROR(SUMPRODUCT((Renteberekening!$B$2:$B$29=Samenvatting!$C119) * (YEAR(Renteberekening!$J$1:$UK$1)=YEAR(Samenvatting!AI$41)) * Renteberekening!$J$2:$UK$29),0))</f>
        <v>0,0</v>
      </c>
      <c r="AJ119" s="21" t="str" cm="1">
        <f t="array" ref="AJ119">IF(OR(Samenvatting!$C119="",ISBLANK(Samenvatting!$C119)),"0,0",IFERROR(SUMPRODUCT((Renteberekening!$B$2:$B$29=Samenvatting!$C119) * (YEAR(Renteberekening!$J$1:$UK$1)=YEAR(Samenvatting!AJ$41)) * Renteberekening!$J$2:$UK$29),0))</f>
        <v>0,0</v>
      </c>
      <c r="AK119" s="21" t="str" cm="1">
        <f t="array" ref="AK119">IF(OR(Samenvatting!$C119="",ISBLANK(Samenvatting!$C119)),"0,0",IFERROR(SUMPRODUCT((Renteberekening!$B$2:$B$29=Samenvatting!$C119) * (YEAR(Renteberekening!$J$1:$UK$1)=YEAR(Samenvatting!AK$41)) * Renteberekening!$J$2:$UK$29),0))</f>
        <v>0,0</v>
      </c>
      <c r="AL119" s="21" t="str" cm="1">
        <f t="array" ref="AL119">IF(OR(Samenvatting!$C119="",ISBLANK(Samenvatting!$C119)),"0,0",IFERROR(SUMPRODUCT((Renteberekening!$B$2:$B$29=Samenvatting!$C119) * (YEAR(Renteberekening!$J$1:$UK$1)=YEAR(Samenvatting!AL$41)) * Renteberekening!$J$2:$UK$29),0))</f>
        <v>0,0</v>
      </c>
      <c r="AM119" s="21" t="str" cm="1">
        <f t="array" ref="AM119">IF(OR(Samenvatting!$C119="",ISBLANK(Samenvatting!$C119)),"0,0",IFERROR(SUMPRODUCT((Renteberekening!$B$2:$B$29=Samenvatting!$C119) * (YEAR(Renteberekening!$J$1:$UK$1)=YEAR(Samenvatting!AM$41)) * Renteberekening!$J$2:$UK$29),0))</f>
        <v>0,0</v>
      </c>
      <c r="AN119" s="21" t="str" cm="1">
        <f t="array" ref="AN119">IF(OR(Samenvatting!$C119="",ISBLANK(Samenvatting!$C119)),"0,0",IFERROR(SUMPRODUCT((Renteberekening!$B$2:$B$29=Samenvatting!$C119) * (YEAR(Renteberekening!$J$1:$UK$1)=YEAR(Samenvatting!AN$41)) * Renteberekening!$J$2:$UK$29),0))</f>
        <v>0,0</v>
      </c>
      <c r="AO119" s="21" t="str" cm="1">
        <f t="array" ref="AO119">IF(OR(Samenvatting!$C119="",ISBLANK(Samenvatting!$C119)),"0,0",IFERROR(SUMPRODUCT((Renteberekening!$B$2:$B$29=Samenvatting!$C119) * (YEAR(Renteberekening!$J$1:$UK$1)=YEAR(Samenvatting!AO$41)) * Renteberekening!$J$2:$UK$29),0))</f>
        <v>0,0</v>
      </c>
      <c r="AP119" s="21" t="str" cm="1">
        <f t="array" ref="AP119">IF(OR(Samenvatting!$C119="",ISBLANK(Samenvatting!$C119)),"0,0",IFERROR(SUMPRODUCT((Renteberekening!$B$2:$B$29=Samenvatting!$C119) * (YEAR(Renteberekening!$J$1:$UK$1)=YEAR(Samenvatting!AP$41)) * Renteberekening!$J$2:$UK$29),0))</f>
        <v>0,0</v>
      </c>
      <c r="AQ119" s="21" t="str" cm="1">
        <f t="array" ref="AQ119">IF(OR(Samenvatting!$C119="",ISBLANK(Samenvatting!$C119)),"0,0",IFERROR(SUMPRODUCT((Renteberekening!$B$2:$B$29=Samenvatting!$C119) * (YEAR(Renteberekening!$J$1:$UK$1)=YEAR(Samenvatting!AQ$41)) * Renteberekening!$J$2:$UK$29),0))</f>
        <v>0,0</v>
      </c>
      <c r="AR119" s="21" t="str" cm="1">
        <f t="array" ref="AR119">IF(OR(Samenvatting!$C119="",ISBLANK(Samenvatting!$C119)),"0,0",IFERROR(SUMPRODUCT((Renteberekening!$B$2:$B$29=Samenvatting!$C119) * (YEAR(Renteberekening!$J$1:$UK$1)=YEAR(Samenvatting!AR$41)) * Renteberekening!$J$2:$UK$29),0))</f>
        <v>0,0</v>
      </c>
      <c r="AS119" s="21" t="str" cm="1">
        <f t="array" ref="AS119">IF(OR(Samenvatting!$C119="",ISBLANK(Samenvatting!$C119)),"0,0",IFERROR(SUMPRODUCT((Renteberekening!$B$2:$B$29=Samenvatting!$C119) * (YEAR(Renteberekening!$J$1:$UK$1)=YEAR(Samenvatting!AS$41)) * Renteberekening!$J$2:$UK$29),0))</f>
        <v>0,0</v>
      </c>
      <c r="AT119" s="21" t="str" cm="1">
        <f t="array" ref="AT119">IF(OR(Samenvatting!$C119="",ISBLANK(Samenvatting!$C119)),"0,0",IFERROR(SUMPRODUCT((Renteberekening!$B$2:$B$29=Samenvatting!$C119) * (YEAR(Renteberekening!$J$1:$UK$1)=YEAR(Samenvatting!AT$41)) * Renteberekening!$J$2:$UK$29),0))</f>
        <v>0,0</v>
      </c>
      <c r="AU119" s="21" t="str" cm="1">
        <f t="array" ref="AU119">IF(OR(Samenvatting!$C119="",ISBLANK(Samenvatting!$C119)),"0,0",IFERROR(SUMPRODUCT((Renteberekening!$B$2:$B$29=Samenvatting!$C119) * (YEAR(Renteberekening!$J$1:$UK$1)=YEAR(Samenvatting!AU$41)) * Renteberekening!$J$2:$UK$29),0))</f>
        <v>0,0</v>
      </c>
      <c r="AW119" s="1"/>
      <c r="DJ119" s="11"/>
    </row>
    <row r="120" spans="3:114" ht="30" hidden="1" customHeight="1" outlineLevel="1">
      <c r="C120" s="20"/>
      <c r="D120" s="21">
        <v>1</v>
      </c>
      <c r="E120" s="21" t="s">
        <v>10</v>
      </c>
      <c r="F120" s="86"/>
      <c r="G120" s="86"/>
      <c r="H120" s="105">
        <v>7.4999999999999997E-2</v>
      </c>
      <c r="I120" s="69">
        <v>45292</v>
      </c>
      <c r="J120" s="70">
        <f t="shared" si="8"/>
        <v>3</v>
      </c>
      <c r="K120" s="69">
        <v>46553</v>
      </c>
      <c r="L120" s="21" t="str" cm="1">
        <f t="array" ref="L120">IF(OR(Samenvatting!$C120="",ISBLANK(Samenvatting!$C120)),"0,0",IFERROR(SUMPRODUCT((Renteberekening!$B$2:$B$29=Samenvatting!$C120) * (YEAR(Renteberekening!$J$1:$UK$1)=YEAR(Samenvatting!L$41)) * Renteberekening!$J$2:$UK$29),0))</f>
        <v>0,0</v>
      </c>
      <c r="M120" s="21" t="str" cm="1">
        <f t="array" ref="M120">IF(OR(Samenvatting!$C120="",ISBLANK(Samenvatting!$C120)),"0,0",IFERROR(SUMPRODUCT((Renteberekening!$B$2:$B$29=Samenvatting!$C120) * (YEAR(Renteberekening!$J$1:$UK$1)=YEAR(Samenvatting!M$41)) * Renteberekening!$J$2:$UK$29),0))</f>
        <v>0,0</v>
      </c>
      <c r="N120" s="21" t="str" cm="1">
        <f t="array" ref="N120">IF(OR(Samenvatting!$C120="",ISBLANK(Samenvatting!$C120)),"0,0",IFERROR(SUMPRODUCT((Renteberekening!$B$2:$B$29=Samenvatting!$C120) * (YEAR(Renteberekening!$J$1:$UK$1)=YEAR(Samenvatting!N$41)) * Renteberekening!$J$2:$UK$29),0))</f>
        <v>0,0</v>
      </c>
      <c r="O120" s="21" t="str" cm="1">
        <f t="array" ref="O120">IF(OR(Samenvatting!$C120="",ISBLANK(Samenvatting!$C120)),"0,0",IFERROR(SUMPRODUCT((Renteberekening!$B$2:$B$29=Samenvatting!$C120) * (YEAR(Renteberekening!$J$1:$UK$1)=YEAR(Samenvatting!O$41)) * Renteberekening!$J$2:$UK$29),0))</f>
        <v>0,0</v>
      </c>
      <c r="P120" s="21" t="str" cm="1">
        <f t="array" ref="P120">IF(OR(Samenvatting!$C120="",ISBLANK(Samenvatting!$C120)),"0,0",IFERROR(SUMPRODUCT((Renteberekening!$B$2:$B$29=Samenvatting!$C120) * (YEAR(Renteberekening!$J$1:$UK$1)=YEAR(Samenvatting!P$41)) * Renteberekening!$J$2:$UK$29),0))</f>
        <v>0,0</v>
      </c>
      <c r="Q120" s="21" t="str" cm="1">
        <f t="array" ref="Q120">IF(OR(Samenvatting!$C120="",ISBLANK(Samenvatting!$C120)),"0,0",IFERROR(SUMPRODUCT((Renteberekening!$B$2:$B$29=Samenvatting!$C120) * (YEAR(Renteberekening!$J$1:$UK$1)=YEAR(Samenvatting!Q$41)) * Renteberekening!$J$2:$UK$29),0))</f>
        <v>0,0</v>
      </c>
      <c r="R120" s="21" t="str" cm="1">
        <f t="array" ref="R120">IF(OR(Samenvatting!$C120="",ISBLANK(Samenvatting!$C120)),"0,0",IFERROR(SUMPRODUCT((Renteberekening!$B$2:$B$29=Samenvatting!$C120) * (YEAR(Renteberekening!$J$1:$UK$1)=YEAR(Samenvatting!R$41)) * Renteberekening!$J$2:$UK$29),0))</f>
        <v>0,0</v>
      </c>
      <c r="S120" s="21" t="str" cm="1">
        <f t="array" ref="S120">IF(OR(Samenvatting!$C120="",ISBLANK(Samenvatting!$C120)),"0,0",IFERROR(SUMPRODUCT((Renteberekening!$B$2:$B$29=Samenvatting!$C120) * (YEAR(Renteberekening!$J$1:$UK$1)=YEAR(Samenvatting!S$41)) * Renteberekening!$J$2:$UK$29),0))</f>
        <v>0,0</v>
      </c>
      <c r="T120" s="21" t="str" cm="1">
        <f t="array" ref="T120">IF(OR(Samenvatting!$C120="",ISBLANK(Samenvatting!$C120)),"0,0",IFERROR(SUMPRODUCT((Renteberekening!$B$2:$B$29=Samenvatting!$C120) * (YEAR(Renteberekening!$J$1:$UK$1)=YEAR(Samenvatting!T$41)) * Renteberekening!$J$2:$UK$29),0))</f>
        <v>0,0</v>
      </c>
      <c r="U120" s="21" t="str" cm="1">
        <f t="array" ref="U120">IF(OR(Samenvatting!$C120="",ISBLANK(Samenvatting!$C120)),"0,0",IFERROR(SUMPRODUCT((Renteberekening!$B$2:$B$29=Samenvatting!$C120) * (YEAR(Renteberekening!$J$1:$UK$1)=YEAR(Samenvatting!U$41)) * Renteberekening!$J$2:$UK$29),0))</f>
        <v>0,0</v>
      </c>
      <c r="V120" s="21" t="str" cm="1">
        <f t="array" ref="V120">IF(OR(Samenvatting!$C120="",ISBLANK(Samenvatting!$C120)),"0,0",IFERROR(SUMPRODUCT((Renteberekening!$B$2:$B$29=Samenvatting!$C120) * (YEAR(Renteberekening!$J$1:$UK$1)=YEAR(Samenvatting!V$41)) * Renteberekening!$J$2:$UK$29),0))</f>
        <v>0,0</v>
      </c>
      <c r="W120" s="21" t="str" cm="1">
        <f t="array" ref="W120">IF(OR(Samenvatting!$C120="",ISBLANK(Samenvatting!$C120)),"0,0",IFERROR(SUMPRODUCT((Renteberekening!$B$2:$B$29=Samenvatting!$C120) * (YEAR(Renteberekening!$J$1:$UK$1)=YEAR(Samenvatting!W$41)) * Renteberekening!$J$2:$UK$29),0))</f>
        <v>0,0</v>
      </c>
      <c r="X120" s="21" t="str" cm="1">
        <f t="array" ref="X120">IF(OR(Samenvatting!$C120="",ISBLANK(Samenvatting!$C120)),"0,0",IFERROR(SUMPRODUCT((Renteberekening!$B$2:$B$29=Samenvatting!$C120) * (YEAR(Renteberekening!$J$1:$UK$1)=YEAR(Samenvatting!X$41)) * Renteberekening!$J$2:$UK$29),0))</f>
        <v>0,0</v>
      </c>
      <c r="Y120" s="21" t="str" cm="1">
        <f t="array" ref="Y120">IF(OR(Samenvatting!$C120="",ISBLANK(Samenvatting!$C120)),"0,0",IFERROR(SUMPRODUCT((Renteberekening!$B$2:$B$29=Samenvatting!$C120) * (YEAR(Renteberekening!$J$1:$UK$1)=YEAR(Samenvatting!Y$41)) * Renteberekening!$J$2:$UK$29),0))</f>
        <v>0,0</v>
      </c>
      <c r="Z120" s="21" t="str" cm="1">
        <f t="array" ref="Z120">IF(OR(Samenvatting!$C120="",ISBLANK(Samenvatting!$C120)),"0,0",IFERROR(SUMPRODUCT((Renteberekening!$B$2:$B$29=Samenvatting!$C120) * (YEAR(Renteberekening!$J$1:$UK$1)=YEAR(Samenvatting!Z$41)) * Renteberekening!$J$2:$UK$29),0))</f>
        <v>0,0</v>
      </c>
      <c r="AA120" s="21" t="str" cm="1">
        <f t="array" ref="AA120">IF(OR(Samenvatting!$C120="",ISBLANK(Samenvatting!$C120)),"0,0",IFERROR(SUMPRODUCT((Renteberekening!$B$2:$B$29=Samenvatting!$C120) * (YEAR(Renteberekening!$J$1:$UK$1)=YEAR(Samenvatting!AA$41)) * Renteberekening!$J$2:$UK$29),0))</f>
        <v>0,0</v>
      </c>
      <c r="AB120" s="21" t="str" cm="1">
        <f t="array" ref="AB120">IF(OR(Samenvatting!$C120="",ISBLANK(Samenvatting!$C120)),"0,0",IFERROR(SUMPRODUCT((Renteberekening!$B$2:$B$29=Samenvatting!$C120) * (YEAR(Renteberekening!$J$1:$UK$1)=YEAR(Samenvatting!AB$41)) * Renteberekening!$J$2:$UK$29),0))</f>
        <v>0,0</v>
      </c>
      <c r="AC120" s="21" t="str" cm="1">
        <f t="array" ref="AC120">IF(OR(Samenvatting!$C120="",ISBLANK(Samenvatting!$C120)),"0,0",IFERROR(SUMPRODUCT((Renteberekening!$B$2:$B$29=Samenvatting!$C120) * (YEAR(Renteberekening!$J$1:$UK$1)=YEAR(Samenvatting!AC$41)) * Renteberekening!$J$2:$UK$29),0))</f>
        <v>0,0</v>
      </c>
      <c r="AD120" s="21" t="str" cm="1">
        <f t="array" ref="AD120">IF(OR(Samenvatting!$C120="",ISBLANK(Samenvatting!$C120)),"0,0",IFERROR(SUMPRODUCT((Renteberekening!$B$2:$B$29=Samenvatting!$C120) * (YEAR(Renteberekening!$J$1:$UK$1)=YEAR(Samenvatting!AD$41)) * Renteberekening!$J$2:$UK$29),0))</f>
        <v>0,0</v>
      </c>
      <c r="AE120" s="21" t="str" cm="1">
        <f t="array" ref="AE120">IF(OR(Samenvatting!$C120="",ISBLANK(Samenvatting!$C120)),"0,0",IFERROR(SUMPRODUCT((Renteberekening!$B$2:$B$29=Samenvatting!$C120) * (YEAR(Renteberekening!$J$1:$UK$1)=YEAR(Samenvatting!AE$41)) * Renteberekening!$J$2:$UK$29),0))</f>
        <v>0,0</v>
      </c>
      <c r="AF120" s="21" t="str" cm="1">
        <f t="array" ref="AF120">IF(OR(Samenvatting!$C120="",ISBLANK(Samenvatting!$C120)),"0,0",IFERROR(SUMPRODUCT((Renteberekening!$B$2:$B$29=Samenvatting!$C120) * (YEAR(Renteberekening!$J$1:$UK$1)=YEAR(Samenvatting!AF$41)) * Renteberekening!$J$2:$UK$29),0))</f>
        <v>0,0</v>
      </c>
      <c r="AG120" s="21" t="str" cm="1">
        <f t="array" ref="AG120">IF(OR(Samenvatting!$C120="",ISBLANK(Samenvatting!$C120)),"0,0",IFERROR(SUMPRODUCT((Renteberekening!$B$2:$B$29=Samenvatting!$C120) * (YEAR(Renteberekening!$J$1:$UK$1)=YEAR(Samenvatting!AG$41)) * Renteberekening!$J$2:$UK$29),0))</f>
        <v>0,0</v>
      </c>
      <c r="AH120" s="21" t="str" cm="1">
        <f t="array" ref="AH120">IF(OR(Samenvatting!$C120="",ISBLANK(Samenvatting!$C120)),"0,0",IFERROR(SUMPRODUCT((Renteberekening!$B$2:$B$29=Samenvatting!$C120) * (YEAR(Renteberekening!$J$1:$UK$1)=YEAR(Samenvatting!AH$41)) * Renteberekening!$J$2:$UK$29),0))</f>
        <v>0,0</v>
      </c>
      <c r="AI120" s="21" t="str" cm="1">
        <f t="array" ref="AI120">IF(OR(Samenvatting!$C120="",ISBLANK(Samenvatting!$C120)),"0,0",IFERROR(SUMPRODUCT((Renteberekening!$B$2:$B$29=Samenvatting!$C120) * (YEAR(Renteberekening!$J$1:$UK$1)=YEAR(Samenvatting!AI$41)) * Renteberekening!$J$2:$UK$29),0))</f>
        <v>0,0</v>
      </c>
      <c r="AJ120" s="21" t="str" cm="1">
        <f t="array" ref="AJ120">IF(OR(Samenvatting!$C120="",ISBLANK(Samenvatting!$C120)),"0,0",IFERROR(SUMPRODUCT((Renteberekening!$B$2:$B$29=Samenvatting!$C120) * (YEAR(Renteberekening!$J$1:$UK$1)=YEAR(Samenvatting!AJ$41)) * Renteberekening!$J$2:$UK$29),0))</f>
        <v>0,0</v>
      </c>
      <c r="AK120" s="21" t="str" cm="1">
        <f t="array" ref="AK120">IF(OR(Samenvatting!$C120="",ISBLANK(Samenvatting!$C120)),"0,0",IFERROR(SUMPRODUCT((Renteberekening!$B$2:$B$29=Samenvatting!$C120) * (YEAR(Renteberekening!$J$1:$UK$1)=YEAR(Samenvatting!AK$41)) * Renteberekening!$J$2:$UK$29),0))</f>
        <v>0,0</v>
      </c>
      <c r="AL120" s="21" t="str" cm="1">
        <f t="array" ref="AL120">IF(OR(Samenvatting!$C120="",ISBLANK(Samenvatting!$C120)),"0,0",IFERROR(SUMPRODUCT((Renteberekening!$B$2:$B$29=Samenvatting!$C120) * (YEAR(Renteberekening!$J$1:$UK$1)=YEAR(Samenvatting!AL$41)) * Renteberekening!$J$2:$UK$29),0))</f>
        <v>0,0</v>
      </c>
      <c r="AM120" s="21" t="str" cm="1">
        <f t="array" ref="AM120">IF(OR(Samenvatting!$C120="",ISBLANK(Samenvatting!$C120)),"0,0",IFERROR(SUMPRODUCT((Renteberekening!$B$2:$B$29=Samenvatting!$C120) * (YEAR(Renteberekening!$J$1:$UK$1)=YEAR(Samenvatting!AM$41)) * Renteberekening!$J$2:$UK$29),0))</f>
        <v>0,0</v>
      </c>
      <c r="AN120" s="21" t="str" cm="1">
        <f t="array" ref="AN120">IF(OR(Samenvatting!$C120="",ISBLANK(Samenvatting!$C120)),"0,0",IFERROR(SUMPRODUCT((Renteberekening!$B$2:$B$29=Samenvatting!$C120) * (YEAR(Renteberekening!$J$1:$UK$1)=YEAR(Samenvatting!AN$41)) * Renteberekening!$J$2:$UK$29),0))</f>
        <v>0,0</v>
      </c>
      <c r="AO120" s="21" t="str" cm="1">
        <f t="array" ref="AO120">IF(OR(Samenvatting!$C120="",ISBLANK(Samenvatting!$C120)),"0,0",IFERROR(SUMPRODUCT((Renteberekening!$B$2:$B$29=Samenvatting!$C120) * (YEAR(Renteberekening!$J$1:$UK$1)=YEAR(Samenvatting!AO$41)) * Renteberekening!$J$2:$UK$29),0))</f>
        <v>0,0</v>
      </c>
      <c r="AP120" s="21" t="str" cm="1">
        <f t="array" ref="AP120">IF(OR(Samenvatting!$C120="",ISBLANK(Samenvatting!$C120)),"0,0",IFERROR(SUMPRODUCT((Renteberekening!$B$2:$B$29=Samenvatting!$C120) * (YEAR(Renteberekening!$J$1:$UK$1)=YEAR(Samenvatting!AP$41)) * Renteberekening!$J$2:$UK$29),0))</f>
        <v>0,0</v>
      </c>
      <c r="AQ120" s="21" t="str" cm="1">
        <f t="array" ref="AQ120">IF(OR(Samenvatting!$C120="",ISBLANK(Samenvatting!$C120)),"0,0",IFERROR(SUMPRODUCT((Renteberekening!$B$2:$B$29=Samenvatting!$C120) * (YEAR(Renteberekening!$J$1:$UK$1)=YEAR(Samenvatting!AQ$41)) * Renteberekening!$J$2:$UK$29),0))</f>
        <v>0,0</v>
      </c>
      <c r="AR120" s="21" t="str" cm="1">
        <f t="array" ref="AR120">IF(OR(Samenvatting!$C120="",ISBLANK(Samenvatting!$C120)),"0,0",IFERROR(SUMPRODUCT((Renteberekening!$B$2:$B$29=Samenvatting!$C120) * (YEAR(Renteberekening!$J$1:$UK$1)=YEAR(Samenvatting!AR$41)) * Renteberekening!$J$2:$UK$29),0))</f>
        <v>0,0</v>
      </c>
      <c r="AS120" s="21" t="str" cm="1">
        <f t="array" ref="AS120">IF(OR(Samenvatting!$C120="",ISBLANK(Samenvatting!$C120)),"0,0",IFERROR(SUMPRODUCT((Renteberekening!$B$2:$B$29=Samenvatting!$C120) * (YEAR(Renteberekening!$J$1:$UK$1)=YEAR(Samenvatting!AS$41)) * Renteberekening!$J$2:$UK$29),0))</f>
        <v>0,0</v>
      </c>
      <c r="AT120" s="21" t="str" cm="1">
        <f t="array" ref="AT120">IF(OR(Samenvatting!$C120="",ISBLANK(Samenvatting!$C120)),"0,0",IFERROR(SUMPRODUCT((Renteberekening!$B$2:$B$29=Samenvatting!$C120) * (YEAR(Renteberekening!$J$1:$UK$1)=YEAR(Samenvatting!AT$41)) * Renteberekening!$J$2:$UK$29),0))</f>
        <v>0,0</v>
      </c>
      <c r="AU120" s="21" t="str" cm="1">
        <f t="array" ref="AU120">IF(OR(Samenvatting!$C120="",ISBLANK(Samenvatting!$C120)),"0,0",IFERROR(SUMPRODUCT((Renteberekening!$B$2:$B$29=Samenvatting!$C120) * (YEAR(Renteberekening!$J$1:$UK$1)=YEAR(Samenvatting!AU$41)) * Renteberekening!$J$2:$UK$29),0))</f>
        <v>0,0</v>
      </c>
      <c r="AW120" s="1"/>
      <c r="DJ120" s="11"/>
    </row>
    <row r="121" spans="3:114" ht="30" hidden="1" customHeight="1" outlineLevel="1">
      <c r="C121" s="20"/>
      <c r="D121" s="21">
        <v>1</v>
      </c>
      <c r="E121" s="21" t="s">
        <v>10</v>
      </c>
      <c r="F121" s="86"/>
      <c r="G121" s="86"/>
      <c r="H121" s="105">
        <v>7.4999999999999997E-2</v>
      </c>
      <c r="I121" s="69">
        <v>45292</v>
      </c>
      <c r="J121" s="70">
        <f t="shared" si="8"/>
        <v>0</v>
      </c>
      <c r="K121" s="69">
        <v>45292</v>
      </c>
      <c r="L121" s="21" t="str" cm="1">
        <f t="array" ref="L121">IF(OR(Samenvatting!$C121="",ISBLANK(Samenvatting!$C121)),"0,0",IFERROR(SUMPRODUCT((Renteberekening!$B$2:$B$29=Samenvatting!$C121) * (YEAR(Renteberekening!$J$1:$UK$1)=YEAR(Samenvatting!L$41)) * Renteberekening!$J$2:$UK$29),0))</f>
        <v>0,0</v>
      </c>
      <c r="M121" s="21" t="str" cm="1">
        <f t="array" ref="M121">IF(OR(Samenvatting!$C121="",ISBLANK(Samenvatting!$C121)),"0,0",IFERROR(SUMPRODUCT((Renteberekening!$B$2:$B$29=Samenvatting!$C121) * (YEAR(Renteberekening!$J$1:$UK$1)=YEAR(Samenvatting!M$41)) * Renteberekening!$J$2:$UK$29),0))</f>
        <v>0,0</v>
      </c>
      <c r="N121" s="21" t="str" cm="1">
        <f t="array" ref="N121">IF(OR(Samenvatting!$C121="",ISBLANK(Samenvatting!$C121)),"0,0",IFERROR(SUMPRODUCT((Renteberekening!$B$2:$B$29=Samenvatting!$C121) * (YEAR(Renteberekening!$J$1:$UK$1)=YEAR(Samenvatting!N$41)) * Renteberekening!$J$2:$UK$29),0))</f>
        <v>0,0</v>
      </c>
      <c r="O121" s="21" t="str" cm="1">
        <f t="array" ref="O121">IF(OR(Samenvatting!$C121="",ISBLANK(Samenvatting!$C121)),"0,0",IFERROR(SUMPRODUCT((Renteberekening!$B$2:$B$29=Samenvatting!$C121) * (YEAR(Renteberekening!$J$1:$UK$1)=YEAR(Samenvatting!O$41)) * Renteberekening!$J$2:$UK$29),0))</f>
        <v>0,0</v>
      </c>
      <c r="P121" s="21" t="str" cm="1">
        <f t="array" ref="P121">IF(OR(Samenvatting!$C121="",ISBLANK(Samenvatting!$C121)),"0,0",IFERROR(SUMPRODUCT((Renteberekening!$B$2:$B$29=Samenvatting!$C121) * (YEAR(Renteberekening!$J$1:$UK$1)=YEAR(Samenvatting!P$41)) * Renteberekening!$J$2:$UK$29),0))</f>
        <v>0,0</v>
      </c>
      <c r="Q121" s="21" t="str" cm="1">
        <f t="array" ref="Q121">IF(OR(Samenvatting!$C121="",ISBLANK(Samenvatting!$C121)),"0,0",IFERROR(SUMPRODUCT((Renteberekening!$B$2:$B$29=Samenvatting!$C121) * (YEAR(Renteberekening!$J$1:$UK$1)=YEAR(Samenvatting!Q$41)) * Renteberekening!$J$2:$UK$29),0))</f>
        <v>0,0</v>
      </c>
      <c r="R121" s="21" t="str" cm="1">
        <f t="array" ref="R121">IF(OR(Samenvatting!$C121="",ISBLANK(Samenvatting!$C121)),"0,0",IFERROR(SUMPRODUCT((Renteberekening!$B$2:$B$29=Samenvatting!$C121) * (YEAR(Renteberekening!$J$1:$UK$1)=YEAR(Samenvatting!R$41)) * Renteberekening!$J$2:$UK$29),0))</f>
        <v>0,0</v>
      </c>
      <c r="S121" s="21" t="str" cm="1">
        <f t="array" ref="S121">IF(OR(Samenvatting!$C121="",ISBLANK(Samenvatting!$C121)),"0,0",IFERROR(SUMPRODUCT((Renteberekening!$B$2:$B$29=Samenvatting!$C121) * (YEAR(Renteberekening!$J$1:$UK$1)=YEAR(Samenvatting!S$41)) * Renteberekening!$J$2:$UK$29),0))</f>
        <v>0,0</v>
      </c>
      <c r="T121" s="21" t="str" cm="1">
        <f t="array" ref="T121">IF(OR(Samenvatting!$C121="",ISBLANK(Samenvatting!$C121)),"0,0",IFERROR(SUMPRODUCT((Renteberekening!$B$2:$B$29=Samenvatting!$C121) * (YEAR(Renteberekening!$J$1:$UK$1)=YEAR(Samenvatting!T$41)) * Renteberekening!$J$2:$UK$29),0))</f>
        <v>0,0</v>
      </c>
      <c r="U121" s="21" t="str" cm="1">
        <f t="array" ref="U121">IF(OR(Samenvatting!$C121="",ISBLANK(Samenvatting!$C121)),"0,0",IFERROR(SUMPRODUCT((Renteberekening!$B$2:$B$29=Samenvatting!$C121) * (YEAR(Renteberekening!$J$1:$UK$1)=YEAR(Samenvatting!U$41)) * Renteberekening!$J$2:$UK$29),0))</f>
        <v>0,0</v>
      </c>
      <c r="V121" s="21" t="str" cm="1">
        <f t="array" ref="V121">IF(OR(Samenvatting!$C121="",ISBLANK(Samenvatting!$C121)),"0,0",IFERROR(SUMPRODUCT((Renteberekening!$B$2:$B$29=Samenvatting!$C121) * (YEAR(Renteberekening!$J$1:$UK$1)=YEAR(Samenvatting!V$41)) * Renteberekening!$J$2:$UK$29),0))</f>
        <v>0,0</v>
      </c>
      <c r="W121" s="21" t="str" cm="1">
        <f t="array" ref="W121">IF(OR(Samenvatting!$C121="",ISBLANK(Samenvatting!$C121)),"0,0",IFERROR(SUMPRODUCT((Renteberekening!$B$2:$B$29=Samenvatting!$C121) * (YEAR(Renteberekening!$J$1:$UK$1)=YEAR(Samenvatting!W$41)) * Renteberekening!$J$2:$UK$29),0))</f>
        <v>0,0</v>
      </c>
      <c r="X121" s="21" t="str" cm="1">
        <f t="array" ref="X121">IF(OR(Samenvatting!$C121="",ISBLANK(Samenvatting!$C121)),"0,0",IFERROR(SUMPRODUCT((Renteberekening!$B$2:$B$29=Samenvatting!$C121) * (YEAR(Renteberekening!$J$1:$UK$1)=YEAR(Samenvatting!X$41)) * Renteberekening!$J$2:$UK$29),0))</f>
        <v>0,0</v>
      </c>
      <c r="Y121" s="21" t="str" cm="1">
        <f t="array" ref="Y121">IF(OR(Samenvatting!$C121="",ISBLANK(Samenvatting!$C121)),"0,0",IFERROR(SUMPRODUCT((Renteberekening!$B$2:$B$29=Samenvatting!$C121) * (YEAR(Renteberekening!$J$1:$UK$1)=YEAR(Samenvatting!Y$41)) * Renteberekening!$J$2:$UK$29),0))</f>
        <v>0,0</v>
      </c>
      <c r="Z121" s="21" t="str" cm="1">
        <f t="array" ref="Z121">IF(OR(Samenvatting!$C121="",ISBLANK(Samenvatting!$C121)),"0,0",IFERROR(SUMPRODUCT((Renteberekening!$B$2:$B$29=Samenvatting!$C121) * (YEAR(Renteberekening!$J$1:$UK$1)=YEAR(Samenvatting!Z$41)) * Renteberekening!$J$2:$UK$29),0))</f>
        <v>0,0</v>
      </c>
      <c r="AA121" s="21" t="str" cm="1">
        <f t="array" ref="AA121">IF(OR(Samenvatting!$C121="",ISBLANK(Samenvatting!$C121)),"0,0",IFERROR(SUMPRODUCT((Renteberekening!$B$2:$B$29=Samenvatting!$C121) * (YEAR(Renteberekening!$J$1:$UK$1)=YEAR(Samenvatting!AA$41)) * Renteberekening!$J$2:$UK$29),0))</f>
        <v>0,0</v>
      </c>
      <c r="AB121" s="21" t="str" cm="1">
        <f t="array" ref="AB121">IF(OR(Samenvatting!$C121="",ISBLANK(Samenvatting!$C121)),"0,0",IFERROR(SUMPRODUCT((Renteberekening!$B$2:$B$29=Samenvatting!$C121) * (YEAR(Renteberekening!$J$1:$UK$1)=YEAR(Samenvatting!AB$41)) * Renteberekening!$J$2:$UK$29),0))</f>
        <v>0,0</v>
      </c>
      <c r="AC121" s="21" t="str" cm="1">
        <f t="array" ref="AC121">IF(OR(Samenvatting!$C121="",ISBLANK(Samenvatting!$C121)),"0,0",IFERROR(SUMPRODUCT((Renteberekening!$B$2:$B$29=Samenvatting!$C121) * (YEAR(Renteberekening!$J$1:$UK$1)=YEAR(Samenvatting!AC$41)) * Renteberekening!$J$2:$UK$29),0))</f>
        <v>0,0</v>
      </c>
      <c r="AD121" s="21" t="str" cm="1">
        <f t="array" ref="AD121">IF(OR(Samenvatting!$C121="",ISBLANK(Samenvatting!$C121)),"0,0",IFERROR(SUMPRODUCT((Renteberekening!$B$2:$B$29=Samenvatting!$C121) * (YEAR(Renteberekening!$J$1:$UK$1)=YEAR(Samenvatting!AD$41)) * Renteberekening!$J$2:$UK$29),0))</f>
        <v>0,0</v>
      </c>
      <c r="AE121" s="21" t="str" cm="1">
        <f t="array" ref="AE121">IF(OR(Samenvatting!$C121="",ISBLANK(Samenvatting!$C121)),"0,0",IFERROR(SUMPRODUCT((Renteberekening!$B$2:$B$29=Samenvatting!$C121) * (YEAR(Renteberekening!$J$1:$UK$1)=YEAR(Samenvatting!AE$41)) * Renteberekening!$J$2:$UK$29),0))</f>
        <v>0,0</v>
      </c>
      <c r="AF121" s="21" t="str" cm="1">
        <f t="array" ref="AF121">IF(OR(Samenvatting!$C121="",ISBLANK(Samenvatting!$C121)),"0,0",IFERROR(SUMPRODUCT((Renteberekening!$B$2:$B$29=Samenvatting!$C121) * (YEAR(Renteberekening!$J$1:$UK$1)=YEAR(Samenvatting!AF$41)) * Renteberekening!$J$2:$UK$29),0))</f>
        <v>0,0</v>
      </c>
      <c r="AG121" s="21" t="str" cm="1">
        <f t="array" ref="AG121">IF(OR(Samenvatting!$C121="",ISBLANK(Samenvatting!$C121)),"0,0",IFERROR(SUMPRODUCT((Renteberekening!$B$2:$B$29=Samenvatting!$C121) * (YEAR(Renteberekening!$J$1:$UK$1)=YEAR(Samenvatting!AG$41)) * Renteberekening!$J$2:$UK$29),0))</f>
        <v>0,0</v>
      </c>
      <c r="AH121" s="21" t="str" cm="1">
        <f t="array" ref="AH121">IF(OR(Samenvatting!$C121="",ISBLANK(Samenvatting!$C121)),"0,0",IFERROR(SUMPRODUCT((Renteberekening!$B$2:$B$29=Samenvatting!$C121) * (YEAR(Renteberekening!$J$1:$UK$1)=YEAR(Samenvatting!AH$41)) * Renteberekening!$J$2:$UK$29),0))</f>
        <v>0,0</v>
      </c>
      <c r="AI121" s="21" t="str" cm="1">
        <f t="array" ref="AI121">IF(OR(Samenvatting!$C121="",ISBLANK(Samenvatting!$C121)),"0,0",IFERROR(SUMPRODUCT((Renteberekening!$B$2:$B$29=Samenvatting!$C121) * (YEAR(Renteberekening!$J$1:$UK$1)=YEAR(Samenvatting!AI$41)) * Renteberekening!$J$2:$UK$29),0))</f>
        <v>0,0</v>
      </c>
      <c r="AJ121" s="21" t="str" cm="1">
        <f t="array" ref="AJ121">IF(OR(Samenvatting!$C121="",ISBLANK(Samenvatting!$C121)),"0,0",IFERROR(SUMPRODUCT((Renteberekening!$B$2:$B$29=Samenvatting!$C121) * (YEAR(Renteberekening!$J$1:$UK$1)=YEAR(Samenvatting!AJ$41)) * Renteberekening!$J$2:$UK$29),0))</f>
        <v>0,0</v>
      </c>
      <c r="AK121" s="21" t="str" cm="1">
        <f t="array" ref="AK121">IF(OR(Samenvatting!$C121="",ISBLANK(Samenvatting!$C121)),"0,0",IFERROR(SUMPRODUCT((Renteberekening!$B$2:$B$29=Samenvatting!$C121) * (YEAR(Renteberekening!$J$1:$UK$1)=YEAR(Samenvatting!AK$41)) * Renteberekening!$J$2:$UK$29),0))</f>
        <v>0,0</v>
      </c>
      <c r="AL121" s="21" t="str" cm="1">
        <f t="array" ref="AL121">IF(OR(Samenvatting!$C121="",ISBLANK(Samenvatting!$C121)),"0,0",IFERROR(SUMPRODUCT((Renteberekening!$B$2:$B$29=Samenvatting!$C121) * (YEAR(Renteberekening!$J$1:$UK$1)=YEAR(Samenvatting!AL$41)) * Renteberekening!$J$2:$UK$29),0))</f>
        <v>0,0</v>
      </c>
      <c r="AM121" s="21" t="str" cm="1">
        <f t="array" ref="AM121">IF(OR(Samenvatting!$C121="",ISBLANK(Samenvatting!$C121)),"0,0",IFERROR(SUMPRODUCT((Renteberekening!$B$2:$B$29=Samenvatting!$C121) * (YEAR(Renteberekening!$J$1:$UK$1)=YEAR(Samenvatting!AM$41)) * Renteberekening!$J$2:$UK$29),0))</f>
        <v>0,0</v>
      </c>
      <c r="AN121" s="21" t="str" cm="1">
        <f t="array" ref="AN121">IF(OR(Samenvatting!$C121="",ISBLANK(Samenvatting!$C121)),"0,0",IFERROR(SUMPRODUCT((Renteberekening!$B$2:$B$29=Samenvatting!$C121) * (YEAR(Renteberekening!$J$1:$UK$1)=YEAR(Samenvatting!AN$41)) * Renteberekening!$J$2:$UK$29),0))</f>
        <v>0,0</v>
      </c>
      <c r="AO121" s="21" t="str" cm="1">
        <f t="array" ref="AO121">IF(OR(Samenvatting!$C121="",ISBLANK(Samenvatting!$C121)),"0,0",IFERROR(SUMPRODUCT((Renteberekening!$B$2:$B$29=Samenvatting!$C121) * (YEAR(Renteberekening!$J$1:$UK$1)=YEAR(Samenvatting!AO$41)) * Renteberekening!$J$2:$UK$29),0))</f>
        <v>0,0</v>
      </c>
      <c r="AP121" s="21" t="str" cm="1">
        <f t="array" ref="AP121">IF(OR(Samenvatting!$C121="",ISBLANK(Samenvatting!$C121)),"0,0",IFERROR(SUMPRODUCT((Renteberekening!$B$2:$B$29=Samenvatting!$C121) * (YEAR(Renteberekening!$J$1:$UK$1)=YEAR(Samenvatting!AP$41)) * Renteberekening!$J$2:$UK$29),0))</f>
        <v>0,0</v>
      </c>
      <c r="AQ121" s="21" t="str" cm="1">
        <f t="array" ref="AQ121">IF(OR(Samenvatting!$C121="",ISBLANK(Samenvatting!$C121)),"0,0",IFERROR(SUMPRODUCT((Renteberekening!$B$2:$B$29=Samenvatting!$C121) * (YEAR(Renteberekening!$J$1:$UK$1)=YEAR(Samenvatting!AQ$41)) * Renteberekening!$J$2:$UK$29),0))</f>
        <v>0,0</v>
      </c>
      <c r="AR121" s="21" t="str" cm="1">
        <f t="array" ref="AR121">IF(OR(Samenvatting!$C121="",ISBLANK(Samenvatting!$C121)),"0,0",IFERROR(SUMPRODUCT((Renteberekening!$B$2:$B$29=Samenvatting!$C121) * (YEAR(Renteberekening!$J$1:$UK$1)=YEAR(Samenvatting!AR$41)) * Renteberekening!$J$2:$UK$29),0))</f>
        <v>0,0</v>
      </c>
      <c r="AS121" s="21" t="str" cm="1">
        <f t="array" ref="AS121">IF(OR(Samenvatting!$C121="",ISBLANK(Samenvatting!$C121)),"0,0",IFERROR(SUMPRODUCT((Renteberekening!$B$2:$B$29=Samenvatting!$C121) * (YEAR(Renteberekening!$J$1:$UK$1)=YEAR(Samenvatting!AS$41)) * Renteberekening!$J$2:$UK$29),0))</f>
        <v>0,0</v>
      </c>
      <c r="AT121" s="21" t="str" cm="1">
        <f t="array" ref="AT121">IF(OR(Samenvatting!$C121="",ISBLANK(Samenvatting!$C121)),"0,0",IFERROR(SUMPRODUCT((Renteberekening!$B$2:$B$29=Samenvatting!$C121) * (YEAR(Renteberekening!$J$1:$UK$1)=YEAR(Samenvatting!AT$41)) * Renteberekening!$J$2:$UK$29),0))</f>
        <v>0,0</v>
      </c>
      <c r="AU121" s="21" t="str" cm="1">
        <f t="array" ref="AU121">IF(OR(Samenvatting!$C121="",ISBLANK(Samenvatting!$C121)),"0,0",IFERROR(SUMPRODUCT((Renteberekening!$B$2:$B$29=Samenvatting!$C121) * (YEAR(Renteberekening!$J$1:$UK$1)=YEAR(Samenvatting!AU$41)) * Renteberekening!$J$2:$UK$29),0))</f>
        <v>0,0</v>
      </c>
      <c r="AW121" s="1"/>
      <c r="DJ121" s="11"/>
    </row>
    <row r="122" spans="3:114" ht="30" hidden="1" customHeight="1" outlineLevel="1">
      <c r="C122" s="20"/>
      <c r="D122" s="21">
        <v>1</v>
      </c>
      <c r="E122" s="21" t="s">
        <v>10</v>
      </c>
      <c r="F122" s="86"/>
      <c r="G122" s="86"/>
      <c r="H122" s="105">
        <v>7.4999999999999997E-2</v>
      </c>
      <c r="I122" s="69">
        <v>45292</v>
      </c>
      <c r="J122" s="70">
        <f t="shared" si="8"/>
        <v>0</v>
      </c>
      <c r="K122" s="69">
        <v>45292</v>
      </c>
      <c r="L122" s="21" t="str" cm="1">
        <f t="array" ref="L122">IF(OR(Samenvatting!$C122="",ISBLANK(Samenvatting!$C122)),"0,0",IFERROR(SUMPRODUCT((Renteberekening!$B$2:$B$29=Samenvatting!$C122) * (YEAR(Renteberekening!$J$1:$UK$1)=YEAR(Samenvatting!L$41)) * Renteberekening!$J$2:$UK$29),0))</f>
        <v>0,0</v>
      </c>
      <c r="M122" s="21" t="str" cm="1">
        <f t="array" ref="M122">IF(OR(Samenvatting!$C122="",ISBLANK(Samenvatting!$C122)),"0,0",IFERROR(SUMPRODUCT((Renteberekening!$B$2:$B$29=Samenvatting!$C122) * (YEAR(Renteberekening!$J$1:$UK$1)=YEAR(Samenvatting!M$41)) * Renteberekening!$J$2:$UK$29),0))</f>
        <v>0,0</v>
      </c>
      <c r="N122" s="21" t="str" cm="1">
        <f t="array" ref="N122">IF(OR(Samenvatting!$C122="",ISBLANK(Samenvatting!$C122)),"0,0",IFERROR(SUMPRODUCT((Renteberekening!$B$2:$B$29=Samenvatting!$C122) * (YEAR(Renteberekening!$J$1:$UK$1)=YEAR(Samenvatting!N$41)) * Renteberekening!$J$2:$UK$29),0))</f>
        <v>0,0</v>
      </c>
      <c r="O122" s="21" t="str" cm="1">
        <f t="array" ref="O122">IF(OR(Samenvatting!$C122="",ISBLANK(Samenvatting!$C122)),"0,0",IFERROR(SUMPRODUCT((Renteberekening!$B$2:$B$29=Samenvatting!$C122) * (YEAR(Renteberekening!$J$1:$UK$1)=YEAR(Samenvatting!O$41)) * Renteberekening!$J$2:$UK$29),0))</f>
        <v>0,0</v>
      </c>
      <c r="P122" s="21" t="str" cm="1">
        <f t="array" ref="P122">IF(OR(Samenvatting!$C122="",ISBLANK(Samenvatting!$C122)),"0,0",IFERROR(SUMPRODUCT((Renteberekening!$B$2:$B$29=Samenvatting!$C122) * (YEAR(Renteberekening!$J$1:$UK$1)=YEAR(Samenvatting!P$41)) * Renteberekening!$J$2:$UK$29),0))</f>
        <v>0,0</v>
      </c>
      <c r="Q122" s="21" t="str" cm="1">
        <f t="array" ref="Q122">IF(OR(Samenvatting!$C122="",ISBLANK(Samenvatting!$C122)),"0,0",IFERROR(SUMPRODUCT((Renteberekening!$B$2:$B$29=Samenvatting!$C122) * (YEAR(Renteberekening!$J$1:$UK$1)=YEAR(Samenvatting!Q$41)) * Renteberekening!$J$2:$UK$29),0))</f>
        <v>0,0</v>
      </c>
      <c r="R122" s="21" t="str" cm="1">
        <f t="array" ref="R122">IF(OR(Samenvatting!$C122="",ISBLANK(Samenvatting!$C122)),"0,0",IFERROR(SUMPRODUCT((Renteberekening!$B$2:$B$29=Samenvatting!$C122) * (YEAR(Renteberekening!$J$1:$UK$1)=YEAR(Samenvatting!R$41)) * Renteberekening!$J$2:$UK$29),0))</f>
        <v>0,0</v>
      </c>
      <c r="S122" s="21" t="str" cm="1">
        <f t="array" ref="S122">IF(OR(Samenvatting!$C122="",ISBLANK(Samenvatting!$C122)),"0,0",IFERROR(SUMPRODUCT((Renteberekening!$B$2:$B$29=Samenvatting!$C122) * (YEAR(Renteberekening!$J$1:$UK$1)=YEAR(Samenvatting!S$41)) * Renteberekening!$J$2:$UK$29),0))</f>
        <v>0,0</v>
      </c>
      <c r="T122" s="21" t="str" cm="1">
        <f t="array" ref="T122">IF(OR(Samenvatting!$C122="",ISBLANK(Samenvatting!$C122)),"0,0",IFERROR(SUMPRODUCT((Renteberekening!$B$2:$B$29=Samenvatting!$C122) * (YEAR(Renteberekening!$J$1:$UK$1)=YEAR(Samenvatting!T$41)) * Renteberekening!$J$2:$UK$29),0))</f>
        <v>0,0</v>
      </c>
      <c r="U122" s="21" t="str" cm="1">
        <f t="array" ref="U122">IF(OR(Samenvatting!$C122="",ISBLANK(Samenvatting!$C122)),"0,0",IFERROR(SUMPRODUCT((Renteberekening!$B$2:$B$29=Samenvatting!$C122) * (YEAR(Renteberekening!$J$1:$UK$1)=YEAR(Samenvatting!U$41)) * Renteberekening!$J$2:$UK$29),0))</f>
        <v>0,0</v>
      </c>
      <c r="V122" s="21" t="str" cm="1">
        <f t="array" ref="V122">IF(OR(Samenvatting!$C122="",ISBLANK(Samenvatting!$C122)),"0,0",IFERROR(SUMPRODUCT((Renteberekening!$B$2:$B$29=Samenvatting!$C122) * (YEAR(Renteberekening!$J$1:$UK$1)=YEAR(Samenvatting!V$41)) * Renteberekening!$J$2:$UK$29),0))</f>
        <v>0,0</v>
      </c>
      <c r="W122" s="21" t="str" cm="1">
        <f t="array" ref="W122">IF(OR(Samenvatting!$C122="",ISBLANK(Samenvatting!$C122)),"0,0",IFERROR(SUMPRODUCT((Renteberekening!$B$2:$B$29=Samenvatting!$C122) * (YEAR(Renteberekening!$J$1:$UK$1)=YEAR(Samenvatting!W$41)) * Renteberekening!$J$2:$UK$29),0))</f>
        <v>0,0</v>
      </c>
      <c r="X122" s="21" t="str" cm="1">
        <f t="array" ref="X122">IF(OR(Samenvatting!$C122="",ISBLANK(Samenvatting!$C122)),"0,0",IFERROR(SUMPRODUCT((Renteberekening!$B$2:$B$29=Samenvatting!$C122) * (YEAR(Renteberekening!$J$1:$UK$1)=YEAR(Samenvatting!X$41)) * Renteberekening!$J$2:$UK$29),0))</f>
        <v>0,0</v>
      </c>
      <c r="Y122" s="21" t="str" cm="1">
        <f t="array" ref="Y122">IF(OR(Samenvatting!$C122="",ISBLANK(Samenvatting!$C122)),"0,0",IFERROR(SUMPRODUCT((Renteberekening!$B$2:$B$29=Samenvatting!$C122) * (YEAR(Renteberekening!$J$1:$UK$1)=YEAR(Samenvatting!Y$41)) * Renteberekening!$J$2:$UK$29),0))</f>
        <v>0,0</v>
      </c>
      <c r="Z122" s="21" t="str" cm="1">
        <f t="array" ref="Z122">IF(OR(Samenvatting!$C122="",ISBLANK(Samenvatting!$C122)),"0,0",IFERROR(SUMPRODUCT((Renteberekening!$B$2:$B$29=Samenvatting!$C122) * (YEAR(Renteberekening!$J$1:$UK$1)=YEAR(Samenvatting!Z$41)) * Renteberekening!$J$2:$UK$29),0))</f>
        <v>0,0</v>
      </c>
      <c r="AA122" s="21" t="str" cm="1">
        <f t="array" ref="AA122">IF(OR(Samenvatting!$C122="",ISBLANK(Samenvatting!$C122)),"0,0",IFERROR(SUMPRODUCT((Renteberekening!$B$2:$B$29=Samenvatting!$C122) * (YEAR(Renteberekening!$J$1:$UK$1)=YEAR(Samenvatting!AA$41)) * Renteberekening!$J$2:$UK$29),0))</f>
        <v>0,0</v>
      </c>
      <c r="AB122" s="21" t="str" cm="1">
        <f t="array" ref="AB122">IF(OR(Samenvatting!$C122="",ISBLANK(Samenvatting!$C122)),"0,0",IFERROR(SUMPRODUCT((Renteberekening!$B$2:$B$29=Samenvatting!$C122) * (YEAR(Renteberekening!$J$1:$UK$1)=YEAR(Samenvatting!AB$41)) * Renteberekening!$J$2:$UK$29),0))</f>
        <v>0,0</v>
      </c>
      <c r="AC122" s="21" t="str" cm="1">
        <f t="array" ref="AC122">IF(OR(Samenvatting!$C122="",ISBLANK(Samenvatting!$C122)),"0,0",IFERROR(SUMPRODUCT((Renteberekening!$B$2:$B$29=Samenvatting!$C122) * (YEAR(Renteberekening!$J$1:$UK$1)=YEAR(Samenvatting!AC$41)) * Renteberekening!$J$2:$UK$29),0))</f>
        <v>0,0</v>
      </c>
      <c r="AD122" s="21" t="str" cm="1">
        <f t="array" ref="AD122">IF(OR(Samenvatting!$C122="",ISBLANK(Samenvatting!$C122)),"0,0",IFERROR(SUMPRODUCT((Renteberekening!$B$2:$B$29=Samenvatting!$C122) * (YEAR(Renteberekening!$J$1:$UK$1)=YEAR(Samenvatting!AD$41)) * Renteberekening!$J$2:$UK$29),0))</f>
        <v>0,0</v>
      </c>
      <c r="AE122" s="21" t="str" cm="1">
        <f t="array" ref="AE122">IF(OR(Samenvatting!$C122="",ISBLANK(Samenvatting!$C122)),"0,0",IFERROR(SUMPRODUCT((Renteberekening!$B$2:$B$29=Samenvatting!$C122) * (YEAR(Renteberekening!$J$1:$UK$1)=YEAR(Samenvatting!AE$41)) * Renteberekening!$J$2:$UK$29),0))</f>
        <v>0,0</v>
      </c>
      <c r="AF122" s="21" t="str" cm="1">
        <f t="array" ref="AF122">IF(OR(Samenvatting!$C122="",ISBLANK(Samenvatting!$C122)),"0,0",IFERROR(SUMPRODUCT((Renteberekening!$B$2:$B$29=Samenvatting!$C122) * (YEAR(Renteberekening!$J$1:$UK$1)=YEAR(Samenvatting!AF$41)) * Renteberekening!$J$2:$UK$29),0))</f>
        <v>0,0</v>
      </c>
      <c r="AG122" s="21" t="str" cm="1">
        <f t="array" ref="AG122">IF(OR(Samenvatting!$C122="",ISBLANK(Samenvatting!$C122)),"0,0",IFERROR(SUMPRODUCT((Renteberekening!$B$2:$B$29=Samenvatting!$C122) * (YEAR(Renteberekening!$J$1:$UK$1)=YEAR(Samenvatting!AG$41)) * Renteberekening!$J$2:$UK$29),0))</f>
        <v>0,0</v>
      </c>
      <c r="AH122" s="21" t="str" cm="1">
        <f t="array" ref="AH122">IF(OR(Samenvatting!$C122="",ISBLANK(Samenvatting!$C122)),"0,0",IFERROR(SUMPRODUCT((Renteberekening!$B$2:$B$29=Samenvatting!$C122) * (YEAR(Renteberekening!$J$1:$UK$1)=YEAR(Samenvatting!AH$41)) * Renteberekening!$J$2:$UK$29),0))</f>
        <v>0,0</v>
      </c>
      <c r="AI122" s="21" t="str" cm="1">
        <f t="array" ref="AI122">IF(OR(Samenvatting!$C122="",ISBLANK(Samenvatting!$C122)),"0,0",IFERROR(SUMPRODUCT((Renteberekening!$B$2:$B$29=Samenvatting!$C122) * (YEAR(Renteberekening!$J$1:$UK$1)=YEAR(Samenvatting!AI$41)) * Renteberekening!$J$2:$UK$29),0))</f>
        <v>0,0</v>
      </c>
      <c r="AJ122" s="21" t="str" cm="1">
        <f t="array" ref="AJ122">IF(OR(Samenvatting!$C122="",ISBLANK(Samenvatting!$C122)),"0,0",IFERROR(SUMPRODUCT((Renteberekening!$B$2:$B$29=Samenvatting!$C122) * (YEAR(Renteberekening!$J$1:$UK$1)=YEAR(Samenvatting!AJ$41)) * Renteberekening!$J$2:$UK$29),0))</f>
        <v>0,0</v>
      </c>
      <c r="AK122" s="21" t="str" cm="1">
        <f t="array" ref="AK122">IF(OR(Samenvatting!$C122="",ISBLANK(Samenvatting!$C122)),"0,0",IFERROR(SUMPRODUCT((Renteberekening!$B$2:$B$29=Samenvatting!$C122) * (YEAR(Renteberekening!$J$1:$UK$1)=YEAR(Samenvatting!AK$41)) * Renteberekening!$J$2:$UK$29),0))</f>
        <v>0,0</v>
      </c>
      <c r="AL122" s="21" t="str" cm="1">
        <f t="array" ref="AL122">IF(OR(Samenvatting!$C122="",ISBLANK(Samenvatting!$C122)),"0,0",IFERROR(SUMPRODUCT((Renteberekening!$B$2:$B$29=Samenvatting!$C122) * (YEAR(Renteberekening!$J$1:$UK$1)=YEAR(Samenvatting!AL$41)) * Renteberekening!$J$2:$UK$29),0))</f>
        <v>0,0</v>
      </c>
      <c r="AM122" s="21" t="str" cm="1">
        <f t="array" ref="AM122">IF(OR(Samenvatting!$C122="",ISBLANK(Samenvatting!$C122)),"0,0",IFERROR(SUMPRODUCT((Renteberekening!$B$2:$B$29=Samenvatting!$C122) * (YEAR(Renteberekening!$J$1:$UK$1)=YEAR(Samenvatting!AM$41)) * Renteberekening!$J$2:$UK$29),0))</f>
        <v>0,0</v>
      </c>
      <c r="AN122" s="21" t="str" cm="1">
        <f t="array" ref="AN122">IF(OR(Samenvatting!$C122="",ISBLANK(Samenvatting!$C122)),"0,0",IFERROR(SUMPRODUCT((Renteberekening!$B$2:$B$29=Samenvatting!$C122) * (YEAR(Renteberekening!$J$1:$UK$1)=YEAR(Samenvatting!AN$41)) * Renteberekening!$J$2:$UK$29),0))</f>
        <v>0,0</v>
      </c>
      <c r="AO122" s="21" t="str" cm="1">
        <f t="array" ref="AO122">IF(OR(Samenvatting!$C122="",ISBLANK(Samenvatting!$C122)),"0,0",IFERROR(SUMPRODUCT((Renteberekening!$B$2:$B$29=Samenvatting!$C122) * (YEAR(Renteberekening!$J$1:$UK$1)=YEAR(Samenvatting!AO$41)) * Renteberekening!$J$2:$UK$29),0))</f>
        <v>0,0</v>
      </c>
      <c r="AP122" s="21" t="str" cm="1">
        <f t="array" ref="AP122">IF(OR(Samenvatting!$C122="",ISBLANK(Samenvatting!$C122)),"0,0",IFERROR(SUMPRODUCT((Renteberekening!$B$2:$B$29=Samenvatting!$C122) * (YEAR(Renteberekening!$J$1:$UK$1)=YEAR(Samenvatting!AP$41)) * Renteberekening!$J$2:$UK$29),0))</f>
        <v>0,0</v>
      </c>
      <c r="AQ122" s="21" t="str" cm="1">
        <f t="array" ref="AQ122">IF(OR(Samenvatting!$C122="",ISBLANK(Samenvatting!$C122)),"0,0",IFERROR(SUMPRODUCT((Renteberekening!$B$2:$B$29=Samenvatting!$C122) * (YEAR(Renteberekening!$J$1:$UK$1)=YEAR(Samenvatting!AQ$41)) * Renteberekening!$J$2:$UK$29),0))</f>
        <v>0,0</v>
      </c>
      <c r="AR122" s="21" t="str" cm="1">
        <f t="array" ref="AR122">IF(OR(Samenvatting!$C122="",ISBLANK(Samenvatting!$C122)),"0,0",IFERROR(SUMPRODUCT((Renteberekening!$B$2:$B$29=Samenvatting!$C122) * (YEAR(Renteberekening!$J$1:$UK$1)=YEAR(Samenvatting!AR$41)) * Renteberekening!$J$2:$UK$29),0))</f>
        <v>0,0</v>
      </c>
      <c r="AS122" s="21" t="str" cm="1">
        <f t="array" ref="AS122">IF(OR(Samenvatting!$C122="",ISBLANK(Samenvatting!$C122)),"0,0",IFERROR(SUMPRODUCT((Renteberekening!$B$2:$B$29=Samenvatting!$C122) * (YEAR(Renteberekening!$J$1:$UK$1)=YEAR(Samenvatting!AS$41)) * Renteberekening!$J$2:$UK$29),0))</f>
        <v>0,0</v>
      </c>
      <c r="AT122" s="21" t="str" cm="1">
        <f t="array" ref="AT122">IF(OR(Samenvatting!$C122="",ISBLANK(Samenvatting!$C122)),"0,0",IFERROR(SUMPRODUCT((Renteberekening!$B$2:$B$29=Samenvatting!$C122) * (YEAR(Renteberekening!$J$1:$UK$1)=YEAR(Samenvatting!AT$41)) * Renteberekening!$J$2:$UK$29),0))</f>
        <v>0,0</v>
      </c>
      <c r="AU122" s="21" t="str" cm="1">
        <f t="array" ref="AU122">IF(OR(Samenvatting!$C122="",ISBLANK(Samenvatting!$C122)),"0,0",IFERROR(SUMPRODUCT((Renteberekening!$B$2:$B$29=Samenvatting!$C122) * (YEAR(Renteberekening!$J$1:$UK$1)=YEAR(Samenvatting!AU$41)) * Renteberekening!$J$2:$UK$29),0))</f>
        <v>0,0</v>
      </c>
      <c r="AW122" s="1"/>
      <c r="DJ122" s="11"/>
    </row>
    <row r="123" spans="3:114" ht="30" hidden="1" customHeight="1" outlineLevel="1">
      <c r="C123" s="20"/>
      <c r="D123" s="21">
        <v>1</v>
      </c>
      <c r="E123" s="21" t="s">
        <v>10</v>
      </c>
      <c r="F123" s="86"/>
      <c r="G123" s="86"/>
      <c r="H123" s="105">
        <v>7.4999999999999997E-2</v>
      </c>
      <c r="I123" s="69">
        <v>45657</v>
      </c>
      <c r="J123" s="70">
        <f t="shared" si="8"/>
        <v>2</v>
      </c>
      <c r="K123" s="69">
        <v>46387</v>
      </c>
      <c r="L123" s="21" t="str" cm="1">
        <f t="array" ref="L123">IF(OR(Samenvatting!$C123="",ISBLANK(Samenvatting!$C123)),"0,0",IFERROR(SUMPRODUCT((Renteberekening!$B$2:$B$29=Samenvatting!$C123) * (YEAR(Renteberekening!$J$1:$UK$1)=YEAR(Samenvatting!L$41)) * Renteberekening!$J$2:$UK$29),0))</f>
        <v>0,0</v>
      </c>
      <c r="M123" s="21" t="str" cm="1">
        <f t="array" ref="M123">IF(OR(Samenvatting!$C123="",ISBLANK(Samenvatting!$C123)),"0,0",IFERROR(SUMPRODUCT((Renteberekening!$B$2:$B$29=Samenvatting!$C123) * (YEAR(Renteberekening!$J$1:$UK$1)=YEAR(Samenvatting!M$41)) * Renteberekening!$J$2:$UK$29),0))</f>
        <v>0,0</v>
      </c>
      <c r="N123" s="21" t="str" cm="1">
        <f t="array" ref="N123">IF(OR(Samenvatting!$C123="",ISBLANK(Samenvatting!$C123)),"0,0",IFERROR(SUMPRODUCT((Renteberekening!$B$2:$B$29=Samenvatting!$C123) * (YEAR(Renteberekening!$J$1:$UK$1)=YEAR(Samenvatting!N$41)) * Renteberekening!$J$2:$UK$29),0))</f>
        <v>0,0</v>
      </c>
      <c r="O123" s="21" t="str" cm="1">
        <f t="array" ref="O123">IF(OR(Samenvatting!$C123="",ISBLANK(Samenvatting!$C123)),"0,0",IFERROR(SUMPRODUCT((Renteberekening!$B$2:$B$29=Samenvatting!$C123) * (YEAR(Renteberekening!$J$1:$UK$1)=YEAR(Samenvatting!O$41)) * Renteberekening!$J$2:$UK$29),0))</f>
        <v>0,0</v>
      </c>
      <c r="P123" s="21" t="str" cm="1">
        <f t="array" ref="P123">IF(OR(Samenvatting!$C123="",ISBLANK(Samenvatting!$C123)),"0,0",IFERROR(SUMPRODUCT((Renteberekening!$B$2:$B$29=Samenvatting!$C123) * (YEAR(Renteberekening!$J$1:$UK$1)=YEAR(Samenvatting!P$41)) * Renteberekening!$J$2:$UK$29),0))</f>
        <v>0,0</v>
      </c>
      <c r="Q123" s="21" t="str" cm="1">
        <f t="array" ref="Q123">IF(OR(Samenvatting!$C123="",ISBLANK(Samenvatting!$C123)),"0,0",IFERROR(SUMPRODUCT((Renteberekening!$B$2:$B$29=Samenvatting!$C123) * (YEAR(Renteberekening!$J$1:$UK$1)=YEAR(Samenvatting!Q$41)) * Renteberekening!$J$2:$UK$29),0))</f>
        <v>0,0</v>
      </c>
      <c r="R123" s="21" t="str" cm="1">
        <f t="array" ref="R123">IF(OR(Samenvatting!$C123="",ISBLANK(Samenvatting!$C123)),"0,0",IFERROR(SUMPRODUCT((Renteberekening!$B$2:$B$29=Samenvatting!$C123) * (YEAR(Renteberekening!$J$1:$UK$1)=YEAR(Samenvatting!R$41)) * Renteberekening!$J$2:$UK$29),0))</f>
        <v>0,0</v>
      </c>
      <c r="S123" s="21" t="str" cm="1">
        <f t="array" ref="S123">IF(OR(Samenvatting!$C123="",ISBLANK(Samenvatting!$C123)),"0,0",IFERROR(SUMPRODUCT((Renteberekening!$B$2:$B$29=Samenvatting!$C123) * (YEAR(Renteberekening!$J$1:$UK$1)=YEAR(Samenvatting!S$41)) * Renteberekening!$J$2:$UK$29),0))</f>
        <v>0,0</v>
      </c>
      <c r="T123" s="21" t="str" cm="1">
        <f t="array" ref="T123">IF(OR(Samenvatting!$C123="",ISBLANK(Samenvatting!$C123)),"0,0",IFERROR(SUMPRODUCT((Renteberekening!$B$2:$B$29=Samenvatting!$C123) * (YEAR(Renteberekening!$J$1:$UK$1)=YEAR(Samenvatting!T$41)) * Renteberekening!$J$2:$UK$29),0))</f>
        <v>0,0</v>
      </c>
      <c r="U123" s="21" t="str" cm="1">
        <f t="array" ref="U123">IF(OR(Samenvatting!$C123="",ISBLANK(Samenvatting!$C123)),"0,0",IFERROR(SUMPRODUCT((Renteberekening!$B$2:$B$29=Samenvatting!$C123) * (YEAR(Renteberekening!$J$1:$UK$1)=YEAR(Samenvatting!U$41)) * Renteberekening!$J$2:$UK$29),0))</f>
        <v>0,0</v>
      </c>
      <c r="V123" s="21" t="str" cm="1">
        <f t="array" ref="V123">IF(OR(Samenvatting!$C123="",ISBLANK(Samenvatting!$C123)),"0,0",IFERROR(SUMPRODUCT((Renteberekening!$B$2:$B$29=Samenvatting!$C123) * (YEAR(Renteberekening!$J$1:$UK$1)=YEAR(Samenvatting!V$41)) * Renteberekening!$J$2:$UK$29),0))</f>
        <v>0,0</v>
      </c>
      <c r="W123" s="21" t="str" cm="1">
        <f t="array" ref="W123">IF(OR(Samenvatting!$C123="",ISBLANK(Samenvatting!$C123)),"0,0",IFERROR(SUMPRODUCT((Renteberekening!$B$2:$B$29=Samenvatting!$C123) * (YEAR(Renteberekening!$J$1:$UK$1)=YEAR(Samenvatting!W$41)) * Renteberekening!$J$2:$UK$29),0))</f>
        <v>0,0</v>
      </c>
      <c r="X123" s="21" t="str" cm="1">
        <f t="array" ref="X123">IF(OR(Samenvatting!$C123="",ISBLANK(Samenvatting!$C123)),"0,0",IFERROR(SUMPRODUCT((Renteberekening!$B$2:$B$29=Samenvatting!$C123) * (YEAR(Renteberekening!$J$1:$UK$1)=YEAR(Samenvatting!X$41)) * Renteberekening!$J$2:$UK$29),0))</f>
        <v>0,0</v>
      </c>
      <c r="Y123" s="21" t="str" cm="1">
        <f t="array" ref="Y123">IF(OR(Samenvatting!$C123="",ISBLANK(Samenvatting!$C123)),"0,0",IFERROR(SUMPRODUCT((Renteberekening!$B$2:$B$29=Samenvatting!$C123) * (YEAR(Renteberekening!$J$1:$UK$1)=YEAR(Samenvatting!Y$41)) * Renteberekening!$J$2:$UK$29),0))</f>
        <v>0,0</v>
      </c>
      <c r="Z123" s="21" t="str" cm="1">
        <f t="array" ref="Z123">IF(OR(Samenvatting!$C123="",ISBLANK(Samenvatting!$C123)),"0,0",IFERROR(SUMPRODUCT((Renteberekening!$B$2:$B$29=Samenvatting!$C123) * (YEAR(Renteberekening!$J$1:$UK$1)=YEAR(Samenvatting!Z$41)) * Renteberekening!$J$2:$UK$29),0))</f>
        <v>0,0</v>
      </c>
      <c r="AA123" s="21" t="str" cm="1">
        <f t="array" ref="AA123">IF(OR(Samenvatting!$C123="",ISBLANK(Samenvatting!$C123)),"0,0",IFERROR(SUMPRODUCT((Renteberekening!$B$2:$B$29=Samenvatting!$C123) * (YEAR(Renteberekening!$J$1:$UK$1)=YEAR(Samenvatting!AA$41)) * Renteberekening!$J$2:$UK$29),0))</f>
        <v>0,0</v>
      </c>
      <c r="AB123" s="21" t="str" cm="1">
        <f t="array" ref="AB123">IF(OR(Samenvatting!$C123="",ISBLANK(Samenvatting!$C123)),"0,0",IFERROR(SUMPRODUCT((Renteberekening!$B$2:$B$29=Samenvatting!$C123) * (YEAR(Renteberekening!$J$1:$UK$1)=YEAR(Samenvatting!AB$41)) * Renteberekening!$J$2:$UK$29),0))</f>
        <v>0,0</v>
      </c>
      <c r="AC123" s="21" t="str" cm="1">
        <f t="array" ref="AC123">IF(OR(Samenvatting!$C123="",ISBLANK(Samenvatting!$C123)),"0,0",IFERROR(SUMPRODUCT((Renteberekening!$B$2:$B$29=Samenvatting!$C123) * (YEAR(Renteberekening!$J$1:$UK$1)=YEAR(Samenvatting!AC$41)) * Renteberekening!$J$2:$UK$29),0))</f>
        <v>0,0</v>
      </c>
      <c r="AD123" s="21" t="str" cm="1">
        <f t="array" ref="AD123">IF(OR(Samenvatting!$C123="",ISBLANK(Samenvatting!$C123)),"0,0",IFERROR(SUMPRODUCT((Renteberekening!$B$2:$B$29=Samenvatting!$C123) * (YEAR(Renteberekening!$J$1:$UK$1)=YEAR(Samenvatting!AD$41)) * Renteberekening!$J$2:$UK$29),0))</f>
        <v>0,0</v>
      </c>
      <c r="AE123" s="21" t="str" cm="1">
        <f t="array" ref="AE123">IF(OR(Samenvatting!$C123="",ISBLANK(Samenvatting!$C123)),"0,0",IFERROR(SUMPRODUCT((Renteberekening!$B$2:$B$29=Samenvatting!$C123) * (YEAR(Renteberekening!$J$1:$UK$1)=YEAR(Samenvatting!AE$41)) * Renteberekening!$J$2:$UK$29),0))</f>
        <v>0,0</v>
      </c>
      <c r="AF123" s="21" t="str" cm="1">
        <f t="array" ref="AF123">IF(OR(Samenvatting!$C123="",ISBLANK(Samenvatting!$C123)),"0,0",IFERROR(SUMPRODUCT((Renteberekening!$B$2:$B$29=Samenvatting!$C123) * (YEAR(Renteberekening!$J$1:$UK$1)=YEAR(Samenvatting!AF$41)) * Renteberekening!$J$2:$UK$29),0))</f>
        <v>0,0</v>
      </c>
      <c r="AG123" s="21" t="str" cm="1">
        <f t="array" ref="AG123">IF(OR(Samenvatting!$C123="",ISBLANK(Samenvatting!$C123)),"0,0",IFERROR(SUMPRODUCT((Renteberekening!$B$2:$B$29=Samenvatting!$C123) * (YEAR(Renteberekening!$J$1:$UK$1)=YEAR(Samenvatting!AG$41)) * Renteberekening!$J$2:$UK$29),0))</f>
        <v>0,0</v>
      </c>
      <c r="AH123" s="21" t="str" cm="1">
        <f t="array" ref="AH123">IF(OR(Samenvatting!$C123="",ISBLANK(Samenvatting!$C123)),"0,0",IFERROR(SUMPRODUCT((Renteberekening!$B$2:$B$29=Samenvatting!$C123) * (YEAR(Renteberekening!$J$1:$UK$1)=YEAR(Samenvatting!AH$41)) * Renteberekening!$J$2:$UK$29),0))</f>
        <v>0,0</v>
      </c>
      <c r="AI123" s="21" t="str" cm="1">
        <f t="array" ref="AI123">IF(OR(Samenvatting!$C123="",ISBLANK(Samenvatting!$C123)),"0,0",IFERROR(SUMPRODUCT((Renteberekening!$B$2:$B$29=Samenvatting!$C123) * (YEAR(Renteberekening!$J$1:$UK$1)=YEAR(Samenvatting!AI$41)) * Renteberekening!$J$2:$UK$29),0))</f>
        <v>0,0</v>
      </c>
      <c r="AJ123" s="21" t="str" cm="1">
        <f t="array" ref="AJ123">IF(OR(Samenvatting!$C123="",ISBLANK(Samenvatting!$C123)),"0,0",IFERROR(SUMPRODUCT((Renteberekening!$B$2:$B$29=Samenvatting!$C123) * (YEAR(Renteberekening!$J$1:$UK$1)=YEAR(Samenvatting!AJ$41)) * Renteberekening!$J$2:$UK$29),0))</f>
        <v>0,0</v>
      </c>
      <c r="AK123" s="21" t="str" cm="1">
        <f t="array" ref="AK123">IF(OR(Samenvatting!$C123="",ISBLANK(Samenvatting!$C123)),"0,0",IFERROR(SUMPRODUCT((Renteberekening!$B$2:$B$29=Samenvatting!$C123) * (YEAR(Renteberekening!$J$1:$UK$1)=YEAR(Samenvatting!AK$41)) * Renteberekening!$J$2:$UK$29),0))</f>
        <v>0,0</v>
      </c>
      <c r="AL123" s="21" t="str" cm="1">
        <f t="array" ref="AL123">IF(OR(Samenvatting!$C123="",ISBLANK(Samenvatting!$C123)),"0,0",IFERROR(SUMPRODUCT((Renteberekening!$B$2:$B$29=Samenvatting!$C123) * (YEAR(Renteberekening!$J$1:$UK$1)=YEAR(Samenvatting!AL$41)) * Renteberekening!$J$2:$UK$29),0))</f>
        <v>0,0</v>
      </c>
      <c r="AM123" s="21" t="str" cm="1">
        <f t="array" ref="AM123">IF(OR(Samenvatting!$C123="",ISBLANK(Samenvatting!$C123)),"0,0",IFERROR(SUMPRODUCT((Renteberekening!$B$2:$B$29=Samenvatting!$C123) * (YEAR(Renteberekening!$J$1:$UK$1)=YEAR(Samenvatting!AM$41)) * Renteberekening!$J$2:$UK$29),0))</f>
        <v>0,0</v>
      </c>
      <c r="AN123" s="21" t="str" cm="1">
        <f t="array" ref="AN123">IF(OR(Samenvatting!$C123="",ISBLANK(Samenvatting!$C123)),"0,0",IFERROR(SUMPRODUCT((Renteberekening!$B$2:$B$29=Samenvatting!$C123) * (YEAR(Renteberekening!$J$1:$UK$1)=YEAR(Samenvatting!AN$41)) * Renteberekening!$J$2:$UK$29),0))</f>
        <v>0,0</v>
      </c>
      <c r="AO123" s="21" t="str" cm="1">
        <f t="array" ref="AO123">IF(OR(Samenvatting!$C123="",ISBLANK(Samenvatting!$C123)),"0,0",IFERROR(SUMPRODUCT((Renteberekening!$B$2:$B$29=Samenvatting!$C123) * (YEAR(Renteberekening!$J$1:$UK$1)=YEAR(Samenvatting!AO$41)) * Renteberekening!$J$2:$UK$29),0))</f>
        <v>0,0</v>
      </c>
      <c r="AP123" s="21" t="str" cm="1">
        <f t="array" ref="AP123">IF(OR(Samenvatting!$C123="",ISBLANK(Samenvatting!$C123)),"0,0",IFERROR(SUMPRODUCT((Renteberekening!$B$2:$B$29=Samenvatting!$C123) * (YEAR(Renteberekening!$J$1:$UK$1)=YEAR(Samenvatting!AP$41)) * Renteberekening!$J$2:$UK$29),0))</f>
        <v>0,0</v>
      </c>
      <c r="AQ123" s="21" t="str" cm="1">
        <f t="array" ref="AQ123">IF(OR(Samenvatting!$C123="",ISBLANK(Samenvatting!$C123)),"0,0",IFERROR(SUMPRODUCT((Renteberekening!$B$2:$B$29=Samenvatting!$C123) * (YEAR(Renteberekening!$J$1:$UK$1)=YEAR(Samenvatting!AQ$41)) * Renteberekening!$J$2:$UK$29),0))</f>
        <v>0,0</v>
      </c>
      <c r="AR123" s="21" t="str" cm="1">
        <f t="array" ref="AR123">IF(OR(Samenvatting!$C123="",ISBLANK(Samenvatting!$C123)),"0,0",IFERROR(SUMPRODUCT((Renteberekening!$B$2:$B$29=Samenvatting!$C123) * (YEAR(Renteberekening!$J$1:$UK$1)=YEAR(Samenvatting!AR$41)) * Renteberekening!$J$2:$UK$29),0))</f>
        <v>0,0</v>
      </c>
      <c r="AS123" s="21" t="str" cm="1">
        <f t="array" ref="AS123">IF(OR(Samenvatting!$C123="",ISBLANK(Samenvatting!$C123)),"0,0",IFERROR(SUMPRODUCT((Renteberekening!$B$2:$B$29=Samenvatting!$C123) * (YEAR(Renteberekening!$J$1:$UK$1)=YEAR(Samenvatting!AS$41)) * Renteberekening!$J$2:$UK$29),0))</f>
        <v>0,0</v>
      </c>
      <c r="AT123" s="21" t="str" cm="1">
        <f t="array" ref="AT123">IF(OR(Samenvatting!$C123="",ISBLANK(Samenvatting!$C123)),"0,0",IFERROR(SUMPRODUCT((Renteberekening!$B$2:$B$29=Samenvatting!$C123) * (YEAR(Renteberekening!$J$1:$UK$1)=YEAR(Samenvatting!AT$41)) * Renteberekening!$J$2:$UK$29),0))</f>
        <v>0,0</v>
      </c>
      <c r="AU123" s="21" t="str" cm="1">
        <f t="array" ref="AU123">IF(OR(Samenvatting!$C123="",ISBLANK(Samenvatting!$C123)),"0,0",IFERROR(SUMPRODUCT((Renteberekening!$B$2:$B$29=Samenvatting!$C123) * (YEAR(Renteberekening!$J$1:$UK$1)=YEAR(Samenvatting!AU$41)) * Renteberekening!$J$2:$UK$29),0))</f>
        <v>0,0</v>
      </c>
      <c r="AW123" s="1"/>
      <c r="DJ123" s="11"/>
    </row>
    <row r="124" spans="3:114" ht="30" hidden="1" customHeight="1" outlineLevel="1">
      <c r="C124" s="20"/>
      <c r="D124" s="21">
        <v>1</v>
      </c>
      <c r="E124" s="21" t="s">
        <v>10</v>
      </c>
      <c r="F124" s="86"/>
      <c r="G124" s="86"/>
      <c r="H124" s="105">
        <v>7.4999999999999997E-2</v>
      </c>
      <c r="I124" s="69">
        <v>46022</v>
      </c>
      <c r="J124" s="70">
        <f t="shared" si="8"/>
        <v>1</v>
      </c>
      <c r="K124" s="69">
        <v>46387</v>
      </c>
      <c r="L124" s="21" t="str" cm="1">
        <f t="array" ref="L124">IF(OR(Samenvatting!$C124="",ISBLANK(Samenvatting!$C124)),"0,0",IFERROR(SUMPRODUCT((Renteberekening!$B$2:$B$29=Samenvatting!$C124) * (YEAR(Renteberekening!$J$1:$UK$1)=YEAR(Samenvatting!L$41)) * Renteberekening!$J$2:$UK$29),0))</f>
        <v>0,0</v>
      </c>
      <c r="M124" s="21" t="str" cm="1">
        <f t="array" ref="M124">IF(OR(Samenvatting!$C124="",ISBLANK(Samenvatting!$C124)),"0,0",IFERROR(SUMPRODUCT((Renteberekening!$B$2:$B$29=Samenvatting!$C124) * (YEAR(Renteberekening!$J$1:$UK$1)=YEAR(Samenvatting!M$41)) * Renteberekening!$J$2:$UK$29),0))</f>
        <v>0,0</v>
      </c>
      <c r="N124" s="21" t="str" cm="1">
        <f t="array" ref="N124">IF(OR(Samenvatting!$C124="",ISBLANK(Samenvatting!$C124)),"0,0",IFERROR(SUMPRODUCT((Renteberekening!$B$2:$B$29=Samenvatting!$C124) * (YEAR(Renteberekening!$J$1:$UK$1)=YEAR(Samenvatting!N$41)) * Renteberekening!$J$2:$UK$29),0))</f>
        <v>0,0</v>
      </c>
      <c r="O124" s="21" t="str" cm="1">
        <f t="array" ref="O124">IF(OR(Samenvatting!$C124="",ISBLANK(Samenvatting!$C124)),"0,0",IFERROR(SUMPRODUCT((Renteberekening!$B$2:$B$29=Samenvatting!$C124) * (YEAR(Renteberekening!$J$1:$UK$1)=YEAR(Samenvatting!O$41)) * Renteberekening!$J$2:$UK$29),0))</f>
        <v>0,0</v>
      </c>
      <c r="P124" s="21" t="str" cm="1">
        <f t="array" ref="P124">IF(OR(Samenvatting!$C124="",ISBLANK(Samenvatting!$C124)),"0,0",IFERROR(SUMPRODUCT((Renteberekening!$B$2:$B$29=Samenvatting!$C124) * (YEAR(Renteberekening!$J$1:$UK$1)=YEAR(Samenvatting!P$41)) * Renteberekening!$J$2:$UK$29),0))</f>
        <v>0,0</v>
      </c>
      <c r="Q124" s="21" t="str" cm="1">
        <f t="array" ref="Q124">IF(OR(Samenvatting!$C124="",ISBLANK(Samenvatting!$C124)),"0,0",IFERROR(SUMPRODUCT((Renteberekening!$B$2:$B$29=Samenvatting!$C124) * (YEAR(Renteberekening!$J$1:$UK$1)=YEAR(Samenvatting!Q$41)) * Renteberekening!$J$2:$UK$29),0))</f>
        <v>0,0</v>
      </c>
      <c r="R124" s="21" t="str" cm="1">
        <f t="array" ref="R124">IF(OR(Samenvatting!$C124="",ISBLANK(Samenvatting!$C124)),"0,0",IFERROR(SUMPRODUCT((Renteberekening!$B$2:$B$29=Samenvatting!$C124) * (YEAR(Renteberekening!$J$1:$UK$1)=YEAR(Samenvatting!R$41)) * Renteberekening!$J$2:$UK$29),0))</f>
        <v>0,0</v>
      </c>
      <c r="S124" s="21" t="str" cm="1">
        <f t="array" ref="S124">IF(OR(Samenvatting!$C124="",ISBLANK(Samenvatting!$C124)),"0,0",IFERROR(SUMPRODUCT((Renteberekening!$B$2:$B$29=Samenvatting!$C124) * (YEAR(Renteberekening!$J$1:$UK$1)=YEAR(Samenvatting!S$41)) * Renteberekening!$J$2:$UK$29),0))</f>
        <v>0,0</v>
      </c>
      <c r="T124" s="21" t="str" cm="1">
        <f t="array" ref="T124">IF(OR(Samenvatting!$C124="",ISBLANK(Samenvatting!$C124)),"0,0",IFERROR(SUMPRODUCT((Renteberekening!$B$2:$B$29=Samenvatting!$C124) * (YEAR(Renteberekening!$J$1:$UK$1)=YEAR(Samenvatting!T$41)) * Renteberekening!$J$2:$UK$29),0))</f>
        <v>0,0</v>
      </c>
      <c r="U124" s="21" t="str" cm="1">
        <f t="array" ref="U124">IF(OR(Samenvatting!$C124="",ISBLANK(Samenvatting!$C124)),"0,0",IFERROR(SUMPRODUCT((Renteberekening!$B$2:$B$29=Samenvatting!$C124) * (YEAR(Renteberekening!$J$1:$UK$1)=YEAR(Samenvatting!U$41)) * Renteberekening!$J$2:$UK$29),0))</f>
        <v>0,0</v>
      </c>
      <c r="V124" s="21" t="str" cm="1">
        <f t="array" ref="V124">IF(OR(Samenvatting!$C124="",ISBLANK(Samenvatting!$C124)),"0,0",IFERROR(SUMPRODUCT((Renteberekening!$B$2:$B$29=Samenvatting!$C124) * (YEAR(Renteberekening!$J$1:$UK$1)=YEAR(Samenvatting!V$41)) * Renteberekening!$J$2:$UK$29),0))</f>
        <v>0,0</v>
      </c>
      <c r="W124" s="21" t="str" cm="1">
        <f t="array" ref="W124">IF(OR(Samenvatting!$C124="",ISBLANK(Samenvatting!$C124)),"0,0",IFERROR(SUMPRODUCT((Renteberekening!$B$2:$B$29=Samenvatting!$C124) * (YEAR(Renteberekening!$J$1:$UK$1)=YEAR(Samenvatting!W$41)) * Renteberekening!$J$2:$UK$29),0))</f>
        <v>0,0</v>
      </c>
      <c r="X124" s="21" t="str" cm="1">
        <f t="array" ref="X124">IF(OR(Samenvatting!$C124="",ISBLANK(Samenvatting!$C124)),"0,0",IFERROR(SUMPRODUCT((Renteberekening!$B$2:$B$29=Samenvatting!$C124) * (YEAR(Renteberekening!$J$1:$UK$1)=YEAR(Samenvatting!X$41)) * Renteberekening!$J$2:$UK$29),0))</f>
        <v>0,0</v>
      </c>
      <c r="Y124" s="21" t="str" cm="1">
        <f t="array" ref="Y124">IF(OR(Samenvatting!$C124="",ISBLANK(Samenvatting!$C124)),"0,0",IFERROR(SUMPRODUCT((Renteberekening!$B$2:$B$29=Samenvatting!$C124) * (YEAR(Renteberekening!$J$1:$UK$1)=YEAR(Samenvatting!Y$41)) * Renteberekening!$J$2:$UK$29),0))</f>
        <v>0,0</v>
      </c>
      <c r="Z124" s="21" t="str" cm="1">
        <f t="array" ref="Z124">IF(OR(Samenvatting!$C124="",ISBLANK(Samenvatting!$C124)),"0,0",IFERROR(SUMPRODUCT((Renteberekening!$B$2:$B$29=Samenvatting!$C124) * (YEAR(Renteberekening!$J$1:$UK$1)=YEAR(Samenvatting!Z$41)) * Renteberekening!$J$2:$UK$29),0))</f>
        <v>0,0</v>
      </c>
      <c r="AA124" s="21" t="str" cm="1">
        <f t="array" ref="AA124">IF(OR(Samenvatting!$C124="",ISBLANK(Samenvatting!$C124)),"0,0",IFERROR(SUMPRODUCT((Renteberekening!$B$2:$B$29=Samenvatting!$C124) * (YEAR(Renteberekening!$J$1:$UK$1)=YEAR(Samenvatting!AA$41)) * Renteberekening!$J$2:$UK$29),0))</f>
        <v>0,0</v>
      </c>
      <c r="AB124" s="21" t="str" cm="1">
        <f t="array" ref="AB124">IF(OR(Samenvatting!$C124="",ISBLANK(Samenvatting!$C124)),"0,0",IFERROR(SUMPRODUCT((Renteberekening!$B$2:$B$29=Samenvatting!$C124) * (YEAR(Renteberekening!$J$1:$UK$1)=YEAR(Samenvatting!AB$41)) * Renteberekening!$J$2:$UK$29),0))</f>
        <v>0,0</v>
      </c>
      <c r="AC124" s="21" t="str" cm="1">
        <f t="array" ref="AC124">IF(OR(Samenvatting!$C124="",ISBLANK(Samenvatting!$C124)),"0,0",IFERROR(SUMPRODUCT((Renteberekening!$B$2:$B$29=Samenvatting!$C124) * (YEAR(Renteberekening!$J$1:$UK$1)=YEAR(Samenvatting!AC$41)) * Renteberekening!$J$2:$UK$29),0))</f>
        <v>0,0</v>
      </c>
      <c r="AD124" s="21" t="str" cm="1">
        <f t="array" ref="AD124">IF(OR(Samenvatting!$C124="",ISBLANK(Samenvatting!$C124)),"0,0",IFERROR(SUMPRODUCT((Renteberekening!$B$2:$B$29=Samenvatting!$C124) * (YEAR(Renteberekening!$J$1:$UK$1)=YEAR(Samenvatting!AD$41)) * Renteberekening!$J$2:$UK$29),0))</f>
        <v>0,0</v>
      </c>
      <c r="AE124" s="21" t="str" cm="1">
        <f t="array" ref="AE124">IF(OR(Samenvatting!$C124="",ISBLANK(Samenvatting!$C124)),"0,0",IFERROR(SUMPRODUCT((Renteberekening!$B$2:$B$29=Samenvatting!$C124) * (YEAR(Renteberekening!$J$1:$UK$1)=YEAR(Samenvatting!AE$41)) * Renteberekening!$J$2:$UK$29),0))</f>
        <v>0,0</v>
      </c>
      <c r="AF124" s="21" t="str" cm="1">
        <f t="array" ref="AF124">IF(OR(Samenvatting!$C124="",ISBLANK(Samenvatting!$C124)),"0,0",IFERROR(SUMPRODUCT((Renteberekening!$B$2:$B$29=Samenvatting!$C124) * (YEAR(Renteberekening!$J$1:$UK$1)=YEAR(Samenvatting!AF$41)) * Renteberekening!$J$2:$UK$29),0))</f>
        <v>0,0</v>
      </c>
      <c r="AG124" s="21" t="str" cm="1">
        <f t="array" ref="AG124">IF(OR(Samenvatting!$C124="",ISBLANK(Samenvatting!$C124)),"0,0",IFERROR(SUMPRODUCT((Renteberekening!$B$2:$B$29=Samenvatting!$C124) * (YEAR(Renteberekening!$J$1:$UK$1)=YEAR(Samenvatting!AG$41)) * Renteberekening!$J$2:$UK$29),0))</f>
        <v>0,0</v>
      </c>
      <c r="AH124" s="21" t="str" cm="1">
        <f t="array" ref="AH124">IF(OR(Samenvatting!$C124="",ISBLANK(Samenvatting!$C124)),"0,0",IFERROR(SUMPRODUCT((Renteberekening!$B$2:$B$29=Samenvatting!$C124) * (YEAR(Renteberekening!$J$1:$UK$1)=YEAR(Samenvatting!AH$41)) * Renteberekening!$J$2:$UK$29),0))</f>
        <v>0,0</v>
      </c>
      <c r="AI124" s="21" t="str" cm="1">
        <f t="array" ref="AI124">IF(OR(Samenvatting!$C124="",ISBLANK(Samenvatting!$C124)),"0,0",IFERROR(SUMPRODUCT((Renteberekening!$B$2:$B$29=Samenvatting!$C124) * (YEAR(Renteberekening!$J$1:$UK$1)=YEAR(Samenvatting!AI$41)) * Renteberekening!$J$2:$UK$29),0))</f>
        <v>0,0</v>
      </c>
      <c r="AJ124" s="21" t="str" cm="1">
        <f t="array" ref="AJ124">IF(OR(Samenvatting!$C124="",ISBLANK(Samenvatting!$C124)),"0,0",IFERROR(SUMPRODUCT((Renteberekening!$B$2:$B$29=Samenvatting!$C124) * (YEAR(Renteberekening!$J$1:$UK$1)=YEAR(Samenvatting!AJ$41)) * Renteberekening!$J$2:$UK$29),0))</f>
        <v>0,0</v>
      </c>
      <c r="AK124" s="21" t="str" cm="1">
        <f t="array" ref="AK124">IF(OR(Samenvatting!$C124="",ISBLANK(Samenvatting!$C124)),"0,0",IFERROR(SUMPRODUCT((Renteberekening!$B$2:$B$29=Samenvatting!$C124) * (YEAR(Renteberekening!$J$1:$UK$1)=YEAR(Samenvatting!AK$41)) * Renteberekening!$J$2:$UK$29),0))</f>
        <v>0,0</v>
      </c>
      <c r="AL124" s="21" t="str" cm="1">
        <f t="array" ref="AL124">IF(OR(Samenvatting!$C124="",ISBLANK(Samenvatting!$C124)),"0,0",IFERROR(SUMPRODUCT((Renteberekening!$B$2:$B$29=Samenvatting!$C124) * (YEAR(Renteberekening!$J$1:$UK$1)=YEAR(Samenvatting!AL$41)) * Renteberekening!$J$2:$UK$29),0))</f>
        <v>0,0</v>
      </c>
      <c r="AM124" s="21" t="str" cm="1">
        <f t="array" ref="AM124">IF(OR(Samenvatting!$C124="",ISBLANK(Samenvatting!$C124)),"0,0",IFERROR(SUMPRODUCT((Renteberekening!$B$2:$B$29=Samenvatting!$C124) * (YEAR(Renteberekening!$J$1:$UK$1)=YEAR(Samenvatting!AM$41)) * Renteberekening!$J$2:$UK$29),0))</f>
        <v>0,0</v>
      </c>
      <c r="AN124" s="21" t="str" cm="1">
        <f t="array" ref="AN124">IF(OR(Samenvatting!$C124="",ISBLANK(Samenvatting!$C124)),"0,0",IFERROR(SUMPRODUCT((Renteberekening!$B$2:$B$29=Samenvatting!$C124) * (YEAR(Renteberekening!$J$1:$UK$1)=YEAR(Samenvatting!AN$41)) * Renteberekening!$J$2:$UK$29),0))</f>
        <v>0,0</v>
      </c>
      <c r="AO124" s="21" t="str" cm="1">
        <f t="array" ref="AO124">IF(OR(Samenvatting!$C124="",ISBLANK(Samenvatting!$C124)),"0,0",IFERROR(SUMPRODUCT((Renteberekening!$B$2:$B$29=Samenvatting!$C124) * (YEAR(Renteberekening!$J$1:$UK$1)=YEAR(Samenvatting!AO$41)) * Renteberekening!$J$2:$UK$29),0))</f>
        <v>0,0</v>
      </c>
      <c r="AP124" s="21" t="str" cm="1">
        <f t="array" ref="AP124">IF(OR(Samenvatting!$C124="",ISBLANK(Samenvatting!$C124)),"0,0",IFERROR(SUMPRODUCT((Renteberekening!$B$2:$B$29=Samenvatting!$C124) * (YEAR(Renteberekening!$J$1:$UK$1)=YEAR(Samenvatting!AP$41)) * Renteberekening!$J$2:$UK$29),0))</f>
        <v>0,0</v>
      </c>
      <c r="AQ124" s="21" t="str" cm="1">
        <f t="array" ref="AQ124">IF(OR(Samenvatting!$C124="",ISBLANK(Samenvatting!$C124)),"0,0",IFERROR(SUMPRODUCT((Renteberekening!$B$2:$B$29=Samenvatting!$C124) * (YEAR(Renteberekening!$J$1:$UK$1)=YEAR(Samenvatting!AQ$41)) * Renteberekening!$J$2:$UK$29),0))</f>
        <v>0,0</v>
      </c>
      <c r="AR124" s="21" t="str" cm="1">
        <f t="array" ref="AR124">IF(OR(Samenvatting!$C124="",ISBLANK(Samenvatting!$C124)),"0,0",IFERROR(SUMPRODUCT((Renteberekening!$B$2:$B$29=Samenvatting!$C124) * (YEAR(Renteberekening!$J$1:$UK$1)=YEAR(Samenvatting!AR$41)) * Renteberekening!$J$2:$UK$29),0))</f>
        <v>0,0</v>
      </c>
      <c r="AS124" s="21" t="str" cm="1">
        <f t="array" ref="AS124">IF(OR(Samenvatting!$C124="",ISBLANK(Samenvatting!$C124)),"0,0",IFERROR(SUMPRODUCT((Renteberekening!$B$2:$B$29=Samenvatting!$C124) * (YEAR(Renteberekening!$J$1:$UK$1)=YEAR(Samenvatting!AS$41)) * Renteberekening!$J$2:$UK$29),0))</f>
        <v>0,0</v>
      </c>
      <c r="AT124" s="21" t="str" cm="1">
        <f t="array" ref="AT124">IF(OR(Samenvatting!$C124="",ISBLANK(Samenvatting!$C124)),"0,0",IFERROR(SUMPRODUCT((Renteberekening!$B$2:$B$29=Samenvatting!$C124) * (YEAR(Renteberekening!$J$1:$UK$1)=YEAR(Samenvatting!AT$41)) * Renteberekening!$J$2:$UK$29),0))</f>
        <v>0,0</v>
      </c>
      <c r="AU124" s="21" t="str" cm="1">
        <f t="array" ref="AU124">IF(OR(Samenvatting!$C124="",ISBLANK(Samenvatting!$C124)),"0,0",IFERROR(SUMPRODUCT((Renteberekening!$B$2:$B$29=Samenvatting!$C124) * (YEAR(Renteberekening!$J$1:$UK$1)=YEAR(Samenvatting!AU$41)) * Renteberekening!$J$2:$UK$29),0))</f>
        <v>0,0</v>
      </c>
      <c r="AW124" s="1"/>
      <c r="DJ124" s="11"/>
    </row>
    <row r="125" spans="3:114" ht="30" hidden="1" customHeight="1" outlineLevel="1">
      <c r="C125" s="20"/>
      <c r="D125" s="21">
        <v>1</v>
      </c>
      <c r="E125" s="21" t="s">
        <v>10</v>
      </c>
      <c r="F125" s="86"/>
      <c r="G125" s="86"/>
      <c r="H125" s="105">
        <v>7.4999999999999997E-2</v>
      </c>
      <c r="I125" s="69">
        <v>46387</v>
      </c>
      <c r="J125" s="70">
        <f t="shared" si="8"/>
        <v>2</v>
      </c>
      <c r="K125" s="69">
        <v>47118</v>
      </c>
      <c r="L125" s="21" t="str" cm="1">
        <f t="array" ref="L125">IF(OR(Samenvatting!$C125="",ISBLANK(Samenvatting!$C125)),"0,0",IFERROR(SUMPRODUCT((Renteberekening!$B$2:$B$29=Samenvatting!$C125) * (YEAR(Renteberekening!$J$1:$UK$1)=YEAR(Samenvatting!L$41)) * Renteberekening!$J$2:$UK$29),0))</f>
        <v>0,0</v>
      </c>
      <c r="M125" s="21" t="str" cm="1">
        <f t="array" ref="M125">IF(OR(Samenvatting!$C125="",ISBLANK(Samenvatting!$C125)),"0,0",IFERROR(SUMPRODUCT((Renteberekening!$B$2:$B$29=Samenvatting!$C125) * (YEAR(Renteberekening!$J$1:$UK$1)=YEAR(Samenvatting!M$41)) * Renteberekening!$J$2:$UK$29),0))</f>
        <v>0,0</v>
      </c>
      <c r="N125" s="21" t="str" cm="1">
        <f t="array" ref="N125">IF(OR(Samenvatting!$C125="",ISBLANK(Samenvatting!$C125)),"0,0",IFERROR(SUMPRODUCT((Renteberekening!$B$2:$B$29=Samenvatting!$C125) * (YEAR(Renteberekening!$J$1:$UK$1)=YEAR(Samenvatting!N$41)) * Renteberekening!$J$2:$UK$29),0))</f>
        <v>0,0</v>
      </c>
      <c r="O125" s="21" t="str" cm="1">
        <f t="array" ref="O125">IF(OR(Samenvatting!$C125="",ISBLANK(Samenvatting!$C125)),"0,0",IFERROR(SUMPRODUCT((Renteberekening!$B$2:$B$29=Samenvatting!$C125) * (YEAR(Renteberekening!$J$1:$UK$1)=YEAR(Samenvatting!O$41)) * Renteberekening!$J$2:$UK$29),0))</f>
        <v>0,0</v>
      </c>
      <c r="P125" s="21" t="str" cm="1">
        <f t="array" ref="P125">IF(OR(Samenvatting!$C125="",ISBLANK(Samenvatting!$C125)),"0,0",IFERROR(SUMPRODUCT((Renteberekening!$B$2:$B$29=Samenvatting!$C125) * (YEAR(Renteberekening!$J$1:$UK$1)=YEAR(Samenvatting!P$41)) * Renteberekening!$J$2:$UK$29),0))</f>
        <v>0,0</v>
      </c>
      <c r="Q125" s="21" t="str" cm="1">
        <f t="array" ref="Q125">IF(OR(Samenvatting!$C125="",ISBLANK(Samenvatting!$C125)),"0,0",IFERROR(SUMPRODUCT((Renteberekening!$B$2:$B$29=Samenvatting!$C125) * (YEAR(Renteberekening!$J$1:$UK$1)=YEAR(Samenvatting!Q$41)) * Renteberekening!$J$2:$UK$29),0))</f>
        <v>0,0</v>
      </c>
      <c r="R125" s="21" t="str" cm="1">
        <f t="array" ref="R125">IF(OR(Samenvatting!$C125="",ISBLANK(Samenvatting!$C125)),"0,0",IFERROR(SUMPRODUCT((Renteberekening!$B$2:$B$29=Samenvatting!$C125) * (YEAR(Renteberekening!$J$1:$UK$1)=YEAR(Samenvatting!R$41)) * Renteberekening!$J$2:$UK$29),0))</f>
        <v>0,0</v>
      </c>
      <c r="S125" s="21" t="str" cm="1">
        <f t="array" ref="S125">IF(OR(Samenvatting!$C125="",ISBLANK(Samenvatting!$C125)),"0,0",IFERROR(SUMPRODUCT((Renteberekening!$B$2:$B$29=Samenvatting!$C125) * (YEAR(Renteberekening!$J$1:$UK$1)=YEAR(Samenvatting!S$41)) * Renteberekening!$J$2:$UK$29),0))</f>
        <v>0,0</v>
      </c>
      <c r="T125" s="21" t="str" cm="1">
        <f t="array" ref="T125">IF(OR(Samenvatting!$C125="",ISBLANK(Samenvatting!$C125)),"0,0",IFERROR(SUMPRODUCT((Renteberekening!$B$2:$B$29=Samenvatting!$C125) * (YEAR(Renteberekening!$J$1:$UK$1)=YEAR(Samenvatting!T$41)) * Renteberekening!$J$2:$UK$29),0))</f>
        <v>0,0</v>
      </c>
      <c r="U125" s="21" t="str" cm="1">
        <f t="array" ref="U125">IF(OR(Samenvatting!$C125="",ISBLANK(Samenvatting!$C125)),"0,0",IFERROR(SUMPRODUCT((Renteberekening!$B$2:$B$29=Samenvatting!$C125) * (YEAR(Renteberekening!$J$1:$UK$1)=YEAR(Samenvatting!U$41)) * Renteberekening!$J$2:$UK$29),0))</f>
        <v>0,0</v>
      </c>
      <c r="V125" s="21" t="str" cm="1">
        <f t="array" ref="V125">IF(OR(Samenvatting!$C125="",ISBLANK(Samenvatting!$C125)),"0,0",IFERROR(SUMPRODUCT((Renteberekening!$B$2:$B$29=Samenvatting!$C125) * (YEAR(Renteberekening!$J$1:$UK$1)=YEAR(Samenvatting!V$41)) * Renteberekening!$J$2:$UK$29),0))</f>
        <v>0,0</v>
      </c>
      <c r="W125" s="21" t="str" cm="1">
        <f t="array" ref="W125">IF(OR(Samenvatting!$C125="",ISBLANK(Samenvatting!$C125)),"0,0",IFERROR(SUMPRODUCT((Renteberekening!$B$2:$B$29=Samenvatting!$C125) * (YEAR(Renteberekening!$J$1:$UK$1)=YEAR(Samenvatting!W$41)) * Renteberekening!$J$2:$UK$29),0))</f>
        <v>0,0</v>
      </c>
      <c r="X125" s="21" t="str" cm="1">
        <f t="array" ref="X125">IF(OR(Samenvatting!$C125="",ISBLANK(Samenvatting!$C125)),"0,0",IFERROR(SUMPRODUCT((Renteberekening!$B$2:$B$29=Samenvatting!$C125) * (YEAR(Renteberekening!$J$1:$UK$1)=YEAR(Samenvatting!X$41)) * Renteberekening!$J$2:$UK$29),0))</f>
        <v>0,0</v>
      </c>
      <c r="Y125" s="21" t="str" cm="1">
        <f t="array" ref="Y125">IF(OR(Samenvatting!$C125="",ISBLANK(Samenvatting!$C125)),"0,0",IFERROR(SUMPRODUCT((Renteberekening!$B$2:$B$29=Samenvatting!$C125) * (YEAR(Renteberekening!$J$1:$UK$1)=YEAR(Samenvatting!Y$41)) * Renteberekening!$J$2:$UK$29),0))</f>
        <v>0,0</v>
      </c>
      <c r="Z125" s="21" t="str" cm="1">
        <f t="array" ref="Z125">IF(OR(Samenvatting!$C125="",ISBLANK(Samenvatting!$C125)),"0,0",IFERROR(SUMPRODUCT((Renteberekening!$B$2:$B$29=Samenvatting!$C125) * (YEAR(Renteberekening!$J$1:$UK$1)=YEAR(Samenvatting!Z$41)) * Renteberekening!$J$2:$UK$29),0))</f>
        <v>0,0</v>
      </c>
      <c r="AA125" s="21" t="str" cm="1">
        <f t="array" ref="AA125">IF(OR(Samenvatting!$C125="",ISBLANK(Samenvatting!$C125)),"0,0",IFERROR(SUMPRODUCT((Renteberekening!$B$2:$B$29=Samenvatting!$C125) * (YEAR(Renteberekening!$J$1:$UK$1)=YEAR(Samenvatting!AA$41)) * Renteberekening!$J$2:$UK$29),0))</f>
        <v>0,0</v>
      </c>
      <c r="AB125" s="21" t="str" cm="1">
        <f t="array" ref="AB125">IF(OR(Samenvatting!$C125="",ISBLANK(Samenvatting!$C125)),"0,0",IFERROR(SUMPRODUCT((Renteberekening!$B$2:$B$29=Samenvatting!$C125) * (YEAR(Renteberekening!$J$1:$UK$1)=YEAR(Samenvatting!AB$41)) * Renteberekening!$J$2:$UK$29),0))</f>
        <v>0,0</v>
      </c>
      <c r="AC125" s="21" t="str" cm="1">
        <f t="array" ref="AC125">IF(OR(Samenvatting!$C125="",ISBLANK(Samenvatting!$C125)),"0,0",IFERROR(SUMPRODUCT((Renteberekening!$B$2:$B$29=Samenvatting!$C125) * (YEAR(Renteberekening!$J$1:$UK$1)=YEAR(Samenvatting!AC$41)) * Renteberekening!$J$2:$UK$29),0))</f>
        <v>0,0</v>
      </c>
      <c r="AD125" s="21" t="str" cm="1">
        <f t="array" ref="AD125">IF(OR(Samenvatting!$C125="",ISBLANK(Samenvatting!$C125)),"0,0",IFERROR(SUMPRODUCT((Renteberekening!$B$2:$B$29=Samenvatting!$C125) * (YEAR(Renteberekening!$J$1:$UK$1)=YEAR(Samenvatting!AD$41)) * Renteberekening!$J$2:$UK$29),0))</f>
        <v>0,0</v>
      </c>
      <c r="AE125" s="21" t="str" cm="1">
        <f t="array" ref="AE125">IF(OR(Samenvatting!$C125="",ISBLANK(Samenvatting!$C125)),"0,0",IFERROR(SUMPRODUCT((Renteberekening!$B$2:$B$29=Samenvatting!$C125) * (YEAR(Renteberekening!$J$1:$UK$1)=YEAR(Samenvatting!AE$41)) * Renteberekening!$J$2:$UK$29),0))</f>
        <v>0,0</v>
      </c>
      <c r="AF125" s="21" t="str" cm="1">
        <f t="array" ref="AF125">IF(OR(Samenvatting!$C125="",ISBLANK(Samenvatting!$C125)),"0,0",IFERROR(SUMPRODUCT((Renteberekening!$B$2:$B$29=Samenvatting!$C125) * (YEAR(Renteberekening!$J$1:$UK$1)=YEAR(Samenvatting!AF$41)) * Renteberekening!$J$2:$UK$29),0))</f>
        <v>0,0</v>
      </c>
      <c r="AG125" s="21" t="str" cm="1">
        <f t="array" ref="AG125">IF(OR(Samenvatting!$C125="",ISBLANK(Samenvatting!$C125)),"0,0",IFERROR(SUMPRODUCT((Renteberekening!$B$2:$B$29=Samenvatting!$C125) * (YEAR(Renteberekening!$J$1:$UK$1)=YEAR(Samenvatting!AG$41)) * Renteberekening!$J$2:$UK$29),0))</f>
        <v>0,0</v>
      </c>
      <c r="AH125" s="21" t="str" cm="1">
        <f t="array" ref="AH125">IF(OR(Samenvatting!$C125="",ISBLANK(Samenvatting!$C125)),"0,0",IFERROR(SUMPRODUCT((Renteberekening!$B$2:$B$29=Samenvatting!$C125) * (YEAR(Renteberekening!$J$1:$UK$1)=YEAR(Samenvatting!AH$41)) * Renteberekening!$J$2:$UK$29),0))</f>
        <v>0,0</v>
      </c>
      <c r="AI125" s="21" t="str" cm="1">
        <f t="array" ref="AI125">IF(OR(Samenvatting!$C125="",ISBLANK(Samenvatting!$C125)),"0,0",IFERROR(SUMPRODUCT((Renteberekening!$B$2:$B$29=Samenvatting!$C125) * (YEAR(Renteberekening!$J$1:$UK$1)=YEAR(Samenvatting!AI$41)) * Renteberekening!$J$2:$UK$29),0))</f>
        <v>0,0</v>
      </c>
      <c r="AJ125" s="21" t="str" cm="1">
        <f t="array" ref="AJ125">IF(OR(Samenvatting!$C125="",ISBLANK(Samenvatting!$C125)),"0,0",IFERROR(SUMPRODUCT((Renteberekening!$B$2:$B$29=Samenvatting!$C125) * (YEAR(Renteberekening!$J$1:$UK$1)=YEAR(Samenvatting!AJ$41)) * Renteberekening!$J$2:$UK$29),0))</f>
        <v>0,0</v>
      </c>
      <c r="AK125" s="21" t="str" cm="1">
        <f t="array" ref="AK125">IF(OR(Samenvatting!$C125="",ISBLANK(Samenvatting!$C125)),"0,0",IFERROR(SUMPRODUCT((Renteberekening!$B$2:$B$29=Samenvatting!$C125) * (YEAR(Renteberekening!$J$1:$UK$1)=YEAR(Samenvatting!AK$41)) * Renteberekening!$J$2:$UK$29),0))</f>
        <v>0,0</v>
      </c>
      <c r="AL125" s="21" t="str" cm="1">
        <f t="array" ref="AL125">IF(OR(Samenvatting!$C125="",ISBLANK(Samenvatting!$C125)),"0,0",IFERROR(SUMPRODUCT((Renteberekening!$B$2:$B$29=Samenvatting!$C125) * (YEAR(Renteberekening!$J$1:$UK$1)=YEAR(Samenvatting!AL$41)) * Renteberekening!$J$2:$UK$29),0))</f>
        <v>0,0</v>
      </c>
      <c r="AM125" s="21" t="str" cm="1">
        <f t="array" ref="AM125">IF(OR(Samenvatting!$C125="",ISBLANK(Samenvatting!$C125)),"0,0",IFERROR(SUMPRODUCT((Renteberekening!$B$2:$B$29=Samenvatting!$C125) * (YEAR(Renteberekening!$J$1:$UK$1)=YEAR(Samenvatting!AM$41)) * Renteberekening!$J$2:$UK$29),0))</f>
        <v>0,0</v>
      </c>
      <c r="AN125" s="21" t="str" cm="1">
        <f t="array" ref="AN125">IF(OR(Samenvatting!$C125="",ISBLANK(Samenvatting!$C125)),"0,0",IFERROR(SUMPRODUCT((Renteberekening!$B$2:$B$29=Samenvatting!$C125) * (YEAR(Renteberekening!$J$1:$UK$1)=YEAR(Samenvatting!AN$41)) * Renteberekening!$J$2:$UK$29),0))</f>
        <v>0,0</v>
      </c>
      <c r="AO125" s="21" t="str" cm="1">
        <f t="array" ref="AO125">IF(OR(Samenvatting!$C125="",ISBLANK(Samenvatting!$C125)),"0,0",IFERROR(SUMPRODUCT((Renteberekening!$B$2:$B$29=Samenvatting!$C125) * (YEAR(Renteberekening!$J$1:$UK$1)=YEAR(Samenvatting!AO$41)) * Renteberekening!$J$2:$UK$29),0))</f>
        <v>0,0</v>
      </c>
      <c r="AP125" s="21" t="str" cm="1">
        <f t="array" ref="AP125">IF(OR(Samenvatting!$C125="",ISBLANK(Samenvatting!$C125)),"0,0",IFERROR(SUMPRODUCT((Renteberekening!$B$2:$B$29=Samenvatting!$C125) * (YEAR(Renteberekening!$J$1:$UK$1)=YEAR(Samenvatting!AP$41)) * Renteberekening!$J$2:$UK$29),0))</f>
        <v>0,0</v>
      </c>
      <c r="AQ125" s="21" t="str" cm="1">
        <f t="array" ref="AQ125">IF(OR(Samenvatting!$C125="",ISBLANK(Samenvatting!$C125)),"0,0",IFERROR(SUMPRODUCT((Renteberekening!$B$2:$B$29=Samenvatting!$C125) * (YEAR(Renteberekening!$J$1:$UK$1)=YEAR(Samenvatting!AQ$41)) * Renteberekening!$J$2:$UK$29),0))</f>
        <v>0,0</v>
      </c>
      <c r="AR125" s="21" t="str" cm="1">
        <f t="array" ref="AR125">IF(OR(Samenvatting!$C125="",ISBLANK(Samenvatting!$C125)),"0,0",IFERROR(SUMPRODUCT((Renteberekening!$B$2:$B$29=Samenvatting!$C125) * (YEAR(Renteberekening!$J$1:$UK$1)=YEAR(Samenvatting!AR$41)) * Renteberekening!$J$2:$UK$29),0))</f>
        <v>0,0</v>
      </c>
      <c r="AS125" s="21" t="str" cm="1">
        <f t="array" ref="AS125">IF(OR(Samenvatting!$C125="",ISBLANK(Samenvatting!$C125)),"0,0",IFERROR(SUMPRODUCT((Renteberekening!$B$2:$B$29=Samenvatting!$C125) * (YEAR(Renteberekening!$J$1:$UK$1)=YEAR(Samenvatting!AS$41)) * Renteberekening!$J$2:$UK$29),0))</f>
        <v>0,0</v>
      </c>
      <c r="AT125" s="21" t="str" cm="1">
        <f t="array" ref="AT125">IF(OR(Samenvatting!$C125="",ISBLANK(Samenvatting!$C125)),"0,0",IFERROR(SUMPRODUCT((Renteberekening!$B$2:$B$29=Samenvatting!$C125) * (YEAR(Renteberekening!$J$1:$UK$1)=YEAR(Samenvatting!AT$41)) * Renteberekening!$J$2:$UK$29),0))</f>
        <v>0,0</v>
      </c>
      <c r="AU125" s="21" t="str" cm="1">
        <f t="array" ref="AU125">IF(OR(Samenvatting!$C125="",ISBLANK(Samenvatting!$C125)),"0,0",IFERROR(SUMPRODUCT((Renteberekening!$B$2:$B$29=Samenvatting!$C125) * (YEAR(Renteberekening!$J$1:$UK$1)=YEAR(Samenvatting!AU$41)) * Renteberekening!$J$2:$UK$29),0))</f>
        <v>0,0</v>
      </c>
      <c r="AW125" s="1"/>
      <c r="DJ125" s="11"/>
    </row>
    <row r="126" spans="3:114" ht="30" hidden="1" customHeight="1" outlineLevel="1">
      <c r="C126" s="20"/>
      <c r="D126" s="21">
        <v>1</v>
      </c>
      <c r="E126" s="21" t="s">
        <v>10</v>
      </c>
      <c r="F126" s="86"/>
      <c r="G126" s="86"/>
      <c r="H126" s="105">
        <v>7.4999999999999997E-2</v>
      </c>
      <c r="I126" s="69">
        <v>46387</v>
      </c>
      <c r="J126" s="70">
        <f t="shared" si="8"/>
        <v>3</v>
      </c>
      <c r="K126" s="69">
        <v>47483</v>
      </c>
      <c r="L126" s="21" t="str" cm="1">
        <f t="array" ref="L126">IF(OR(Samenvatting!$C126="",ISBLANK(Samenvatting!$C126)),"0,0",IFERROR(SUMPRODUCT((Renteberekening!$B$2:$B$29=Samenvatting!$C126) * (YEAR(Renteberekening!$J$1:$UK$1)=YEAR(Samenvatting!L$41)) * Renteberekening!$J$2:$UK$29),0))</f>
        <v>0,0</v>
      </c>
      <c r="M126" s="21" t="str" cm="1">
        <f t="array" ref="M126">IF(OR(Samenvatting!$C126="",ISBLANK(Samenvatting!$C126)),"0,0",IFERROR(SUMPRODUCT((Renteberekening!$B$2:$B$29=Samenvatting!$C126) * (YEAR(Renteberekening!$J$1:$UK$1)=YEAR(Samenvatting!M$41)) * Renteberekening!$J$2:$UK$29),0))</f>
        <v>0,0</v>
      </c>
      <c r="N126" s="21" t="str" cm="1">
        <f t="array" ref="N126">IF(OR(Samenvatting!$C126="",ISBLANK(Samenvatting!$C126)),"0,0",IFERROR(SUMPRODUCT((Renteberekening!$B$2:$B$29=Samenvatting!$C126) * (YEAR(Renteberekening!$J$1:$UK$1)=YEAR(Samenvatting!N$41)) * Renteberekening!$J$2:$UK$29),0))</f>
        <v>0,0</v>
      </c>
      <c r="O126" s="21" t="str" cm="1">
        <f t="array" ref="O126">IF(OR(Samenvatting!$C126="",ISBLANK(Samenvatting!$C126)),"0,0",IFERROR(SUMPRODUCT((Renteberekening!$B$2:$B$29=Samenvatting!$C126) * (YEAR(Renteberekening!$J$1:$UK$1)=YEAR(Samenvatting!O$41)) * Renteberekening!$J$2:$UK$29),0))</f>
        <v>0,0</v>
      </c>
      <c r="P126" s="21" t="str" cm="1">
        <f t="array" ref="P126">IF(OR(Samenvatting!$C126="",ISBLANK(Samenvatting!$C126)),"0,0",IFERROR(SUMPRODUCT((Renteberekening!$B$2:$B$29=Samenvatting!$C126) * (YEAR(Renteberekening!$J$1:$UK$1)=YEAR(Samenvatting!P$41)) * Renteberekening!$J$2:$UK$29),0))</f>
        <v>0,0</v>
      </c>
      <c r="Q126" s="21" t="str" cm="1">
        <f t="array" ref="Q126">IF(OR(Samenvatting!$C126="",ISBLANK(Samenvatting!$C126)),"0,0",IFERROR(SUMPRODUCT((Renteberekening!$B$2:$B$29=Samenvatting!$C126) * (YEAR(Renteberekening!$J$1:$UK$1)=YEAR(Samenvatting!Q$41)) * Renteberekening!$J$2:$UK$29),0))</f>
        <v>0,0</v>
      </c>
      <c r="R126" s="21" t="str" cm="1">
        <f t="array" ref="R126">IF(OR(Samenvatting!$C126="",ISBLANK(Samenvatting!$C126)),"0,0",IFERROR(SUMPRODUCT((Renteberekening!$B$2:$B$29=Samenvatting!$C126) * (YEAR(Renteberekening!$J$1:$UK$1)=YEAR(Samenvatting!R$41)) * Renteberekening!$J$2:$UK$29),0))</f>
        <v>0,0</v>
      </c>
      <c r="S126" s="21" t="str" cm="1">
        <f t="array" ref="S126">IF(OR(Samenvatting!$C126="",ISBLANK(Samenvatting!$C126)),"0,0",IFERROR(SUMPRODUCT((Renteberekening!$B$2:$B$29=Samenvatting!$C126) * (YEAR(Renteberekening!$J$1:$UK$1)=YEAR(Samenvatting!S$41)) * Renteberekening!$J$2:$UK$29),0))</f>
        <v>0,0</v>
      </c>
      <c r="T126" s="21" t="str" cm="1">
        <f t="array" ref="T126">IF(OR(Samenvatting!$C126="",ISBLANK(Samenvatting!$C126)),"0,0",IFERROR(SUMPRODUCT((Renteberekening!$B$2:$B$29=Samenvatting!$C126) * (YEAR(Renteberekening!$J$1:$UK$1)=YEAR(Samenvatting!T$41)) * Renteberekening!$J$2:$UK$29),0))</f>
        <v>0,0</v>
      </c>
      <c r="U126" s="21" t="str" cm="1">
        <f t="array" ref="U126">IF(OR(Samenvatting!$C126="",ISBLANK(Samenvatting!$C126)),"0,0",IFERROR(SUMPRODUCT((Renteberekening!$B$2:$B$29=Samenvatting!$C126) * (YEAR(Renteberekening!$J$1:$UK$1)=YEAR(Samenvatting!U$41)) * Renteberekening!$J$2:$UK$29),0))</f>
        <v>0,0</v>
      </c>
      <c r="V126" s="21" t="str" cm="1">
        <f t="array" ref="V126">IF(OR(Samenvatting!$C126="",ISBLANK(Samenvatting!$C126)),"0,0",IFERROR(SUMPRODUCT((Renteberekening!$B$2:$B$29=Samenvatting!$C126) * (YEAR(Renteberekening!$J$1:$UK$1)=YEAR(Samenvatting!V$41)) * Renteberekening!$J$2:$UK$29),0))</f>
        <v>0,0</v>
      </c>
      <c r="W126" s="21" t="str" cm="1">
        <f t="array" ref="W126">IF(OR(Samenvatting!$C126="",ISBLANK(Samenvatting!$C126)),"0,0",IFERROR(SUMPRODUCT((Renteberekening!$B$2:$B$29=Samenvatting!$C126) * (YEAR(Renteberekening!$J$1:$UK$1)=YEAR(Samenvatting!W$41)) * Renteberekening!$J$2:$UK$29),0))</f>
        <v>0,0</v>
      </c>
      <c r="X126" s="21" t="str" cm="1">
        <f t="array" ref="X126">IF(OR(Samenvatting!$C126="",ISBLANK(Samenvatting!$C126)),"0,0",IFERROR(SUMPRODUCT((Renteberekening!$B$2:$B$29=Samenvatting!$C126) * (YEAR(Renteberekening!$J$1:$UK$1)=YEAR(Samenvatting!X$41)) * Renteberekening!$J$2:$UK$29),0))</f>
        <v>0,0</v>
      </c>
      <c r="Y126" s="21" t="str" cm="1">
        <f t="array" ref="Y126">IF(OR(Samenvatting!$C126="",ISBLANK(Samenvatting!$C126)),"0,0",IFERROR(SUMPRODUCT((Renteberekening!$B$2:$B$29=Samenvatting!$C126) * (YEAR(Renteberekening!$J$1:$UK$1)=YEAR(Samenvatting!Y$41)) * Renteberekening!$J$2:$UK$29),0))</f>
        <v>0,0</v>
      </c>
      <c r="Z126" s="21" t="str" cm="1">
        <f t="array" ref="Z126">IF(OR(Samenvatting!$C126="",ISBLANK(Samenvatting!$C126)),"0,0",IFERROR(SUMPRODUCT((Renteberekening!$B$2:$B$29=Samenvatting!$C126) * (YEAR(Renteberekening!$J$1:$UK$1)=YEAR(Samenvatting!Z$41)) * Renteberekening!$J$2:$UK$29),0))</f>
        <v>0,0</v>
      </c>
      <c r="AA126" s="21" t="str" cm="1">
        <f t="array" ref="AA126">IF(OR(Samenvatting!$C126="",ISBLANK(Samenvatting!$C126)),"0,0",IFERROR(SUMPRODUCT((Renteberekening!$B$2:$B$29=Samenvatting!$C126) * (YEAR(Renteberekening!$J$1:$UK$1)=YEAR(Samenvatting!AA$41)) * Renteberekening!$J$2:$UK$29),0))</f>
        <v>0,0</v>
      </c>
      <c r="AB126" s="21" t="str" cm="1">
        <f t="array" ref="AB126">IF(OR(Samenvatting!$C126="",ISBLANK(Samenvatting!$C126)),"0,0",IFERROR(SUMPRODUCT((Renteberekening!$B$2:$B$29=Samenvatting!$C126) * (YEAR(Renteberekening!$J$1:$UK$1)=YEAR(Samenvatting!AB$41)) * Renteberekening!$J$2:$UK$29),0))</f>
        <v>0,0</v>
      </c>
      <c r="AC126" s="21" t="str" cm="1">
        <f t="array" ref="AC126">IF(OR(Samenvatting!$C126="",ISBLANK(Samenvatting!$C126)),"0,0",IFERROR(SUMPRODUCT((Renteberekening!$B$2:$B$29=Samenvatting!$C126) * (YEAR(Renteberekening!$J$1:$UK$1)=YEAR(Samenvatting!AC$41)) * Renteberekening!$J$2:$UK$29),0))</f>
        <v>0,0</v>
      </c>
      <c r="AD126" s="21" t="str" cm="1">
        <f t="array" ref="AD126">IF(OR(Samenvatting!$C126="",ISBLANK(Samenvatting!$C126)),"0,0",IFERROR(SUMPRODUCT((Renteberekening!$B$2:$B$29=Samenvatting!$C126) * (YEAR(Renteberekening!$J$1:$UK$1)=YEAR(Samenvatting!AD$41)) * Renteberekening!$J$2:$UK$29),0))</f>
        <v>0,0</v>
      </c>
      <c r="AE126" s="21" t="str" cm="1">
        <f t="array" ref="AE126">IF(OR(Samenvatting!$C126="",ISBLANK(Samenvatting!$C126)),"0,0",IFERROR(SUMPRODUCT((Renteberekening!$B$2:$B$29=Samenvatting!$C126) * (YEAR(Renteberekening!$J$1:$UK$1)=YEAR(Samenvatting!AE$41)) * Renteberekening!$J$2:$UK$29),0))</f>
        <v>0,0</v>
      </c>
      <c r="AF126" s="21" t="str" cm="1">
        <f t="array" ref="AF126">IF(OR(Samenvatting!$C126="",ISBLANK(Samenvatting!$C126)),"0,0",IFERROR(SUMPRODUCT((Renteberekening!$B$2:$B$29=Samenvatting!$C126) * (YEAR(Renteberekening!$J$1:$UK$1)=YEAR(Samenvatting!AF$41)) * Renteberekening!$J$2:$UK$29),0))</f>
        <v>0,0</v>
      </c>
      <c r="AG126" s="21" t="str" cm="1">
        <f t="array" ref="AG126">IF(OR(Samenvatting!$C126="",ISBLANK(Samenvatting!$C126)),"0,0",IFERROR(SUMPRODUCT((Renteberekening!$B$2:$B$29=Samenvatting!$C126) * (YEAR(Renteberekening!$J$1:$UK$1)=YEAR(Samenvatting!AG$41)) * Renteberekening!$J$2:$UK$29),0))</f>
        <v>0,0</v>
      </c>
      <c r="AH126" s="21" t="str" cm="1">
        <f t="array" ref="AH126">IF(OR(Samenvatting!$C126="",ISBLANK(Samenvatting!$C126)),"0,0",IFERROR(SUMPRODUCT((Renteberekening!$B$2:$B$29=Samenvatting!$C126) * (YEAR(Renteberekening!$J$1:$UK$1)=YEAR(Samenvatting!AH$41)) * Renteberekening!$J$2:$UK$29),0))</f>
        <v>0,0</v>
      </c>
      <c r="AI126" s="21" t="str" cm="1">
        <f t="array" ref="AI126">IF(OR(Samenvatting!$C126="",ISBLANK(Samenvatting!$C126)),"0,0",IFERROR(SUMPRODUCT((Renteberekening!$B$2:$B$29=Samenvatting!$C126) * (YEAR(Renteberekening!$J$1:$UK$1)=YEAR(Samenvatting!AI$41)) * Renteberekening!$J$2:$UK$29),0))</f>
        <v>0,0</v>
      </c>
      <c r="AJ126" s="21" t="str" cm="1">
        <f t="array" ref="AJ126">IF(OR(Samenvatting!$C126="",ISBLANK(Samenvatting!$C126)),"0,0",IFERROR(SUMPRODUCT((Renteberekening!$B$2:$B$29=Samenvatting!$C126) * (YEAR(Renteberekening!$J$1:$UK$1)=YEAR(Samenvatting!AJ$41)) * Renteberekening!$J$2:$UK$29),0))</f>
        <v>0,0</v>
      </c>
      <c r="AK126" s="21" t="str" cm="1">
        <f t="array" ref="AK126">IF(OR(Samenvatting!$C126="",ISBLANK(Samenvatting!$C126)),"0,0",IFERROR(SUMPRODUCT((Renteberekening!$B$2:$B$29=Samenvatting!$C126) * (YEAR(Renteberekening!$J$1:$UK$1)=YEAR(Samenvatting!AK$41)) * Renteberekening!$J$2:$UK$29),0))</f>
        <v>0,0</v>
      </c>
      <c r="AL126" s="21" t="str" cm="1">
        <f t="array" ref="AL126">IF(OR(Samenvatting!$C126="",ISBLANK(Samenvatting!$C126)),"0,0",IFERROR(SUMPRODUCT((Renteberekening!$B$2:$B$29=Samenvatting!$C126) * (YEAR(Renteberekening!$J$1:$UK$1)=YEAR(Samenvatting!AL$41)) * Renteberekening!$J$2:$UK$29),0))</f>
        <v>0,0</v>
      </c>
      <c r="AM126" s="21" t="str" cm="1">
        <f t="array" ref="AM126">IF(OR(Samenvatting!$C126="",ISBLANK(Samenvatting!$C126)),"0,0",IFERROR(SUMPRODUCT((Renteberekening!$B$2:$B$29=Samenvatting!$C126) * (YEAR(Renteberekening!$J$1:$UK$1)=YEAR(Samenvatting!AM$41)) * Renteberekening!$J$2:$UK$29),0))</f>
        <v>0,0</v>
      </c>
      <c r="AN126" s="21" t="str" cm="1">
        <f t="array" ref="AN126">IF(OR(Samenvatting!$C126="",ISBLANK(Samenvatting!$C126)),"0,0",IFERROR(SUMPRODUCT((Renteberekening!$B$2:$B$29=Samenvatting!$C126) * (YEAR(Renteberekening!$J$1:$UK$1)=YEAR(Samenvatting!AN$41)) * Renteberekening!$J$2:$UK$29),0))</f>
        <v>0,0</v>
      </c>
      <c r="AO126" s="21" t="str" cm="1">
        <f t="array" ref="AO126">IF(OR(Samenvatting!$C126="",ISBLANK(Samenvatting!$C126)),"0,0",IFERROR(SUMPRODUCT((Renteberekening!$B$2:$B$29=Samenvatting!$C126) * (YEAR(Renteberekening!$J$1:$UK$1)=YEAR(Samenvatting!AO$41)) * Renteberekening!$J$2:$UK$29),0))</f>
        <v>0,0</v>
      </c>
      <c r="AP126" s="21" t="str" cm="1">
        <f t="array" ref="AP126">IF(OR(Samenvatting!$C126="",ISBLANK(Samenvatting!$C126)),"0,0",IFERROR(SUMPRODUCT((Renteberekening!$B$2:$B$29=Samenvatting!$C126) * (YEAR(Renteberekening!$J$1:$UK$1)=YEAR(Samenvatting!AP$41)) * Renteberekening!$J$2:$UK$29),0))</f>
        <v>0,0</v>
      </c>
      <c r="AQ126" s="21" t="str" cm="1">
        <f t="array" ref="AQ126">IF(OR(Samenvatting!$C126="",ISBLANK(Samenvatting!$C126)),"0,0",IFERROR(SUMPRODUCT((Renteberekening!$B$2:$B$29=Samenvatting!$C126) * (YEAR(Renteberekening!$J$1:$UK$1)=YEAR(Samenvatting!AQ$41)) * Renteberekening!$J$2:$UK$29),0))</f>
        <v>0,0</v>
      </c>
      <c r="AR126" s="21" t="str" cm="1">
        <f t="array" ref="AR126">IF(OR(Samenvatting!$C126="",ISBLANK(Samenvatting!$C126)),"0,0",IFERROR(SUMPRODUCT((Renteberekening!$B$2:$B$29=Samenvatting!$C126) * (YEAR(Renteberekening!$J$1:$UK$1)=YEAR(Samenvatting!AR$41)) * Renteberekening!$J$2:$UK$29),0))</f>
        <v>0,0</v>
      </c>
      <c r="AS126" s="21" t="str" cm="1">
        <f t="array" ref="AS126">IF(OR(Samenvatting!$C126="",ISBLANK(Samenvatting!$C126)),"0,0",IFERROR(SUMPRODUCT((Renteberekening!$B$2:$B$29=Samenvatting!$C126) * (YEAR(Renteberekening!$J$1:$UK$1)=YEAR(Samenvatting!AS$41)) * Renteberekening!$J$2:$UK$29),0))</f>
        <v>0,0</v>
      </c>
      <c r="AT126" s="21" t="str" cm="1">
        <f t="array" ref="AT126">IF(OR(Samenvatting!$C126="",ISBLANK(Samenvatting!$C126)),"0,0",IFERROR(SUMPRODUCT((Renteberekening!$B$2:$B$29=Samenvatting!$C126) * (YEAR(Renteberekening!$J$1:$UK$1)=YEAR(Samenvatting!AT$41)) * Renteberekening!$J$2:$UK$29),0))</f>
        <v>0,0</v>
      </c>
      <c r="AU126" s="21" t="str" cm="1">
        <f t="array" ref="AU126">IF(OR(Samenvatting!$C126="",ISBLANK(Samenvatting!$C126)),"0,0",IFERROR(SUMPRODUCT((Renteberekening!$B$2:$B$29=Samenvatting!$C126) * (YEAR(Renteberekening!$J$1:$UK$1)=YEAR(Samenvatting!AU$41)) * Renteberekening!$J$2:$UK$29),0))</f>
        <v>0,0</v>
      </c>
      <c r="AW126" s="1"/>
      <c r="DJ126" s="11"/>
    </row>
    <row r="127" spans="3:114" ht="30" hidden="1" customHeight="1" outlineLevel="1">
      <c r="C127" s="20"/>
      <c r="D127" s="21">
        <v>1</v>
      </c>
      <c r="E127" s="21" t="s">
        <v>10</v>
      </c>
      <c r="F127" s="86"/>
      <c r="G127" s="86"/>
      <c r="H127" s="105">
        <v>7.4999999999999997E-2</v>
      </c>
      <c r="I127" s="69">
        <v>46752</v>
      </c>
      <c r="J127" s="70">
        <f t="shared" si="8"/>
        <v>2</v>
      </c>
      <c r="K127" s="69">
        <v>47483</v>
      </c>
      <c r="L127" s="21" t="str" cm="1">
        <f t="array" ref="L127">IF(OR(Samenvatting!$C127="",ISBLANK(Samenvatting!$C127)),"0,0",IFERROR(SUMPRODUCT((Renteberekening!$B$2:$B$29=Samenvatting!$C127) * (YEAR(Renteberekening!$J$1:$UK$1)=YEAR(Samenvatting!L$41)) * Renteberekening!$J$2:$UK$29),0))</f>
        <v>0,0</v>
      </c>
      <c r="M127" s="21" t="str" cm="1">
        <f t="array" ref="M127">IF(OR(Samenvatting!$C127="",ISBLANK(Samenvatting!$C127)),"0,0",IFERROR(SUMPRODUCT((Renteberekening!$B$2:$B$29=Samenvatting!$C127) * (YEAR(Renteberekening!$J$1:$UK$1)=YEAR(Samenvatting!M$41)) * Renteberekening!$J$2:$UK$29),0))</f>
        <v>0,0</v>
      </c>
      <c r="N127" s="21" t="str" cm="1">
        <f t="array" ref="N127">IF(OR(Samenvatting!$C127="",ISBLANK(Samenvatting!$C127)),"0,0",IFERROR(SUMPRODUCT((Renteberekening!$B$2:$B$29=Samenvatting!$C127) * (YEAR(Renteberekening!$J$1:$UK$1)=YEAR(Samenvatting!N$41)) * Renteberekening!$J$2:$UK$29),0))</f>
        <v>0,0</v>
      </c>
      <c r="O127" s="21" t="str" cm="1">
        <f t="array" ref="O127">IF(OR(Samenvatting!$C127="",ISBLANK(Samenvatting!$C127)),"0,0",IFERROR(SUMPRODUCT((Renteberekening!$B$2:$B$29=Samenvatting!$C127) * (YEAR(Renteberekening!$J$1:$UK$1)=YEAR(Samenvatting!O$41)) * Renteberekening!$J$2:$UK$29),0))</f>
        <v>0,0</v>
      </c>
      <c r="P127" s="21" t="str" cm="1">
        <f t="array" ref="P127">IF(OR(Samenvatting!$C127="",ISBLANK(Samenvatting!$C127)),"0,0",IFERROR(SUMPRODUCT((Renteberekening!$B$2:$B$29=Samenvatting!$C127) * (YEAR(Renteberekening!$J$1:$UK$1)=YEAR(Samenvatting!P$41)) * Renteberekening!$J$2:$UK$29),0))</f>
        <v>0,0</v>
      </c>
      <c r="Q127" s="21" t="str" cm="1">
        <f t="array" ref="Q127">IF(OR(Samenvatting!$C127="",ISBLANK(Samenvatting!$C127)),"0,0",IFERROR(SUMPRODUCT((Renteberekening!$B$2:$B$29=Samenvatting!$C127) * (YEAR(Renteberekening!$J$1:$UK$1)=YEAR(Samenvatting!Q$41)) * Renteberekening!$J$2:$UK$29),0))</f>
        <v>0,0</v>
      </c>
      <c r="R127" s="21" t="str" cm="1">
        <f t="array" ref="R127">IF(OR(Samenvatting!$C127="",ISBLANK(Samenvatting!$C127)),"0,0",IFERROR(SUMPRODUCT((Renteberekening!$B$2:$B$29=Samenvatting!$C127) * (YEAR(Renteberekening!$J$1:$UK$1)=YEAR(Samenvatting!R$41)) * Renteberekening!$J$2:$UK$29),0))</f>
        <v>0,0</v>
      </c>
      <c r="S127" s="21" t="str" cm="1">
        <f t="array" ref="S127">IF(OR(Samenvatting!$C127="",ISBLANK(Samenvatting!$C127)),"0,0",IFERROR(SUMPRODUCT((Renteberekening!$B$2:$B$29=Samenvatting!$C127) * (YEAR(Renteberekening!$J$1:$UK$1)=YEAR(Samenvatting!S$41)) * Renteberekening!$J$2:$UK$29),0))</f>
        <v>0,0</v>
      </c>
      <c r="T127" s="21" t="str" cm="1">
        <f t="array" ref="T127">IF(OR(Samenvatting!$C127="",ISBLANK(Samenvatting!$C127)),"0,0",IFERROR(SUMPRODUCT((Renteberekening!$B$2:$B$29=Samenvatting!$C127) * (YEAR(Renteberekening!$J$1:$UK$1)=YEAR(Samenvatting!T$41)) * Renteberekening!$J$2:$UK$29),0))</f>
        <v>0,0</v>
      </c>
      <c r="U127" s="21" t="str" cm="1">
        <f t="array" ref="U127">IF(OR(Samenvatting!$C127="",ISBLANK(Samenvatting!$C127)),"0,0",IFERROR(SUMPRODUCT((Renteberekening!$B$2:$B$29=Samenvatting!$C127) * (YEAR(Renteberekening!$J$1:$UK$1)=YEAR(Samenvatting!U$41)) * Renteberekening!$J$2:$UK$29),0))</f>
        <v>0,0</v>
      </c>
      <c r="V127" s="21" t="str" cm="1">
        <f t="array" ref="V127">IF(OR(Samenvatting!$C127="",ISBLANK(Samenvatting!$C127)),"0,0",IFERROR(SUMPRODUCT((Renteberekening!$B$2:$B$29=Samenvatting!$C127) * (YEAR(Renteberekening!$J$1:$UK$1)=YEAR(Samenvatting!V$41)) * Renteberekening!$J$2:$UK$29),0))</f>
        <v>0,0</v>
      </c>
      <c r="W127" s="21" t="str" cm="1">
        <f t="array" ref="W127">IF(OR(Samenvatting!$C127="",ISBLANK(Samenvatting!$C127)),"0,0",IFERROR(SUMPRODUCT((Renteberekening!$B$2:$B$29=Samenvatting!$C127) * (YEAR(Renteberekening!$J$1:$UK$1)=YEAR(Samenvatting!W$41)) * Renteberekening!$J$2:$UK$29),0))</f>
        <v>0,0</v>
      </c>
      <c r="X127" s="21" t="str" cm="1">
        <f t="array" ref="X127">IF(OR(Samenvatting!$C127="",ISBLANK(Samenvatting!$C127)),"0,0",IFERROR(SUMPRODUCT((Renteberekening!$B$2:$B$29=Samenvatting!$C127) * (YEAR(Renteberekening!$J$1:$UK$1)=YEAR(Samenvatting!X$41)) * Renteberekening!$J$2:$UK$29),0))</f>
        <v>0,0</v>
      </c>
      <c r="Y127" s="21" t="str" cm="1">
        <f t="array" ref="Y127">IF(OR(Samenvatting!$C127="",ISBLANK(Samenvatting!$C127)),"0,0",IFERROR(SUMPRODUCT((Renteberekening!$B$2:$B$29=Samenvatting!$C127) * (YEAR(Renteberekening!$J$1:$UK$1)=YEAR(Samenvatting!Y$41)) * Renteberekening!$J$2:$UK$29),0))</f>
        <v>0,0</v>
      </c>
      <c r="Z127" s="21" t="str" cm="1">
        <f t="array" ref="Z127">IF(OR(Samenvatting!$C127="",ISBLANK(Samenvatting!$C127)),"0,0",IFERROR(SUMPRODUCT((Renteberekening!$B$2:$B$29=Samenvatting!$C127) * (YEAR(Renteberekening!$J$1:$UK$1)=YEAR(Samenvatting!Z$41)) * Renteberekening!$J$2:$UK$29),0))</f>
        <v>0,0</v>
      </c>
      <c r="AA127" s="21" t="str" cm="1">
        <f t="array" ref="AA127">IF(OR(Samenvatting!$C127="",ISBLANK(Samenvatting!$C127)),"0,0",IFERROR(SUMPRODUCT((Renteberekening!$B$2:$B$29=Samenvatting!$C127) * (YEAR(Renteberekening!$J$1:$UK$1)=YEAR(Samenvatting!AA$41)) * Renteberekening!$J$2:$UK$29),0))</f>
        <v>0,0</v>
      </c>
      <c r="AB127" s="21" t="str" cm="1">
        <f t="array" ref="AB127">IF(OR(Samenvatting!$C127="",ISBLANK(Samenvatting!$C127)),"0,0",IFERROR(SUMPRODUCT((Renteberekening!$B$2:$B$29=Samenvatting!$C127) * (YEAR(Renteberekening!$J$1:$UK$1)=YEAR(Samenvatting!AB$41)) * Renteberekening!$J$2:$UK$29),0))</f>
        <v>0,0</v>
      </c>
      <c r="AC127" s="21" t="str" cm="1">
        <f t="array" ref="AC127">IF(OR(Samenvatting!$C127="",ISBLANK(Samenvatting!$C127)),"0,0",IFERROR(SUMPRODUCT((Renteberekening!$B$2:$B$29=Samenvatting!$C127) * (YEAR(Renteberekening!$J$1:$UK$1)=YEAR(Samenvatting!AC$41)) * Renteberekening!$J$2:$UK$29),0))</f>
        <v>0,0</v>
      </c>
      <c r="AD127" s="21" t="str" cm="1">
        <f t="array" ref="AD127">IF(OR(Samenvatting!$C127="",ISBLANK(Samenvatting!$C127)),"0,0",IFERROR(SUMPRODUCT((Renteberekening!$B$2:$B$29=Samenvatting!$C127) * (YEAR(Renteberekening!$J$1:$UK$1)=YEAR(Samenvatting!AD$41)) * Renteberekening!$J$2:$UK$29),0))</f>
        <v>0,0</v>
      </c>
      <c r="AE127" s="21" t="str" cm="1">
        <f t="array" ref="AE127">IF(OR(Samenvatting!$C127="",ISBLANK(Samenvatting!$C127)),"0,0",IFERROR(SUMPRODUCT((Renteberekening!$B$2:$B$29=Samenvatting!$C127) * (YEAR(Renteberekening!$J$1:$UK$1)=YEAR(Samenvatting!AE$41)) * Renteberekening!$J$2:$UK$29),0))</f>
        <v>0,0</v>
      </c>
      <c r="AF127" s="21" t="str" cm="1">
        <f t="array" ref="AF127">IF(OR(Samenvatting!$C127="",ISBLANK(Samenvatting!$C127)),"0,0",IFERROR(SUMPRODUCT((Renteberekening!$B$2:$B$29=Samenvatting!$C127) * (YEAR(Renteberekening!$J$1:$UK$1)=YEAR(Samenvatting!AF$41)) * Renteberekening!$J$2:$UK$29),0))</f>
        <v>0,0</v>
      </c>
      <c r="AG127" s="21" t="str" cm="1">
        <f t="array" ref="AG127">IF(OR(Samenvatting!$C127="",ISBLANK(Samenvatting!$C127)),"0,0",IFERROR(SUMPRODUCT((Renteberekening!$B$2:$B$29=Samenvatting!$C127) * (YEAR(Renteberekening!$J$1:$UK$1)=YEAR(Samenvatting!AG$41)) * Renteberekening!$J$2:$UK$29),0))</f>
        <v>0,0</v>
      </c>
      <c r="AH127" s="21" t="str" cm="1">
        <f t="array" ref="AH127">IF(OR(Samenvatting!$C127="",ISBLANK(Samenvatting!$C127)),"0,0",IFERROR(SUMPRODUCT((Renteberekening!$B$2:$B$29=Samenvatting!$C127) * (YEAR(Renteberekening!$J$1:$UK$1)=YEAR(Samenvatting!AH$41)) * Renteberekening!$J$2:$UK$29),0))</f>
        <v>0,0</v>
      </c>
      <c r="AI127" s="21" t="str" cm="1">
        <f t="array" ref="AI127">IF(OR(Samenvatting!$C127="",ISBLANK(Samenvatting!$C127)),"0,0",IFERROR(SUMPRODUCT((Renteberekening!$B$2:$B$29=Samenvatting!$C127) * (YEAR(Renteberekening!$J$1:$UK$1)=YEAR(Samenvatting!AI$41)) * Renteberekening!$J$2:$UK$29),0))</f>
        <v>0,0</v>
      </c>
      <c r="AJ127" s="21" t="str" cm="1">
        <f t="array" ref="AJ127">IF(OR(Samenvatting!$C127="",ISBLANK(Samenvatting!$C127)),"0,0",IFERROR(SUMPRODUCT((Renteberekening!$B$2:$B$29=Samenvatting!$C127) * (YEAR(Renteberekening!$J$1:$UK$1)=YEAR(Samenvatting!AJ$41)) * Renteberekening!$J$2:$UK$29),0))</f>
        <v>0,0</v>
      </c>
      <c r="AK127" s="21" t="str" cm="1">
        <f t="array" ref="AK127">IF(OR(Samenvatting!$C127="",ISBLANK(Samenvatting!$C127)),"0,0",IFERROR(SUMPRODUCT((Renteberekening!$B$2:$B$29=Samenvatting!$C127) * (YEAR(Renteberekening!$J$1:$UK$1)=YEAR(Samenvatting!AK$41)) * Renteberekening!$J$2:$UK$29),0))</f>
        <v>0,0</v>
      </c>
      <c r="AL127" s="21" t="str" cm="1">
        <f t="array" ref="AL127">IF(OR(Samenvatting!$C127="",ISBLANK(Samenvatting!$C127)),"0,0",IFERROR(SUMPRODUCT((Renteberekening!$B$2:$B$29=Samenvatting!$C127) * (YEAR(Renteberekening!$J$1:$UK$1)=YEAR(Samenvatting!AL$41)) * Renteberekening!$J$2:$UK$29),0))</f>
        <v>0,0</v>
      </c>
      <c r="AM127" s="21" t="str" cm="1">
        <f t="array" ref="AM127">IF(OR(Samenvatting!$C127="",ISBLANK(Samenvatting!$C127)),"0,0",IFERROR(SUMPRODUCT((Renteberekening!$B$2:$B$29=Samenvatting!$C127) * (YEAR(Renteberekening!$J$1:$UK$1)=YEAR(Samenvatting!AM$41)) * Renteberekening!$J$2:$UK$29),0))</f>
        <v>0,0</v>
      </c>
      <c r="AN127" s="21" t="str" cm="1">
        <f t="array" ref="AN127">IF(OR(Samenvatting!$C127="",ISBLANK(Samenvatting!$C127)),"0,0",IFERROR(SUMPRODUCT((Renteberekening!$B$2:$B$29=Samenvatting!$C127) * (YEAR(Renteberekening!$J$1:$UK$1)=YEAR(Samenvatting!AN$41)) * Renteberekening!$J$2:$UK$29),0))</f>
        <v>0,0</v>
      </c>
      <c r="AO127" s="21" t="str" cm="1">
        <f t="array" ref="AO127">IF(OR(Samenvatting!$C127="",ISBLANK(Samenvatting!$C127)),"0,0",IFERROR(SUMPRODUCT((Renteberekening!$B$2:$B$29=Samenvatting!$C127) * (YEAR(Renteberekening!$J$1:$UK$1)=YEAR(Samenvatting!AO$41)) * Renteberekening!$J$2:$UK$29),0))</f>
        <v>0,0</v>
      </c>
      <c r="AP127" s="21" t="str" cm="1">
        <f t="array" ref="AP127">IF(OR(Samenvatting!$C127="",ISBLANK(Samenvatting!$C127)),"0,0",IFERROR(SUMPRODUCT((Renteberekening!$B$2:$B$29=Samenvatting!$C127) * (YEAR(Renteberekening!$J$1:$UK$1)=YEAR(Samenvatting!AP$41)) * Renteberekening!$J$2:$UK$29),0))</f>
        <v>0,0</v>
      </c>
      <c r="AQ127" s="21" t="str" cm="1">
        <f t="array" ref="AQ127">IF(OR(Samenvatting!$C127="",ISBLANK(Samenvatting!$C127)),"0,0",IFERROR(SUMPRODUCT((Renteberekening!$B$2:$B$29=Samenvatting!$C127) * (YEAR(Renteberekening!$J$1:$UK$1)=YEAR(Samenvatting!AQ$41)) * Renteberekening!$J$2:$UK$29),0))</f>
        <v>0,0</v>
      </c>
      <c r="AR127" s="21" t="str" cm="1">
        <f t="array" ref="AR127">IF(OR(Samenvatting!$C127="",ISBLANK(Samenvatting!$C127)),"0,0",IFERROR(SUMPRODUCT((Renteberekening!$B$2:$B$29=Samenvatting!$C127) * (YEAR(Renteberekening!$J$1:$UK$1)=YEAR(Samenvatting!AR$41)) * Renteberekening!$J$2:$UK$29),0))</f>
        <v>0,0</v>
      </c>
      <c r="AS127" s="21" t="str" cm="1">
        <f t="array" ref="AS127">IF(OR(Samenvatting!$C127="",ISBLANK(Samenvatting!$C127)),"0,0",IFERROR(SUMPRODUCT((Renteberekening!$B$2:$B$29=Samenvatting!$C127) * (YEAR(Renteberekening!$J$1:$UK$1)=YEAR(Samenvatting!AS$41)) * Renteberekening!$J$2:$UK$29),0))</f>
        <v>0,0</v>
      </c>
      <c r="AT127" s="21" t="str" cm="1">
        <f t="array" ref="AT127">IF(OR(Samenvatting!$C127="",ISBLANK(Samenvatting!$C127)),"0,0",IFERROR(SUMPRODUCT((Renteberekening!$B$2:$B$29=Samenvatting!$C127) * (YEAR(Renteberekening!$J$1:$UK$1)=YEAR(Samenvatting!AT$41)) * Renteberekening!$J$2:$UK$29),0))</f>
        <v>0,0</v>
      </c>
      <c r="AU127" s="21" t="str" cm="1">
        <f t="array" ref="AU127">IF(OR(Samenvatting!$C127="",ISBLANK(Samenvatting!$C127)),"0,0",IFERROR(SUMPRODUCT((Renteberekening!$B$2:$B$29=Samenvatting!$C127) * (YEAR(Renteberekening!$J$1:$UK$1)=YEAR(Samenvatting!AU$41)) * Renteberekening!$J$2:$UK$29),0))</f>
        <v>0,0</v>
      </c>
      <c r="AW127" s="1"/>
      <c r="DJ127" s="11"/>
    </row>
    <row r="128" spans="3:114" ht="30" hidden="1" customHeight="1" outlineLevel="1">
      <c r="C128" s="20"/>
      <c r="D128" s="21">
        <v>1</v>
      </c>
      <c r="E128" s="21" t="s">
        <v>10</v>
      </c>
      <c r="F128" s="86"/>
      <c r="G128" s="86"/>
      <c r="H128" s="105">
        <v>7.4999999999999997E-2</v>
      </c>
      <c r="I128" s="69">
        <v>46752</v>
      </c>
      <c r="J128" s="70">
        <f t="shared" si="8"/>
        <v>3</v>
      </c>
      <c r="K128" s="69">
        <v>47848</v>
      </c>
      <c r="L128" s="21" t="str" cm="1">
        <f t="array" ref="L128">IF(OR(Samenvatting!$C128="",ISBLANK(Samenvatting!$C128)),"0,0",IFERROR(SUMPRODUCT((Renteberekening!$B$2:$B$29=Samenvatting!$C128) * (YEAR(Renteberekening!$J$1:$UK$1)=YEAR(Samenvatting!L$41)) * Renteberekening!$J$2:$UK$29),0))</f>
        <v>0,0</v>
      </c>
      <c r="M128" s="21" t="str" cm="1">
        <f t="array" ref="M128">IF(OR(Samenvatting!$C128="",ISBLANK(Samenvatting!$C128)),"0,0",IFERROR(SUMPRODUCT((Renteberekening!$B$2:$B$29=Samenvatting!$C128) * (YEAR(Renteberekening!$J$1:$UK$1)=YEAR(Samenvatting!M$41)) * Renteberekening!$J$2:$UK$29),0))</f>
        <v>0,0</v>
      </c>
      <c r="N128" s="21" t="str" cm="1">
        <f t="array" ref="N128">IF(OR(Samenvatting!$C128="",ISBLANK(Samenvatting!$C128)),"0,0",IFERROR(SUMPRODUCT((Renteberekening!$B$2:$B$29=Samenvatting!$C128) * (YEAR(Renteberekening!$J$1:$UK$1)=YEAR(Samenvatting!N$41)) * Renteberekening!$J$2:$UK$29),0))</f>
        <v>0,0</v>
      </c>
      <c r="O128" s="21" t="str" cm="1">
        <f t="array" ref="O128">IF(OR(Samenvatting!$C128="",ISBLANK(Samenvatting!$C128)),"0,0",IFERROR(SUMPRODUCT((Renteberekening!$B$2:$B$29=Samenvatting!$C128) * (YEAR(Renteberekening!$J$1:$UK$1)=YEAR(Samenvatting!O$41)) * Renteberekening!$J$2:$UK$29),0))</f>
        <v>0,0</v>
      </c>
      <c r="P128" s="21" t="str" cm="1">
        <f t="array" ref="P128">IF(OR(Samenvatting!$C128="",ISBLANK(Samenvatting!$C128)),"0,0",IFERROR(SUMPRODUCT((Renteberekening!$B$2:$B$29=Samenvatting!$C128) * (YEAR(Renteberekening!$J$1:$UK$1)=YEAR(Samenvatting!P$41)) * Renteberekening!$J$2:$UK$29),0))</f>
        <v>0,0</v>
      </c>
      <c r="Q128" s="21" t="str" cm="1">
        <f t="array" ref="Q128">IF(OR(Samenvatting!$C128="",ISBLANK(Samenvatting!$C128)),"0,0",IFERROR(SUMPRODUCT((Renteberekening!$B$2:$B$29=Samenvatting!$C128) * (YEAR(Renteberekening!$J$1:$UK$1)=YEAR(Samenvatting!Q$41)) * Renteberekening!$J$2:$UK$29),0))</f>
        <v>0,0</v>
      </c>
      <c r="R128" s="21" t="str" cm="1">
        <f t="array" ref="R128">IF(OR(Samenvatting!$C128="",ISBLANK(Samenvatting!$C128)),"0,0",IFERROR(SUMPRODUCT((Renteberekening!$B$2:$B$29=Samenvatting!$C128) * (YEAR(Renteberekening!$J$1:$UK$1)=YEAR(Samenvatting!R$41)) * Renteberekening!$J$2:$UK$29),0))</f>
        <v>0,0</v>
      </c>
      <c r="S128" s="21" t="str" cm="1">
        <f t="array" ref="S128">IF(OR(Samenvatting!$C128="",ISBLANK(Samenvatting!$C128)),"0,0",IFERROR(SUMPRODUCT((Renteberekening!$B$2:$B$29=Samenvatting!$C128) * (YEAR(Renteberekening!$J$1:$UK$1)=YEAR(Samenvatting!S$41)) * Renteberekening!$J$2:$UK$29),0))</f>
        <v>0,0</v>
      </c>
      <c r="T128" s="21" t="str" cm="1">
        <f t="array" ref="T128">IF(OR(Samenvatting!$C128="",ISBLANK(Samenvatting!$C128)),"0,0",IFERROR(SUMPRODUCT((Renteberekening!$B$2:$B$29=Samenvatting!$C128) * (YEAR(Renteberekening!$J$1:$UK$1)=YEAR(Samenvatting!T$41)) * Renteberekening!$J$2:$UK$29),0))</f>
        <v>0,0</v>
      </c>
      <c r="U128" s="21" t="str" cm="1">
        <f t="array" ref="U128">IF(OR(Samenvatting!$C128="",ISBLANK(Samenvatting!$C128)),"0,0",IFERROR(SUMPRODUCT((Renteberekening!$B$2:$B$29=Samenvatting!$C128) * (YEAR(Renteberekening!$J$1:$UK$1)=YEAR(Samenvatting!U$41)) * Renteberekening!$J$2:$UK$29),0))</f>
        <v>0,0</v>
      </c>
      <c r="V128" s="21" t="str" cm="1">
        <f t="array" ref="V128">IF(OR(Samenvatting!$C128="",ISBLANK(Samenvatting!$C128)),"0,0",IFERROR(SUMPRODUCT((Renteberekening!$B$2:$B$29=Samenvatting!$C128) * (YEAR(Renteberekening!$J$1:$UK$1)=YEAR(Samenvatting!V$41)) * Renteberekening!$J$2:$UK$29),0))</f>
        <v>0,0</v>
      </c>
      <c r="W128" s="21" t="str" cm="1">
        <f t="array" ref="W128">IF(OR(Samenvatting!$C128="",ISBLANK(Samenvatting!$C128)),"0,0",IFERROR(SUMPRODUCT((Renteberekening!$B$2:$B$29=Samenvatting!$C128) * (YEAR(Renteberekening!$J$1:$UK$1)=YEAR(Samenvatting!W$41)) * Renteberekening!$J$2:$UK$29),0))</f>
        <v>0,0</v>
      </c>
      <c r="X128" s="21" t="str" cm="1">
        <f t="array" ref="X128">IF(OR(Samenvatting!$C128="",ISBLANK(Samenvatting!$C128)),"0,0",IFERROR(SUMPRODUCT((Renteberekening!$B$2:$B$29=Samenvatting!$C128) * (YEAR(Renteberekening!$J$1:$UK$1)=YEAR(Samenvatting!X$41)) * Renteberekening!$J$2:$UK$29),0))</f>
        <v>0,0</v>
      </c>
      <c r="Y128" s="21" t="str" cm="1">
        <f t="array" ref="Y128">IF(OR(Samenvatting!$C128="",ISBLANK(Samenvatting!$C128)),"0,0",IFERROR(SUMPRODUCT((Renteberekening!$B$2:$B$29=Samenvatting!$C128) * (YEAR(Renteberekening!$J$1:$UK$1)=YEAR(Samenvatting!Y$41)) * Renteberekening!$J$2:$UK$29),0))</f>
        <v>0,0</v>
      </c>
      <c r="Z128" s="21" t="str" cm="1">
        <f t="array" ref="Z128">IF(OR(Samenvatting!$C128="",ISBLANK(Samenvatting!$C128)),"0,0",IFERROR(SUMPRODUCT((Renteberekening!$B$2:$B$29=Samenvatting!$C128) * (YEAR(Renteberekening!$J$1:$UK$1)=YEAR(Samenvatting!Z$41)) * Renteberekening!$J$2:$UK$29),0))</f>
        <v>0,0</v>
      </c>
      <c r="AA128" s="21" t="str" cm="1">
        <f t="array" ref="AA128">IF(OR(Samenvatting!$C128="",ISBLANK(Samenvatting!$C128)),"0,0",IFERROR(SUMPRODUCT((Renteberekening!$B$2:$B$29=Samenvatting!$C128) * (YEAR(Renteberekening!$J$1:$UK$1)=YEAR(Samenvatting!AA$41)) * Renteberekening!$J$2:$UK$29),0))</f>
        <v>0,0</v>
      </c>
      <c r="AB128" s="21" t="str" cm="1">
        <f t="array" ref="AB128">IF(OR(Samenvatting!$C128="",ISBLANK(Samenvatting!$C128)),"0,0",IFERROR(SUMPRODUCT((Renteberekening!$B$2:$B$29=Samenvatting!$C128) * (YEAR(Renteberekening!$J$1:$UK$1)=YEAR(Samenvatting!AB$41)) * Renteberekening!$J$2:$UK$29),0))</f>
        <v>0,0</v>
      </c>
      <c r="AC128" s="21" t="str" cm="1">
        <f t="array" ref="AC128">IF(OR(Samenvatting!$C128="",ISBLANK(Samenvatting!$C128)),"0,0",IFERROR(SUMPRODUCT((Renteberekening!$B$2:$B$29=Samenvatting!$C128) * (YEAR(Renteberekening!$J$1:$UK$1)=YEAR(Samenvatting!AC$41)) * Renteberekening!$J$2:$UK$29),0))</f>
        <v>0,0</v>
      </c>
      <c r="AD128" s="21" t="str" cm="1">
        <f t="array" ref="AD128">IF(OR(Samenvatting!$C128="",ISBLANK(Samenvatting!$C128)),"0,0",IFERROR(SUMPRODUCT((Renteberekening!$B$2:$B$29=Samenvatting!$C128) * (YEAR(Renteberekening!$J$1:$UK$1)=YEAR(Samenvatting!AD$41)) * Renteberekening!$J$2:$UK$29),0))</f>
        <v>0,0</v>
      </c>
      <c r="AE128" s="21" t="str" cm="1">
        <f t="array" ref="AE128">IF(OR(Samenvatting!$C128="",ISBLANK(Samenvatting!$C128)),"0,0",IFERROR(SUMPRODUCT((Renteberekening!$B$2:$B$29=Samenvatting!$C128) * (YEAR(Renteberekening!$J$1:$UK$1)=YEAR(Samenvatting!AE$41)) * Renteberekening!$J$2:$UK$29),0))</f>
        <v>0,0</v>
      </c>
      <c r="AF128" s="21" t="str" cm="1">
        <f t="array" ref="AF128">IF(OR(Samenvatting!$C128="",ISBLANK(Samenvatting!$C128)),"0,0",IFERROR(SUMPRODUCT((Renteberekening!$B$2:$B$29=Samenvatting!$C128) * (YEAR(Renteberekening!$J$1:$UK$1)=YEAR(Samenvatting!AF$41)) * Renteberekening!$J$2:$UK$29),0))</f>
        <v>0,0</v>
      </c>
      <c r="AG128" s="21" t="str" cm="1">
        <f t="array" ref="AG128">IF(OR(Samenvatting!$C128="",ISBLANK(Samenvatting!$C128)),"0,0",IFERROR(SUMPRODUCT((Renteberekening!$B$2:$B$29=Samenvatting!$C128) * (YEAR(Renteberekening!$J$1:$UK$1)=YEAR(Samenvatting!AG$41)) * Renteberekening!$J$2:$UK$29),0))</f>
        <v>0,0</v>
      </c>
      <c r="AH128" s="21" t="str" cm="1">
        <f t="array" ref="AH128">IF(OR(Samenvatting!$C128="",ISBLANK(Samenvatting!$C128)),"0,0",IFERROR(SUMPRODUCT((Renteberekening!$B$2:$B$29=Samenvatting!$C128) * (YEAR(Renteberekening!$J$1:$UK$1)=YEAR(Samenvatting!AH$41)) * Renteberekening!$J$2:$UK$29),0))</f>
        <v>0,0</v>
      </c>
      <c r="AI128" s="21" t="str" cm="1">
        <f t="array" ref="AI128">IF(OR(Samenvatting!$C128="",ISBLANK(Samenvatting!$C128)),"0,0",IFERROR(SUMPRODUCT((Renteberekening!$B$2:$B$29=Samenvatting!$C128) * (YEAR(Renteberekening!$J$1:$UK$1)=YEAR(Samenvatting!AI$41)) * Renteberekening!$J$2:$UK$29),0))</f>
        <v>0,0</v>
      </c>
      <c r="AJ128" s="21" t="str" cm="1">
        <f t="array" ref="AJ128">IF(OR(Samenvatting!$C128="",ISBLANK(Samenvatting!$C128)),"0,0",IFERROR(SUMPRODUCT((Renteberekening!$B$2:$B$29=Samenvatting!$C128) * (YEAR(Renteberekening!$J$1:$UK$1)=YEAR(Samenvatting!AJ$41)) * Renteberekening!$J$2:$UK$29),0))</f>
        <v>0,0</v>
      </c>
      <c r="AK128" s="21" t="str" cm="1">
        <f t="array" ref="AK128">IF(OR(Samenvatting!$C128="",ISBLANK(Samenvatting!$C128)),"0,0",IFERROR(SUMPRODUCT((Renteberekening!$B$2:$B$29=Samenvatting!$C128) * (YEAR(Renteberekening!$J$1:$UK$1)=YEAR(Samenvatting!AK$41)) * Renteberekening!$J$2:$UK$29),0))</f>
        <v>0,0</v>
      </c>
      <c r="AL128" s="21" t="str" cm="1">
        <f t="array" ref="AL128">IF(OR(Samenvatting!$C128="",ISBLANK(Samenvatting!$C128)),"0,0",IFERROR(SUMPRODUCT((Renteberekening!$B$2:$B$29=Samenvatting!$C128) * (YEAR(Renteberekening!$J$1:$UK$1)=YEAR(Samenvatting!AL$41)) * Renteberekening!$J$2:$UK$29),0))</f>
        <v>0,0</v>
      </c>
      <c r="AM128" s="21" t="str" cm="1">
        <f t="array" ref="AM128">IF(OR(Samenvatting!$C128="",ISBLANK(Samenvatting!$C128)),"0,0",IFERROR(SUMPRODUCT((Renteberekening!$B$2:$B$29=Samenvatting!$C128) * (YEAR(Renteberekening!$J$1:$UK$1)=YEAR(Samenvatting!AM$41)) * Renteberekening!$J$2:$UK$29),0))</f>
        <v>0,0</v>
      </c>
      <c r="AN128" s="21" t="str" cm="1">
        <f t="array" ref="AN128">IF(OR(Samenvatting!$C128="",ISBLANK(Samenvatting!$C128)),"0,0",IFERROR(SUMPRODUCT((Renteberekening!$B$2:$B$29=Samenvatting!$C128) * (YEAR(Renteberekening!$J$1:$UK$1)=YEAR(Samenvatting!AN$41)) * Renteberekening!$J$2:$UK$29),0))</f>
        <v>0,0</v>
      </c>
      <c r="AO128" s="21" t="str" cm="1">
        <f t="array" ref="AO128">IF(OR(Samenvatting!$C128="",ISBLANK(Samenvatting!$C128)),"0,0",IFERROR(SUMPRODUCT((Renteberekening!$B$2:$B$29=Samenvatting!$C128) * (YEAR(Renteberekening!$J$1:$UK$1)=YEAR(Samenvatting!AO$41)) * Renteberekening!$J$2:$UK$29),0))</f>
        <v>0,0</v>
      </c>
      <c r="AP128" s="21" t="str" cm="1">
        <f t="array" ref="AP128">IF(OR(Samenvatting!$C128="",ISBLANK(Samenvatting!$C128)),"0,0",IFERROR(SUMPRODUCT((Renteberekening!$B$2:$B$29=Samenvatting!$C128) * (YEAR(Renteberekening!$J$1:$UK$1)=YEAR(Samenvatting!AP$41)) * Renteberekening!$J$2:$UK$29),0))</f>
        <v>0,0</v>
      </c>
      <c r="AQ128" s="21" t="str" cm="1">
        <f t="array" ref="AQ128">IF(OR(Samenvatting!$C128="",ISBLANK(Samenvatting!$C128)),"0,0",IFERROR(SUMPRODUCT((Renteberekening!$B$2:$B$29=Samenvatting!$C128) * (YEAR(Renteberekening!$J$1:$UK$1)=YEAR(Samenvatting!AQ$41)) * Renteberekening!$J$2:$UK$29),0))</f>
        <v>0,0</v>
      </c>
      <c r="AR128" s="21" t="str" cm="1">
        <f t="array" ref="AR128">IF(OR(Samenvatting!$C128="",ISBLANK(Samenvatting!$C128)),"0,0",IFERROR(SUMPRODUCT((Renteberekening!$B$2:$B$29=Samenvatting!$C128) * (YEAR(Renteberekening!$J$1:$UK$1)=YEAR(Samenvatting!AR$41)) * Renteberekening!$J$2:$UK$29),0))</f>
        <v>0,0</v>
      </c>
      <c r="AS128" s="21" t="str" cm="1">
        <f t="array" ref="AS128">IF(OR(Samenvatting!$C128="",ISBLANK(Samenvatting!$C128)),"0,0",IFERROR(SUMPRODUCT((Renteberekening!$B$2:$B$29=Samenvatting!$C128) * (YEAR(Renteberekening!$J$1:$UK$1)=YEAR(Samenvatting!AS$41)) * Renteberekening!$J$2:$UK$29),0))</f>
        <v>0,0</v>
      </c>
      <c r="AT128" s="21" t="str" cm="1">
        <f t="array" ref="AT128">IF(OR(Samenvatting!$C128="",ISBLANK(Samenvatting!$C128)),"0,0",IFERROR(SUMPRODUCT((Renteberekening!$B$2:$B$29=Samenvatting!$C128) * (YEAR(Renteberekening!$J$1:$UK$1)=YEAR(Samenvatting!AT$41)) * Renteberekening!$J$2:$UK$29),0))</f>
        <v>0,0</v>
      </c>
      <c r="AU128" s="21" t="str" cm="1">
        <f t="array" ref="AU128">IF(OR(Samenvatting!$C128="",ISBLANK(Samenvatting!$C128)),"0,0",IFERROR(SUMPRODUCT((Renteberekening!$B$2:$B$29=Samenvatting!$C128) * (YEAR(Renteberekening!$J$1:$UK$1)=YEAR(Samenvatting!AU$41)) * Renteberekening!$J$2:$UK$29),0))</f>
        <v>0,0</v>
      </c>
      <c r="AW128" s="1"/>
      <c r="DJ128" s="11"/>
    </row>
    <row r="129" spans="3:114" ht="30" hidden="1" customHeight="1" outlineLevel="1">
      <c r="C129" s="20"/>
      <c r="D129" s="21">
        <v>1</v>
      </c>
      <c r="E129" s="21" t="s">
        <v>10</v>
      </c>
      <c r="F129" s="86"/>
      <c r="G129" s="86"/>
      <c r="H129" s="105">
        <v>7.4999999999999997E-2</v>
      </c>
      <c r="I129" s="69">
        <v>47118</v>
      </c>
      <c r="J129" s="70">
        <f t="shared" si="8"/>
        <v>2</v>
      </c>
      <c r="K129" s="69">
        <v>47848</v>
      </c>
      <c r="L129" s="21" t="str" cm="1">
        <f t="array" ref="L129">IF(OR(Samenvatting!$C129="",ISBLANK(Samenvatting!$C129)),"0,0",IFERROR(SUMPRODUCT((Renteberekening!$B$2:$B$29=Samenvatting!$C129) * (YEAR(Renteberekening!$J$1:$UK$1)=YEAR(Samenvatting!L$41)) * Renteberekening!$J$2:$UK$29),0))</f>
        <v>0,0</v>
      </c>
      <c r="M129" s="21" t="str" cm="1">
        <f t="array" ref="M129">IF(OR(Samenvatting!$C129="",ISBLANK(Samenvatting!$C129)),"0,0",IFERROR(SUMPRODUCT((Renteberekening!$B$2:$B$29=Samenvatting!$C129) * (YEAR(Renteberekening!$J$1:$UK$1)=YEAR(Samenvatting!M$41)) * Renteberekening!$J$2:$UK$29),0))</f>
        <v>0,0</v>
      </c>
      <c r="N129" s="21" t="str" cm="1">
        <f t="array" ref="N129">IF(OR(Samenvatting!$C129="",ISBLANK(Samenvatting!$C129)),"0,0",IFERROR(SUMPRODUCT((Renteberekening!$B$2:$B$29=Samenvatting!$C129) * (YEAR(Renteberekening!$J$1:$UK$1)=YEAR(Samenvatting!N$41)) * Renteberekening!$J$2:$UK$29),0))</f>
        <v>0,0</v>
      </c>
      <c r="O129" s="21" t="str" cm="1">
        <f t="array" ref="O129">IF(OR(Samenvatting!$C129="",ISBLANK(Samenvatting!$C129)),"0,0",IFERROR(SUMPRODUCT((Renteberekening!$B$2:$B$29=Samenvatting!$C129) * (YEAR(Renteberekening!$J$1:$UK$1)=YEAR(Samenvatting!O$41)) * Renteberekening!$J$2:$UK$29),0))</f>
        <v>0,0</v>
      </c>
      <c r="P129" s="21" t="str" cm="1">
        <f t="array" ref="P129">IF(OR(Samenvatting!$C129="",ISBLANK(Samenvatting!$C129)),"0,0",IFERROR(SUMPRODUCT((Renteberekening!$B$2:$B$29=Samenvatting!$C129) * (YEAR(Renteberekening!$J$1:$UK$1)=YEAR(Samenvatting!P$41)) * Renteberekening!$J$2:$UK$29),0))</f>
        <v>0,0</v>
      </c>
      <c r="Q129" s="21" t="str" cm="1">
        <f t="array" ref="Q129">IF(OR(Samenvatting!$C129="",ISBLANK(Samenvatting!$C129)),"0,0",IFERROR(SUMPRODUCT((Renteberekening!$B$2:$B$29=Samenvatting!$C129) * (YEAR(Renteberekening!$J$1:$UK$1)=YEAR(Samenvatting!Q$41)) * Renteberekening!$J$2:$UK$29),0))</f>
        <v>0,0</v>
      </c>
      <c r="R129" s="21" t="str" cm="1">
        <f t="array" ref="R129">IF(OR(Samenvatting!$C129="",ISBLANK(Samenvatting!$C129)),"0,0",IFERROR(SUMPRODUCT((Renteberekening!$B$2:$B$29=Samenvatting!$C129) * (YEAR(Renteberekening!$J$1:$UK$1)=YEAR(Samenvatting!R$41)) * Renteberekening!$J$2:$UK$29),0))</f>
        <v>0,0</v>
      </c>
      <c r="S129" s="21" t="str" cm="1">
        <f t="array" ref="S129">IF(OR(Samenvatting!$C129="",ISBLANK(Samenvatting!$C129)),"0,0",IFERROR(SUMPRODUCT((Renteberekening!$B$2:$B$29=Samenvatting!$C129) * (YEAR(Renteberekening!$J$1:$UK$1)=YEAR(Samenvatting!S$41)) * Renteberekening!$J$2:$UK$29),0))</f>
        <v>0,0</v>
      </c>
      <c r="T129" s="21" t="str" cm="1">
        <f t="array" ref="T129">IF(OR(Samenvatting!$C129="",ISBLANK(Samenvatting!$C129)),"0,0",IFERROR(SUMPRODUCT((Renteberekening!$B$2:$B$29=Samenvatting!$C129) * (YEAR(Renteberekening!$J$1:$UK$1)=YEAR(Samenvatting!T$41)) * Renteberekening!$J$2:$UK$29),0))</f>
        <v>0,0</v>
      </c>
      <c r="U129" s="21" t="str" cm="1">
        <f t="array" ref="U129">IF(OR(Samenvatting!$C129="",ISBLANK(Samenvatting!$C129)),"0,0",IFERROR(SUMPRODUCT((Renteberekening!$B$2:$B$29=Samenvatting!$C129) * (YEAR(Renteberekening!$J$1:$UK$1)=YEAR(Samenvatting!U$41)) * Renteberekening!$J$2:$UK$29),0))</f>
        <v>0,0</v>
      </c>
      <c r="V129" s="21" t="str" cm="1">
        <f t="array" ref="V129">IF(OR(Samenvatting!$C129="",ISBLANK(Samenvatting!$C129)),"0,0",IFERROR(SUMPRODUCT((Renteberekening!$B$2:$B$29=Samenvatting!$C129) * (YEAR(Renteberekening!$J$1:$UK$1)=YEAR(Samenvatting!V$41)) * Renteberekening!$J$2:$UK$29),0))</f>
        <v>0,0</v>
      </c>
      <c r="W129" s="21" t="str" cm="1">
        <f t="array" ref="W129">IF(OR(Samenvatting!$C129="",ISBLANK(Samenvatting!$C129)),"0,0",IFERROR(SUMPRODUCT((Renteberekening!$B$2:$B$29=Samenvatting!$C129) * (YEAR(Renteberekening!$J$1:$UK$1)=YEAR(Samenvatting!W$41)) * Renteberekening!$J$2:$UK$29),0))</f>
        <v>0,0</v>
      </c>
      <c r="X129" s="21" t="str" cm="1">
        <f t="array" ref="X129">IF(OR(Samenvatting!$C129="",ISBLANK(Samenvatting!$C129)),"0,0",IFERROR(SUMPRODUCT((Renteberekening!$B$2:$B$29=Samenvatting!$C129) * (YEAR(Renteberekening!$J$1:$UK$1)=YEAR(Samenvatting!X$41)) * Renteberekening!$J$2:$UK$29),0))</f>
        <v>0,0</v>
      </c>
      <c r="Y129" s="21" t="str" cm="1">
        <f t="array" ref="Y129">IF(OR(Samenvatting!$C129="",ISBLANK(Samenvatting!$C129)),"0,0",IFERROR(SUMPRODUCT((Renteberekening!$B$2:$B$29=Samenvatting!$C129) * (YEAR(Renteberekening!$J$1:$UK$1)=YEAR(Samenvatting!Y$41)) * Renteberekening!$J$2:$UK$29),0))</f>
        <v>0,0</v>
      </c>
      <c r="Z129" s="21" t="str" cm="1">
        <f t="array" ref="Z129">IF(OR(Samenvatting!$C129="",ISBLANK(Samenvatting!$C129)),"0,0",IFERROR(SUMPRODUCT((Renteberekening!$B$2:$B$29=Samenvatting!$C129) * (YEAR(Renteberekening!$J$1:$UK$1)=YEAR(Samenvatting!Z$41)) * Renteberekening!$J$2:$UK$29),0))</f>
        <v>0,0</v>
      </c>
      <c r="AA129" s="21" t="str" cm="1">
        <f t="array" ref="AA129">IF(OR(Samenvatting!$C129="",ISBLANK(Samenvatting!$C129)),"0,0",IFERROR(SUMPRODUCT((Renteberekening!$B$2:$B$29=Samenvatting!$C129) * (YEAR(Renteberekening!$J$1:$UK$1)=YEAR(Samenvatting!AA$41)) * Renteberekening!$J$2:$UK$29),0))</f>
        <v>0,0</v>
      </c>
      <c r="AB129" s="21" t="str" cm="1">
        <f t="array" ref="AB129">IF(OR(Samenvatting!$C129="",ISBLANK(Samenvatting!$C129)),"0,0",IFERROR(SUMPRODUCT((Renteberekening!$B$2:$B$29=Samenvatting!$C129) * (YEAR(Renteberekening!$J$1:$UK$1)=YEAR(Samenvatting!AB$41)) * Renteberekening!$J$2:$UK$29),0))</f>
        <v>0,0</v>
      </c>
      <c r="AC129" s="21" t="str" cm="1">
        <f t="array" ref="AC129">IF(OR(Samenvatting!$C129="",ISBLANK(Samenvatting!$C129)),"0,0",IFERROR(SUMPRODUCT((Renteberekening!$B$2:$B$29=Samenvatting!$C129) * (YEAR(Renteberekening!$J$1:$UK$1)=YEAR(Samenvatting!AC$41)) * Renteberekening!$J$2:$UK$29),0))</f>
        <v>0,0</v>
      </c>
      <c r="AD129" s="21" t="str" cm="1">
        <f t="array" ref="AD129">IF(OR(Samenvatting!$C129="",ISBLANK(Samenvatting!$C129)),"0,0",IFERROR(SUMPRODUCT((Renteberekening!$B$2:$B$29=Samenvatting!$C129) * (YEAR(Renteberekening!$J$1:$UK$1)=YEAR(Samenvatting!AD$41)) * Renteberekening!$J$2:$UK$29),0))</f>
        <v>0,0</v>
      </c>
      <c r="AE129" s="21" t="str" cm="1">
        <f t="array" ref="AE129">IF(OR(Samenvatting!$C129="",ISBLANK(Samenvatting!$C129)),"0,0",IFERROR(SUMPRODUCT((Renteberekening!$B$2:$B$29=Samenvatting!$C129) * (YEAR(Renteberekening!$J$1:$UK$1)=YEAR(Samenvatting!AE$41)) * Renteberekening!$J$2:$UK$29),0))</f>
        <v>0,0</v>
      </c>
      <c r="AF129" s="21" t="str" cm="1">
        <f t="array" ref="AF129">IF(OR(Samenvatting!$C129="",ISBLANK(Samenvatting!$C129)),"0,0",IFERROR(SUMPRODUCT((Renteberekening!$B$2:$B$29=Samenvatting!$C129) * (YEAR(Renteberekening!$J$1:$UK$1)=YEAR(Samenvatting!AF$41)) * Renteberekening!$J$2:$UK$29),0))</f>
        <v>0,0</v>
      </c>
      <c r="AG129" s="21" t="str" cm="1">
        <f t="array" ref="AG129">IF(OR(Samenvatting!$C129="",ISBLANK(Samenvatting!$C129)),"0,0",IFERROR(SUMPRODUCT((Renteberekening!$B$2:$B$29=Samenvatting!$C129) * (YEAR(Renteberekening!$J$1:$UK$1)=YEAR(Samenvatting!AG$41)) * Renteberekening!$J$2:$UK$29),0))</f>
        <v>0,0</v>
      </c>
      <c r="AH129" s="21" t="str" cm="1">
        <f t="array" ref="AH129">IF(OR(Samenvatting!$C129="",ISBLANK(Samenvatting!$C129)),"0,0",IFERROR(SUMPRODUCT((Renteberekening!$B$2:$B$29=Samenvatting!$C129) * (YEAR(Renteberekening!$J$1:$UK$1)=YEAR(Samenvatting!AH$41)) * Renteberekening!$J$2:$UK$29),0))</f>
        <v>0,0</v>
      </c>
      <c r="AI129" s="21" t="str" cm="1">
        <f t="array" ref="AI129">IF(OR(Samenvatting!$C129="",ISBLANK(Samenvatting!$C129)),"0,0",IFERROR(SUMPRODUCT((Renteberekening!$B$2:$B$29=Samenvatting!$C129) * (YEAR(Renteberekening!$J$1:$UK$1)=YEAR(Samenvatting!AI$41)) * Renteberekening!$J$2:$UK$29),0))</f>
        <v>0,0</v>
      </c>
      <c r="AJ129" s="21" t="str" cm="1">
        <f t="array" ref="AJ129">IF(OR(Samenvatting!$C129="",ISBLANK(Samenvatting!$C129)),"0,0",IFERROR(SUMPRODUCT((Renteberekening!$B$2:$B$29=Samenvatting!$C129) * (YEAR(Renteberekening!$J$1:$UK$1)=YEAR(Samenvatting!AJ$41)) * Renteberekening!$J$2:$UK$29),0))</f>
        <v>0,0</v>
      </c>
      <c r="AK129" s="21" t="str" cm="1">
        <f t="array" ref="AK129">IF(OR(Samenvatting!$C129="",ISBLANK(Samenvatting!$C129)),"0,0",IFERROR(SUMPRODUCT((Renteberekening!$B$2:$B$29=Samenvatting!$C129) * (YEAR(Renteberekening!$J$1:$UK$1)=YEAR(Samenvatting!AK$41)) * Renteberekening!$J$2:$UK$29),0))</f>
        <v>0,0</v>
      </c>
      <c r="AL129" s="21" t="str" cm="1">
        <f t="array" ref="AL129">IF(OR(Samenvatting!$C129="",ISBLANK(Samenvatting!$C129)),"0,0",IFERROR(SUMPRODUCT((Renteberekening!$B$2:$B$29=Samenvatting!$C129) * (YEAR(Renteberekening!$J$1:$UK$1)=YEAR(Samenvatting!AL$41)) * Renteberekening!$J$2:$UK$29),0))</f>
        <v>0,0</v>
      </c>
      <c r="AM129" s="21" t="str" cm="1">
        <f t="array" ref="AM129">IF(OR(Samenvatting!$C129="",ISBLANK(Samenvatting!$C129)),"0,0",IFERROR(SUMPRODUCT((Renteberekening!$B$2:$B$29=Samenvatting!$C129) * (YEAR(Renteberekening!$J$1:$UK$1)=YEAR(Samenvatting!AM$41)) * Renteberekening!$J$2:$UK$29),0))</f>
        <v>0,0</v>
      </c>
      <c r="AN129" s="21" t="str" cm="1">
        <f t="array" ref="AN129">IF(OR(Samenvatting!$C129="",ISBLANK(Samenvatting!$C129)),"0,0",IFERROR(SUMPRODUCT((Renteberekening!$B$2:$B$29=Samenvatting!$C129) * (YEAR(Renteberekening!$J$1:$UK$1)=YEAR(Samenvatting!AN$41)) * Renteberekening!$J$2:$UK$29),0))</f>
        <v>0,0</v>
      </c>
      <c r="AO129" s="21" t="str" cm="1">
        <f t="array" ref="AO129">IF(OR(Samenvatting!$C129="",ISBLANK(Samenvatting!$C129)),"0,0",IFERROR(SUMPRODUCT((Renteberekening!$B$2:$B$29=Samenvatting!$C129) * (YEAR(Renteberekening!$J$1:$UK$1)=YEAR(Samenvatting!AO$41)) * Renteberekening!$J$2:$UK$29),0))</f>
        <v>0,0</v>
      </c>
      <c r="AP129" s="21" t="str" cm="1">
        <f t="array" ref="AP129">IF(OR(Samenvatting!$C129="",ISBLANK(Samenvatting!$C129)),"0,0",IFERROR(SUMPRODUCT((Renteberekening!$B$2:$B$29=Samenvatting!$C129) * (YEAR(Renteberekening!$J$1:$UK$1)=YEAR(Samenvatting!AP$41)) * Renteberekening!$J$2:$UK$29),0))</f>
        <v>0,0</v>
      </c>
      <c r="AQ129" s="21" t="str" cm="1">
        <f t="array" ref="AQ129">IF(OR(Samenvatting!$C129="",ISBLANK(Samenvatting!$C129)),"0,0",IFERROR(SUMPRODUCT((Renteberekening!$B$2:$B$29=Samenvatting!$C129) * (YEAR(Renteberekening!$J$1:$UK$1)=YEAR(Samenvatting!AQ$41)) * Renteberekening!$J$2:$UK$29),0))</f>
        <v>0,0</v>
      </c>
      <c r="AR129" s="21" t="str" cm="1">
        <f t="array" ref="AR129">IF(OR(Samenvatting!$C129="",ISBLANK(Samenvatting!$C129)),"0,0",IFERROR(SUMPRODUCT((Renteberekening!$B$2:$B$29=Samenvatting!$C129) * (YEAR(Renteberekening!$J$1:$UK$1)=YEAR(Samenvatting!AR$41)) * Renteberekening!$J$2:$UK$29),0))</f>
        <v>0,0</v>
      </c>
      <c r="AS129" s="21" t="str" cm="1">
        <f t="array" ref="AS129">IF(OR(Samenvatting!$C129="",ISBLANK(Samenvatting!$C129)),"0,0",IFERROR(SUMPRODUCT((Renteberekening!$B$2:$B$29=Samenvatting!$C129) * (YEAR(Renteberekening!$J$1:$UK$1)=YEAR(Samenvatting!AS$41)) * Renteberekening!$J$2:$UK$29),0))</f>
        <v>0,0</v>
      </c>
      <c r="AT129" s="21" t="str" cm="1">
        <f t="array" ref="AT129">IF(OR(Samenvatting!$C129="",ISBLANK(Samenvatting!$C129)),"0,0",IFERROR(SUMPRODUCT((Renteberekening!$B$2:$B$29=Samenvatting!$C129) * (YEAR(Renteberekening!$J$1:$UK$1)=YEAR(Samenvatting!AT$41)) * Renteberekening!$J$2:$UK$29),0))</f>
        <v>0,0</v>
      </c>
      <c r="AU129" s="21" t="str" cm="1">
        <f t="array" ref="AU129">IF(OR(Samenvatting!$C129="",ISBLANK(Samenvatting!$C129)),"0,0",IFERROR(SUMPRODUCT((Renteberekening!$B$2:$B$29=Samenvatting!$C129) * (YEAR(Renteberekening!$J$1:$UK$1)=YEAR(Samenvatting!AU$41)) * Renteberekening!$J$2:$UK$29),0))</f>
        <v>0,0</v>
      </c>
      <c r="AW129" s="1"/>
      <c r="DJ129" s="11"/>
    </row>
    <row r="130" spans="3:114" ht="30" customHeight="1" collapsed="1">
      <c r="C130" s="20"/>
      <c r="D130" s="21">
        <v>1</v>
      </c>
      <c r="E130" s="21" t="s">
        <v>10</v>
      </c>
      <c r="F130" s="86"/>
      <c r="G130" s="86"/>
      <c r="H130" s="105">
        <v>7.4999999999999997E-2</v>
      </c>
      <c r="I130" s="69">
        <v>47118</v>
      </c>
      <c r="J130" s="70">
        <f t="shared" si="8"/>
        <v>3</v>
      </c>
      <c r="K130" s="69">
        <v>48213</v>
      </c>
      <c r="L130" s="21" t="str" cm="1">
        <f t="array" ref="L130">IF(OR(Samenvatting!$C130="",ISBLANK(Samenvatting!$C130)),"0,0",IFERROR(SUMPRODUCT((Renteberekening!$B$2:$B$29=Samenvatting!$C130) * (YEAR(Renteberekening!$J$1:$UK$1)=YEAR(Samenvatting!L$41)) * Renteberekening!$J$2:$UK$29),0))</f>
        <v>0,0</v>
      </c>
      <c r="M130" s="21" t="str" cm="1">
        <f t="array" ref="M130">IF(OR(Samenvatting!$C130="",ISBLANK(Samenvatting!$C130)),"0,0",IFERROR(SUMPRODUCT((Renteberekening!$B$2:$B$29=Samenvatting!$C130) * (YEAR(Renteberekening!$J$1:$UK$1)=YEAR(Samenvatting!M$41)) * Renteberekening!$J$2:$UK$29),0))</f>
        <v>0,0</v>
      </c>
      <c r="N130" s="21" t="str" cm="1">
        <f t="array" ref="N130">IF(OR(Samenvatting!$C130="",ISBLANK(Samenvatting!$C130)),"0,0",IFERROR(SUMPRODUCT((Renteberekening!$B$2:$B$29=Samenvatting!$C130) * (YEAR(Renteberekening!$J$1:$UK$1)=YEAR(Samenvatting!N$41)) * Renteberekening!$J$2:$UK$29),0))</f>
        <v>0,0</v>
      </c>
      <c r="O130" s="21" t="str" cm="1">
        <f t="array" ref="O130">IF(OR(Samenvatting!$C130="",ISBLANK(Samenvatting!$C130)),"0,0",IFERROR(SUMPRODUCT((Renteberekening!$B$2:$B$29=Samenvatting!$C130) * (YEAR(Renteberekening!$J$1:$UK$1)=YEAR(Samenvatting!O$41)) * Renteberekening!$J$2:$UK$29),0))</f>
        <v>0,0</v>
      </c>
      <c r="P130" s="21" t="str" cm="1">
        <f t="array" ref="P130">IF(OR(Samenvatting!$C130="",ISBLANK(Samenvatting!$C130)),"0,0",IFERROR(SUMPRODUCT((Renteberekening!$B$2:$B$29=Samenvatting!$C130) * (YEAR(Renteberekening!$J$1:$UK$1)=YEAR(Samenvatting!P$41)) * Renteberekening!$J$2:$UK$29),0))</f>
        <v>0,0</v>
      </c>
      <c r="Q130" s="21" t="str" cm="1">
        <f t="array" ref="Q130">IF(OR(Samenvatting!$C130="",ISBLANK(Samenvatting!$C130)),"0,0",IFERROR(SUMPRODUCT((Renteberekening!$B$2:$B$29=Samenvatting!$C130) * (YEAR(Renteberekening!$J$1:$UK$1)=YEAR(Samenvatting!Q$41)) * Renteberekening!$J$2:$UK$29),0))</f>
        <v>0,0</v>
      </c>
      <c r="R130" s="21" t="str" cm="1">
        <f t="array" ref="R130">IF(OR(Samenvatting!$C130="",ISBLANK(Samenvatting!$C130)),"0,0",IFERROR(SUMPRODUCT((Renteberekening!$B$2:$B$29=Samenvatting!$C130) * (YEAR(Renteberekening!$J$1:$UK$1)=YEAR(Samenvatting!R$41)) * Renteberekening!$J$2:$UK$29),0))</f>
        <v>0,0</v>
      </c>
      <c r="S130" s="21" t="str" cm="1">
        <f t="array" ref="S130">IF(OR(Samenvatting!$C130="",ISBLANK(Samenvatting!$C130)),"0,0",IFERROR(SUMPRODUCT((Renteberekening!$B$2:$B$29=Samenvatting!$C130) * (YEAR(Renteberekening!$J$1:$UK$1)=YEAR(Samenvatting!S$41)) * Renteberekening!$J$2:$UK$29),0))</f>
        <v>0,0</v>
      </c>
      <c r="T130" s="21" t="str" cm="1">
        <f t="array" ref="T130">IF(OR(Samenvatting!$C130="",ISBLANK(Samenvatting!$C130)),"0,0",IFERROR(SUMPRODUCT((Renteberekening!$B$2:$B$29=Samenvatting!$C130) * (YEAR(Renteberekening!$J$1:$UK$1)=YEAR(Samenvatting!T$41)) * Renteberekening!$J$2:$UK$29),0))</f>
        <v>0,0</v>
      </c>
      <c r="U130" s="21" t="str" cm="1">
        <f t="array" ref="U130">IF(OR(Samenvatting!$C130="",ISBLANK(Samenvatting!$C130)),"0,0",IFERROR(SUMPRODUCT((Renteberekening!$B$2:$B$29=Samenvatting!$C130) * (YEAR(Renteberekening!$J$1:$UK$1)=YEAR(Samenvatting!U$41)) * Renteberekening!$J$2:$UK$29),0))</f>
        <v>0,0</v>
      </c>
      <c r="V130" s="21" t="str" cm="1">
        <f t="array" ref="V130">IF(OR(Samenvatting!$C130="",ISBLANK(Samenvatting!$C130)),"0,0",IFERROR(SUMPRODUCT((Renteberekening!$B$2:$B$29=Samenvatting!$C130) * (YEAR(Renteberekening!$J$1:$UK$1)=YEAR(Samenvatting!V$41)) * Renteberekening!$J$2:$UK$29),0))</f>
        <v>0,0</v>
      </c>
      <c r="W130" s="21" t="str" cm="1">
        <f t="array" ref="W130">IF(OR(Samenvatting!$C130="",ISBLANK(Samenvatting!$C130)),"0,0",IFERROR(SUMPRODUCT((Renteberekening!$B$2:$B$29=Samenvatting!$C130) * (YEAR(Renteberekening!$J$1:$UK$1)=YEAR(Samenvatting!W$41)) * Renteberekening!$J$2:$UK$29),0))</f>
        <v>0,0</v>
      </c>
      <c r="X130" s="21" t="str" cm="1">
        <f t="array" ref="X130">IF(OR(Samenvatting!$C130="",ISBLANK(Samenvatting!$C130)),"0,0",IFERROR(SUMPRODUCT((Renteberekening!$B$2:$B$29=Samenvatting!$C130) * (YEAR(Renteberekening!$J$1:$UK$1)=YEAR(Samenvatting!X$41)) * Renteberekening!$J$2:$UK$29),0))</f>
        <v>0,0</v>
      </c>
      <c r="Y130" s="21" t="str" cm="1">
        <f t="array" ref="Y130">IF(OR(Samenvatting!$C130="",ISBLANK(Samenvatting!$C130)),"0,0",IFERROR(SUMPRODUCT((Renteberekening!$B$2:$B$29=Samenvatting!$C130) * (YEAR(Renteberekening!$J$1:$UK$1)=YEAR(Samenvatting!Y$41)) * Renteberekening!$J$2:$UK$29),0))</f>
        <v>0,0</v>
      </c>
      <c r="Z130" s="21" t="str" cm="1">
        <f t="array" ref="Z130">IF(OR(Samenvatting!$C130="",ISBLANK(Samenvatting!$C130)),"0,0",IFERROR(SUMPRODUCT((Renteberekening!$B$2:$B$29=Samenvatting!$C130) * (YEAR(Renteberekening!$J$1:$UK$1)=YEAR(Samenvatting!Z$41)) * Renteberekening!$J$2:$UK$29),0))</f>
        <v>0,0</v>
      </c>
      <c r="AA130" s="21" t="str" cm="1">
        <f t="array" ref="AA130">IF(OR(Samenvatting!$C130="",ISBLANK(Samenvatting!$C130)),"0,0",IFERROR(SUMPRODUCT((Renteberekening!$B$2:$B$29=Samenvatting!$C130) * (YEAR(Renteberekening!$J$1:$UK$1)=YEAR(Samenvatting!AA$41)) * Renteberekening!$J$2:$UK$29),0))</f>
        <v>0,0</v>
      </c>
      <c r="AB130" s="21" t="str" cm="1">
        <f t="array" ref="AB130">IF(OR(Samenvatting!$C130="",ISBLANK(Samenvatting!$C130)),"0,0",IFERROR(SUMPRODUCT((Renteberekening!$B$2:$B$29=Samenvatting!$C130) * (YEAR(Renteberekening!$J$1:$UK$1)=YEAR(Samenvatting!AB$41)) * Renteberekening!$J$2:$UK$29),0))</f>
        <v>0,0</v>
      </c>
      <c r="AC130" s="21" t="str" cm="1">
        <f t="array" ref="AC130">IF(OR(Samenvatting!$C130="",ISBLANK(Samenvatting!$C130)),"0,0",IFERROR(SUMPRODUCT((Renteberekening!$B$2:$B$29=Samenvatting!$C130) * (YEAR(Renteberekening!$J$1:$UK$1)=YEAR(Samenvatting!AC$41)) * Renteberekening!$J$2:$UK$29),0))</f>
        <v>0,0</v>
      </c>
      <c r="AD130" s="21" t="str" cm="1">
        <f t="array" ref="AD130">IF(OR(Samenvatting!$C130="",ISBLANK(Samenvatting!$C130)),"0,0",IFERROR(SUMPRODUCT((Renteberekening!$B$2:$B$29=Samenvatting!$C130) * (YEAR(Renteberekening!$J$1:$UK$1)=YEAR(Samenvatting!AD$41)) * Renteberekening!$J$2:$UK$29),0))</f>
        <v>0,0</v>
      </c>
      <c r="AE130" s="21" t="str" cm="1">
        <f t="array" ref="AE130">IF(OR(Samenvatting!$C130="",ISBLANK(Samenvatting!$C130)),"0,0",IFERROR(SUMPRODUCT((Renteberekening!$B$2:$B$29=Samenvatting!$C130) * (YEAR(Renteberekening!$J$1:$UK$1)=YEAR(Samenvatting!AE$41)) * Renteberekening!$J$2:$UK$29),0))</f>
        <v>0,0</v>
      </c>
      <c r="AF130" s="21" t="str" cm="1">
        <f t="array" ref="AF130">IF(OR(Samenvatting!$C130="",ISBLANK(Samenvatting!$C130)),"0,0",IFERROR(SUMPRODUCT((Renteberekening!$B$2:$B$29=Samenvatting!$C130) * (YEAR(Renteberekening!$J$1:$UK$1)=YEAR(Samenvatting!AF$41)) * Renteberekening!$J$2:$UK$29),0))</f>
        <v>0,0</v>
      </c>
      <c r="AG130" s="21" t="str" cm="1">
        <f t="array" ref="AG130">IF(OR(Samenvatting!$C130="",ISBLANK(Samenvatting!$C130)),"0,0",IFERROR(SUMPRODUCT((Renteberekening!$B$2:$B$29=Samenvatting!$C130) * (YEAR(Renteberekening!$J$1:$UK$1)=YEAR(Samenvatting!AG$41)) * Renteberekening!$J$2:$UK$29),0))</f>
        <v>0,0</v>
      </c>
      <c r="AH130" s="21" t="str" cm="1">
        <f t="array" ref="AH130">IF(OR(Samenvatting!$C130="",ISBLANK(Samenvatting!$C130)),"0,0",IFERROR(SUMPRODUCT((Renteberekening!$B$2:$B$29=Samenvatting!$C130) * (YEAR(Renteberekening!$J$1:$UK$1)=YEAR(Samenvatting!AH$41)) * Renteberekening!$J$2:$UK$29),0))</f>
        <v>0,0</v>
      </c>
      <c r="AI130" s="21" t="str" cm="1">
        <f t="array" ref="AI130">IF(OR(Samenvatting!$C130="",ISBLANK(Samenvatting!$C130)),"0,0",IFERROR(SUMPRODUCT((Renteberekening!$B$2:$B$29=Samenvatting!$C130) * (YEAR(Renteberekening!$J$1:$UK$1)=YEAR(Samenvatting!AI$41)) * Renteberekening!$J$2:$UK$29),0))</f>
        <v>0,0</v>
      </c>
      <c r="AJ130" s="21" t="str" cm="1">
        <f t="array" ref="AJ130">IF(OR(Samenvatting!$C130="",ISBLANK(Samenvatting!$C130)),"0,0",IFERROR(SUMPRODUCT((Renteberekening!$B$2:$B$29=Samenvatting!$C130) * (YEAR(Renteberekening!$J$1:$UK$1)=YEAR(Samenvatting!AJ$41)) * Renteberekening!$J$2:$UK$29),0))</f>
        <v>0,0</v>
      </c>
      <c r="AK130" s="21" t="str" cm="1">
        <f t="array" ref="AK130">IF(OR(Samenvatting!$C130="",ISBLANK(Samenvatting!$C130)),"0,0",IFERROR(SUMPRODUCT((Renteberekening!$B$2:$B$29=Samenvatting!$C130) * (YEAR(Renteberekening!$J$1:$UK$1)=YEAR(Samenvatting!AK$41)) * Renteberekening!$J$2:$UK$29),0))</f>
        <v>0,0</v>
      </c>
      <c r="AL130" s="21" t="str" cm="1">
        <f t="array" ref="AL130">IF(OR(Samenvatting!$C130="",ISBLANK(Samenvatting!$C130)),"0,0",IFERROR(SUMPRODUCT((Renteberekening!$B$2:$B$29=Samenvatting!$C130) * (YEAR(Renteberekening!$J$1:$UK$1)=YEAR(Samenvatting!AL$41)) * Renteberekening!$J$2:$UK$29),0))</f>
        <v>0,0</v>
      </c>
      <c r="AM130" s="21" t="str" cm="1">
        <f t="array" ref="AM130">IF(OR(Samenvatting!$C130="",ISBLANK(Samenvatting!$C130)),"0,0",IFERROR(SUMPRODUCT((Renteberekening!$B$2:$B$29=Samenvatting!$C130) * (YEAR(Renteberekening!$J$1:$UK$1)=YEAR(Samenvatting!AM$41)) * Renteberekening!$J$2:$UK$29),0))</f>
        <v>0,0</v>
      </c>
      <c r="AN130" s="21" t="str" cm="1">
        <f t="array" ref="AN130">IF(OR(Samenvatting!$C130="",ISBLANK(Samenvatting!$C130)),"0,0",IFERROR(SUMPRODUCT((Renteberekening!$B$2:$B$29=Samenvatting!$C130) * (YEAR(Renteberekening!$J$1:$UK$1)=YEAR(Samenvatting!AN$41)) * Renteberekening!$J$2:$UK$29),0))</f>
        <v>0,0</v>
      </c>
      <c r="AO130" s="21" t="str" cm="1">
        <f t="array" ref="AO130">IF(OR(Samenvatting!$C130="",ISBLANK(Samenvatting!$C130)),"0,0",IFERROR(SUMPRODUCT((Renteberekening!$B$2:$B$29=Samenvatting!$C130) * (YEAR(Renteberekening!$J$1:$UK$1)=YEAR(Samenvatting!AO$41)) * Renteberekening!$J$2:$UK$29),0))</f>
        <v>0,0</v>
      </c>
      <c r="AP130" s="21" t="str" cm="1">
        <f t="array" ref="AP130">IF(OR(Samenvatting!$C130="",ISBLANK(Samenvatting!$C130)),"0,0",IFERROR(SUMPRODUCT((Renteberekening!$B$2:$B$29=Samenvatting!$C130) * (YEAR(Renteberekening!$J$1:$UK$1)=YEAR(Samenvatting!AP$41)) * Renteberekening!$J$2:$UK$29),0))</f>
        <v>0,0</v>
      </c>
      <c r="AQ130" s="21" t="str" cm="1">
        <f t="array" ref="AQ130">IF(OR(Samenvatting!$C130="",ISBLANK(Samenvatting!$C130)),"0,0",IFERROR(SUMPRODUCT((Renteberekening!$B$2:$B$29=Samenvatting!$C130) * (YEAR(Renteberekening!$J$1:$UK$1)=YEAR(Samenvatting!AQ$41)) * Renteberekening!$J$2:$UK$29),0))</f>
        <v>0,0</v>
      </c>
      <c r="AR130" s="21" t="str" cm="1">
        <f t="array" ref="AR130">IF(OR(Samenvatting!$C130="",ISBLANK(Samenvatting!$C130)),"0,0",IFERROR(SUMPRODUCT((Renteberekening!$B$2:$B$29=Samenvatting!$C130) * (YEAR(Renteberekening!$J$1:$UK$1)=YEAR(Samenvatting!AR$41)) * Renteberekening!$J$2:$UK$29),0))</f>
        <v>0,0</v>
      </c>
      <c r="AS130" s="21" t="str" cm="1">
        <f t="array" ref="AS130">IF(OR(Samenvatting!$C130="",ISBLANK(Samenvatting!$C130)),"0,0",IFERROR(SUMPRODUCT((Renteberekening!$B$2:$B$29=Samenvatting!$C130) * (YEAR(Renteberekening!$J$1:$UK$1)=YEAR(Samenvatting!AS$41)) * Renteberekening!$J$2:$UK$29),0))</f>
        <v>0,0</v>
      </c>
      <c r="AT130" s="21" t="str" cm="1">
        <f t="array" ref="AT130">IF(OR(Samenvatting!$C130="",ISBLANK(Samenvatting!$C130)),"0,0",IFERROR(SUMPRODUCT((Renteberekening!$B$2:$B$29=Samenvatting!$C130) * (YEAR(Renteberekening!$J$1:$UK$1)=YEAR(Samenvatting!AT$41)) * Renteberekening!$J$2:$UK$29),0))</f>
        <v>0,0</v>
      </c>
      <c r="AU130" s="21" t="str" cm="1">
        <f t="array" ref="AU130">IF(OR(Samenvatting!$C130="",ISBLANK(Samenvatting!$C130)),"0,0",IFERROR(SUMPRODUCT((Renteberekening!$B$2:$B$29=Samenvatting!$C130) * (YEAR(Renteberekening!$J$1:$UK$1)=YEAR(Samenvatting!AU$41)) * Renteberekening!$J$2:$UK$29),0))</f>
        <v>0,0</v>
      </c>
      <c r="AW130" s="1"/>
      <c r="DJ130" s="11"/>
    </row>
    <row r="131" spans="3:114" ht="30" customHeight="1">
      <c r="C131" s="73" t="s">
        <v>243</v>
      </c>
      <c r="D131" s="72"/>
      <c r="E131" s="72" t="s">
        <v>10</v>
      </c>
      <c r="F131" s="84"/>
      <c r="G131" s="84"/>
      <c r="H131" s="117"/>
      <c r="I131" s="72"/>
      <c r="J131" s="72"/>
      <c r="K131" s="72"/>
      <c r="L131" s="71">
        <f>SUM(L103:L130)</f>
        <v>-6000525.1864658073</v>
      </c>
      <c r="M131" s="71">
        <f>L131+SUM(M103:M130)</f>
        <v>-1717949.0896391403</v>
      </c>
      <c r="N131" s="71">
        <f t="shared" ref="N131:X131" si="9">M131+SUM(N103:N130)</f>
        <v>469861.78958171979</v>
      </c>
      <c r="O131" s="71">
        <f t="shared" si="9"/>
        <v>469861.78958171979</v>
      </c>
      <c r="P131" s="71">
        <f>O131+SUM(P103:P130)</f>
        <v>469861.78958171979</v>
      </c>
      <c r="Q131" s="71">
        <f t="shared" si="9"/>
        <v>469861.78958171979</v>
      </c>
      <c r="R131" s="71">
        <f t="shared" si="9"/>
        <v>469861.78958171979</v>
      </c>
      <c r="S131" s="71">
        <f t="shared" si="9"/>
        <v>469861.78958171979</v>
      </c>
      <c r="T131" s="71">
        <f t="shared" si="9"/>
        <v>469861.78958171979</v>
      </c>
      <c r="U131" s="71">
        <f t="shared" si="9"/>
        <v>469861.78958171979</v>
      </c>
      <c r="V131" s="71">
        <f t="shared" si="9"/>
        <v>469861.78958171979</v>
      </c>
      <c r="W131" s="71">
        <f t="shared" si="9"/>
        <v>469861.78958171979</v>
      </c>
      <c r="X131" s="71">
        <f t="shared" si="9"/>
        <v>469861.78958171979</v>
      </c>
      <c r="Y131" s="71">
        <f t="shared" ref="Y131:AU131" si="10">X131+SUM(Y103:Y130)</f>
        <v>469861.78958171979</v>
      </c>
      <c r="Z131" s="71">
        <f t="shared" si="10"/>
        <v>469861.78958171979</v>
      </c>
      <c r="AA131" s="71">
        <f t="shared" si="10"/>
        <v>469861.78958171979</v>
      </c>
      <c r="AB131" s="71">
        <f t="shared" si="10"/>
        <v>469861.78958171979</v>
      </c>
      <c r="AC131" s="71">
        <f t="shared" si="10"/>
        <v>469861.78958171979</v>
      </c>
      <c r="AD131" s="71">
        <f t="shared" si="10"/>
        <v>469861.78958171979</v>
      </c>
      <c r="AE131" s="71">
        <f t="shared" si="10"/>
        <v>469861.78958171979</v>
      </c>
      <c r="AF131" s="71">
        <f t="shared" si="10"/>
        <v>469861.78958171979</v>
      </c>
      <c r="AG131" s="71">
        <f t="shared" si="10"/>
        <v>469861.78958171979</v>
      </c>
      <c r="AH131" s="71">
        <f t="shared" si="10"/>
        <v>469861.78958171979</v>
      </c>
      <c r="AI131" s="71">
        <f t="shared" si="10"/>
        <v>469861.78958171979</v>
      </c>
      <c r="AJ131" s="71">
        <f t="shared" si="10"/>
        <v>469861.78958171979</v>
      </c>
      <c r="AK131" s="71">
        <f t="shared" si="10"/>
        <v>469861.78958171979</v>
      </c>
      <c r="AL131" s="71">
        <f t="shared" si="10"/>
        <v>469861.78958171979</v>
      </c>
      <c r="AM131" s="71">
        <f t="shared" si="10"/>
        <v>469861.78958171979</v>
      </c>
      <c r="AN131" s="71">
        <f t="shared" si="10"/>
        <v>469861.78958171979</v>
      </c>
      <c r="AO131" s="71">
        <f t="shared" si="10"/>
        <v>469861.78958171979</v>
      </c>
      <c r="AP131" s="71">
        <f t="shared" si="10"/>
        <v>469861.78958171979</v>
      </c>
      <c r="AQ131" s="71">
        <f t="shared" si="10"/>
        <v>469861.78958171979</v>
      </c>
      <c r="AR131" s="71">
        <f t="shared" si="10"/>
        <v>469861.78958171979</v>
      </c>
      <c r="AS131" s="71">
        <f t="shared" si="10"/>
        <v>469861.78958171979</v>
      </c>
      <c r="AT131" s="71">
        <f t="shared" si="10"/>
        <v>469861.78958171979</v>
      </c>
      <c r="AU131" s="71">
        <f t="shared" si="10"/>
        <v>469861.78958171979</v>
      </c>
      <c r="AW131" s="1"/>
      <c r="DJ131" s="11"/>
    </row>
    <row r="132" spans="3:114" s="9" customFormat="1" ht="28.5" customHeight="1">
      <c r="C132" s="100" t="s">
        <v>22</v>
      </c>
      <c r="D132" s="101"/>
      <c r="E132" s="101" t="s">
        <v>10</v>
      </c>
      <c r="F132" s="102"/>
      <c r="G132" s="102"/>
      <c r="H132" s="119"/>
      <c r="I132" s="101"/>
      <c r="J132" s="101"/>
      <c r="K132" s="101"/>
      <c r="L132" s="103">
        <f>L101+L131</f>
        <v>-9661406.5311731678</v>
      </c>
      <c r="M132" s="103">
        <f>L132+SUM(M43:M100)+SUM(M103:M130)</f>
        <v>-9533252.8913566936</v>
      </c>
      <c r="N132" s="103">
        <f t="shared" ref="N132:X132" si="11">M132+SUM(N43:N100)+SUM(N103:N130)</f>
        <v>-9532909.3766034581</v>
      </c>
      <c r="O132" s="103">
        <f t="shared" si="11"/>
        <v>-9532915.742692437</v>
      </c>
      <c r="P132" s="103">
        <f>O132+SUM(P43:P100)+SUM(P103:P130)</f>
        <v>-9533081.2851960007</v>
      </c>
      <c r="Q132" s="103">
        <f>P132+SUM(Q43:Q100)+SUM(Q103:Q130)</f>
        <v>-9530885.1537567247</v>
      </c>
      <c r="R132" s="103">
        <f t="shared" si="11"/>
        <v>-9531064.6999153923</v>
      </c>
      <c r="S132" s="103">
        <f t="shared" si="11"/>
        <v>-9530338.2829508837</v>
      </c>
      <c r="T132" s="103">
        <f t="shared" si="11"/>
        <v>-4901047.8704142421</v>
      </c>
      <c r="U132" s="103">
        <f t="shared" si="11"/>
        <v>1333110.3195517762</v>
      </c>
      <c r="V132" s="103">
        <f t="shared" si="11"/>
        <v>7491006.0456971871</v>
      </c>
      <c r="W132" s="103">
        <f t="shared" si="11"/>
        <v>13409123.971580319</v>
      </c>
      <c r="X132" s="103">
        <f t="shared" si="11"/>
        <v>18355444.656641379</v>
      </c>
      <c r="Y132" s="103">
        <f t="shared" ref="Y132:AU132" si="12">X132+SUM(Y43:Y100)+SUM(Y103:Y130)</f>
        <v>22099008.83054753</v>
      </c>
      <c r="Z132" s="103">
        <f t="shared" si="12"/>
        <v>24399236.815621883</v>
      </c>
      <c r="AA132" s="103">
        <f t="shared" si="12"/>
        <v>25690222.108050853</v>
      </c>
      <c r="AB132" s="103">
        <f t="shared" si="12"/>
        <v>26271624.236219484</v>
      </c>
      <c r="AC132" s="103">
        <f t="shared" si="12"/>
        <v>26408418.833886873</v>
      </c>
      <c r="AD132" s="103">
        <f t="shared" si="12"/>
        <v>26408418.833886873</v>
      </c>
      <c r="AE132" s="103">
        <f t="shared" si="12"/>
        <v>26408418.833886873</v>
      </c>
      <c r="AF132" s="103">
        <f t="shared" si="12"/>
        <v>26408418.833886873</v>
      </c>
      <c r="AG132" s="103">
        <f t="shared" si="12"/>
        <v>26408418.833886873</v>
      </c>
      <c r="AH132" s="103">
        <f t="shared" si="12"/>
        <v>26408418.833886873</v>
      </c>
      <c r="AI132" s="103">
        <f t="shared" si="12"/>
        <v>26408418.833886873</v>
      </c>
      <c r="AJ132" s="103">
        <f t="shared" si="12"/>
        <v>26408418.833886873</v>
      </c>
      <c r="AK132" s="103">
        <f t="shared" si="12"/>
        <v>26408418.833886873</v>
      </c>
      <c r="AL132" s="103">
        <f t="shared" si="12"/>
        <v>26408418.833886873</v>
      </c>
      <c r="AM132" s="103">
        <f t="shared" si="12"/>
        <v>26408418.833886873</v>
      </c>
      <c r="AN132" s="103">
        <f t="shared" si="12"/>
        <v>26408418.833886873</v>
      </c>
      <c r="AO132" s="103">
        <f t="shared" si="12"/>
        <v>26408418.833886873</v>
      </c>
      <c r="AP132" s="103">
        <f t="shared" si="12"/>
        <v>26408418.833886873</v>
      </c>
      <c r="AQ132" s="103">
        <f t="shared" si="12"/>
        <v>26408418.833886873</v>
      </c>
      <c r="AR132" s="103">
        <f t="shared" si="12"/>
        <v>26408418.833886873</v>
      </c>
      <c r="AS132" s="103">
        <f t="shared" si="12"/>
        <v>26408418.833886873</v>
      </c>
      <c r="AT132" s="103">
        <f t="shared" si="12"/>
        <v>26408418.833886873</v>
      </c>
      <c r="AU132" s="103">
        <f t="shared" si="12"/>
        <v>26408418.833886873</v>
      </c>
    </row>
    <row r="133" spans="3:114" ht="30" customHeight="1">
      <c r="C133" s="20" t="s">
        <v>23</v>
      </c>
      <c r="D133" s="27"/>
      <c r="E133" s="27" t="s">
        <v>10</v>
      </c>
      <c r="F133" s="87"/>
      <c r="G133" s="87"/>
      <c r="H133" s="120"/>
      <c r="I133" s="27"/>
      <c r="J133" s="27"/>
      <c r="K133" s="27"/>
      <c r="L133" s="27">
        <f>L132</f>
        <v>-9661406.5311731678</v>
      </c>
      <c r="M133" s="27">
        <f t="shared" ref="M133:X133" si="13">M132</f>
        <v>-9533252.8913566936</v>
      </c>
      <c r="N133" s="27">
        <f t="shared" si="13"/>
        <v>-9532909.3766034581</v>
      </c>
      <c r="O133" s="27">
        <f t="shared" si="13"/>
        <v>-9532915.742692437</v>
      </c>
      <c r="P133" s="27">
        <f t="shared" si="13"/>
        <v>-9533081.2851960007</v>
      </c>
      <c r="Q133" s="27">
        <f t="shared" si="13"/>
        <v>-9530885.1537567247</v>
      </c>
      <c r="R133" s="27">
        <f t="shared" si="13"/>
        <v>-9531064.6999153923</v>
      </c>
      <c r="S133" s="27">
        <f t="shared" si="13"/>
        <v>-9530338.2829508837</v>
      </c>
      <c r="T133" s="27">
        <f t="shared" si="13"/>
        <v>-4901047.8704142421</v>
      </c>
      <c r="U133" s="27">
        <f t="shared" si="13"/>
        <v>1333110.3195517762</v>
      </c>
      <c r="V133" s="27">
        <f t="shared" si="13"/>
        <v>7491006.0456971871</v>
      </c>
      <c r="W133" s="27">
        <f t="shared" si="13"/>
        <v>13409123.971580319</v>
      </c>
      <c r="X133" s="27">
        <f t="shared" si="13"/>
        <v>18355444.656641379</v>
      </c>
      <c r="Y133" s="27">
        <f t="shared" ref="Y133:AD133" si="14">Y132</f>
        <v>22099008.83054753</v>
      </c>
      <c r="Z133" s="27">
        <f t="shared" si="14"/>
        <v>24399236.815621883</v>
      </c>
      <c r="AA133" s="27">
        <f t="shared" si="14"/>
        <v>25690222.108050853</v>
      </c>
      <c r="AB133" s="27">
        <f t="shared" si="14"/>
        <v>26271624.236219484</v>
      </c>
      <c r="AC133" s="27">
        <f t="shared" si="14"/>
        <v>26408418.833886873</v>
      </c>
      <c r="AD133" s="27">
        <f t="shared" si="14"/>
        <v>26408418.833886873</v>
      </c>
      <c r="AE133" s="27">
        <f t="shared" ref="AE133:AN133" si="15">AE132</f>
        <v>26408418.833886873</v>
      </c>
      <c r="AF133" s="27">
        <f t="shared" si="15"/>
        <v>26408418.833886873</v>
      </c>
      <c r="AG133" s="27">
        <f t="shared" si="15"/>
        <v>26408418.833886873</v>
      </c>
      <c r="AH133" s="27">
        <f t="shared" si="15"/>
        <v>26408418.833886873</v>
      </c>
      <c r="AI133" s="27">
        <f t="shared" si="15"/>
        <v>26408418.833886873</v>
      </c>
      <c r="AJ133" s="27">
        <f t="shared" si="15"/>
        <v>26408418.833886873</v>
      </c>
      <c r="AK133" s="27">
        <f t="shared" si="15"/>
        <v>26408418.833886873</v>
      </c>
      <c r="AL133" s="27">
        <f t="shared" si="15"/>
        <v>26408418.833886873</v>
      </c>
      <c r="AM133" s="27">
        <f t="shared" si="15"/>
        <v>26408418.833886873</v>
      </c>
      <c r="AN133" s="27">
        <f t="shared" si="15"/>
        <v>26408418.833886873</v>
      </c>
      <c r="AO133" s="27">
        <f t="shared" ref="AO133:AU133" si="16">AO132</f>
        <v>26408418.833886873</v>
      </c>
      <c r="AP133" s="27">
        <f t="shared" si="16"/>
        <v>26408418.833886873</v>
      </c>
      <c r="AQ133" s="27">
        <f t="shared" si="16"/>
        <v>26408418.833886873</v>
      </c>
      <c r="AR133" s="27">
        <f t="shared" si="16"/>
        <v>26408418.833886873</v>
      </c>
      <c r="AS133" s="27">
        <f t="shared" si="16"/>
        <v>26408418.833886873</v>
      </c>
      <c r="AT133" s="27">
        <f t="shared" si="16"/>
        <v>26408418.833886873</v>
      </c>
      <c r="AU133" s="27">
        <f t="shared" si="16"/>
        <v>26408418.833886873</v>
      </c>
      <c r="AW133" s="1"/>
      <c r="DJ133" s="11"/>
    </row>
    <row r="134" spans="3:114" ht="30" customHeight="1" thickBot="1">
      <c r="C134" s="28" t="s">
        <v>24</v>
      </c>
      <c r="D134" s="29"/>
      <c r="E134" s="29" t="s">
        <v>10</v>
      </c>
      <c r="F134" s="88"/>
      <c r="G134" s="142"/>
      <c r="H134" s="121"/>
      <c r="I134" s="69"/>
      <c r="J134" s="70"/>
      <c r="K134" s="69"/>
      <c r="L134" s="29">
        <f>SUM(L43:L100)+SUM(L103:L122)</f>
        <v>-9661406.5311731678</v>
      </c>
      <c r="M134" s="29">
        <f t="shared" ref="M134:X134" si="17">SUM(M43:M100)+SUM(M103:M122)</f>
        <v>128153.63981647324</v>
      </c>
      <c r="N134" s="29">
        <f t="shared" si="17"/>
        <v>343.51475323550403</v>
      </c>
      <c r="O134" s="29">
        <f t="shared" si="17"/>
        <v>-6.3660889792954549</v>
      </c>
      <c r="P134" s="29">
        <f>SUM(P43:P100)+SUM(P103:P122)</f>
        <v>-165.54250356368721</v>
      </c>
      <c r="Q134" s="29">
        <f t="shared" si="17"/>
        <v>2196.1314392753411</v>
      </c>
      <c r="R134" s="29">
        <f t="shared" si="17"/>
        <v>-179.54615866718814</v>
      </c>
      <c r="S134" s="29">
        <f t="shared" si="17"/>
        <v>726.4169645087095</v>
      </c>
      <c r="T134" s="29">
        <f t="shared" si="17"/>
        <v>4629290.4125366416</v>
      </c>
      <c r="U134" s="29">
        <f t="shared" si="17"/>
        <v>6234158.1899660183</v>
      </c>
      <c r="V134" s="29">
        <f t="shared" si="17"/>
        <v>6157895.7261454109</v>
      </c>
      <c r="W134" s="29">
        <f t="shared" si="17"/>
        <v>5918117.925883132</v>
      </c>
      <c r="X134" s="29">
        <f t="shared" si="17"/>
        <v>4946320.685061059</v>
      </c>
      <c r="Y134" s="29">
        <f t="shared" ref="Y134:AD134" si="18">SUM(Y43:Y100)+SUM(Y103:Y122)</f>
        <v>3743564.1739061512</v>
      </c>
      <c r="Z134" s="29">
        <f t="shared" si="18"/>
        <v>2300227.9850743543</v>
      </c>
      <c r="AA134" s="29">
        <f t="shared" si="18"/>
        <v>1290985.292428972</v>
      </c>
      <c r="AB134" s="29">
        <f t="shared" si="18"/>
        <v>581402.12816863193</v>
      </c>
      <c r="AC134" s="29">
        <f t="shared" si="18"/>
        <v>136794.59766739025</v>
      </c>
      <c r="AD134" s="29">
        <f t="shared" si="18"/>
        <v>0</v>
      </c>
      <c r="AE134" s="29">
        <f t="shared" ref="AE134:AN134" si="19">SUM(AE43:AE100)+SUM(AE103:AE122)</f>
        <v>0</v>
      </c>
      <c r="AF134" s="29">
        <f t="shared" si="19"/>
        <v>0</v>
      </c>
      <c r="AG134" s="29">
        <f t="shared" si="19"/>
        <v>0</v>
      </c>
      <c r="AH134" s="29">
        <f t="shared" si="19"/>
        <v>0</v>
      </c>
      <c r="AI134" s="29">
        <f t="shared" si="19"/>
        <v>0</v>
      </c>
      <c r="AJ134" s="29">
        <f t="shared" si="19"/>
        <v>0</v>
      </c>
      <c r="AK134" s="29">
        <f t="shared" si="19"/>
        <v>0</v>
      </c>
      <c r="AL134" s="29">
        <f t="shared" si="19"/>
        <v>0</v>
      </c>
      <c r="AM134" s="29">
        <f t="shared" si="19"/>
        <v>0</v>
      </c>
      <c r="AN134" s="29">
        <f t="shared" si="19"/>
        <v>0</v>
      </c>
      <c r="AO134" s="29">
        <f t="shared" ref="AO134:AU134" si="20">SUM(AO43:AO100)+SUM(AO103:AO122)</f>
        <v>0</v>
      </c>
      <c r="AP134" s="29">
        <f t="shared" si="20"/>
        <v>0</v>
      </c>
      <c r="AQ134" s="29">
        <f t="shared" si="20"/>
        <v>0</v>
      </c>
      <c r="AR134" s="29">
        <f t="shared" si="20"/>
        <v>0</v>
      </c>
      <c r="AS134" s="29">
        <f t="shared" si="20"/>
        <v>0</v>
      </c>
      <c r="AT134" s="29">
        <f t="shared" si="20"/>
        <v>0</v>
      </c>
      <c r="AU134" s="29">
        <f t="shared" si="20"/>
        <v>0</v>
      </c>
      <c r="AW134" s="1"/>
      <c r="DJ134" s="11"/>
    </row>
    <row r="135" spans="3:114" ht="30" customHeight="1">
      <c r="C135" s="30" t="s">
        <v>25</v>
      </c>
      <c r="D135" s="31"/>
      <c r="E135" s="31" t="s">
        <v>10</v>
      </c>
      <c r="F135" s="89"/>
      <c r="G135" s="89"/>
      <c r="H135" s="122"/>
      <c r="I135" s="31"/>
      <c r="J135" s="31"/>
      <c r="K135" s="31"/>
      <c r="L135" s="31">
        <f>SUMIF(L43:L100,"&lt;&gt;0",$F$43:$F$100)</f>
        <v>7900000</v>
      </c>
      <c r="M135" s="31">
        <f t="shared" ref="M135:AD135" si="21">SUMIF(M43:M100,"&lt;&gt;0",$F$43:$F$100)</f>
        <v>15020000</v>
      </c>
      <c r="N135" s="31">
        <f t="shared" si="21"/>
        <v>20220000</v>
      </c>
      <c r="O135" s="31">
        <f t="shared" si="21"/>
        <v>22800000</v>
      </c>
      <c r="P135" s="31">
        <f t="shared" si="21"/>
        <v>28080000</v>
      </c>
      <c r="Q135" s="31">
        <f t="shared" si="21"/>
        <v>34230000</v>
      </c>
      <c r="R135" s="31">
        <f t="shared" si="21"/>
        <v>42495000</v>
      </c>
      <c r="S135" s="31">
        <f t="shared" si="21"/>
        <v>51268000</v>
      </c>
      <c r="T135" s="31">
        <f t="shared" si="21"/>
        <v>51268000</v>
      </c>
      <c r="U135" s="31">
        <f t="shared" si="21"/>
        <v>51268000</v>
      </c>
      <c r="V135" s="31">
        <f t="shared" si="21"/>
        <v>51268000</v>
      </c>
      <c r="W135" s="31">
        <f t="shared" si="21"/>
        <v>43368000</v>
      </c>
      <c r="X135" s="31">
        <f t="shared" si="21"/>
        <v>36248000</v>
      </c>
      <c r="Y135" s="31">
        <f t="shared" si="21"/>
        <v>31048000</v>
      </c>
      <c r="Z135" s="31">
        <f t="shared" si="21"/>
        <v>28468000</v>
      </c>
      <c r="AA135" s="31">
        <f t="shared" si="21"/>
        <v>23188000</v>
      </c>
      <c r="AB135" s="31">
        <f t="shared" si="21"/>
        <v>17038000</v>
      </c>
      <c r="AC135" s="31">
        <f t="shared" si="21"/>
        <v>8773000</v>
      </c>
      <c r="AD135" s="31">
        <f t="shared" si="21"/>
        <v>0</v>
      </c>
      <c r="AE135" s="31">
        <f t="shared" ref="AE135:AN135" si="22">SUMIF(AE43:AE100,"&lt;&gt;0",$F$43:$F$100)</f>
        <v>0</v>
      </c>
      <c r="AF135" s="31">
        <f t="shared" si="22"/>
        <v>0</v>
      </c>
      <c r="AG135" s="31">
        <f t="shared" si="22"/>
        <v>0</v>
      </c>
      <c r="AH135" s="31">
        <f t="shared" si="22"/>
        <v>0</v>
      </c>
      <c r="AI135" s="31">
        <f t="shared" si="22"/>
        <v>0</v>
      </c>
      <c r="AJ135" s="31">
        <f t="shared" si="22"/>
        <v>0</v>
      </c>
      <c r="AK135" s="31">
        <f t="shared" si="22"/>
        <v>0</v>
      </c>
      <c r="AL135" s="31">
        <f t="shared" si="22"/>
        <v>0</v>
      </c>
      <c r="AM135" s="31">
        <f t="shared" si="22"/>
        <v>0</v>
      </c>
      <c r="AN135" s="31">
        <f t="shared" si="22"/>
        <v>0</v>
      </c>
      <c r="AO135" s="31">
        <f t="shared" ref="AO135:AU135" si="23">SUMIF(AO43:AO100,"&lt;&gt;0",$F$43:$F$100)</f>
        <v>0</v>
      </c>
      <c r="AP135" s="31">
        <f t="shared" si="23"/>
        <v>0</v>
      </c>
      <c r="AQ135" s="31">
        <f t="shared" si="23"/>
        <v>0</v>
      </c>
      <c r="AR135" s="31">
        <f t="shared" si="23"/>
        <v>0</v>
      </c>
      <c r="AS135" s="31">
        <f t="shared" si="23"/>
        <v>0</v>
      </c>
      <c r="AT135" s="31">
        <f t="shared" si="23"/>
        <v>0</v>
      </c>
      <c r="AU135" s="31">
        <f t="shared" si="23"/>
        <v>0</v>
      </c>
      <c r="AV135" s="11"/>
      <c r="DH135" s="1"/>
      <c r="DI135" s="1"/>
    </row>
    <row r="136" spans="3:114" ht="8.65" customHeight="1">
      <c r="C136" s="32"/>
      <c r="D136" s="32"/>
      <c r="E136" s="33"/>
      <c r="F136" s="90"/>
      <c r="G136" s="123"/>
      <c r="H136" s="13"/>
      <c r="I136" s="13"/>
      <c r="J136" s="13"/>
      <c r="K136" s="32"/>
      <c r="L136" s="32"/>
      <c r="M136" s="32"/>
      <c r="N136" s="32"/>
      <c r="O136" s="32"/>
      <c r="P136" s="32"/>
      <c r="Q136" s="32"/>
      <c r="R136" s="32"/>
      <c r="S136" s="32"/>
      <c r="T136" s="32"/>
      <c r="U136" s="32"/>
      <c r="V136" s="32"/>
      <c r="W136" s="32"/>
    </row>
    <row r="137" spans="3:114" s="9" customFormat="1" ht="28.5" hidden="1" customHeight="1" outlineLevel="1">
      <c r="C137" s="34" t="s">
        <v>26</v>
      </c>
      <c r="D137" s="35"/>
      <c r="E137" s="35"/>
      <c r="F137" s="91"/>
      <c r="G137" s="124"/>
      <c r="H137" s="36"/>
      <c r="I137" s="36"/>
      <c r="J137" s="36"/>
      <c r="K137" s="37">
        <v>1</v>
      </c>
      <c r="L137" s="37">
        <v>1</v>
      </c>
      <c r="M137" s="37">
        <v>1</v>
      </c>
      <c r="N137" s="37">
        <v>1</v>
      </c>
      <c r="O137" s="37">
        <v>1</v>
      </c>
      <c r="P137" s="37">
        <v>1</v>
      </c>
      <c r="Q137" s="38"/>
      <c r="R137" s="38"/>
      <c r="S137" s="38"/>
      <c r="T137" s="38"/>
      <c r="U137" s="38"/>
      <c r="V137" s="38"/>
      <c r="W137" s="38"/>
      <c r="X137" s="1"/>
      <c r="Y137" s="1"/>
    </row>
    <row r="138" spans="3:114" s="9" customFormat="1" ht="28.5" hidden="1" customHeight="1" outlineLevel="1">
      <c r="C138" s="39" t="s">
        <v>27</v>
      </c>
      <c r="D138" s="40"/>
      <c r="E138" s="40"/>
      <c r="F138" s="92"/>
      <c r="G138" s="124"/>
      <c r="H138" s="41"/>
      <c r="I138" s="41"/>
      <c r="J138" s="41"/>
      <c r="K138" s="42">
        <v>1</v>
      </c>
      <c r="L138" s="42">
        <v>1</v>
      </c>
      <c r="M138" s="42">
        <v>1</v>
      </c>
      <c r="N138" s="42">
        <v>1</v>
      </c>
      <c r="O138" s="42">
        <v>1</v>
      </c>
      <c r="P138" s="42">
        <v>1</v>
      </c>
      <c r="Q138" s="43"/>
      <c r="R138" s="43"/>
      <c r="S138" s="43"/>
      <c r="T138" s="43"/>
      <c r="U138" s="43"/>
      <c r="V138" s="43"/>
      <c r="W138" s="43"/>
      <c r="X138" s="1"/>
      <c r="Y138" s="1"/>
    </row>
    <row r="139" spans="3:114" s="9" customFormat="1" ht="28.5" hidden="1" customHeight="1" outlineLevel="1">
      <c r="C139" s="44" t="s">
        <v>28</v>
      </c>
      <c r="D139" s="45"/>
      <c r="E139" s="45"/>
      <c r="F139" s="93"/>
      <c r="G139" s="125"/>
      <c r="H139" s="46"/>
      <c r="I139" s="46"/>
      <c r="J139" s="46"/>
      <c r="K139" s="47">
        <f t="shared" ref="K139:P139" si="24">K137/K138</f>
        <v>1</v>
      </c>
      <c r="L139" s="47">
        <f t="shared" si="24"/>
        <v>1</v>
      </c>
      <c r="M139" s="47">
        <f t="shared" si="24"/>
        <v>1</v>
      </c>
      <c r="N139" s="47">
        <f t="shared" si="24"/>
        <v>1</v>
      </c>
      <c r="O139" s="47">
        <f t="shared" si="24"/>
        <v>1</v>
      </c>
      <c r="P139" s="47">
        <f t="shared" si="24"/>
        <v>1</v>
      </c>
      <c r="Q139" s="48"/>
      <c r="R139" s="48"/>
      <c r="S139" s="48"/>
      <c r="T139" s="49"/>
      <c r="U139" s="49"/>
      <c r="V139" s="49"/>
      <c r="W139" s="49"/>
      <c r="X139" s="1"/>
      <c r="Y139" s="1"/>
    </row>
    <row r="140" spans="3:114" s="9" customFormat="1" ht="28.5" hidden="1" customHeight="1" outlineLevel="1">
      <c r="C140" s="50"/>
      <c r="D140" s="41"/>
      <c r="E140" s="41"/>
      <c r="F140" s="94"/>
      <c r="G140" s="124"/>
      <c r="H140" s="46"/>
      <c r="I140" s="46"/>
      <c r="J140" s="46"/>
      <c r="K140" s="51"/>
      <c r="L140" s="52"/>
      <c r="M140" s="52"/>
      <c r="N140" s="52"/>
      <c r="O140" s="52"/>
      <c r="P140" s="52"/>
      <c r="Q140" s="52"/>
      <c r="R140" s="52"/>
      <c r="S140" s="46"/>
      <c r="T140" s="41"/>
      <c r="U140" s="41"/>
      <c r="V140" s="41"/>
    </row>
    <row r="141" spans="3:114" s="59" customFormat="1" ht="31.5" hidden="1" outlineLevel="1">
      <c r="C141" s="53" t="s">
        <v>29</v>
      </c>
      <c r="D141" s="54" t="s">
        <v>30</v>
      </c>
      <c r="E141" s="54" t="s">
        <v>31</v>
      </c>
      <c r="F141" s="54" t="s">
        <v>32</v>
      </c>
      <c r="G141" s="126"/>
      <c r="H141" s="55"/>
      <c r="I141" s="55"/>
      <c r="J141" s="55"/>
      <c r="K141" s="56"/>
      <c r="L141" s="56"/>
      <c r="M141" s="56"/>
      <c r="N141" s="56"/>
      <c r="O141" s="56"/>
      <c r="P141" s="56"/>
      <c r="Q141" s="56"/>
      <c r="R141" s="56"/>
      <c r="S141" s="56"/>
      <c r="T141" s="57"/>
      <c r="U141" s="57"/>
      <c r="V141" s="57"/>
      <c r="W141" s="58"/>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c r="CA141" s="60"/>
      <c r="CB141" s="60"/>
      <c r="CC141" s="60"/>
      <c r="CD141" s="60"/>
      <c r="CE141" s="60"/>
      <c r="CF141" s="60"/>
      <c r="CG141" s="60"/>
      <c r="CH141" s="60"/>
      <c r="CI141" s="60"/>
      <c r="CJ141" s="60"/>
      <c r="CK141" s="60"/>
      <c r="CL141" s="60"/>
      <c r="CM141" s="60"/>
      <c r="CN141" s="60"/>
      <c r="CO141" s="60"/>
      <c r="CP141" s="60"/>
      <c r="CQ141" s="60"/>
      <c r="CR141" s="60"/>
      <c r="CS141" s="60"/>
      <c r="CT141" s="60"/>
      <c r="CU141" s="60"/>
      <c r="CV141" s="60"/>
      <c r="CW141" s="60"/>
      <c r="CX141" s="60"/>
      <c r="CY141" s="60"/>
      <c r="CZ141" s="60"/>
      <c r="DA141" s="60"/>
      <c r="DB141" s="60"/>
      <c r="DC141" s="60"/>
      <c r="DD141" s="60"/>
      <c r="DE141" s="60"/>
      <c r="DF141" s="60"/>
      <c r="DG141" s="60"/>
      <c r="DH141" s="60"/>
      <c r="DI141" s="60"/>
    </row>
    <row r="142" spans="3:114" s="59" customFormat="1" ht="32.65" hidden="1" customHeight="1" outlineLevel="1">
      <c r="C142" s="61" t="str">
        <f>C43</f>
        <v>Secondaries Dummy</v>
      </c>
      <c r="D142" s="62">
        <f>SUM(L115:X115)/SUM(L43:X43)</f>
        <v>0</v>
      </c>
      <c r="E142" s="63">
        <f>IRR(L43:X43)</f>
        <v>0.1322930138235805</v>
      </c>
      <c r="F142" s="95">
        <f>AVERAGE(K139:P139)</f>
        <v>1</v>
      </c>
      <c r="G142" s="127"/>
      <c r="H142" s="55"/>
      <c r="I142" s="55"/>
      <c r="J142" s="55"/>
      <c r="K142" s="56"/>
      <c r="L142" s="56"/>
      <c r="M142" s="56"/>
      <c r="N142" s="56"/>
      <c r="O142" s="56"/>
      <c r="P142" s="56"/>
      <c r="Q142" s="56"/>
      <c r="R142" s="56"/>
      <c r="S142" s="56"/>
      <c r="T142" s="57"/>
      <c r="U142" s="57"/>
      <c r="V142" s="57"/>
      <c r="W142" s="58"/>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c r="CA142" s="60"/>
      <c r="CB142" s="60"/>
      <c r="CC142" s="60"/>
      <c r="CD142" s="60"/>
      <c r="CE142" s="60"/>
      <c r="CF142" s="60"/>
      <c r="CG142" s="60"/>
      <c r="CH142" s="60"/>
      <c r="CI142" s="60"/>
      <c r="CJ142" s="60"/>
      <c r="CK142" s="60"/>
      <c r="CL142" s="60"/>
      <c r="CM142" s="60"/>
      <c r="CN142" s="60"/>
      <c r="CO142" s="60"/>
      <c r="CP142" s="60"/>
      <c r="CQ142" s="60"/>
      <c r="CR142" s="60"/>
      <c r="CS142" s="60"/>
      <c r="CT142" s="60"/>
      <c r="CU142" s="60"/>
      <c r="CV142" s="60"/>
      <c r="CW142" s="60"/>
      <c r="CX142" s="60"/>
      <c r="CY142" s="60"/>
      <c r="CZ142" s="60"/>
      <c r="DA142" s="60"/>
      <c r="DB142" s="60"/>
      <c r="DC142" s="60"/>
      <c r="DD142" s="60"/>
      <c r="DE142" s="60"/>
      <c r="DF142" s="60"/>
      <c r="DG142" s="60"/>
      <c r="DH142" s="60"/>
      <c r="DI142" s="60"/>
    </row>
    <row r="143" spans="3:114" s="59" customFormat="1" ht="32.65" hidden="1" customHeight="1" outlineLevel="2">
      <c r="C143" s="61">
        <f>C99</f>
        <v>0</v>
      </c>
      <c r="D143" s="62" t="e">
        <f>SUM(L116:X116)/SUM(L99:X99)</f>
        <v>#DIV/0!</v>
      </c>
      <c r="E143" s="63" t="e">
        <f>IRR(L99:X99)</f>
        <v>#NUM!</v>
      </c>
      <c r="F143" s="95" t="e">
        <f>AVERAGE(K140:P140)</f>
        <v>#DIV/0!</v>
      </c>
      <c r="G143" s="127"/>
      <c r="H143" s="55"/>
      <c r="I143" s="55"/>
      <c r="J143" s="55"/>
      <c r="K143" s="56"/>
      <c r="L143" s="56"/>
      <c r="M143" s="56"/>
      <c r="N143" s="56"/>
      <c r="O143" s="56"/>
      <c r="P143" s="56"/>
      <c r="Q143" s="56"/>
      <c r="R143" s="56"/>
      <c r="S143" s="56"/>
      <c r="T143" s="57"/>
      <c r="U143" s="57"/>
      <c r="V143" s="57"/>
      <c r="W143" s="58"/>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c r="CA143" s="60"/>
      <c r="CB143" s="60"/>
      <c r="CC143" s="60"/>
      <c r="CD143" s="60"/>
      <c r="CE143" s="60"/>
      <c r="CF143" s="60"/>
      <c r="CG143" s="60"/>
      <c r="CH143" s="60"/>
      <c r="CI143" s="60"/>
      <c r="CJ143" s="60"/>
      <c r="CK143" s="60"/>
      <c r="CL143" s="60"/>
      <c r="CM143" s="60"/>
      <c r="CN143" s="60"/>
      <c r="CO143" s="60"/>
      <c r="CP143" s="60"/>
      <c r="CQ143" s="60"/>
      <c r="CR143" s="60"/>
      <c r="CS143" s="60"/>
      <c r="CT143" s="60"/>
      <c r="CU143" s="60"/>
      <c r="CV143" s="60"/>
      <c r="CW143" s="60"/>
      <c r="CX143" s="60"/>
      <c r="CY143" s="60"/>
      <c r="CZ143" s="60"/>
      <c r="DA143" s="60"/>
      <c r="DB143" s="60"/>
      <c r="DC143" s="60"/>
      <c r="DD143" s="60"/>
      <c r="DE143" s="60"/>
      <c r="DF143" s="60"/>
      <c r="DG143" s="60"/>
      <c r="DH143" s="60"/>
      <c r="DI143" s="60"/>
    </row>
    <row r="144" spans="3:114" s="65" customFormat="1" ht="32.65" hidden="1" customHeight="1" outlineLevel="1" collapsed="1">
      <c r="C144" s="61">
        <f>C100</f>
        <v>0</v>
      </c>
      <c r="D144" s="62" t="e">
        <f>SUM(L117:X117)/SUM(L100:X100)</f>
        <v>#DIV/0!</v>
      </c>
      <c r="E144" s="63" t="e">
        <f>IRR(L100:X100)</f>
        <v>#NUM!</v>
      </c>
      <c r="F144" s="95" t="e">
        <f>AVERAGE(K141:P141)</f>
        <v>#DIV/0!</v>
      </c>
      <c r="G144" s="127"/>
      <c r="H144" s="64"/>
      <c r="I144" s="64"/>
      <c r="J144" s="64"/>
      <c r="K144" s="64"/>
      <c r="L144" s="64"/>
      <c r="M144" s="64"/>
      <c r="N144" s="64"/>
      <c r="O144" s="64"/>
      <c r="P144" s="64"/>
      <c r="Q144" s="64"/>
      <c r="R144" s="64"/>
      <c r="S144" s="64"/>
      <c r="T144" s="64"/>
      <c r="U144" s="64"/>
      <c r="V144" s="64"/>
      <c r="W144" s="64"/>
      <c r="X144" s="64"/>
      <c r="Y144" s="64"/>
      <c r="Z144" s="64"/>
      <c r="AA144" s="64"/>
      <c r="AB144" s="64"/>
    </row>
    <row r="145" spans="3:23" ht="32.65" hidden="1" customHeight="1" outlineLevel="1">
      <c r="C145" s="61" t="e">
        <f>#REF!</f>
        <v>#REF!</v>
      </c>
      <c r="D145" s="62" t="e">
        <f>SUM(L118:X118)/SUM(#REF!)</f>
        <v>#REF!</v>
      </c>
      <c r="E145" s="63" t="e">
        <f>IRR(#REF!)</f>
        <v>#REF!</v>
      </c>
      <c r="F145" s="95" t="e">
        <f>AVERAGE(K142:P142)</f>
        <v>#DIV/0!</v>
      </c>
      <c r="G145" s="127"/>
      <c r="H145" s="67"/>
      <c r="I145" s="67"/>
      <c r="J145" s="67"/>
      <c r="K145" s="67"/>
      <c r="L145" s="67"/>
      <c r="M145" s="67"/>
      <c r="N145" s="67"/>
      <c r="O145" s="67"/>
      <c r="P145" s="67"/>
      <c r="Q145" s="67"/>
      <c r="R145" s="67"/>
      <c r="S145" s="67"/>
      <c r="T145" s="67"/>
      <c r="U145" s="67"/>
      <c r="V145" s="67"/>
      <c r="W145" s="67"/>
    </row>
    <row r="146" spans="3:23" ht="32.65" hidden="1" customHeight="1" outlineLevel="1">
      <c r="C146" s="61" t="s">
        <v>33</v>
      </c>
      <c r="D146" s="62">
        <f>X131/X101</f>
        <v>2.6270420878878729E-2</v>
      </c>
      <c r="E146" s="63" t="e">
        <f>AVERAGE(E142:E145)</f>
        <v>#NUM!</v>
      </c>
      <c r="F146" s="95" t="e">
        <f>AVERAGE(K143:P143)</f>
        <v>#DIV/0!</v>
      </c>
      <c r="G146" s="127"/>
    </row>
    <row r="147" spans="3:23" ht="19.5" customHeight="1" collapsed="1">
      <c r="C147" s="66"/>
      <c r="D147" s="64"/>
    </row>
    <row r="148" spans="3:23" ht="19.5" customHeight="1">
      <c r="C148" s="66"/>
      <c r="D148" s="67"/>
    </row>
    <row r="149" spans="3:23" ht="19.5" customHeight="1">
      <c r="C149" s="66"/>
      <c r="D149" s="64"/>
      <c r="M149" s="101" t="s">
        <v>240</v>
      </c>
      <c r="N149" s="108">
        <f>IRR(L134:AD134)</f>
        <v>0.13285525511789342</v>
      </c>
    </row>
    <row r="150" spans="3:23" ht="19.5" customHeight="1">
      <c r="C150" s="144"/>
      <c r="D150" s="144"/>
      <c r="E150" s="144"/>
      <c r="F150" s="144"/>
      <c r="G150" s="144"/>
      <c r="H150" s="144"/>
      <c r="I150" s="144"/>
      <c r="J150" s="144"/>
      <c r="K150" s="144"/>
      <c r="L150" s="144"/>
      <c r="M150" s="144"/>
      <c r="N150" s="76"/>
    </row>
    <row r="151" spans="3:23" ht="19.5" customHeight="1" thickBot="1"/>
    <row r="152" spans="3:23" ht="19.5" customHeight="1">
      <c r="C152" s="139" t="s">
        <v>397</v>
      </c>
      <c r="D152" s="140"/>
      <c r="E152" s="140"/>
      <c r="F152" s="140"/>
      <c r="G152" s="140"/>
      <c r="H152" s="141"/>
      <c r="I152" s="141"/>
    </row>
    <row r="153" spans="3:23" ht="261.95" customHeight="1">
      <c r="C153" s="145" t="s">
        <v>422</v>
      </c>
      <c r="D153" s="145"/>
      <c r="E153" s="145"/>
      <c r="F153" s="145"/>
      <c r="G153" s="145"/>
      <c r="H153" s="145"/>
      <c r="I153" s="145"/>
      <c r="P153" s="99"/>
    </row>
    <row r="154" spans="3:23" ht="19.5" customHeight="1">
      <c r="P154" s="106"/>
    </row>
  </sheetData>
  <mergeCells count="3">
    <mergeCell ref="C150:M150"/>
    <mergeCell ref="C153:I153"/>
    <mergeCell ref="L40:AU40"/>
  </mergeCells>
  <phoneticPr fontId="26" type="noConversion"/>
  <printOptions horizontalCentered="1" verticalCentered="1"/>
  <pageMargins left="0" right="0" top="0.23622047244094491" bottom="0.23622047244094491" header="0.31496062992125984" footer="0.31496062992125984"/>
  <pageSetup paperSize="9" scale="24" orientation="landscape" r:id="rId1"/>
  <headerFooter>
    <oddFooter>&amp;C_x000D_&amp;1#&amp;"Arial"&amp;7&amp;K323c46 CONFIDENTIAL</oddFoot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55F357E-E800-41D4-99A2-96893CA017D5}">
          <x14:formula1>
            <xm:f>Fondsen!$B$2:$B$252</xm:f>
          </x14:formula1>
          <xm:sqref>C59:C100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CDD5-5A30-4598-A9D0-0D4E864C80D1}">
  <sheetPr codeName="Blad1"/>
  <dimension ref="B1:UK288"/>
  <sheetViews>
    <sheetView zoomScaleNormal="100" workbookViewId="0">
      <selection activeCell="C25" sqref="C25"/>
    </sheetView>
  </sheetViews>
  <sheetFormatPr defaultColWidth="4.5703125" defaultRowHeight="15"/>
  <cols>
    <col min="2" max="2" width="45.28515625" bestFit="1" customWidth="1"/>
    <col min="3" max="3" width="6" bestFit="1" customWidth="1"/>
    <col min="4" max="4" width="4.28515625" bestFit="1" customWidth="1"/>
    <col min="5" max="5" width="14" style="136" bestFit="1" customWidth="1"/>
    <col min="6" max="6" width="10.7109375" style="75" bestFit="1" customWidth="1"/>
    <col min="7" max="7" width="10.28515625" style="134" bestFit="1" customWidth="1"/>
    <col min="8" max="8" width="2.7109375" bestFit="1" customWidth="1"/>
    <col min="9" max="9" width="42.28515625" style="134" customWidth="1"/>
    <col min="10" max="10" width="14.85546875" bestFit="1" customWidth="1"/>
    <col min="11" max="11" width="15" bestFit="1" customWidth="1"/>
    <col min="12" max="14" width="11.28515625" bestFit="1" customWidth="1"/>
    <col min="15" max="17" width="14.85546875" bestFit="1" customWidth="1"/>
    <col min="18" max="21" width="11.28515625" bestFit="1" customWidth="1"/>
    <col min="22" max="22" width="14.85546875" bestFit="1" customWidth="1"/>
    <col min="23" max="23" width="13.28515625" bestFit="1" customWidth="1"/>
    <col min="24" max="24" width="11.28515625" bestFit="1" customWidth="1"/>
    <col min="25" max="25" width="14" bestFit="1" customWidth="1"/>
    <col min="26" max="27" width="11.28515625" bestFit="1" customWidth="1"/>
    <col min="28" max="29" width="14" bestFit="1" customWidth="1"/>
    <col min="30" max="33" width="11.28515625" bestFit="1" customWidth="1"/>
    <col min="34" max="34" width="14" bestFit="1" customWidth="1"/>
    <col min="35" max="35" width="15.28515625" bestFit="1" customWidth="1"/>
    <col min="36" max="36" width="12.28515625" bestFit="1" customWidth="1"/>
    <col min="37" max="45" width="11.28515625" bestFit="1" customWidth="1"/>
    <col min="46" max="46" width="14" bestFit="1" customWidth="1"/>
    <col min="47" max="49" width="11.28515625" bestFit="1" customWidth="1"/>
    <col min="50" max="53" width="14" bestFit="1" customWidth="1"/>
    <col min="54" max="54" width="11.28515625" bestFit="1" customWidth="1"/>
    <col min="55" max="55" width="14" bestFit="1" customWidth="1"/>
    <col min="56" max="64" width="10.28515625" bestFit="1" customWidth="1"/>
    <col min="65" max="65" width="14" bestFit="1" customWidth="1"/>
    <col min="66" max="67" width="9.28515625" bestFit="1" customWidth="1"/>
    <col min="68" max="70" width="10.28515625" bestFit="1" customWidth="1"/>
    <col min="71" max="72" width="9.28515625" bestFit="1" customWidth="1"/>
    <col min="73" max="75" width="10" bestFit="1" customWidth="1"/>
    <col min="76" max="79" width="9.28515625" bestFit="1" customWidth="1"/>
    <col min="80" max="82" width="10.28515625" bestFit="1" customWidth="1"/>
    <col min="83" max="84" width="9.28515625" bestFit="1" customWidth="1"/>
    <col min="85" max="85" width="10" bestFit="1" customWidth="1"/>
    <col min="86" max="91" width="9.28515625" bestFit="1" customWidth="1"/>
    <col min="92" max="94" width="10.28515625" bestFit="1" customWidth="1"/>
    <col min="95" max="103" width="9.28515625" bestFit="1" customWidth="1"/>
    <col min="104" max="106" width="10.28515625" bestFit="1" customWidth="1"/>
    <col min="107" max="115" width="9.28515625" bestFit="1" customWidth="1"/>
    <col min="116" max="118" width="10.28515625" bestFit="1" customWidth="1"/>
    <col min="119" max="127" width="9.28515625" bestFit="1" customWidth="1"/>
    <col min="128" max="130" width="10.28515625" bestFit="1" customWidth="1"/>
    <col min="131" max="139" width="9.28515625" bestFit="1" customWidth="1"/>
    <col min="140" max="142" width="10.28515625" bestFit="1" customWidth="1"/>
    <col min="143" max="151" width="9.28515625" bestFit="1" customWidth="1"/>
    <col min="152" max="154" width="10.28515625" bestFit="1" customWidth="1"/>
    <col min="155" max="163" width="9.28515625" bestFit="1" customWidth="1"/>
    <col min="164" max="166" width="10.28515625" bestFit="1" customWidth="1"/>
    <col min="167" max="175" width="9.28515625" bestFit="1" customWidth="1"/>
    <col min="176" max="178" width="10.28515625" bestFit="1" customWidth="1"/>
    <col min="179" max="187" width="9.28515625" bestFit="1" customWidth="1"/>
    <col min="188" max="190" width="10.28515625" bestFit="1" customWidth="1"/>
    <col min="191" max="199" width="9.28515625" bestFit="1" customWidth="1"/>
    <col min="200" max="202" width="10.28515625" bestFit="1" customWidth="1"/>
    <col min="203" max="211" width="9.28515625" bestFit="1" customWidth="1"/>
    <col min="212" max="214" width="10.28515625" bestFit="1" customWidth="1"/>
    <col min="215" max="223" width="9.28515625" bestFit="1" customWidth="1"/>
    <col min="224" max="226" width="10.28515625" bestFit="1" customWidth="1"/>
    <col min="227" max="235" width="9.28515625" bestFit="1" customWidth="1"/>
    <col min="236" max="238" width="10.28515625" bestFit="1" customWidth="1"/>
    <col min="239" max="247" width="9.28515625" bestFit="1" customWidth="1"/>
    <col min="248" max="250" width="10.28515625" bestFit="1" customWidth="1"/>
    <col min="251" max="259" width="9.28515625" bestFit="1" customWidth="1"/>
    <col min="260" max="262" width="10.28515625" bestFit="1" customWidth="1"/>
    <col min="263" max="271" width="9.28515625" bestFit="1" customWidth="1"/>
    <col min="272" max="274" width="10.28515625" bestFit="1" customWidth="1"/>
    <col min="275" max="283" width="9.28515625" bestFit="1" customWidth="1"/>
    <col min="284" max="286" width="10.28515625" bestFit="1" customWidth="1"/>
    <col min="287" max="295" width="9.28515625" bestFit="1" customWidth="1"/>
    <col min="296" max="298" width="10.28515625" bestFit="1" customWidth="1"/>
    <col min="299" max="307" width="9.28515625" bestFit="1" customWidth="1"/>
    <col min="308" max="310" width="10.28515625" bestFit="1" customWidth="1"/>
    <col min="311" max="319" width="9.28515625" bestFit="1" customWidth="1"/>
    <col min="320" max="322" width="10.28515625" bestFit="1" customWidth="1"/>
    <col min="323" max="331" width="9.28515625" bestFit="1" customWidth="1"/>
    <col min="332" max="334" width="10.28515625" bestFit="1" customWidth="1"/>
    <col min="335" max="343" width="9.28515625" bestFit="1" customWidth="1"/>
    <col min="344" max="346" width="10.28515625" bestFit="1" customWidth="1"/>
    <col min="347" max="355" width="9.28515625" bestFit="1" customWidth="1"/>
    <col min="356" max="358" width="10.28515625" bestFit="1" customWidth="1"/>
    <col min="359" max="367" width="9.28515625" bestFit="1" customWidth="1"/>
    <col min="368" max="370" width="10.28515625" bestFit="1" customWidth="1"/>
    <col min="371" max="379" width="9.28515625" bestFit="1" customWidth="1"/>
    <col min="380" max="382" width="10.28515625" bestFit="1" customWidth="1"/>
    <col min="383" max="391" width="9.28515625" bestFit="1" customWidth="1"/>
    <col min="392" max="394" width="10.28515625" bestFit="1" customWidth="1"/>
    <col min="395" max="403" width="9.28515625" bestFit="1" customWidth="1"/>
    <col min="404" max="406" width="10.28515625" bestFit="1" customWidth="1"/>
    <col min="407" max="415" width="9.28515625" bestFit="1" customWidth="1"/>
    <col min="416" max="418" width="10.28515625" bestFit="1" customWidth="1"/>
    <col min="419" max="427" width="9.28515625" bestFit="1" customWidth="1"/>
    <col min="428" max="430" width="10.28515625" bestFit="1" customWidth="1"/>
    <col min="431" max="439" width="9.28515625" bestFit="1" customWidth="1"/>
    <col min="440" max="442" width="10.28515625" bestFit="1" customWidth="1"/>
    <col min="443" max="451" width="9.28515625" bestFit="1" customWidth="1"/>
    <col min="452" max="454" width="10.28515625" bestFit="1" customWidth="1"/>
    <col min="455" max="463" width="9.28515625" bestFit="1" customWidth="1"/>
    <col min="464" max="466" width="10.28515625" bestFit="1" customWidth="1"/>
    <col min="467" max="475" width="9.28515625" bestFit="1" customWidth="1"/>
    <col min="476" max="478" width="10.28515625" bestFit="1" customWidth="1"/>
    <col min="479" max="487" width="9.28515625" bestFit="1" customWidth="1"/>
    <col min="488" max="490" width="10.28515625" bestFit="1" customWidth="1"/>
    <col min="491" max="499" width="9.28515625" bestFit="1" customWidth="1"/>
    <col min="500" max="502" width="10.28515625" bestFit="1" customWidth="1"/>
    <col min="503" max="511" width="9.28515625" bestFit="1" customWidth="1"/>
    <col min="512" max="514" width="10.28515625" bestFit="1" customWidth="1"/>
  </cols>
  <sheetData>
    <row r="1" spans="2:557">
      <c r="B1" s="22" t="s">
        <v>17</v>
      </c>
      <c r="C1" s="23" t="s">
        <v>18</v>
      </c>
      <c r="D1" s="23"/>
      <c r="E1" s="131"/>
      <c r="F1" s="132" t="s">
        <v>19</v>
      </c>
      <c r="G1" s="133" t="s">
        <v>20</v>
      </c>
      <c r="H1" s="70"/>
      <c r="I1" s="133" t="s">
        <v>21</v>
      </c>
      <c r="J1" s="134">
        <v>43982</v>
      </c>
      <c r="K1" s="134">
        <v>44012</v>
      </c>
      <c r="L1" s="134">
        <v>44043</v>
      </c>
      <c r="M1" s="134">
        <v>44074</v>
      </c>
      <c r="N1" s="134">
        <v>44104</v>
      </c>
      <c r="O1" s="134">
        <v>44135</v>
      </c>
      <c r="P1" s="134">
        <v>44165</v>
      </c>
      <c r="Q1" s="134">
        <v>44196</v>
      </c>
      <c r="R1" s="134">
        <v>44227</v>
      </c>
      <c r="S1" s="134">
        <v>44255</v>
      </c>
      <c r="T1" s="134">
        <v>44286</v>
      </c>
      <c r="U1" s="134">
        <v>44316</v>
      </c>
      <c r="V1" s="134">
        <v>44347</v>
      </c>
      <c r="W1" s="134">
        <v>44377</v>
      </c>
      <c r="X1" s="134">
        <v>44408</v>
      </c>
      <c r="Y1" s="134">
        <v>44439</v>
      </c>
      <c r="Z1" s="134">
        <v>44469</v>
      </c>
      <c r="AA1" s="134">
        <v>44500</v>
      </c>
      <c r="AB1" s="134">
        <v>44530</v>
      </c>
      <c r="AC1" s="134">
        <v>44561</v>
      </c>
      <c r="AD1" s="134">
        <v>44592</v>
      </c>
      <c r="AE1" s="134">
        <v>44620</v>
      </c>
      <c r="AF1" s="134">
        <v>44651</v>
      </c>
      <c r="AG1" s="134">
        <v>44681</v>
      </c>
      <c r="AH1" s="134">
        <v>44712</v>
      </c>
      <c r="AI1" s="134">
        <v>44742</v>
      </c>
      <c r="AJ1" s="134">
        <v>44773</v>
      </c>
      <c r="AK1" s="134">
        <v>44804</v>
      </c>
      <c r="AL1" s="134">
        <v>44834</v>
      </c>
      <c r="AM1" s="134">
        <v>44865</v>
      </c>
      <c r="AN1" s="134">
        <v>44895</v>
      </c>
      <c r="AO1" s="134">
        <v>44926</v>
      </c>
      <c r="AP1" s="134">
        <v>44957</v>
      </c>
      <c r="AQ1" s="134">
        <v>44985</v>
      </c>
      <c r="AR1" s="134">
        <v>45016</v>
      </c>
      <c r="AS1" s="134">
        <v>45046</v>
      </c>
      <c r="AT1" s="134">
        <v>45077</v>
      </c>
      <c r="AU1" s="134">
        <v>45107</v>
      </c>
      <c r="AV1" s="134">
        <v>45138</v>
      </c>
      <c r="AW1" s="134">
        <v>45169</v>
      </c>
      <c r="AX1" s="134">
        <v>45199</v>
      </c>
      <c r="AY1" s="134">
        <v>45230</v>
      </c>
      <c r="AZ1" s="134">
        <v>45260</v>
      </c>
      <c r="BA1" s="134">
        <v>45291</v>
      </c>
      <c r="BB1" s="134">
        <v>45322</v>
      </c>
      <c r="BC1" s="134">
        <v>45351</v>
      </c>
      <c r="BD1" s="134">
        <v>45382</v>
      </c>
      <c r="BE1" s="134">
        <v>45412</v>
      </c>
      <c r="BF1" s="134">
        <v>45443</v>
      </c>
      <c r="BG1" s="134">
        <v>45473</v>
      </c>
      <c r="BH1" s="134">
        <v>45504</v>
      </c>
      <c r="BI1" s="134">
        <v>45535</v>
      </c>
      <c r="BJ1" s="134">
        <v>45565</v>
      </c>
      <c r="BK1" s="134">
        <v>45596</v>
      </c>
      <c r="BL1" s="134">
        <v>45626</v>
      </c>
      <c r="BM1" s="134">
        <v>45657</v>
      </c>
      <c r="BN1" s="134">
        <v>45688</v>
      </c>
      <c r="BO1" s="134">
        <v>45716</v>
      </c>
      <c r="BP1" s="134">
        <v>45747</v>
      </c>
      <c r="BQ1" s="134">
        <v>45777</v>
      </c>
      <c r="BR1" s="134">
        <v>45808</v>
      </c>
      <c r="BS1" s="134">
        <v>45838</v>
      </c>
      <c r="BT1" s="134">
        <v>45869</v>
      </c>
      <c r="BU1" s="134">
        <v>45900</v>
      </c>
      <c r="BV1" s="134">
        <v>45930</v>
      </c>
      <c r="BW1" s="134">
        <v>45961</v>
      </c>
      <c r="BX1" s="134">
        <v>45991</v>
      </c>
      <c r="BY1" s="134">
        <v>46022</v>
      </c>
      <c r="BZ1" s="134">
        <v>46053</v>
      </c>
      <c r="CA1" s="134">
        <v>46081</v>
      </c>
      <c r="CB1" s="134">
        <v>46112</v>
      </c>
      <c r="CC1" s="134">
        <v>46142</v>
      </c>
      <c r="CD1" s="134">
        <v>46173</v>
      </c>
      <c r="CE1" s="134">
        <v>46203</v>
      </c>
      <c r="CF1" s="134">
        <v>46234</v>
      </c>
      <c r="CG1" s="134">
        <v>46265</v>
      </c>
      <c r="CH1" s="134">
        <v>46295</v>
      </c>
      <c r="CI1" s="134">
        <v>46326</v>
      </c>
      <c r="CJ1" s="134">
        <v>46356</v>
      </c>
      <c r="CK1" s="134">
        <v>46387</v>
      </c>
      <c r="CL1" s="134">
        <v>46418</v>
      </c>
      <c r="CM1" s="134">
        <v>46446</v>
      </c>
      <c r="CN1" s="134">
        <v>46477</v>
      </c>
      <c r="CO1" s="134">
        <v>46507</v>
      </c>
      <c r="CP1" s="134">
        <v>46538</v>
      </c>
      <c r="CQ1" s="134">
        <v>46568</v>
      </c>
      <c r="CR1" s="134">
        <v>46599</v>
      </c>
      <c r="CS1" s="134">
        <v>46630</v>
      </c>
      <c r="CT1" s="134">
        <v>46660</v>
      </c>
      <c r="CU1" s="134">
        <v>46691</v>
      </c>
      <c r="CV1" s="134">
        <v>46721</v>
      </c>
      <c r="CW1" s="134">
        <v>46752</v>
      </c>
      <c r="CX1" s="134">
        <v>46783</v>
      </c>
      <c r="CY1" s="134">
        <v>46812</v>
      </c>
      <c r="CZ1" s="134">
        <v>46843</v>
      </c>
      <c r="DA1" s="134">
        <v>46873</v>
      </c>
      <c r="DB1" s="134">
        <v>46904</v>
      </c>
      <c r="DC1" s="134">
        <v>46934</v>
      </c>
      <c r="DD1" s="134">
        <v>46965</v>
      </c>
      <c r="DE1" s="134">
        <v>46996</v>
      </c>
      <c r="DF1" s="134">
        <v>47026</v>
      </c>
      <c r="DG1" s="134">
        <v>47057</v>
      </c>
      <c r="DH1" s="134">
        <v>47087</v>
      </c>
      <c r="DI1" s="134">
        <v>47118</v>
      </c>
      <c r="DJ1" s="134">
        <v>47149</v>
      </c>
      <c r="DK1" s="134">
        <v>47177</v>
      </c>
      <c r="DL1" s="134">
        <v>47208</v>
      </c>
      <c r="DM1" s="134">
        <v>47238</v>
      </c>
      <c r="DN1" s="134">
        <v>47269</v>
      </c>
      <c r="DO1" s="134">
        <v>47299</v>
      </c>
      <c r="DP1" s="134">
        <v>47330</v>
      </c>
      <c r="DQ1" s="134">
        <v>47361</v>
      </c>
      <c r="DR1" s="134">
        <v>47391</v>
      </c>
      <c r="DS1" s="134">
        <v>47422</v>
      </c>
      <c r="DT1" s="134">
        <v>47452</v>
      </c>
      <c r="DU1" s="134">
        <v>47483</v>
      </c>
      <c r="DV1" s="134">
        <v>47514</v>
      </c>
      <c r="DW1" s="134">
        <v>47542</v>
      </c>
      <c r="DX1" s="134">
        <v>47573</v>
      </c>
      <c r="DY1" s="134">
        <v>47603</v>
      </c>
      <c r="DZ1" s="134">
        <v>47634</v>
      </c>
      <c r="EA1" s="134">
        <v>47664</v>
      </c>
      <c r="EB1" s="134">
        <v>47695</v>
      </c>
      <c r="EC1" s="134">
        <v>47726</v>
      </c>
      <c r="ED1" s="134">
        <v>47756</v>
      </c>
      <c r="EE1" s="134">
        <v>47787</v>
      </c>
      <c r="EF1" s="134">
        <v>47817</v>
      </c>
      <c r="EG1" s="134">
        <v>47848</v>
      </c>
      <c r="EH1" s="134">
        <v>47879</v>
      </c>
      <c r="EI1" s="134">
        <v>47907</v>
      </c>
      <c r="EJ1" s="134">
        <v>47938</v>
      </c>
      <c r="EK1" s="134">
        <v>47968</v>
      </c>
      <c r="EL1" s="134">
        <v>47999</v>
      </c>
      <c r="EM1" s="134">
        <v>48029</v>
      </c>
      <c r="EN1" s="134">
        <v>48060</v>
      </c>
      <c r="EO1" s="134">
        <v>48091</v>
      </c>
      <c r="EP1" s="134">
        <v>48121</v>
      </c>
      <c r="EQ1" s="134">
        <v>48152</v>
      </c>
      <c r="ER1" s="134">
        <v>48182</v>
      </c>
      <c r="ES1" s="134">
        <v>48213</v>
      </c>
      <c r="ET1" s="134">
        <v>48244</v>
      </c>
      <c r="EU1" s="134">
        <v>48273</v>
      </c>
      <c r="EV1" s="134">
        <v>48304</v>
      </c>
      <c r="EW1" s="134">
        <v>48334</v>
      </c>
      <c r="EX1" s="134">
        <v>48365</v>
      </c>
      <c r="EY1" s="134">
        <v>48395</v>
      </c>
      <c r="EZ1" s="134">
        <v>48426</v>
      </c>
      <c r="FA1" s="134">
        <v>48457</v>
      </c>
      <c r="FB1" s="134">
        <v>48487</v>
      </c>
      <c r="FC1" s="134">
        <v>48518</v>
      </c>
      <c r="FD1" s="134">
        <v>48548</v>
      </c>
      <c r="FE1" s="134">
        <v>48579</v>
      </c>
      <c r="FF1" s="134">
        <v>48610</v>
      </c>
      <c r="FG1" s="134">
        <v>48638</v>
      </c>
      <c r="FH1" s="134">
        <v>48669</v>
      </c>
      <c r="FI1" s="134">
        <v>48699</v>
      </c>
      <c r="FJ1" s="134">
        <v>48730</v>
      </c>
      <c r="FK1" s="134">
        <v>48760</v>
      </c>
      <c r="FL1" s="134">
        <v>48791</v>
      </c>
      <c r="FM1" s="134">
        <v>48822</v>
      </c>
      <c r="FN1" s="134">
        <v>48852</v>
      </c>
      <c r="FO1" s="134">
        <v>48883</v>
      </c>
      <c r="FP1" s="134">
        <v>48913</v>
      </c>
      <c r="FQ1" s="134">
        <v>48944</v>
      </c>
      <c r="FR1" s="134">
        <v>48975</v>
      </c>
      <c r="FS1" s="134">
        <v>49003</v>
      </c>
      <c r="FT1" s="134">
        <v>49034</v>
      </c>
      <c r="FU1" s="134">
        <v>49064</v>
      </c>
      <c r="FV1" s="134">
        <v>49095</v>
      </c>
      <c r="FW1" s="134">
        <v>49125</v>
      </c>
      <c r="FX1" s="134">
        <v>49156</v>
      </c>
      <c r="FY1" s="134">
        <v>49187</v>
      </c>
      <c r="FZ1" s="134">
        <v>49217</v>
      </c>
      <c r="GA1" s="134">
        <v>49248</v>
      </c>
      <c r="GB1" s="134">
        <v>49278</v>
      </c>
      <c r="GC1" s="134">
        <v>49309</v>
      </c>
      <c r="GD1" s="134">
        <v>49340</v>
      </c>
      <c r="GE1" s="134">
        <v>49368</v>
      </c>
      <c r="GF1" s="134">
        <v>49399</v>
      </c>
      <c r="GG1" s="134">
        <v>49429</v>
      </c>
      <c r="GH1" s="134">
        <v>49460</v>
      </c>
      <c r="GI1" s="134">
        <v>49490</v>
      </c>
      <c r="GJ1" s="134">
        <v>49521</v>
      </c>
      <c r="GK1" s="134">
        <v>49552</v>
      </c>
      <c r="GL1" s="134">
        <v>49582</v>
      </c>
      <c r="GM1" s="134">
        <v>49613</v>
      </c>
      <c r="GN1" s="134">
        <v>49643</v>
      </c>
      <c r="GO1" s="134">
        <v>49674</v>
      </c>
      <c r="GP1" s="134">
        <v>49705</v>
      </c>
      <c r="GQ1" s="134">
        <v>49734</v>
      </c>
      <c r="GR1" s="134">
        <v>49765</v>
      </c>
      <c r="GS1" s="134">
        <v>49795</v>
      </c>
      <c r="GT1" s="134">
        <v>49826</v>
      </c>
      <c r="GU1" s="134">
        <v>49856</v>
      </c>
      <c r="GV1" s="134">
        <v>49887</v>
      </c>
      <c r="GW1" s="134">
        <v>49918</v>
      </c>
      <c r="GX1" s="134">
        <v>49948</v>
      </c>
      <c r="GY1" s="134">
        <v>49979</v>
      </c>
      <c r="GZ1" s="134">
        <v>50009</v>
      </c>
      <c r="HA1" s="134">
        <v>50040</v>
      </c>
      <c r="HB1" s="134">
        <v>50071</v>
      </c>
      <c r="HC1" s="134">
        <v>50099</v>
      </c>
      <c r="HD1" s="134">
        <v>50130</v>
      </c>
      <c r="HE1" s="134">
        <v>50160</v>
      </c>
      <c r="HF1" s="134">
        <v>50191</v>
      </c>
      <c r="HG1" s="134">
        <v>50221</v>
      </c>
      <c r="HH1" s="134">
        <v>50252</v>
      </c>
      <c r="HI1" s="134">
        <v>50283</v>
      </c>
      <c r="HJ1" s="134">
        <v>50313</v>
      </c>
      <c r="HK1" s="134">
        <v>50344</v>
      </c>
      <c r="HL1" s="134">
        <v>50374</v>
      </c>
      <c r="HM1" s="134">
        <v>50405</v>
      </c>
      <c r="HN1" s="134">
        <v>50436</v>
      </c>
      <c r="HO1" s="134">
        <v>50464</v>
      </c>
      <c r="HP1" s="134">
        <v>50495</v>
      </c>
      <c r="HQ1" s="134">
        <v>50525</v>
      </c>
      <c r="HR1" s="134">
        <v>50556</v>
      </c>
      <c r="HS1" s="134">
        <v>50586</v>
      </c>
      <c r="HT1" s="134">
        <v>50617</v>
      </c>
      <c r="HU1" s="134">
        <v>50648</v>
      </c>
      <c r="HV1" s="134">
        <v>50678</v>
      </c>
      <c r="HW1" s="134">
        <v>50709</v>
      </c>
      <c r="HX1" s="134">
        <v>50739</v>
      </c>
      <c r="HY1" s="134">
        <v>50770</v>
      </c>
      <c r="HZ1" s="134">
        <v>50801</v>
      </c>
      <c r="IA1" s="134">
        <v>50829</v>
      </c>
      <c r="IB1" s="134">
        <v>50860</v>
      </c>
      <c r="IC1" s="134">
        <v>50890</v>
      </c>
      <c r="ID1" s="134">
        <v>50921</v>
      </c>
      <c r="IE1" s="134">
        <v>50951</v>
      </c>
      <c r="IF1" s="134">
        <v>50982</v>
      </c>
      <c r="IG1" s="134">
        <v>51013</v>
      </c>
      <c r="IH1" s="134">
        <v>51043</v>
      </c>
      <c r="II1" s="134">
        <v>51074</v>
      </c>
      <c r="IJ1" s="134">
        <v>51104</v>
      </c>
      <c r="IK1" s="134">
        <v>51135</v>
      </c>
      <c r="IL1" s="134">
        <v>51166</v>
      </c>
      <c r="IM1" s="134">
        <v>51195</v>
      </c>
      <c r="IN1" s="134">
        <v>51226</v>
      </c>
      <c r="IO1" s="134">
        <v>51256</v>
      </c>
      <c r="IP1" s="134">
        <v>51287</v>
      </c>
      <c r="IQ1" s="134">
        <v>51317</v>
      </c>
      <c r="IR1" s="134">
        <v>51348</v>
      </c>
      <c r="IS1" s="134">
        <v>51379</v>
      </c>
      <c r="IT1" s="134">
        <v>51409</v>
      </c>
      <c r="IU1" s="134">
        <v>51440</v>
      </c>
      <c r="IV1" s="134">
        <v>51470</v>
      </c>
      <c r="IW1" s="134">
        <v>51501</v>
      </c>
      <c r="IX1" s="134">
        <v>51532</v>
      </c>
      <c r="IY1" s="134">
        <v>51560</v>
      </c>
      <c r="IZ1" s="134">
        <v>51591</v>
      </c>
      <c r="JA1" s="134">
        <v>51621</v>
      </c>
      <c r="JB1" s="134">
        <v>51652</v>
      </c>
      <c r="JC1" s="134">
        <v>51682</v>
      </c>
      <c r="JD1" s="134">
        <v>51713</v>
      </c>
      <c r="JE1" s="134">
        <v>51744</v>
      </c>
      <c r="JF1" s="134">
        <v>51774</v>
      </c>
      <c r="JG1" s="134">
        <v>51805</v>
      </c>
      <c r="JH1" s="134">
        <v>51835</v>
      </c>
      <c r="JI1" s="134">
        <v>51866</v>
      </c>
      <c r="JJ1" s="134">
        <v>51897</v>
      </c>
      <c r="JK1" s="134">
        <v>51925</v>
      </c>
      <c r="JL1" s="134">
        <v>51956</v>
      </c>
      <c r="JM1" s="134">
        <v>51986</v>
      </c>
      <c r="JN1" s="134">
        <v>52017</v>
      </c>
      <c r="JO1" s="134">
        <v>52047</v>
      </c>
      <c r="JP1" s="134">
        <v>52078</v>
      </c>
      <c r="JQ1" s="134">
        <v>52109</v>
      </c>
      <c r="JR1" s="134">
        <v>52139</v>
      </c>
      <c r="JS1" s="134">
        <v>52170</v>
      </c>
      <c r="JT1" s="134">
        <v>52200</v>
      </c>
      <c r="JU1" s="134">
        <v>52231</v>
      </c>
      <c r="JV1" s="134">
        <v>52262</v>
      </c>
      <c r="JW1" s="134">
        <v>52290</v>
      </c>
      <c r="JX1" s="134">
        <v>52321</v>
      </c>
      <c r="JY1" s="134">
        <v>52351</v>
      </c>
      <c r="JZ1" s="134">
        <v>52382</v>
      </c>
      <c r="KA1" s="134">
        <v>52412</v>
      </c>
      <c r="KB1" s="134">
        <v>52443</v>
      </c>
      <c r="KC1" s="134">
        <v>52474</v>
      </c>
      <c r="KD1" s="134">
        <v>52504</v>
      </c>
      <c r="KE1" s="134">
        <v>52535</v>
      </c>
      <c r="KF1" s="134">
        <v>52565</v>
      </c>
      <c r="KG1" s="134">
        <v>52596</v>
      </c>
      <c r="KH1" s="134">
        <v>52627</v>
      </c>
      <c r="KI1" s="134">
        <v>52656</v>
      </c>
      <c r="KJ1" s="134">
        <v>52687</v>
      </c>
      <c r="KK1" s="134">
        <v>52717</v>
      </c>
      <c r="KL1" s="134">
        <v>52748</v>
      </c>
      <c r="KM1" s="134">
        <v>52778</v>
      </c>
      <c r="KN1" s="134">
        <v>52809</v>
      </c>
      <c r="KO1" s="134">
        <v>52840</v>
      </c>
      <c r="KP1" s="134">
        <v>52870</v>
      </c>
      <c r="KQ1" s="134">
        <v>52901</v>
      </c>
      <c r="KR1" s="134">
        <v>52931</v>
      </c>
      <c r="KS1" s="134">
        <v>52962</v>
      </c>
      <c r="KT1" s="134">
        <v>52993</v>
      </c>
      <c r="KU1" s="134">
        <v>53021</v>
      </c>
      <c r="KV1" s="134">
        <v>53052</v>
      </c>
      <c r="KW1" s="134">
        <v>53082</v>
      </c>
      <c r="KX1" s="134">
        <v>53113</v>
      </c>
      <c r="KY1" s="134">
        <v>53143</v>
      </c>
      <c r="KZ1" s="134">
        <v>53174</v>
      </c>
      <c r="LA1" s="134">
        <v>53205</v>
      </c>
      <c r="LB1" s="134">
        <v>53235</v>
      </c>
      <c r="LC1" s="134">
        <v>53266</v>
      </c>
      <c r="LD1" s="134">
        <v>53296</v>
      </c>
      <c r="LE1" s="134">
        <v>53327</v>
      </c>
      <c r="LF1" s="134">
        <v>53358</v>
      </c>
      <c r="LG1" s="134">
        <v>53386</v>
      </c>
      <c r="LH1" s="134">
        <v>53417</v>
      </c>
      <c r="LI1" s="134">
        <v>53447</v>
      </c>
      <c r="LJ1" s="134">
        <v>53478</v>
      </c>
      <c r="LK1" s="134">
        <v>53508</v>
      </c>
      <c r="LL1" s="134">
        <v>53539</v>
      </c>
      <c r="LM1" s="134">
        <v>53570</v>
      </c>
      <c r="LN1" s="134">
        <v>53600</v>
      </c>
      <c r="LO1" s="134">
        <v>53631</v>
      </c>
      <c r="LP1" s="134">
        <v>53661</v>
      </c>
      <c r="LQ1" s="134">
        <v>53692</v>
      </c>
      <c r="LR1" s="134">
        <v>53723</v>
      </c>
      <c r="LS1" s="134">
        <v>53751</v>
      </c>
      <c r="LT1" s="134">
        <v>53782</v>
      </c>
      <c r="LU1" s="134">
        <v>53812</v>
      </c>
      <c r="LV1" s="134">
        <v>53843</v>
      </c>
      <c r="LW1" s="134">
        <v>53873</v>
      </c>
      <c r="LX1" s="134">
        <v>53904</v>
      </c>
      <c r="LY1" s="134">
        <v>53935</v>
      </c>
      <c r="LZ1" s="134">
        <v>53965</v>
      </c>
      <c r="MA1" s="134">
        <v>53996</v>
      </c>
      <c r="MB1" s="134">
        <v>54026</v>
      </c>
      <c r="MC1" s="134">
        <v>54057</v>
      </c>
      <c r="MD1" s="134">
        <v>54088</v>
      </c>
      <c r="ME1" s="134">
        <v>54117</v>
      </c>
      <c r="MF1" s="134">
        <v>54148</v>
      </c>
      <c r="MG1" s="134">
        <v>54178</v>
      </c>
      <c r="MH1" s="134">
        <v>54209</v>
      </c>
      <c r="MI1" s="134">
        <v>54239</v>
      </c>
      <c r="MJ1" s="134">
        <v>54270</v>
      </c>
      <c r="MK1" s="134">
        <v>54301</v>
      </c>
      <c r="ML1" s="134">
        <v>54331</v>
      </c>
      <c r="MM1" s="134">
        <v>54362</v>
      </c>
      <c r="MN1" s="134">
        <v>54392</v>
      </c>
      <c r="MO1" s="134">
        <v>54423</v>
      </c>
      <c r="MP1" s="134">
        <v>54454</v>
      </c>
      <c r="MQ1" s="134">
        <v>54482</v>
      </c>
      <c r="MR1" s="134">
        <v>54513</v>
      </c>
      <c r="MS1" s="134">
        <v>54543</v>
      </c>
      <c r="MT1" s="134">
        <v>54574</v>
      </c>
      <c r="MU1" s="134">
        <v>54604</v>
      </c>
      <c r="MV1" s="134">
        <v>54635</v>
      </c>
      <c r="MW1" s="134">
        <v>54666</v>
      </c>
      <c r="MX1" s="134">
        <v>54696</v>
      </c>
      <c r="MY1" s="134">
        <v>54727</v>
      </c>
      <c r="MZ1" s="134">
        <v>54757</v>
      </c>
      <c r="NA1" s="134">
        <v>54788</v>
      </c>
      <c r="NB1" s="134">
        <v>54819</v>
      </c>
      <c r="NC1" s="134">
        <v>54847</v>
      </c>
      <c r="ND1" s="134">
        <v>54878</v>
      </c>
      <c r="NE1" s="134">
        <v>54908</v>
      </c>
      <c r="NF1" s="134">
        <v>54939</v>
      </c>
      <c r="NG1" s="134">
        <v>54969</v>
      </c>
      <c r="NH1" s="134">
        <v>55000</v>
      </c>
      <c r="NI1" s="134">
        <v>55031</v>
      </c>
      <c r="NJ1" s="134">
        <v>55061</v>
      </c>
      <c r="NK1" s="134">
        <v>55092</v>
      </c>
      <c r="NL1" s="134">
        <v>55122</v>
      </c>
      <c r="NM1" s="134">
        <v>55153</v>
      </c>
      <c r="NN1" s="134">
        <v>55184</v>
      </c>
      <c r="NO1" s="134">
        <v>55212</v>
      </c>
      <c r="NP1" s="134">
        <v>55243</v>
      </c>
      <c r="NQ1" s="134">
        <v>55273</v>
      </c>
      <c r="NR1" s="134">
        <v>55304</v>
      </c>
      <c r="NS1" s="134">
        <v>55334</v>
      </c>
      <c r="NT1" s="134">
        <v>55365</v>
      </c>
      <c r="NU1" s="134">
        <v>55396</v>
      </c>
      <c r="NV1" s="134">
        <v>55426</v>
      </c>
      <c r="NW1" s="134">
        <v>55457</v>
      </c>
      <c r="NX1" s="134">
        <v>55487</v>
      </c>
      <c r="NY1" s="134">
        <v>55518</v>
      </c>
      <c r="NZ1" s="134">
        <v>55549</v>
      </c>
      <c r="OA1" s="134">
        <v>55578</v>
      </c>
      <c r="OB1" s="134">
        <v>55609</v>
      </c>
      <c r="OC1" s="134">
        <v>55639</v>
      </c>
      <c r="OD1" s="134">
        <v>55670</v>
      </c>
      <c r="OE1" s="134">
        <v>55700</v>
      </c>
      <c r="OF1" s="134">
        <v>55731</v>
      </c>
      <c r="OG1" s="134">
        <v>55762</v>
      </c>
      <c r="OH1" s="134">
        <v>55792</v>
      </c>
      <c r="OI1" s="134">
        <v>55823</v>
      </c>
      <c r="OJ1" s="134">
        <v>55853</v>
      </c>
      <c r="OK1" s="134">
        <v>55884</v>
      </c>
      <c r="OL1" s="134">
        <v>55915</v>
      </c>
      <c r="OM1" s="134">
        <v>55943</v>
      </c>
      <c r="ON1" s="134">
        <v>55974</v>
      </c>
      <c r="OO1" s="134">
        <v>56004</v>
      </c>
      <c r="OP1" s="134">
        <v>56035</v>
      </c>
      <c r="OQ1" s="134">
        <v>56065</v>
      </c>
      <c r="OR1" s="134">
        <v>56096</v>
      </c>
      <c r="OS1" s="134">
        <v>56127</v>
      </c>
      <c r="OT1" s="134">
        <v>56157</v>
      </c>
      <c r="OU1" s="134">
        <v>56188</v>
      </c>
      <c r="OV1" s="134">
        <v>56218</v>
      </c>
      <c r="OW1" s="134">
        <v>56249</v>
      </c>
      <c r="OX1" s="134">
        <v>56280</v>
      </c>
      <c r="OY1" s="134">
        <v>56308</v>
      </c>
      <c r="OZ1" s="134">
        <v>56339</v>
      </c>
      <c r="PA1" s="134">
        <v>56369</v>
      </c>
      <c r="PB1" s="134">
        <v>56400</v>
      </c>
      <c r="PC1" s="134">
        <v>56430</v>
      </c>
      <c r="PD1" s="134">
        <v>56461</v>
      </c>
      <c r="PE1" s="134">
        <v>56492</v>
      </c>
      <c r="PF1" s="134">
        <v>56522</v>
      </c>
      <c r="PG1" s="134">
        <v>56553</v>
      </c>
      <c r="PH1" s="134">
        <v>56583</v>
      </c>
      <c r="PI1" s="134">
        <v>56614</v>
      </c>
      <c r="PJ1" s="134">
        <v>56645</v>
      </c>
      <c r="PK1" s="134">
        <v>56673</v>
      </c>
      <c r="PL1" s="134">
        <v>56704</v>
      </c>
      <c r="PM1" s="134">
        <v>56734</v>
      </c>
      <c r="PN1" s="134">
        <v>56765</v>
      </c>
      <c r="PO1" s="134">
        <v>56795</v>
      </c>
      <c r="PP1" s="134">
        <v>56826</v>
      </c>
      <c r="PQ1" s="134">
        <v>56857</v>
      </c>
      <c r="PR1" s="134">
        <v>56887</v>
      </c>
      <c r="PS1" s="134">
        <v>56918</v>
      </c>
      <c r="PT1" s="134">
        <v>56948</v>
      </c>
      <c r="PU1" s="134">
        <v>56979</v>
      </c>
      <c r="PV1" s="134">
        <v>57010</v>
      </c>
      <c r="PW1" s="134">
        <v>57039</v>
      </c>
      <c r="PX1" s="134">
        <v>57070</v>
      </c>
      <c r="PY1" s="134">
        <v>57100</v>
      </c>
      <c r="PZ1" s="134">
        <v>57131</v>
      </c>
      <c r="QA1" s="134">
        <v>57161</v>
      </c>
      <c r="QB1" s="134">
        <v>57192</v>
      </c>
      <c r="QC1" s="134">
        <v>57223</v>
      </c>
      <c r="QD1" s="134">
        <v>57253</v>
      </c>
      <c r="QE1" s="134">
        <v>57284</v>
      </c>
      <c r="QF1" s="134">
        <v>57314</v>
      </c>
      <c r="QG1" s="134">
        <v>57345</v>
      </c>
      <c r="QH1" s="134">
        <v>57376</v>
      </c>
      <c r="QI1" s="134">
        <v>57404</v>
      </c>
      <c r="QJ1" s="134">
        <v>57435</v>
      </c>
      <c r="QK1" s="134">
        <v>57465</v>
      </c>
      <c r="QL1" s="134">
        <v>57496</v>
      </c>
      <c r="QM1" s="134">
        <v>57526</v>
      </c>
      <c r="QN1" s="134">
        <v>57557</v>
      </c>
      <c r="QO1" s="134">
        <v>57588</v>
      </c>
      <c r="QP1" s="134">
        <v>57618</v>
      </c>
      <c r="QQ1" s="134">
        <v>57649</v>
      </c>
      <c r="QR1" s="134">
        <v>57679</v>
      </c>
      <c r="QS1" s="134">
        <v>57710</v>
      </c>
      <c r="QT1" s="134">
        <v>57741</v>
      </c>
      <c r="QU1" s="134">
        <v>57769</v>
      </c>
      <c r="QV1" s="134">
        <v>57800</v>
      </c>
      <c r="QW1" s="134">
        <v>57830</v>
      </c>
      <c r="QX1" s="134">
        <v>57861</v>
      </c>
      <c r="QY1" s="134">
        <v>57891</v>
      </c>
      <c r="QZ1" s="134">
        <v>57922</v>
      </c>
      <c r="RA1" s="134">
        <v>57953</v>
      </c>
      <c r="RB1" s="134">
        <v>57983</v>
      </c>
      <c r="RC1" s="134">
        <v>58014</v>
      </c>
      <c r="RD1" s="134">
        <v>58044</v>
      </c>
      <c r="RE1" s="134">
        <v>58075</v>
      </c>
      <c r="RF1" s="134">
        <v>58106</v>
      </c>
      <c r="RG1" s="134">
        <v>58134</v>
      </c>
      <c r="RH1" s="134">
        <v>58165</v>
      </c>
      <c r="RI1" s="134">
        <v>58195</v>
      </c>
      <c r="RJ1" s="134">
        <v>58226</v>
      </c>
      <c r="RK1" s="134">
        <v>58256</v>
      </c>
      <c r="RL1" s="134">
        <v>58287</v>
      </c>
      <c r="RM1" s="134">
        <v>58318</v>
      </c>
      <c r="RN1" s="134">
        <v>58348</v>
      </c>
      <c r="RO1" s="134">
        <v>58379</v>
      </c>
      <c r="RP1" s="134">
        <v>58409</v>
      </c>
      <c r="RQ1" s="134">
        <v>58440</v>
      </c>
      <c r="RR1" s="134">
        <v>58471</v>
      </c>
      <c r="RS1" s="134">
        <v>58500</v>
      </c>
      <c r="RT1" s="134">
        <v>58531</v>
      </c>
      <c r="RU1" s="134">
        <v>58561</v>
      </c>
      <c r="RV1" s="134">
        <v>58592</v>
      </c>
      <c r="RW1" s="134">
        <v>58622</v>
      </c>
      <c r="RX1" s="134">
        <v>58653</v>
      </c>
      <c r="RY1" s="134">
        <v>58684</v>
      </c>
      <c r="RZ1" s="134">
        <v>58714</v>
      </c>
      <c r="SA1" s="134">
        <v>58745</v>
      </c>
      <c r="SB1" s="134">
        <v>58775</v>
      </c>
      <c r="SC1" s="134">
        <v>58806</v>
      </c>
      <c r="SD1" s="134">
        <v>58837</v>
      </c>
      <c r="SE1" s="134">
        <v>58865</v>
      </c>
      <c r="SF1" s="134">
        <v>58896</v>
      </c>
      <c r="SG1" s="134">
        <v>58926</v>
      </c>
      <c r="SH1" s="134">
        <v>58957</v>
      </c>
      <c r="SI1" s="134">
        <v>58987</v>
      </c>
      <c r="SJ1" s="134">
        <v>59018</v>
      </c>
      <c r="SK1" s="134">
        <v>59049</v>
      </c>
      <c r="SL1" s="134">
        <v>59079</v>
      </c>
      <c r="SM1" s="134">
        <v>59110</v>
      </c>
      <c r="SN1" s="134">
        <v>59140</v>
      </c>
      <c r="SO1" s="134">
        <v>59171</v>
      </c>
      <c r="SP1" s="134">
        <v>59202</v>
      </c>
      <c r="SQ1" s="134">
        <v>59230</v>
      </c>
      <c r="SR1" s="134">
        <v>59261</v>
      </c>
      <c r="SS1" s="134">
        <v>59291</v>
      </c>
      <c r="ST1" s="134">
        <v>59322</v>
      </c>
      <c r="SU1" s="134">
        <v>59352</v>
      </c>
      <c r="SV1" s="134">
        <v>59383</v>
      </c>
      <c r="SW1" s="134">
        <v>59414</v>
      </c>
      <c r="SX1" s="134">
        <v>59444</v>
      </c>
      <c r="SY1" s="134">
        <v>59475</v>
      </c>
      <c r="SZ1" s="134">
        <v>59505</v>
      </c>
      <c r="TA1" s="134">
        <v>59536</v>
      </c>
      <c r="TB1" s="134">
        <v>59567</v>
      </c>
      <c r="TC1" s="134">
        <v>59595</v>
      </c>
      <c r="TD1" s="134">
        <v>59626</v>
      </c>
      <c r="TE1" s="134">
        <v>59656</v>
      </c>
      <c r="TF1" s="134">
        <v>59687</v>
      </c>
      <c r="TG1" s="134">
        <v>59717</v>
      </c>
      <c r="TH1" s="134">
        <v>59748</v>
      </c>
      <c r="TI1" s="134">
        <v>59779</v>
      </c>
      <c r="TJ1" s="134">
        <v>59809</v>
      </c>
      <c r="TK1" s="134">
        <v>59840</v>
      </c>
      <c r="TL1" s="134">
        <v>59870</v>
      </c>
      <c r="TM1" s="134">
        <v>59901</v>
      </c>
      <c r="TN1" s="134">
        <v>59932</v>
      </c>
      <c r="TO1" s="134">
        <v>59961</v>
      </c>
      <c r="TP1" s="134">
        <v>59992</v>
      </c>
      <c r="TQ1" s="134">
        <v>60022</v>
      </c>
      <c r="TR1" s="134">
        <v>60053</v>
      </c>
      <c r="TS1" s="134">
        <v>60083</v>
      </c>
      <c r="TT1" s="134">
        <v>60114</v>
      </c>
      <c r="TU1" s="134">
        <v>60145</v>
      </c>
      <c r="TV1" s="134">
        <v>60175</v>
      </c>
      <c r="TW1" s="134">
        <v>60206</v>
      </c>
      <c r="TX1" s="134">
        <v>60236</v>
      </c>
      <c r="TY1" s="134">
        <v>60267</v>
      </c>
      <c r="TZ1" s="134">
        <v>60298</v>
      </c>
      <c r="UA1" s="134">
        <v>60326</v>
      </c>
      <c r="UB1" s="134">
        <v>60357</v>
      </c>
      <c r="UC1" s="134">
        <v>60387</v>
      </c>
      <c r="UD1" s="134">
        <v>60418</v>
      </c>
      <c r="UE1" s="134">
        <v>60448</v>
      </c>
      <c r="UF1" s="134">
        <v>60479</v>
      </c>
      <c r="UG1" s="134">
        <v>60510</v>
      </c>
      <c r="UH1" s="134">
        <v>60540</v>
      </c>
      <c r="UI1" s="134">
        <v>60571</v>
      </c>
      <c r="UJ1" s="134">
        <v>60601</v>
      </c>
      <c r="UK1" s="134">
        <v>60632</v>
      </c>
    </row>
    <row r="2" spans="2:557">
      <c r="B2" t="str">
        <f>IF(Samenvatting!$F103&lt;&gt;0,Samenvatting!C103,"")</f>
        <v>private debt 1</v>
      </c>
      <c r="C2">
        <f>IF(Samenvatting!$F103&lt;&gt;0,Samenvatting!D103,"")</f>
        <v>1</v>
      </c>
      <c r="D2" t="str">
        <f>IF(Samenvatting!$F103&lt;&gt;0,Samenvatting!E103,"")</f>
        <v>EUR</v>
      </c>
      <c r="E2">
        <f>IF(Samenvatting!$F103&lt;&gt;0,Samenvatting!F103,"")</f>
        <v>4154000</v>
      </c>
      <c r="F2">
        <f>IF(Samenvatting!$F103&lt;&gt;0,Samenvatting!H103,"")</f>
        <v>0.08</v>
      </c>
      <c r="G2" s="134">
        <f>IF(Samenvatting!$F103&lt;&gt;0,Samenvatting!I103,"")</f>
        <v>46023</v>
      </c>
      <c r="H2">
        <f>IF(Samenvatting!$F103&lt;&gt;0,Samenvatting!J103,"")</f>
        <v>1</v>
      </c>
      <c r="I2" s="134">
        <f>IF(Samenvatting!$F103&lt;&gt;0,Samenvatting!K103,"")</f>
        <v>46388</v>
      </c>
      <c r="J2" s="135">
        <f t="shared" ref="J2:J29" si="0">IFERROR(IF(J$1=EOMONTH($G2,0),(-$E2+($E2*(DAY($G2)/DAY(EOMONTH(J$1,0)))*$F2/12*(1-0.269))),IF(J$1=$G2,($E2+($E2*(DAY($I2)/DAY(EOMONTH(J$1,0)))*$F2/12*(1-0.269))),IFERROR(IF($I2&lt;J$1,0,IF(J$1&gt;$I2,(($F2/12)*$E2)*(DAY($I2)/DAY(EOMONTH(J$1,0)))*(1-26.9/100)+$E2,IF(AND(J$1&gt;=$G2,J$1&lt;$I2),(($F2/12)*$E2)*(1-26.9/100),""))-IF(J$1=EOMONTH($G2,0),$E2,"0")),0)+IF(J$1=EOMONTH($I2,0),($E2+($E2*(DAY($I2)/DAY(EOMONTH(J$1,0)))*$F2/12*(1-0.269))),"0"))),0)</f>
        <v>0</v>
      </c>
      <c r="K2" s="135">
        <f t="shared" ref="K2:BV3" si="1">IFERROR(IF(K$1=EOMONTH($G2,0),(-$E2+($E2*(DAY($G2)/DAY(EOMONTH(K$1,0)))*$F2/12*(1-0.269))),IF(K$1=$G2,($E2+($E2*(DAY($I2)/DAY(EOMONTH(K$1,0)))*$F2/12*(1-0.269))),IFERROR(IF($I2&lt;K$1,0,IF(K$1&gt;$I2,(($F2/12)*$E2)*(DAY($I2)/DAY(EOMONTH(K$1,0)))*(1-26.9/100)+$E2,IF(AND(K$1&gt;=$G2,K$1&lt;$I2),(($F2/12)*$E2)*(1-26.9/100),""))-IF(K$1=EOMONTH($G2,0),$E2,"0")),0)+IF(K$1=EOMONTH($I2,0),($E2+($E2*(DAY($I2)/DAY(EOMONTH(K$1,0)))*$F2/12*(1-0.269))),"0"))),0)</f>
        <v>0</v>
      </c>
      <c r="L2" s="135">
        <f t="shared" si="1"/>
        <v>0</v>
      </c>
      <c r="M2" s="135">
        <f t="shared" si="1"/>
        <v>0</v>
      </c>
      <c r="N2" s="135">
        <f t="shared" si="1"/>
        <v>0</v>
      </c>
      <c r="O2" s="135">
        <f t="shared" si="1"/>
        <v>0</v>
      </c>
      <c r="P2" s="135">
        <f t="shared" si="1"/>
        <v>0</v>
      </c>
      <c r="Q2" s="135">
        <f t="shared" si="1"/>
        <v>0</v>
      </c>
      <c r="R2" s="135">
        <f t="shared" si="1"/>
        <v>0</v>
      </c>
      <c r="S2" s="135">
        <f t="shared" si="1"/>
        <v>0</v>
      </c>
      <c r="T2" s="135">
        <f t="shared" si="1"/>
        <v>0</v>
      </c>
      <c r="U2" s="135">
        <f t="shared" si="1"/>
        <v>0</v>
      </c>
      <c r="V2" s="135">
        <f t="shared" si="1"/>
        <v>0</v>
      </c>
      <c r="W2" s="135">
        <f t="shared" si="1"/>
        <v>0</v>
      </c>
      <c r="X2" s="135">
        <f t="shared" si="1"/>
        <v>0</v>
      </c>
      <c r="Y2" s="135">
        <f t="shared" si="1"/>
        <v>0</v>
      </c>
      <c r="Z2" s="135">
        <f t="shared" si="1"/>
        <v>0</v>
      </c>
      <c r="AA2" s="135">
        <f t="shared" si="1"/>
        <v>0</v>
      </c>
      <c r="AB2" s="135">
        <f t="shared" si="1"/>
        <v>0</v>
      </c>
      <c r="AC2" s="135">
        <f t="shared" si="1"/>
        <v>0</v>
      </c>
      <c r="AD2" s="135">
        <f t="shared" si="1"/>
        <v>0</v>
      </c>
      <c r="AE2" s="135">
        <f t="shared" si="1"/>
        <v>0</v>
      </c>
      <c r="AF2" s="135">
        <f t="shared" si="1"/>
        <v>0</v>
      </c>
      <c r="AG2" s="135">
        <f t="shared" si="1"/>
        <v>0</v>
      </c>
      <c r="AH2" s="135">
        <f t="shared" si="1"/>
        <v>0</v>
      </c>
      <c r="AI2" s="135">
        <f t="shared" si="1"/>
        <v>0</v>
      </c>
      <c r="AJ2" s="135">
        <f t="shared" si="1"/>
        <v>0</v>
      </c>
      <c r="AK2" s="135">
        <f t="shared" si="1"/>
        <v>0</v>
      </c>
      <c r="AL2" s="135">
        <f t="shared" si="1"/>
        <v>0</v>
      </c>
      <c r="AM2" s="135">
        <f t="shared" si="1"/>
        <v>0</v>
      </c>
      <c r="AN2" s="135">
        <f t="shared" si="1"/>
        <v>0</v>
      </c>
      <c r="AO2" s="135">
        <f t="shared" si="1"/>
        <v>0</v>
      </c>
      <c r="AP2" s="135">
        <f t="shared" si="1"/>
        <v>0</v>
      </c>
      <c r="AQ2" s="135">
        <f t="shared" si="1"/>
        <v>0</v>
      </c>
      <c r="AR2" s="135">
        <f t="shared" si="1"/>
        <v>0</v>
      </c>
      <c r="AS2" s="135">
        <f t="shared" si="1"/>
        <v>0</v>
      </c>
      <c r="AT2" s="135">
        <f t="shared" si="1"/>
        <v>0</v>
      </c>
      <c r="AU2" s="135">
        <f t="shared" si="1"/>
        <v>0</v>
      </c>
      <c r="AV2" s="135">
        <f t="shared" si="1"/>
        <v>0</v>
      </c>
      <c r="AW2" s="135">
        <f t="shared" si="1"/>
        <v>0</v>
      </c>
      <c r="AX2" s="135">
        <f t="shared" si="1"/>
        <v>0</v>
      </c>
      <c r="AY2" s="135">
        <f t="shared" si="1"/>
        <v>0</v>
      </c>
      <c r="AZ2" s="135">
        <f t="shared" si="1"/>
        <v>0</v>
      </c>
      <c r="BA2" s="135">
        <f t="shared" si="1"/>
        <v>0</v>
      </c>
      <c r="BB2" s="135">
        <f t="shared" si="1"/>
        <v>0</v>
      </c>
      <c r="BC2" s="135">
        <f t="shared" si="1"/>
        <v>0</v>
      </c>
      <c r="BD2" s="135">
        <f t="shared" si="1"/>
        <v>0</v>
      </c>
      <c r="BE2" s="135">
        <f t="shared" si="1"/>
        <v>0</v>
      </c>
      <c r="BF2" s="135">
        <f t="shared" si="1"/>
        <v>0</v>
      </c>
      <c r="BG2" s="135">
        <f t="shared" si="1"/>
        <v>0</v>
      </c>
      <c r="BH2" s="135">
        <f t="shared" si="1"/>
        <v>0</v>
      </c>
      <c r="BI2" s="135">
        <f t="shared" si="1"/>
        <v>0</v>
      </c>
      <c r="BJ2" s="135">
        <f t="shared" si="1"/>
        <v>0</v>
      </c>
      <c r="BK2" s="135">
        <f t="shared" si="1"/>
        <v>0</v>
      </c>
      <c r="BL2" s="135">
        <f t="shared" si="1"/>
        <v>0</v>
      </c>
      <c r="BM2" s="135">
        <f t="shared" si="1"/>
        <v>0</v>
      </c>
      <c r="BN2" s="135">
        <f t="shared" si="1"/>
        <v>0</v>
      </c>
      <c r="BO2" s="135">
        <f t="shared" si="1"/>
        <v>0</v>
      </c>
      <c r="BP2" s="135">
        <f t="shared" si="1"/>
        <v>0</v>
      </c>
      <c r="BQ2" s="135">
        <f t="shared" si="1"/>
        <v>0</v>
      </c>
      <c r="BR2" s="135">
        <f t="shared" si="1"/>
        <v>0</v>
      </c>
      <c r="BS2" s="135">
        <f t="shared" si="1"/>
        <v>0</v>
      </c>
      <c r="BT2" s="135">
        <f t="shared" si="1"/>
        <v>0</v>
      </c>
      <c r="BU2" s="135">
        <f t="shared" si="1"/>
        <v>0</v>
      </c>
      <c r="BV2" s="135">
        <f t="shared" si="1"/>
        <v>0</v>
      </c>
      <c r="BW2" s="135">
        <f t="shared" ref="BW2:EH5" si="2">IFERROR(IF(BW$1=EOMONTH($G2,0),(-$E2+($E2*(DAY($G2)/DAY(EOMONTH(BW$1,0)))*$F2/12*(1-0.269))),IF(BW$1=$G2,($E2+($E2*(DAY($I2)/DAY(EOMONTH(BW$1,0)))*$F2/12*(1-0.269))),IFERROR(IF($I2&lt;BW$1,0,IF(BW$1&gt;$I2,(($F2/12)*$E2)*(DAY($I2)/DAY(EOMONTH(BW$1,0)))*(1-26.9/100)+$E2,IF(AND(BW$1&gt;=$G2,BW$1&lt;$I2),(($F2/12)*$E2)*(1-26.9/100),""))-IF(BW$1=EOMONTH($G2,0),$E2,"0")),0)+IF(BW$1=EOMONTH($I2,0),($E2+($E2*(DAY($I2)/DAY(EOMONTH(BW$1,0)))*$F2/12*(1-0.269))),"0"))),0)</f>
        <v>0</v>
      </c>
      <c r="BX2" s="135">
        <f t="shared" si="2"/>
        <v>0</v>
      </c>
      <c r="BY2" s="135">
        <f t="shared" si="2"/>
        <v>0</v>
      </c>
      <c r="BZ2" s="135">
        <f t="shared" si="2"/>
        <v>-4153346.9733333332</v>
      </c>
      <c r="CA2" s="135">
        <f t="shared" si="2"/>
        <v>20243.826666666671</v>
      </c>
      <c r="CB2" s="135">
        <f t="shared" si="2"/>
        <v>20243.826666666671</v>
      </c>
      <c r="CC2" s="135">
        <f t="shared" si="2"/>
        <v>20243.826666666671</v>
      </c>
      <c r="CD2" s="135">
        <f t="shared" si="2"/>
        <v>20243.826666666671</v>
      </c>
      <c r="CE2" s="135">
        <f t="shared" si="2"/>
        <v>20243.826666666671</v>
      </c>
      <c r="CF2" s="135">
        <f t="shared" si="2"/>
        <v>20243.826666666671</v>
      </c>
      <c r="CG2" s="135">
        <f t="shared" si="2"/>
        <v>20243.826666666671</v>
      </c>
      <c r="CH2" s="135">
        <f t="shared" si="2"/>
        <v>20243.826666666671</v>
      </c>
      <c r="CI2" s="135">
        <f t="shared" si="2"/>
        <v>20243.826666666671</v>
      </c>
      <c r="CJ2" s="135">
        <f t="shared" si="2"/>
        <v>20243.826666666671</v>
      </c>
      <c r="CK2" s="135">
        <f t="shared" si="2"/>
        <v>20243.826666666671</v>
      </c>
      <c r="CL2" s="135">
        <f t="shared" si="2"/>
        <v>4154653.0266666668</v>
      </c>
      <c r="CM2" s="135">
        <f t="shared" si="2"/>
        <v>0</v>
      </c>
      <c r="CN2" s="135">
        <f t="shared" si="2"/>
        <v>0</v>
      </c>
      <c r="CO2" s="135">
        <f t="shared" si="2"/>
        <v>0</v>
      </c>
      <c r="CP2" s="135">
        <f t="shared" si="2"/>
        <v>0</v>
      </c>
      <c r="CQ2" s="135">
        <f t="shared" si="2"/>
        <v>0</v>
      </c>
      <c r="CR2" s="135">
        <f t="shared" si="2"/>
        <v>0</v>
      </c>
      <c r="CS2" s="135">
        <f t="shared" si="2"/>
        <v>0</v>
      </c>
      <c r="CT2" s="135">
        <f t="shared" si="2"/>
        <v>0</v>
      </c>
      <c r="CU2" s="135">
        <f t="shared" si="2"/>
        <v>0</v>
      </c>
      <c r="CV2" s="135">
        <f t="shared" si="2"/>
        <v>0</v>
      </c>
      <c r="CW2" s="135">
        <f t="shared" si="2"/>
        <v>0</v>
      </c>
      <c r="CX2" s="135">
        <f t="shared" si="2"/>
        <v>0</v>
      </c>
      <c r="CY2" s="135">
        <f t="shared" si="2"/>
        <v>0</v>
      </c>
      <c r="CZ2" s="135">
        <f t="shared" si="2"/>
        <v>0</v>
      </c>
      <c r="DA2" s="135">
        <f t="shared" si="2"/>
        <v>0</v>
      </c>
      <c r="DB2" s="135">
        <f t="shared" si="2"/>
        <v>0</v>
      </c>
      <c r="DC2" s="135">
        <f t="shared" si="2"/>
        <v>0</v>
      </c>
      <c r="DD2" s="135">
        <f t="shared" si="2"/>
        <v>0</v>
      </c>
      <c r="DE2" s="135">
        <f t="shared" si="2"/>
        <v>0</v>
      </c>
      <c r="DF2" s="135">
        <f t="shared" si="2"/>
        <v>0</v>
      </c>
      <c r="DG2" s="135">
        <f t="shared" si="2"/>
        <v>0</v>
      </c>
      <c r="DH2" s="135">
        <f t="shared" si="2"/>
        <v>0</v>
      </c>
      <c r="DI2" s="135">
        <f t="shared" si="2"/>
        <v>0</v>
      </c>
      <c r="DJ2" s="135">
        <f t="shared" si="2"/>
        <v>0</v>
      </c>
      <c r="DK2" s="135">
        <f t="shared" si="2"/>
        <v>0</v>
      </c>
      <c r="DL2" s="135">
        <f t="shared" si="2"/>
        <v>0</v>
      </c>
      <c r="DM2" s="135">
        <f t="shared" si="2"/>
        <v>0</v>
      </c>
      <c r="DN2" s="135">
        <f t="shared" si="2"/>
        <v>0</v>
      </c>
      <c r="DO2" s="135">
        <f t="shared" si="2"/>
        <v>0</v>
      </c>
      <c r="DP2" s="135">
        <f t="shared" si="2"/>
        <v>0</v>
      </c>
      <c r="DQ2" s="135">
        <f t="shared" si="2"/>
        <v>0</v>
      </c>
      <c r="DR2" s="135">
        <f t="shared" si="2"/>
        <v>0</v>
      </c>
      <c r="DS2" s="135">
        <f t="shared" si="2"/>
        <v>0</v>
      </c>
      <c r="DT2" s="135">
        <f t="shared" si="2"/>
        <v>0</v>
      </c>
      <c r="DU2" s="135">
        <f t="shared" si="2"/>
        <v>0</v>
      </c>
      <c r="DV2" s="135">
        <f t="shared" si="2"/>
        <v>0</v>
      </c>
      <c r="DW2" s="135">
        <f t="shared" si="2"/>
        <v>0</v>
      </c>
      <c r="DX2" s="135">
        <f t="shared" si="2"/>
        <v>0</v>
      </c>
      <c r="DY2" s="135">
        <f t="shared" si="2"/>
        <v>0</v>
      </c>
      <c r="DZ2" s="135">
        <f t="shared" si="2"/>
        <v>0</v>
      </c>
      <c r="EA2" s="135">
        <f t="shared" si="2"/>
        <v>0</v>
      </c>
      <c r="EB2" s="135">
        <f t="shared" si="2"/>
        <v>0</v>
      </c>
      <c r="EC2" s="135">
        <f t="shared" si="2"/>
        <v>0</v>
      </c>
      <c r="ED2" s="135">
        <f t="shared" si="2"/>
        <v>0</v>
      </c>
      <c r="EE2" s="135">
        <f t="shared" si="2"/>
        <v>0</v>
      </c>
      <c r="EF2" s="135">
        <f t="shared" si="2"/>
        <v>0</v>
      </c>
      <c r="EG2" s="135">
        <f t="shared" si="2"/>
        <v>0</v>
      </c>
      <c r="EH2" s="135">
        <f t="shared" si="2"/>
        <v>0</v>
      </c>
      <c r="EI2" s="135">
        <f t="shared" ref="EI2:ER4" si="3">IFERROR(IF(EI$1=EOMONTH($G2,0),(-$E2+($E2*(DAY($G2)/DAY(EOMONTH(EI$1,0)))*$F2/12*(1-0.269))),IF(EI$1=$G2,($E2+($E2*(DAY($I2)/DAY(EOMONTH(EI$1,0)))*$F2/12*(1-0.269))),IFERROR(IF($I2&lt;EI$1,0,IF(EI$1&gt;$I2,(($F2/12)*$E2)*(DAY($I2)/DAY(EOMONTH(EI$1,0)))*(1-26.9/100)+$E2,IF(AND(EI$1&gt;=$G2,EI$1&lt;$I2),(($F2/12)*$E2)*(1-26.9/100),""))-IF(EI$1=EOMONTH($G2,0),$E2,"0")),0)+IF(EI$1=EOMONTH($I2,0),($E2+($E2*(DAY($I2)/DAY(EOMONTH(EI$1,0)))*$F2/12*(1-0.269))),"0"))),0)</f>
        <v>0</v>
      </c>
      <c r="EJ2" s="135">
        <f t="shared" si="3"/>
        <v>0</v>
      </c>
      <c r="EK2" s="135">
        <f t="shared" si="3"/>
        <v>0</v>
      </c>
      <c r="EL2" s="135">
        <f t="shared" si="3"/>
        <v>0</v>
      </c>
      <c r="EM2" s="135">
        <f t="shared" si="3"/>
        <v>0</v>
      </c>
      <c r="EN2" s="135">
        <f t="shared" si="3"/>
        <v>0</v>
      </c>
      <c r="EO2" s="135">
        <f t="shared" si="3"/>
        <v>0</v>
      </c>
      <c r="EP2" s="135">
        <f t="shared" si="3"/>
        <v>0</v>
      </c>
      <c r="EQ2" s="135">
        <f t="shared" si="3"/>
        <v>0</v>
      </c>
      <c r="ER2" s="135">
        <f t="shared" si="3"/>
        <v>0</v>
      </c>
      <c r="ES2" s="135">
        <f t="shared" ref="ES2:FB4" si="4">IFERROR(IF(ES$1=EOMONTH($G2,0),(-$E2+($E2*(DAY($G2)/DAY(EOMONTH(ES$1,0)))*$F2/12*(1-0.269))),IF(ES$1=$G2,($E2+($E2*(DAY($I2)/DAY(EOMONTH(ES$1,0)))*$F2/12*(1-0.269))),IFERROR(IF($I2&lt;ES$1,0,IF(ES$1&gt;$I2,(($F2/12)*$E2)*(DAY($I2)/DAY(EOMONTH(ES$1,0)))*(1-26.9/100)+$E2,IF(AND(ES$1&gt;=$G2,ES$1&lt;$I2),(($F2/12)*$E2)*(1-26.9/100),""))-IF(ES$1=EOMONTH($G2,0),$E2,"0")),0)+IF(ES$1=EOMONTH($I2,0),($E2+($E2*(DAY($I2)/DAY(EOMONTH(ES$1,0)))*$F2/12*(1-0.269))),"0"))),0)</f>
        <v>0</v>
      </c>
      <c r="ET2" s="135">
        <f t="shared" si="4"/>
        <v>0</v>
      </c>
      <c r="EU2" s="135">
        <f t="shared" si="4"/>
        <v>0</v>
      </c>
      <c r="EV2" s="135">
        <f t="shared" si="4"/>
        <v>0</v>
      </c>
      <c r="EW2" s="135">
        <f t="shared" si="4"/>
        <v>0</v>
      </c>
      <c r="EX2" s="135">
        <f t="shared" si="4"/>
        <v>0</v>
      </c>
      <c r="EY2" s="135">
        <f t="shared" si="4"/>
        <v>0</v>
      </c>
      <c r="EZ2" s="135">
        <f t="shared" si="4"/>
        <v>0</v>
      </c>
      <c r="FA2" s="135">
        <f t="shared" si="4"/>
        <v>0</v>
      </c>
      <c r="FB2" s="135">
        <f t="shared" si="4"/>
        <v>0</v>
      </c>
      <c r="FC2" s="135">
        <f t="shared" ref="FC2:FL4" si="5">IFERROR(IF(FC$1=EOMONTH($G2,0),(-$E2+($E2*(DAY($G2)/DAY(EOMONTH(FC$1,0)))*$F2/12*(1-0.269))),IF(FC$1=$G2,($E2+($E2*(DAY($I2)/DAY(EOMONTH(FC$1,0)))*$F2/12*(1-0.269))),IFERROR(IF($I2&lt;FC$1,0,IF(FC$1&gt;$I2,(($F2/12)*$E2)*(DAY($I2)/DAY(EOMONTH(FC$1,0)))*(1-26.9/100)+$E2,IF(AND(FC$1&gt;=$G2,FC$1&lt;$I2),(($F2/12)*$E2)*(1-26.9/100),""))-IF(FC$1=EOMONTH($G2,0),$E2,"0")),0)+IF(FC$1=EOMONTH($I2,0),($E2+($E2*(DAY($I2)/DAY(EOMONTH(FC$1,0)))*$F2/12*(1-0.269))),"0"))),0)</f>
        <v>0</v>
      </c>
      <c r="FD2" s="135">
        <f t="shared" si="5"/>
        <v>0</v>
      </c>
      <c r="FE2" s="135">
        <f t="shared" si="5"/>
        <v>0</v>
      </c>
      <c r="FF2" s="135">
        <f t="shared" si="5"/>
        <v>0</v>
      </c>
      <c r="FG2" s="135">
        <f t="shared" si="5"/>
        <v>0</v>
      </c>
      <c r="FH2" s="135">
        <f t="shared" si="5"/>
        <v>0</v>
      </c>
      <c r="FI2" s="135">
        <f t="shared" si="5"/>
        <v>0</v>
      </c>
      <c r="FJ2" s="135">
        <f t="shared" si="5"/>
        <v>0</v>
      </c>
      <c r="FK2" s="135">
        <f t="shared" si="5"/>
        <v>0</v>
      </c>
      <c r="FL2" s="135">
        <f t="shared" si="5"/>
        <v>0</v>
      </c>
      <c r="FM2" s="135">
        <f t="shared" ref="FM2:FV4" si="6">IFERROR(IF(FM$1=EOMONTH($G2,0),(-$E2+($E2*(DAY($G2)/DAY(EOMONTH(FM$1,0)))*$F2/12*(1-0.269))),IF(FM$1=$G2,($E2+($E2*(DAY($I2)/DAY(EOMONTH(FM$1,0)))*$F2/12*(1-0.269))),IFERROR(IF($I2&lt;FM$1,0,IF(FM$1&gt;$I2,(($F2/12)*$E2)*(DAY($I2)/DAY(EOMONTH(FM$1,0)))*(1-26.9/100)+$E2,IF(AND(FM$1&gt;=$G2,FM$1&lt;$I2),(($F2/12)*$E2)*(1-26.9/100),""))-IF(FM$1=EOMONTH($G2,0),$E2,"0")),0)+IF(FM$1=EOMONTH($I2,0),($E2+($E2*(DAY($I2)/DAY(EOMONTH(FM$1,0)))*$F2/12*(1-0.269))),"0"))),0)</f>
        <v>0</v>
      </c>
      <c r="FN2" s="135">
        <f t="shared" si="6"/>
        <v>0</v>
      </c>
      <c r="FO2" s="135">
        <f t="shared" si="6"/>
        <v>0</v>
      </c>
      <c r="FP2" s="135">
        <f t="shared" si="6"/>
        <v>0</v>
      </c>
      <c r="FQ2" s="135">
        <f t="shared" si="6"/>
        <v>0</v>
      </c>
      <c r="FR2" s="135">
        <f t="shared" si="6"/>
        <v>0</v>
      </c>
      <c r="FS2" s="135">
        <f t="shared" si="6"/>
        <v>0</v>
      </c>
      <c r="FT2" s="135">
        <f t="shared" si="6"/>
        <v>0</v>
      </c>
      <c r="FU2" s="135">
        <f t="shared" si="6"/>
        <v>0</v>
      </c>
      <c r="FV2" s="135">
        <f t="shared" si="6"/>
        <v>0</v>
      </c>
      <c r="FW2" s="135">
        <f t="shared" ref="FW2:GF4" si="7">IFERROR(IF(FW$1=EOMONTH($G2,0),(-$E2+($E2*(DAY($G2)/DAY(EOMONTH(FW$1,0)))*$F2/12*(1-0.269))),IF(FW$1=$G2,($E2+($E2*(DAY($I2)/DAY(EOMONTH(FW$1,0)))*$F2/12*(1-0.269))),IFERROR(IF($I2&lt;FW$1,0,IF(FW$1&gt;$I2,(($F2/12)*$E2)*(DAY($I2)/DAY(EOMONTH(FW$1,0)))*(1-26.9/100)+$E2,IF(AND(FW$1&gt;=$G2,FW$1&lt;$I2),(($F2/12)*$E2)*(1-26.9/100),""))-IF(FW$1=EOMONTH($G2,0),$E2,"0")),0)+IF(FW$1=EOMONTH($I2,0),($E2+($E2*(DAY($I2)/DAY(EOMONTH(FW$1,0)))*$F2/12*(1-0.269))),"0"))),0)</f>
        <v>0</v>
      </c>
      <c r="FX2" s="135">
        <f t="shared" si="7"/>
        <v>0</v>
      </c>
      <c r="FY2" s="135">
        <f t="shared" si="7"/>
        <v>0</v>
      </c>
      <c r="FZ2" s="135">
        <f t="shared" si="7"/>
        <v>0</v>
      </c>
      <c r="GA2" s="135">
        <f t="shared" si="7"/>
        <v>0</v>
      </c>
      <c r="GB2" s="135">
        <f t="shared" si="7"/>
        <v>0</v>
      </c>
      <c r="GC2" s="135">
        <f t="shared" si="7"/>
        <v>0</v>
      </c>
      <c r="GD2" s="135">
        <f t="shared" si="7"/>
        <v>0</v>
      </c>
      <c r="GE2" s="135">
        <f t="shared" si="7"/>
        <v>0</v>
      </c>
      <c r="GF2" s="135">
        <f t="shared" si="7"/>
        <v>0</v>
      </c>
      <c r="GG2" s="135">
        <f t="shared" ref="GG2:GT4" si="8">IFERROR(IF(GG$1=EOMONTH($G2,0),(-$E2+($E2*(DAY($G2)/DAY(EOMONTH(GG$1,0)))*$F2/12*(1-0.269))),IF(GG$1=$G2,($E2+($E2*(DAY($I2)/DAY(EOMONTH(GG$1,0)))*$F2/12*(1-0.269))),IFERROR(IF($I2&lt;GG$1,0,IF(GG$1&gt;$I2,(($F2/12)*$E2)*(DAY($I2)/DAY(EOMONTH(GG$1,0)))*(1-26.9/100)+$E2,IF(AND(GG$1&gt;=$G2,GG$1&lt;$I2),(($F2/12)*$E2)*(1-26.9/100),""))-IF(GG$1=EOMONTH($G2,0),$E2,"0")),0)+IF(GG$1=EOMONTH($I2,0),($E2+($E2*(DAY($I2)/DAY(EOMONTH(GG$1,0)))*$F2/12*(1-0.269))),"0"))),0)</f>
        <v>0</v>
      </c>
      <c r="GH2" s="135">
        <f t="shared" si="8"/>
        <v>0</v>
      </c>
      <c r="GI2" s="135">
        <f t="shared" si="8"/>
        <v>0</v>
      </c>
      <c r="GJ2" s="135">
        <f t="shared" si="8"/>
        <v>0</v>
      </c>
      <c r="GK2" s="135">
        <f t="shared" si="8"/>
        <v>0</v>
      </c>
      <c r="GL2" s="135">
        <f t="shared" si="8"/>
        <v>0</v>
      </c>
      <c r="GM2" s="135">
        <f t="shared" si="8"/>
        <v>0</v>
      </c>
      <c r="GN2" s="135">
        <f t="shared" si="8"/>
        <v>0</v>
      </c>
      <c r="GO2" s="135">
        <f t="shared" si="8"/>
        <v>0</v>
      </c>
      <c r="GP2" s="135">
        <f t="shared" si="8"/>
        <v>0</v>
      </c>
      <c r="GQ2" s="135">
        <f t="shared" si="8"/>
        <v>0</v>
      </c>
      <c r="GR2" s="135">
        <f t="shared" si="8"/>
        <v>0</v>
      </c>
      <c r="GS2" s="135">
        <f t="shared" si="8"/>
        <v>0</v>
      </c>
      <c r="GT2" s="135">
        <f t="shared" si="8"/>
        <v>0</v>
      </c>
      <c r="GU2" s="135">
        <f t="shared" ref="GU2:JF5" si="9">IFERROR(IF(GU$1=EOMONTH($G2,0),(-$E2+($E2*(DAY($G2)/DAY(EOMONTH(GU$1,0)))*$F2/12*(1-0.269))),IF(GU$1=$G2,($E2+($E2*(DAY($I2)/DAY(EOMONTH(GU$1,0)))*$F2/12*(1-0.269))),IFERROR(IF($I2&lt;GU$1,0,IF(GU$1&gt;$I2,(($F2/12)*$E2)*(DAY($I2)/DAY(EOMONTH(GU$1,0)))*(1-26.9/100)+$E2,IF(AND(GU$1&gt;=$G2,GU$1&lt;$I2),(($F2/12)*$E2)*(1-26.9/100),""))-IF(GU$1=EOMONTH($G2,0),$E2,"0")),0)+IF(GU$1=EOMONTH($I2,0),($E2+($E2*(DAY($I2)/DAY(EOMONTH(GU$1,0)))*$F2/12*(1-0.269))),"0"))),0)</f>
        <v>0</v>
      </c>
      <c r="GV2" s="135">
        <f t="shared" si="9"/>
        <v>0</v>
      </c>
      <c r="GW2" s="135">
        <f t="shared" si="9"/>
        <v>0</v>
      </c>
      <c r="GX2" s="135">
        <f t="shared" si="9"/>
        <v>0</v>
      </c>
      <c r="GY2" s="135">
        <f t="shared" si="9"/>
        <v>0</v>
      </c>
      <c r="GZ2" s="135">
        <f t="shared" si="9"/>
        <v>0</v>
      </c>
      <c r="HA2" s="135">
        <f t="shared" si="9"/>
        <v>0</v>
      </c>
      <c r="HB2" s="135">
        <f t="shared" si="9"/>
        <v>0</v>
      </c>
      <c r="HC2" s="135">
        <f t="shared" si="9"/>
        <v>0</v>
      </c>
      <c r="HD2" s="135">
        <f t="shared" si="9"/>
        <v>0</v>
      </c>
      <c r="HE2" s="135">
        <f t="shared" si="9"/>
        <v>0</v>
      </c>
      <c r="HF2" s="135">
        <f t="shared" si="9"/>
        <v>0</v>
      </c>
      <c r="HG2" s="135">
        <f t="shared" si="9"/>
        <v>0</v>
      </c>
      <c r="HH2" s="135">
        <f t="shared" si="9"/>
        <v>0</v>
      </c>
      <c r="HI2" s="135">
        <f t="shared" si="9"/>
        <v>0</v>
      </c>
      <c r="HJ2" s="135">
        <f t="shared" si="9"/>
        <v>0</v>
      </c>
      <c r="HK2" s="135">
        <f t="shared" si="9"/>
        <v>0</v>
      </c>
      <c r="HL2" s="135">
        <f t="shared" si="9"/>
        <v>0</v>
      </c>
      <c r="HM2" s="135">
        <f t="shared" si="9"/>
        <v>0</v>
      </c>
      <c r="HN2" s="135">
        <f t="shared" si="9"/>
        <v>0</v>
      </c>
      <c r="HO2" s="135">
        <f t="shared" si="9"/>
        <v>0</v>
      </c>
      <c r="HP2" s="135">
        <f t="shared" si="9"/>
        <v>0</v>
      </c>
      <c r="HQ2" s="135">
        <f t="shared" si="9"/>
        <v>0</v>
      </c>
      <c r="HR2" s="135">
        <f t="shared" si="9"/>
        <v>0</v>
      </c>
      <c r="HS2" s="135">
        <f t="shared" si="9"/>
        <v>0</v>
      </c>
      <c r="HT2" s="135">
        <f t="shared" si="9"/>
        <v>0</v>
      </c>
      <c r="HU2" s="135">
        <f t="shared" si="9"/>
        <v>0</v>
      </c>
      <c r="HV2" s="135">
        <f t="shared" si="9"/>
        <v>0</v>
      </c>
      <c r="HW2" s="135">
        <f t="shared" si="9"/>
        <v>0</v>
      </c>
      <c r="HX2" s="135">
        <f t="shared" si="9"/>
        <v>0</v>
      </c>
      <c r="HY2" s="135">
        <f t="shared" si="9"/>
        <v>0</v>
      </c>
      <c r="HZ2" s="135">
        <f t="shared" si="9"/>
        <v>0</v>
      </c>
      <c r="IA2" s="135">
        <f t="shared" si="9"/>
        <v>0</v>
      </c>
      <c r="IB2" s="135">
        <f t="shared" si="9"/>
        <v>0</v>
      </c>
      <c r="IC2" s="135">
        <f t="shared" si="9"/>
        <v>0</v>
      </c>
      <c r="ID2" s="135">
        <f t="shared" si="9"/>
        <v>0</v>
      </c>
      <c r="IE2" s="135">
        <f t="shared" si="9"/>
        <v>0</v>
      </c>
      <c r="IF2" s="135">
        <f t="shared" si="9"/>
        <v>0</v>
      </c>
      <c r="IG2" s="135">
        <f t="shared" si="9"/>
        <v>0</v>
      </c>
      <c r="IH2" s="135">
        <f t="shared" si="9"/>
        <v>0</v>
      </c>
      <c r="II2" s="135">
        <f t="shared" si="9"/>
        <v>0</v>
      </c>
      <c r="IJ2" s="135">
        <f t="shared" si="9"/>
        <v>0</v>
      </c>
      <c r="IK2" s="135">
        <f t="shared" si="9"/>
        <v>0</v>
      </c>
      <c r="IL2" s="135">
        <f t="shared" si="9"/>
        <v>0</v>
      </c>
      <c r="IM2" s="135">
        <f t="shared" si="9"/>
        <v>0</v>
      </c>
      <c r="IN2" s="135">
        <f t="shared" si="9"/>
        <v>0</v>
      </c>
      <c r="IO2" s="135">
        <f t="shared" si="9"/>
        <v>0</v>
      </c>
      <c r="IP2" s="135">
        <f t="shared" si="9"/>
        <v>0</v>
      </c>
      <c r="IQ2" s="135">
        <f t="shared" si="9"/>
        <v>0</v>
      </c>
      <c r="IR2" s="135">
        <f t="shared" si="9"/>
        <v>0</v>
      </c>
      <c r="IS2" s="135">
        <f t="shared" si="9"/>
        <v>0</v>
      </c>
      <c r="IT2" s="135">
        <f t="shared" si="9"/>
        <v>0</v>
      </c>
      <c r="IU2" s="135">
        <f t="shared" si="9"/>
        <v>0</v>
      </c>
      <c r="IV2" s="135">
        <f t="shared" si="9"/>
        <v>0</v>
      </c>
      <c r="IW2" s="135">
        <f t="shared" si="9"/>
        <v>0</v>
      </c>
      <c r="IX2" s="135">
        <f t="shared" si="9"/>
        <v>0</v>
      </c>
      <c r="IY2" s="135">
        <f t="shared" si="9"/>
        <v>0</v>
      </c>
      <c r="IZ2" s="135">
        <f t="shared" si="9"/>
        <v>0</v>
      </c>
      <c r="JA2" s="135">
        <f t="shared" si="9"/>
        <v>0</v>
      </c>
      <c r="JB2" s="135">
        <f t="shared" si="9"/>
        <v>0</v>
      </c>
      <c r="JC2" s="135">
        <f t="shared" si="9"/>
        <v>0</v>
      </c>
      <c r="JD2" s="135">
        <f t="shared" si="9"/>
        <v>0</v>
      </c>
      <c r="JE2" s="135">
        <f t="shared" si="9"/>
        <v>0</v>
      </c>
      <c r="JF2" s="135">
        <f t="shared" si="9"/>
        <v>0</v>
      </c>
      <c r="JG2" s="135">
        <f t="shared" ref="JG2:JP4" si="10">IFERROR(IF(JG$1=EOMONTH($G2,0),(-$E2+($E2*(DAY($G2)/DAY(EOMONTH(JG$1,0)))*$F2/12*(1-0.269))),IF(JG$1=$G2,($E2+($E2*(DAY($I2)/DAY(EOMONTH(JG$1,0)))*$F2/12*(1-0.269))),IFERROR(IF($I2&lt;JG$1,0,IF(JG$1&gt;$I2,(($F2/12)*$E2)*(DAY($I2)/DAY(EOMONTH(JG$1,0)))*(1-26.9/100)+$E2,IF(AND(JG$1&gt;=$G2,JG$1&lt;$I2),(($F2/12)*$E2)*(1-26.9/100),""))-IF(JG$1=EOMONTH($G2,0),$E2,"0")),0)+IF(JG$1=EOMONTH($I2,0),($E2+($E2*(DAY($I2)/DAY(EOMONTH(JG$1,0)))*$F2/12*(1-0.269))),"0"))),0)</f>
        <v>0</v>
      </c>
      <c r="JH2" s="135">
        <f t="shared" si="10"/>
        <v>0</v>
      </c>
      <c r="JI2" s="135">
        <f t="shared" si="10"/>
        <v>0</v>
      </c>
      <c r="JJ2" s="135">
        <f t="shared" si="10"/>
        <v>0</v>
      </c>
      <c r="JK2" s="135">
        <f t="shared" si="10"/>
        <v>0</v>
      </c>
      <c r="JL2" s="135">
        <f t="shared" si="10"/>
        <v>0</v>
      </c>
      <c r="JM2" s="135">
        <f t="shared" si="10"/>
        <v>0</v>
      </c>
      <c r="JN2" s="135">
        <f t="shared" si="10"/>
        <v>0</v>
      </c>
      <c r="JO2" s="135">
        <f t="shared" si="10"/>
        <v>0</v>
      </c>
      <c r="JP2" s="135">
        <f t="shared" si="10"/>
        <v>0</v>
      </c>
      <c r="JQ2" s="135">
        <f t="shared" ref="JQ2:JZ4" si="11">IFERROR(IF(JQ$1=EOMONTH($G2,0),(-$E2+($E2*(DAY($G2)/DAY(EOMONTH(JQ$1,0)))*$F2/12*(1-0.269))),IF(JQ$1=$G2,($E2+($E2*(DAY($I2)/DAY(EOMONTH(JQ$1,0)))*$F2/12*(1-0.269))),IFERROR(IF($I2&lt;JQ$1,0,IF(JQ$1&gt;$I2,(($F2/12)*$E2)*(DAY($I2)/DAY(EOMONTH(JQ$1,0)))*(1-26.9/100)+$E2,IF(AND(JQ$1&gt;=$G2,JQ$1&lt;$I2),(($F2/12)*$E2)*(1-26.9/100),""))-IF(JQ$1=EOMONTH($G2,0),$E2,"0")),0)+IF(JQ$1=EOMONTH($I2,0),($E2+($E2*(DAY($I2)/DAY(EOMONTH(JQ$1,0)))*$F2/12*(1-0.269))),"0"))),0)</f>
        <v>0</v>
      </c>
      <c r="JR2" s="135">
        <f t="shared" si="11"/>
        <v>0</v>
      </c>
      <c r="JS2" s="135">
        <f t="shared" si="11"/>
        <v>0</v>
      </c>
      <c r="JT2" s="135">
        <f t="shared" si="11"/>
        <v>0</v>
      </c>
      <c r="JU2" s="135">
        <f t="shared" si="11"/>
        <v>0</v>
      </c>
      <c r="JV2" s="135">
        <f t="shared" si="11"/>
        <v>0</v>
      </c>
      <c r="JW2" s="135">
        <f t="shared" si="11"/>
        <v>0</v>
      </c>
      <c r="JX2" s="135">
        <f t="shared" si="11"/>
        <v>0</v>
      </c>
      <c r="JY2" s="135">
        <f t="shared" si="11"/>
        <v>0</v>
      </c>
      <c r="JZ2" s="135">
        <f t="shared" si="11"/>
        <v>0</v>
      </c>
      <c r="KA2" s="135">
        <f t="shared" ref="KA2:KJ4" si="12">IFERROR(IF(KA$1=EOMONTH($G2,0),(-$E2+($E2*(DAY($G2)/DAY(EOMONTH(KA$1,0)))*$F2/12*(1-0.269))),IF(KA$1=$G2,($E2+($E2*(DAY($I2)/DAY(EOMONTH(KA$1,0)))*$F2/12*(1-0.269))),IFERROR(IF($I2&lt;KA$1,0,IF(KA$1&gt;$I2,(($F2/12)*$E2)*(DAY($I2)/DAY(EOMONTH(KA$1,0)))*(1-26.9/100)+$E2,IF(AND(KA$1&gt;=$G2,KA$1&lt;$I2),(($F2/12)*$E2)*(1-26.9/100),""))-IF(KA$1=EOMONTH($G2,0),$E2,"0")),0)+IF(KA$1=EOMONTH($I2,0),($E2+($E2*(DAY($I2)/DAY(EOMONTH(KA$1,0)))*$F2/12*(1-0.269))),"0"))),0)</f>
        <v>0</v>
      </c>
      <c r="KB2" s="135">
        <f t="shared" si="12"/>
        <v>0</v>
      </c>
      <c r="KC2" s="135">
        <f t="shared" si="12"/>
        <v>0</v>
      </c>
      <c r="KD2" s="135">
        <f t="shared" si="12"/>
        <v>0</v>
      </c>
      <c r="KE2" s="135">
        <f t="shared" si="12"/>
        <v>0</v>
      </c>
      <c r="KF2" s="135">
        <f t="shared" si="12"/>
        <v>0</v>
      </c>
      <c r="KG2" s="135">
        <f t="shared" si="12"/>
        <v>0</v>
      </c>
      <c r="KH2" s="135">
        <f t="shared" si="12"/>
        <v>0</v>
      </c>
      <c r="KI2" s="135">
        <f t="shared" si="12"/>
        <v>0</v>
      </c>
      <c r="KJ2" s="135">
        <f t="shared" si="12"/>
        <v>0</v>
      </c>
      <c r="KK2" s="135">
        <f t="shared" ref="KK2:KT4" si="13">IFERROR(IF(KK$1=EOMONTH($G2,0),(-$E2+($E2*(DAY($G2)/DAY(EOMONTH(KK$1,0)))*$F2/12*(1-0.269))),IF(KK$1=$G2,($E2+($E2*(DAY($I2)/DAY(EOMONTH(KK$1,0)))*$F2/12*(1-0.269))),IFERROR(IF($I2&lt;KK$1,0,IF(KK$1&gt;$I2,(($F2/12)*$E2)*(DAY($I2)/DAY(EOMONTH(KK$1,0)))*(1-26.9/100)+$E2,IF(AND(KK$1&gt;=$G2,KK$1&lt;$I2),(($F2/12)*$E2)*(1-26.9/100),""))-IF(KK$1=EOMONTH($G2,0),$E2,"0")),0)+IF(KK$1=EOMONTH($I2,0),($E2+($E2*(DAY($I2)/DAY(EOMONTH(KK$1,0)))*$F2/12*(1-0.269))),"0"))),0)</f>
        <v>0</v>
      </c>
      <c r="KL2" s="135">
        <f t="shared" si="13"/>
        <v>0</v>
      </c>
      <c r="KM2" s="135">
        <f t="shared" si="13"/>
        <v>0</v>
      </c>
      <c r="KN2" s="135">
        <f t="shared" si="13"/>
        <v>0</v>
      </c>
      <c r="KO2" s="135">
        <f t="shared" si="13"/>
        <v>0</v>
      </c>
      <c r="KP2" s="135">
        <f t="shared" si="13"/>
        <v>0</v>
      </c>
      <c r="KQ2" s="135">
        <f t="shared" si="13"/>
        <v>0</v>
      </c>
      <c r="KR2" s="135">
        <f t="shared" si="13"/>
        <v>0</v>
      </c>
      <c r="KS2" s="135">
        <f t="shared" si="13"/>
        <v>0</v>
      </c>
      <c r="KT2" s="135">
        <f t="shared" si="13"/>
        <v>0</v>
      </c>
      <c r="KU2" s="135">
        <f t="shared" ref="KU2:LD4" si="14">IFERROR(IF(KU$1=EOMONTH($G2,0),(-$E2+($E2*(DAY($G2)/DAY(EOMONTH(KU$1,0)))*$F2/12*(1-0.269))),IF(KU$1=$G2,($E2+($E2*(DAY($I2)/DAY(EOMONTH(KU$1,0)))*$F2/12*(1-0.269))),IFERROR(IF($I2&lt;KU$1,0,IF(KU$1&gt;$I2,(($F2/12)*$E2)*(DAY($I2)/DAY(EOMONTH(KU$1,0)))*(1-26.9/100)+$E2,IF(AND(KU$1&gt;=$G2,KU$1&lt;$I2),(($F2/12)*$E2)*(1-26.9/100),""))-IF(KU$1=EOMONTH($G2,0),$E2,"0")),0)+IF(KU$1=EOMONTH($I2,0),($E2+($E2*(DAY($I2)/DAY(EOMONTH(KU$1,0)))*$F2/12*(1-0.269))),"0"))),0)</f>
        <v>0</v>
      </c>
      <c r="KV2" s="135">
        <f t="shared" si="14"/>
        <v>0</v>
      </c>
      <c r="KW2" s="135">
        <f t="shared" si="14"/>
        <v>0</v>
      </c>
      <c r="KX2" s="135">
        <f t="shared" si="14"/>
        <v>0</v>
      </c>
      <c r="KY2" s="135">
        <f t="shared" si="14"/>
        <v>0</v>
      </c>
      <c r="KZ2" s="135">
        <f t="shared" si="14"/>
        <v>0</v>
      </c>
      <c r="LA2" s="135">
        <f t="shared" si="14"/>
        <v>0</v>
      </c>
      <c r="LB2" s="135">
        <f t="shared" si="14"/>
        <v>0</v>
      </c>
      <c r="LC2" s="135">
        <f t="shared" si="14"/>
        <v>0</v>
      </c>
      <c r="LD2" s="135">
        <f t="shared" si="14"/>
        <v>0</v>
      </c>
      <c r="LE2" s="135">
        <f t="shared" ref="LE2:LR4" si="15">IFERROR(IF(LE$1=EOMONTH($G2,0),(-$E2+($E2*(DAY($G2)/DAY(EOMONTH(LE$1,0)))*$F2/12*(1-0.269))),IF(LE$1=$G2,($E2+($E2*(DAY($I2)/DAY(EOMONTH(LE$1,0)))*$F2/12*(1-0.269))),IFERROR(IF($I2&lt;LE$1,0,IF(LE$1&gt;$I2,(($F2/12)*$E2)*(DAY($I2)/DAY(EOMONTH(LE$1,0)))*(1-26.9/100)+$E2,IF(AND(LE$1&gt;=$G2,LE$1&lt;$I2),(($F2/12)*$E2)*(1-26.9/100),""))-IF(LE$1=EOMONTH($G2,0),$E2,"0")),0)+IF(LE$1=EOMONTH($I2,0),($E2+($E2*(DAY($I2)/DAY(EOMONTH(LE$1,0)))*$F2/12*(1-0.269))),"0"))),0)</f>
        <v>0</v>
      </c>
      <c r="LF2" s="135">
        <f t="shared" si="15"/>
        <v>0</v>
      </c>
      <c r="LG2" s="135">
        <f t="shared" si="15"/>
        <v>0</v>
      </c>
      <c r="LH2" s="135">
        <f t="shared" si="15"/>
        <v>0</v>
      </c>
      <c r="LI2" s="135">
        <f t="shared" si="15"/>
        <v>0</v>
      </c>
      <c r="LJ2" s="135">
        <f t="shared" si="15"/>
        <v>0</v>
      </c>
      <c r="LK2" s="135">
        <f t="shared" si="15"/>
        <v>0</v>
      </c>
      <c r="LL2" s="135">
        <f t="shared" si="15"/>
        <v>0</v>
      </c>
      <c r="LM2" s="135">
        <f t="shared" si="15"/>
        <v>0</v>
      </c>
      <c r="LN2" s="135">
        <f t="shared" si="15"/>
        <v>0</v>
      </c>
      <c r="LO2" s="135">
        <f t="shared" si="15"/>
        <v>0</v>
      </c>
      <c r="LP2" s="135">
        <f t="shared" si="15"/>
        <v>0</v>
      </c>
      <c r="LQ2" s="135">
        <f t="shared" si="15"/>
        <v>0</v>
      </c>
      <c r="LR2" s="135">
        <f t="shared" si="15"/>
        <v>0</v>
      </c>
      <c r="LS2" s="135">
        <f t="shared" ref="LS2:OD5" si="16">IFERROR(IF(LS$1=EOMONTH($G2,0),(-$E2+($E2*(DAY($G2)/DAY(EOMONTH(LS$1,0)))*$F2/12*(1-0.269))),IF(LS$1=$G2,($E2+($E2*(DAY($I2)/DAY(EOMONTH(LS$1,0)))*$F2/12*(1-0.269))),IFERROR(IF($I2&lt;LS$1,0,IF(LS$1&gt;$I2,(($F2/12)*$E2)*(DAY($I2)/DAY(EOMONTH(LS$1,0)))*(1-26.9/100)+$E2,IF(AND(LS$1&gt;=$G2,LS$1&lt;$I2),(($F2/12)*$E2)*(1-26.9/100),""))-IF(LS$1=EOMONTH($G2,0),$E2,"0")),0)+IF(LS$1=EOMONTH($I2,0),($E2+($E2*(DAY($I2)/DAY(EOMONTH(LS$1,0)))*$F2/12*(1-0.269))),"0"))),0)</f>
        <v>0</v>
      </c>
      <c r="LT2" s="135">
        <f t="shared" si="16"/>
        <v>0</v>
      </c>
      <c r="LU2" s="135">
        <f t="shared" si="16"/>
        <v>0</v>
      </c>
      <c r="LV2" s="135">
        <f t="shared" si="16"/>
        <v>0</v>
      </c>
      <c r="LW2" s="135">
        <f t="shared" si="16"/>
        <v>0</v>
      </c>
      <c r="LX2" s="135">
        <f t="shared" si="16"/>
        <v>0</v>
      </c>
      <c r="LY2" s="135">
        <f t="shared" si="16"/>
        <v>0</v>
      </c>
      <c r="LZ2" s="135">
        <f t="shared" si="16"/>
        <v>0</v>
      </c>
      <c r="MA2" s="135">
        <f t="shared" si="16"/>
        <v>0</v>
      </c>
      <c r="MB2" s="135">
        <f t="shared" si="16"/>
        <v>0</v>
      </c>
      <c r="MC2" s="135">
        <f t="shared" si="16"/>
        <v>0</v>
      </c>
      <c r="MD2" s="135">
        <f t="shared" si="16"/>
        <v>0</v>
      </c>
      <c r="ME2" s="135">
        <f t="shared" si="16"/>
        <v>0</v>
      </c>
      <c r="MF2" s="135">
        <f t="shared" si="16"/>
        <v>0</v>
      </c>
      <c r="MG2" s="135">
        <f t="shared" si="16"/>
        <v>0</v>
      </c>
      <c r="MH2" s="135">
        <f t="shared" si="16"/>
        <v>0</v>
      </c>
      <c r="MI2" s="135">
        <f t="shared" si="16"/>
        <v>0</v>
      </c>
      <c r="MJ2" s="135">
        <f t="shared" si="16"/>
        <v>0</v>
      </c>
      <c r="MK2" s="135">
        <f t="shared" si="16"/>
        <v>0</v>
      </c>
      <c r="ML2" s="135">
        <f t="shared" si="16"/>
        <v>0</v>
      </c>
      <c r="MM2" s="135">
        <f t="shared" si="16"/>
        <v>0</v>
      </c>
      <c r="MN2" s="135">
        <f t="shared" si="16"/>
        <v>0</v>
      </c>
      <c r="MO2" s="135">
        <f t="shared" si="16"/>
        <v>0</v>
      </c>
      <c r="MP2" s="135">
        <f t="shared" si="16"/>
        <v>0</v>
      </c>
      <c r="MQ2" s="135">
        <f t="shared" si="16"/>
        <v>0</v>
      </c>
      <c r="MR2" s="135">
        <f t="shared" si="16"/>
        <v>0</v>
      </c>
      <c r="MS2" s="135">
        <f t="shared" si="16"/>
        <v>0</v>
      </c>
      <c r="MT2" s="135">
        <f t="shared" si="16"/>
        <v>0</v>
      </c>
      <c r="MU2" s="135">
        <f t="shared" si="16"/>
        <v>0</v>
      </c>
      <c r="MV2" s="135">
        <f t="shared" si="16"/>
        <v>0</v>
      </c>
      <c r="MW2" s="135">
        <f t="shared" si="16"/>
        <v>0</v>
      </c>
      <c r="MX2" s="135">
        <f t="shared" si="16"/>
        <v>0</v>
      </c>
      <c r="MY2" s="135">
        <f t="shared" si="16"/>
        <v>0</v>
      </c>
      <c r="MZ2" s="135">
        <f t="shared" si="16"/>
        <v>0</v>
      </c>
      <c r="NA2" s="135">
        <f t="shared" si="16"/>
        <v>0</v>
      </c>
      <c r="NB2" s="135">
        <f t="shared" si="16"/>
        <v>0</v>
      </c>
      <c r="NC2" s="135">
        <f t="shared" si="16"/>
        <v>0</v>
      </c>
      <c r="ND2" s="135">
        <f t="shared" si="16"/>
        <v>0</v>
      </c>
      <c r="NE2" s="135">
        <f t="shared" si="16"/>
        <v>0</v>
      </c>
      <c r="NF2" s="135">
        <f t="shared" si="16"/>
        <v>0</v>
      </c>
      <c r="NG2" s="135">
        <f t="shared" si="16"/>
        <v>0</v>
      </c>
      <c r="NH2" s="135">
        <f t="shared" si="16"/>
        <v>0</v>
      </c>
      <c r="NI2" s="135">
        <f t="shared" si="16"/>
        <v>0</v>
      </c>
      <c r="NJ2" s="135">
        <f t="shared" si="16"/>
        <v>0</v>
      </c>
      <c r="NK2" s="135">
        <f t="shared" si="16"/>
        <v>0</v>
      </c>
      <c r="NL2" s="135">
        <f t="shared" si="16"/>
        <v>0</v>
      </c>
      <c r="NM2" s="135">
        <f t="shared" si="16"/>
        <v>0</v>
      </c>
      <c r="NN2" s="135">
        <f t="shared" si="16"/>
        <v>0</v>
      </c>
      <c r="NO2" s="135">
        <f t="shared" si="16"/>
        <v>0</v>
      </c>
      <c r="NP2" s="135">
        <f t="shared" si="16"/>
        <v>0</v>
      </c>
      <c r="NQ2" s="135">
        <f t="shared" si="16"/>
        <v>0</v>
      </c>
      <c r="NR2" s="135">
        <f t="shared" si="16"/>
        <v>0</v>
      </c>
      <c r="NS2" s="135">
        <f t="shared" si="16"/>
        <v>0</v>
      </c>
      <c r="NT2" s="135">
        <f t="shared" si="16"/>
        <v>0</v>
      </c>
      <c r="NU2" s="135">
        <f t="shared" si="16"/>
        <v>0</v>
      </c>
      <c r="NV2" s="135">
        <f t="shared" si="16"/>
        <v>0</v>
      </c>
      <c r="NW2" s="135">
        <f t="shared" si="16"/>
        <v>0</v>
      </c>
      <c r="NX2" s="135">
        <f t="shared" si="16"/>
        <v>0</v>
      </c>
      <c r="NY2" s="135">
        <f t="shared" si="16"/>
        <v>0</v>
      </c>
      <c r="NZ2" s="135">
        <f t="shared" si="16"/>
        <v>0</v>
      </c>
      <c r="OA2" s="135">
        <f t="shared" si="16"/>
        <v>0</v>
      </c>
      <c r="OB2" s="135">
        <f t="shared" si="16"/>
        <v>0</v>
      </c>
      <c r="OC2" s="135">
        <f t="shared" si="16"/>
        <v>0</v>
      </c>
      <c r="OD2" s="135">
        <f t="shared" si="16"/>
        <v>0</v>
      </c>
      <c r="OE2" s="135">
        <f t="shared" ref="OE2:ON4" si="17">IFERROR(IF(OE$1=EOMONTH($G2,0),(-$E2+($E2*(DAY($G2)/DAY(EOMONTH(OE$1,0)))*$F2/12*(1-0.269))),IF(OE$1=$G2,($E2+($E2*(DAY($I2)/DAY(EOMONTH(OE$1,0)))*$F2/12*(1-0.269))),IFERROR(IF($I2&lt;OE$1,0,IF(OE$1&gt;$I2,(($F2/12)*$E2)*(DAY($I2)/DAY(EOMONTH(OE$1,0)))*(1-26.9/100)+$E2,IF(AND(OE$1&gt;=$G2,OE$1&lt;$I2),(($F2/12)*$E2)*(1-26.9/100),""))-IF(OE$1=EOMONTH($G2,0),$E2,"0")),0)+IF(OE$1=EOMONTH($I2,0),($E2+($E2*(DAY($I2)/DAY(EOMONTH(OE$1,0)))*$F2/12*(1-0.269))),"0"))),0)</f>
        <v>0</v>
      </c>
      <c r="OF2" s="135">
        <f t="shared" si="17"/>
        <v>0</v>
      </c>
      <c r="OG2" s="135">
        <f t="shared" si="17"/>
        <v>0</v>
      </c>
      <c r="OH2" s="135">
        <f t="shared" si="17"/>
        <v>0</v>
      </c>
      <c r="OI2" s="135">
        <f t="shared" si="17"/>
        <v>0</v>
      </c>
      <c r="OJ2" s="135">
        <f t="shared" si="17"/>
        <v>0</v>
      </c>
      <c r="OK2" s="135">
        <f t="shared" si="17"/>
        <v>0</v>
      </c>
      <c r="OL2" s="135">
        <f t="shared" si="17"/>
        <v>0</v>
      </c>
      <c r="OM2" s="135">
        <f t="shared" si="17"/>
        <v>0</v>
      </c>
      <c r="ON2" s="135">
        <f t="shared" si="17"/>
        <v>0</v>
      </c>
      <c r="OO2" s="135">
        <f t="shared" ref="OO2:OX4" si="18">IFERROR(IF(OO$1=EOMONTH($G2,0),(-$E2+($E2*(DAY($G2)/DAY(EOMONTH(OO$1,0)))*$F2/12*(1-0.269))),IF(OO$1=$G2,($E2+($E2*(DAY($I2)/DAY(EOMONTH(OO$1,0)))*$F2/12*(1-0.269))),IFERROR(IF($I2&lt;OO$1,0,IF(OO$1&gt;$I2,(($F2/12)*$E2)*(DAY($I2)/DAY(EOMONTH(OO$1,0)))*(1-26.9/100)+$E2,IF(AND(OO$1&gt;=$G2,OO$1&lt;$I2),(($F2/12)*$E2)*(1-26.9/100),""))-IF(OO$1=EOMONTH($G2,0),$E2,"0")),0)+IF(OO$1=EOMONTH($I2,0),($E2+($E2*(DAY($I2)/DAY(EOMONTH(OO$1,0)))*$F2/12*(1-0.269))),"0"))),0)</f>
        <v>0</v>
      </c>
      <c r="OP2" s="135">
        <f t="shared" si="18"/>
        <v>0</v>
      </c>
      <c r="OQ2" s="135">
        <f t="shared" si="18"/>
        <v>0</v>
      </c>
      <c r="OR2" s="135">
        <f t="shared" si="18"/>
        <v>0</v>
      </c>
      <c r="OS2" s="135">
        <f t="shared" si="18"/>
        <v>0</v>
      </c>
      <c r="OT2" s="135">
        <f t="shared" si="18"/>
        <v>0</v>
      </c>
      <c r="OU2" s="135">
        <f t="shared" si="18"/>
        <v>0</v>
      </c>
      <c r="OV2" s="135">
        <f t="shared" si="18"/>
        <v>0</v>
      </c>
      <c r="OW2" s="135">
        <f t="shared" si="18"/>
        <v>0</v>
      </c>
      <c r="OX2" s="135">
        <f t="shared" si="18"/>
        <v>0</v>
      </c>
      <c r="OY2" s="135">
        <f t="shared" ref="OY2:PH4" si="19">IFERROR(IF(OY$1=EOMONTH($G2,0),(-$E2+($E2*(DAY($G2)/DAY(EOMONTH(OY$1,0)))*$F2/12*(1-0.269))),IF(OY$1=$G2,($E2+($E2*(DAY($I2)/DAY(EOMONTH(OY$1,0)))*$F2/12*(1-0.269))),IFERROR(IF($I2&lt;OY$1,0,IF(OY$1&gt;$I2,(($F2/12)*$E2)*(DAY($I2)/DAY(EOMONTH(OY$1,0)))*(1-26.9/100)+$E2,IF(AND(OY$1&gt;=$G2,OY$1&lt;$I2),(($F2/12)*$E2)*(1-26.9/100),""))-IF(OY$1=EOMONTH($G2,0),$E2,"0")),0)+IF(OY$1=EOMONTH($I2,0),($E2+($E2*(DAY($I2)/DAY(EOMONTH(OY$1,0)))*$F2/12*(1-0.269))),"0"))),0)</f>
        <v>0</v>
      </c>
      <c r="OZ2" s="135">
        <f t="shared" si="19"/>
        <v>0</v>
      </c>
      <c r="PA2" s="135">
        <f t="shared" si="19"/>
        <v>0</v>
      </c>
      <c r="PB2" s="135">
        <f t="shared" si="19"/>
        <v>0</v>
      </c>
      <c r="PC2" s="135">
        <f t="shared" si="19"/>
        <v>0</v>
      </c>
      <c r="PD2" s="135">
        <f t="shared" si="19"/>
        <v>0</v>
      </c>
      <c r="PE2" s="135">
        <f t="shared" si="19"/>
        <v>0</v>
      </c>
      <c r="PF2" s="135">
        <f t="shared" si="19"/>
        <v>0</v>
      </c>
      <c r="PG2" s="135">
        <f t="shared" si="19"/>
        <v>0</v>
      </c>
      <c r="PH2" s="135">
        <f t="shared" si="19"/>
        <v>0</v>
      </c>
      <c r="PI2" s="135">
        <f t="shared" ref="PI2:PR4" si="20">IFERROR(IF(PI$1=EOMONTH($G2,0),(-$E2+($E2*(DAY($G2)/DAY(EOMONTH(PI$1,0)))*$F2/12*(1-0.269))),IF(PI$1=$G2,($E2+($E2*(DAY($I2)/DAY(EOMONTH(PI$1,0)))*$F2/12*(1-0.269))),IFERROR(IF($I2&lt;PI$1,0,IF(PI$1&gt;$I2,(($F2/12)*$E2)*(DAY($I2)/DAY(EOMONTH(PI$1,0)))*(1-26.9/100)+$E2,IF(AND(PI$1&gt;=$G2,PI$1&lt;$I2),(($F2/12)*$E2)*(1-26.9/100),""))-IF(PI$1=EOMONTH($G2,0),$E2,"0")),0)+IF(PI$1=EOMONTH($I2,0),($E2+($E2*(DAY($I2)/DAY(EOMONTH(PI$1,0)))*$F2/12*(1-0.269))),"0"))),0)</f>
        <v>0</v>
      </c>
      <c r="PJ2" s="135">
        <f t="shared" si="20"/>
        <v>0</v>
      </c>
      <c r="PK2" s="135">
        <f t="shared" si="20"/>
        <v>0</v>
      </c>
      <c r="PL2" s="135">
        <f t="shared" si="20"/>
        <v>0</v>
      </c>
      <c r="PM2" s="135">
        <f t="shared" si="20"/>
        <v>0</v>
      </c>
      <c r="PN2" s="135">
        <f t="shared" si="20"/>
        <v>0</v>
      </c>
      <c r="PO2" s="135">
        <f t="shared" si="20"/>
        <v>0</v>
      </c>
      <c r="PP2" s="135">
        <f t="shared" si="20"/>
        <v>0</v>
      </c>
      <c r="PQ2" s="135">
        <f t="shared" si="20"/>
        <v>0</v>
      </c>
      <c r="PR2" s="135">
        <f t="shared" si="20"/>
        <v>0</v>
      </c>
      <c r="PS2" s="135">
        <f t="shared" ref="PS2:QB4" si="21">IFERROR(IF(PS$1=EOMONTH($G2,0),(-$E2+($E2*(DAY($G2)/DAY(EOMONTH(PS$1,0)))*$F2/12*(1-0.269))),IF(PS$1=$G2,($E2+($E2*(DAY($I2)/DAY(EOMONTH(PS$1,0)))*$F2/12*(1-0.269))),IFERROR(IF($I2&lt;PS$1,0,IF(PS$1&gt;$I2,(($F2/12)*$E2)*(DAY($I2)/DAY(EOMONTH(PS$1,0)))*(1-26.9/100)+$E2,IF(AND(PS$1&gt;=$G2,PS$1&lt;$I2),(($F2/12)*$E2)*(1-26.9/100),""))-IF(PS$1=EOMONTH($G2,0),$E2,"0")),0)+IF(PS$1=EOMONTH($I2,0),($E2+($E2*(DAY($I2)/DAY(EOMONTH(PS$1,0)))*$F2/12*(1-0.269))),"0"))),0)</f>
        <v>0</v>
      </c>
      <c r="PT2" s="135">
        <f t="shared" si="21"/>
        <v>0</v>
      </c>
      <c r="PU2" s="135">
        <f t="shared" si="21"/>
        <v>0</v>
      </c>
      <c r="PV2" s="135">
        <f t="shared" si="21"/>
        <v>0</v>
      </c>
      <c r="PW2" s="135">
        <f t="shared" si="21"/>
        <v>0</v>
      </c>
      <c r="PX2" s="135">
        <f t="shared" si="21"/>
        <v>0</v>
      </c>
      <c r="PY2" s="135">
        <f t="shared" si="21"/>
        <v>0</v>
      </c>
      <c r="PZ2" s="135">
        <f t="shared" si="21"/>
        <v>0</v>
      </c>
      <c r="QA2" s="135">
        <f t="shared" si="21"/>
        <v>0</v>
      </c>
      <c r="QB2" s="135">
        <f t="shared" si="21"/>
        <v>0</v>
      </c>
      <c r="QC2" s="135">
        <f t="shared" ref="QC2:QP4" si="22">IFERROR(IF(QC$1=EOMONTH($G2,0),(-$E2+($E2*(DAY($G2)/DAY(EOMONTH(QC$1,0)))*$F2/12*(1-0.269))),IF(QC$1=$G2,($E2+($E2*(DAY($I2)/DAY(EOMONTH(QC$1,0)))*$F2/12*(1-0.269))),IFERROR(IF($I2&lt;QC$1,0,IF(QC$1&gt;$I2,(($F2/12)*$E2)*(DAY($I2)/DAY(EOMONTH(QC$1,0)))*(1-26.9/100)+$E2,IF(AND(QC$1&gt;=$G2,QC$1&lt;$I2),(($F2/12)*$E2)*(1-26.9/100),""))-IF(QC$1=EOMONTH($G2,0),$E2,"0")),0)+IF(QC$1=EOMONTH($I2,0),($E2+($E2*(DAY($I2)/DAY(EOMONTH(QC$1,0)))*$F2/12*(1-0.269))),"0"))),0)</f>
        <v>0</v>
      </c>
      <c r="QD2" s="135">
        <f t="shared" si="22"/>
        <v>0</v>
      </c>
      <c r="QE2" s="135">
        <f t="shared" si="22"/>
        <v>0</v>
      </c>
      <c r="QF2" s="135">
        <f t="shared" si="22"/>
        <v>0</v>
      </c>
      <c r="QG2" s="135">
        <f t="shared" si="22"/>
        <v>0</v>
      </c>
      <c r="QH2" s="135">
        <f t="shared" si="22"/>
        <v>0</v>
      </c>
      <c r="QI2" s="135">
        <f t="shared" si="22"/>
        <v>0</v>
      </c>
      <c r="QJ2" s="135">
        <f t="shared" si="22"/>
        <v>0</v>
      </c>
      <c r="QK2" s="135">
        <f t="shared" si="22"/>
        <v>0</v>
      </c>
      <c r="QL2" s="135">
        <f t="shared" si="22"/>
        <v>0</v>
      </c>
      <c r="QM2" s="135">
        <f t="shared" si="22"/>
        <v>0</v>
      </c>
      <c r="QN2" s="135">
        <f t="shared" si="22"/>
        <v>0</v>
      </c>
      <c r="QO2" s="135">
        <f t="shared" si="22"/>
        <v>0</v>
      </c>
      <c r="QP2" s="135">
        <f t="shared" si="22"/>
        <v>0</v>
      </c>
      <c r="QQ2" s="135">
        <f t="shared" ref="QQ2:TB5" si="23">IFERROR(IF(QQ$1=EOMONTH($G2,0),(-$E2+($E2*(DAY($G2)/DAY(EOMONTH(QQ$1,0)))*$F2/12*(1-0.269))),IF(QQ$1=$G2,($E2+($E2*(DAY($I2)/DAY(EOMONTH(QQ$1,0)))*$F2/12*(1-0.269))),IFERROR(IF($I2&lt;QQ$1,0,IF(QQ$1&gt;$I2,(($F2/12)*$E2)*(DAY($I2)/DAY(EOMONTH(QQ$1,0)))*(1-26.9/100)+$E2,IF(AND(QQ$1&gt;=$G2,QQ$1&lt;$I2),(($F2/12)*$E2)*(1-26.9/100),""))-IF(QQ$1=EOMONTH($G2,0),$E2,"0")),0)+IF(QQ$1=EOMONTH($I2,0),($E2+($E2*(DAY($I2)/DAY(EOMONTH(QQ$1,0)))*$F2/12*(1-0.269))),"0"))),0)</f>
        <v>0</v>
      </c>
      <c r="QR2" s="135">
        <f t="shared" si="23"/>
        <v>0</v>
      </c>
      <c r="QS2" s="135">
        <f t="shared" si="23"/>
        <v>0</v>
      </c>
      <c r="QT2" s="135">
        <f t="shared" si="23"/>
        <v>0</v>
      </c>
      <c r="QU2" s="135">
        <f t="shared" si="23"/>
        <v>0</v>
      </c>
      <c r="QV2" s="135">
        <f t="shared" si="23"/>
        <v>0</v>
      </c>
      <c r="QW2" s="135">
        <f t="shared" si="23"/>
        <v>0</v>
      </c>
      <c r="QX2" s="135">
        <f t="shared" si="23"/>
        <v>0</v>
      </c>
      <c r="QY2" s="135">
        <f t="shared" si="23"/>
        <v>0</v>
      </c>
      <c r="QZ2" s="135">
        <f t="shared" si="23"/>
        <v>0</v>
      </c>
      <c r="RA2" s="135">
        <f t="shared" si="23"/>
        <v>0</v>
      </c>
      <c r="RB2" s="135">
        <f t="shared" si="23"/>
        <v>0</v>
      </c>
      <c r="RC2" s="135">
        <f t="shared" si="23"/>
        <v>0</v>
      </c>
      <c r="RD2" s="135">
        <f t="shared" si="23"/>
        <v>0</v>
      </c>
      <c r="RE2" s="135">
        <f t="shared" si="23"/>
        <v>0</v>
      </c>
      <c r="RF2" s="135">
        <f t="shared" si="23"/>
        <v>0</v>
      </c>
      <c r="RG2" s="135">
        <f t="shared" si="23"/>
        <v>0</v>
      </c>
      <c r="RH2" s="135">
        <f t="shared" si="23"/>
        <v>0</v>
      </c>
      <c r="RI2" s="135">
        <f t="shared" si="23"/>
        <v>0</v>
      </c>
      <c r="RJ2" s="135">
        <f t="shared" si="23"/>
        <v>0</v>
      </c>
      <c r="RK2" s="135">
        <f t="shared" si="23"/>
        <v>0</v>
      </c>
      <c r="RL2" s="135">
        <f t="shared" si="23"/>
        <v>0</v>
      </c>
      <c r="RM2" s="135">
        <f t="shared" si="23"/>
        <v>0</v>
      </c>
      <c r="RN2" s="135">
        <f t="shared" si="23"/>
        <v>0</v>
      </c>
      <c r="RO2" s="135">
        <f t="shared" si="23"/>
        <v>0</v>
      </c>
      <c r="RP2" s="135">
        <f t="shared" si="23"/>
        <v>0</v>
      </c>
      <c r="RQ2" s="135">
        <f t="shared" si="23"/>
        <v>0</v>
      </c>
      <c r="RR2" s="135">
        <f t="shared" si="23"/>
        <v>0</v>
      </c>
      <c r="RS2" s="135">
        <f t="shared" si="23"/>
        <v>0</v>
      </c>
      <c r="RT2" s="135">
        <f t="shared" si="23"/>
        <v>0</v>
      </c>
      <c r="RU2" s="135">
        <f t="shared" si="23"/>
        <v>0</v>
      </c>
      <c r="RV2" s="135">
        <f t="shared" si="23"/>
        <v>0</v>
      </c>
      <c r="RW2" s="135">
        <f t="shared" si="23"/>
        <v>0</v>
      </c>
      <c r="RX2" s="135">
        <f t="shared" si="23"/>
        <v>0</v>
      </c>
      <c r="RY2" s="135">
        <f t="shared" si="23"/>
        <v>0</v>
      </c>
      <c r="RZ2" s="135">
        <f t="shared" si="23"/>
        <v>0</v>
      </c>
      <c r="SA2" s="135">
        <f t="shared" si="23"/>
        <v>0</v>
      </c>
      <c r="SB2" s="135">
        <f t="shared" si="23"/>
        <v>0</v>
      </c>
      <c r="SC2" s="135">
        <f t="shared" si="23"/>
        <v>0</v>
      </c>
      <c r="SD2" s="135">
        <f t="shared" si="23"/>
        <v>0</v>
      </c>
      <c r="SE2" s="135">
        <f t="shared" si="23"/>
        <v>0</v>
      </c>
      <c r="SF2" s="135">
        <f t="shared" si="23"/>
        <v>0</v>
      </c>
      <c r="SG2" s="135">
        <f t="shared" si="23"/>
        <v>0</v>
      </c>
      <c r="SH2" s="135">
        <f t="shared" si="23"/>
        <v>0</v>
      </c>
      <c r="SI2" s="135">
        <f t="shared" si="23"/>
        <v>0</v>
      </c>
      <c r="SJ2" s="135">
        <f t="shared" si="23"/>
        <v>0</v>
      </c>
      <c r="SK2" s="135">
        <f t="shared" si="23"/>
        <v>0</v>
      </c>
      <c r="SL2" s="135">
        <f t="shared" si="23"/>
        <v>0</v>
      </c>
      <c r="SM2" s="135">
        <f t="shared" si="23"/>
        <v>0</v>
      </c>
      <c r="SN2" s="135">
        <f t="shared" si="23"/>
        <v>0</v>
      </c>
      <c r="SO2" s="135">
        <f t="shared" si="23"/>
        <v>0</v>
      </c>
      <c r="SP2" s="135">
        <f t="shared" si="23"/>
        <v>0</v>
      </c>
      <c r="SQ2" s="135">
        <f t="shared" si="23"/>
        <v>0</v>
      </c>
      <c r="SR2" s="135">
        <f t="shared" si="23"/>
        <v>0</v>
      </c>
      <c r="SS2" s="135">
        <f t="shared" si="23"/>
        <v>0</v>
      </c>
      <c r="ST2" s="135">
        <f t="shared" si="23"/>
        <v>0</v>
      </c>
      <c r="SU2" s="135">
        <f t="shared" si="23"/>
        <v>0</v>
      </c>
      <c r="SV2" s="135">
        <f t="shared" si="23"/>
        <v>0</v>
      </c>
      <c r="SW2" s="135">
        <f t="shared" si="23"/>
        <v>0</v>
      </c>
      <c r="SX2" s="135">
        <f t="shared" si="23"/>
        <v>0</v>
      </c>
      <c r="SY2" s="135">
        <f t="shared" si="23"/>
        <v>0</v>
      </c>
      <c r="SZ2" s="135">
        <f t="shared" si="23"/>
        <v>0</v>
      </c>
      <c r="TA2" s="135">
        <f t="shared" si="23"/>
        <v>0</v>
      </c>
      <c r="TB2" s="135">
        <f t="shared" si="23"/>
        <v>0</v>
      </c>
      <c r="TC2" s="135">
        <f t="shared" ref="TC2:UK4" si="24">IFERROR(IF(TC$1=EOMONTH($G2,0),(-$E2+($E2*(DAY($G2)/DAY(EOMONTH(TC$1,0)))*$F2/12*(1-0.269))),IF(TC$1=$G2,($E2+($E2*(DAY($I2)/DAY(EOMONTH(TC$1,0)))*$F2/12*(1-0.269))),IFERROR(IF($I2&lt;TC$1,0,IF(TC$1&gt;$I2,(($F2/12)*$E2)*(DAY($I2)/DAY(EOMONTH(TC$1,0)))*(1-26.9/100)+$E2,IF(AND(TC$1&gt;=$G2,TC$1&lt;$I2),(($F2/12)*$E2)*(1-26.9/100),""))-IF(TC$1=EOMONTH($G2,0),$E2,"0")),0)+IF(TC$1=EOMONTH($I2,0),($E2+($E2*(DAY($I2)/DAY(EOMONTH(TC$1,0)))*$F2/12*(1-0.269))),"0"))),0)</f>
        <v>0</v>
      </c>
      <c r="TD2" s="135">
        <f t="shared" si="24"/>
        <v>0</v>
      </c>
      <c r="TE2" s="135">
        <f t="shared" si="24"/>
        <v>0</v>
      </c>
      <c r="TF2" s="135">
        <f t="shared" si="24"/>
        <v>0</v>
      </c>
      <c r="TG2" s="135">
        <f t="shared" si="24"/>
        <v>0</v>
      </c>
      <c r="TH2" s="135">
        <f t="shared" si="24"/>
        <v>0</v>
      </c>
      <c r="TI2" s="135">
        <f t="shared" si="24"/>
        <v>0</v>
      </c>
      <c r="TJ2" s="135">
        <f t="shared" si="24"/>
        <v>0</v>
      </c>
      <c r="TK2" s="135">
        <f t="shared" si="24"/>
        <v>0</v>
      </c>
      <c r="TL2" s="135">
        <f t="shared" si="24"/>
        <v>0</v>
      </c>
      <c r="TM2" s="135">
        <f t="shared" si="24"/>
        <v>0</v>
      </c>
      <c r="TN2" s="135">
        <f t="shared" si="24"/>
        <v>0</v>
      </c>
      <c r="TO2" s="135">
        <f t="shared" si="24"/>
        <v>0</v>
      </c>
      <c r="TP2" s="135">
        <f t="shared" si="24"/>
        <v>0</v>
      </c>
      <c r="TQ2" s="135">
        <f t="shared" si="24"/>
        <v>0</v>
      </c>
      <c r="TR2" s="135">
        <f t="shared" si="24"/>
        <v>0</v>
      </c>
      <c r="TS2" s="135">
        <f t="shared" si="24"/>
        <v>0</v>
      </c>
      <c r="TT2" s="135">
        <f t="shared" si="24"/>
        <v>0</v>
      </c>
      <c r="TU2" s="135">
        <f t="shared" si="24"/>
        <v>0</v>
      </c>
      <c r="TV2" s="135">
        <f t="shared" si="24"/>
        <v>0</v>
      </c>
      <c r="TW2" s="135">
        <f t="shared" si="24"/>
        <v>0</v>
      </c>
      <c r="TX2" s="135">
        <f t="shared" si="24"/>
        <v>0</v>
      </c>
      <c r="TY2" s="135">
        <f t="shared" si="24"/>
        <v>0</v>
      </c>
      <c r="TZ2" s="135">
        <f t="shared" si="24"/>
        <v>0</v>
      </c>
      <c r="UA2" s="135">
        <f t="shared" si="24"/>
        <v>0</v>
      </c>
      <c r="UB2" s="135">
        <f t="shared" si="24"/>
        <v>0</v>
      </c>
      <c r="UC2" s="135">
        <f t="shared" si="24"/>
        <v>0</v>
      </c>
      <c r="UD2" s="135">
        <f t="shared" si="24"/>
        <v>0</v>
      </c>
      <c r="UE2" s="135">
        <f t="shared" si="24"/>
        <v>0</v>
      </c>
      <c r="UF2" s="135">
        <f t="shared" si="24"/>
        <v>0</v>
      </c>
      <c r="UG2" s="135">
        <f t="shared" si="24"/>
        <v>0</v>
      </c>
      <c r="UH2" s="135">
        <f t="shared" si="24"/>
        <v>0</v>
      </c>
      <c r="UI2" s="135">
        <f t="shared" si="24"/>
        <v>0</v>
      </c>
      <c r="UJ2" s="135">
        <f t="shared" si="24"/>
        <v>0</v>
      </c>
      <c r="UK2" s="135">
        <f t="shared" si="24"/>
        <v>0</v>
      </c>
    </row>
    <row r="3" spans="2:557">
      <c r="B3" t="str">
        <f>IF(Samenvatting!$F104&lt;&gt;0,Samenvatting!C104,"")</f>
        <v>private debt 2</v>
      </c>
      <c r="C3">
        <f>IF(Samenvatting!$F104&lt;&gt;0,Samenvatting!D104,"")</f>
        <v>2</v>
      </c>
      <c r="D3" t="str">
        <f>IF(Samenvatting!$F104&lt;&gt;0,Samenvatting!E104,"")</f>
        <v>EUR</v>
      </c>
      <c r="E3">
        <f>IF(Samenvatting!$F104&lt;&gt;0,Samenvatting!F104,"")</f>
        <v>2187467</v>
      </c>
      <c r="F3">
        <f>IF(Samenvatting!$F104&lt;&gt;0,Samenvatting!H104,"")</f>
        <v>0.08</v>
      </c>
      <c r="G3" s="134">
        <f>IF(Samenvatting!$F104&lt;&gt;0,Samenvatting!I104,"")</f>
        <v>46023</v>
      </c>
      <c r="H3">
        <f>IF(Samenvatting!$F104&lt;&gt;0,Samenvatting!J104,"")</f>
        <v>2</v>
      </c>
      <c r="I3" s="134">
        <f>IF(Samenvatting!$F104&lt;&gt;0,Samenvatting!K104,"")</f>
        <v>46753</v>
      </c>
      <c r="J3" s="135">
        <f t="shared" si="0"/>
        <v>0</v>
      </c>
      <c r="K3" s="135">
        <f t="shared" ref="K3:Y3" si="25">IFERROR(IF(K$1=EOMONTH($G3,0),(-$E3+($E3*(DAY($G3)/DAY(EOMONTH(K$1,0)))*$F3/12*(1-0.269))),IF(K$1=$G3,($E3+($E3*(DAY($I3)/DAY(EOMONTH(K$1,0)))*$F3/12*(1-0.269))),IFERROR(IF($I3&lt;K$1,0,IF(K$1&gt;$I3,(($F3/12)*$E3)*(DAY($I3)/DAY(EOMONTH(K$1,0)))*(1-26.9/100)+$E3,IF(AND(K$1&gt;=$G3,K$1&lt;$I3),(($F3/12)*$E3)*(1-26.9/100),""))-IF(K$1=EOMONTH($G3,0),$E3,"0")),0)+IF(K$1=EOMONTH($I3,0),($E3+($E3*(DAY($I3)/DAY(EOMONTH(K$1,0)))*$F3/12*(1-0.269))),"0"))),0)</f>
        <v>0</v>
      </c>
      <c r="L3" s="135">
        <f t="shared" si="25"/>
        <v>0</v>
      </c>
      <c r="M3" s="135">
        <f t="shared" si="25"/>
        <v>0</v>
      </c>
      <c r="N3" s="135">
        <f t="shared" si="25"/>
        <v>0</v>
      </c>
      <c r="O3" s="135">
        <f t="shared" si="25"/>
        <v>0</v>
      </c>
      <c r="P3" s="135">
        <f t="shared" si="25"/>
        <v>0</v>
      </c>
      <c r="Q3" s="135">
        <f t="shared" si="25"/>
        <v>0</v>
      </c>
      <c r="R3" s="135">
        <f t="shared" si="25"/>
        <v>0</v>
      </c>
      <c r="S3" s="135">
        <f t="shared" si="25"/>
        <v>0</v>
      </c>
      <c r="T3" s="135">
        <f t="shared" si="25"/>
        <v>0</v>
      </c>
      <c r="U3" s="135">
        <f t="shared" si="25"/>
        <v>0</v>
      </c>
      <c r="V3" s="135">
        <f t="shared" si="25"/>
        <v>0</v>
      </c>
      <c r="W3" s="135">
        <f t="shared" si="25"/>
        <v>0</v>
      </c>
      <c r="X3" s="135">
        <f t="shared" si="25"/>
        <v>0</v>
      </c>
      <c r="Y3" s="135">
        <f t="shared" si="25"/>
        <v>0</v>
      </c>
      <c r="Z3" s="135">
        <f t="shared" si="1"/>
        <v>0</v>
      </c>
      <c r="AA3" s="135">
        <f t="shared" si="1"/>
        <v>0</v>
      </c>
      <c r="AB3" s="135">
        <f t="shared" si="1"/>
        <v>0</v>
      </c>
      <c r="AC3" s="135">
        <f t="shared" si="1"/>
        <v>0</v>
      </c>
      <c r="AD3" s="135">
        <f t="shared" si="1"/>
        <v>0</v>
      </c>
      <c r="AE3" s="135">
        <f t="shared" si="1"/>
        <v>0</v>
      </c>
      <c r="AF3" s="135">
        <f t="shared" si="1"/>
        <v>0</v>
      </c>
      <c r="AG3" s="135">
        <f t="shared" si="1"/>
        <v>0</v>
      </c>
      <c r="AH3" s="135">
        <f t="shared" si="1"/>
        <v>0</v>
      </c>
      <c r="AI3" s="135">
        <f t="shared" si="1"/>
        <v>0</v>
      </c>
      <c r="AJ3" s="135">
        <f t="shared" si="1"/>
        <v>0</v>
      </c>
      <c r="AK3" s="135">
        <f t="shared" si="1"/>
        <v>0</v>
      </c>
      <c r="AL3" s="135">
        <f t="shared" si="1"/>
        <v>0</v>
      </c>
      <c r="AM3" s="135">
        <f t="shared" si="1"/>
        <v>0</v>
      </c>
      <c r="AN3" s="135">
        <f t="shared" si="1"/>
        <v>0</v>
      </c>
      <c r="AO3" s="135">
        <f t="shared" si="1"/>
        <v>0</v>
      </c>
      <c r="AP3" s="135">
        <f t="shared" si="1"/>
        <v>0</v>
      </c>
      <c r="AQ3" s="135">
        <f t="shared" si="1"/>
        <v>0</v>
      </c>
      <c r="AR3" s="135">
        <f t="shared" si="1"/>
        <v>0</v>
      </c>
      <c r="AS3" s="135">
        <f t="shared" si="1"/>
        <v>0</v>
      </c>
      <c r="AT3" s="135">
        <f t="shared" si="1"/>
        <v>0</v>
      </c>
      <c r="AU3" s="135">
        <f t="shared" si="1"/>
        <v>0</v>
      </c>
      <c r="AV3" s="135">
        <f t="shared" si="1"/>
        <v>0</v>
      </c>
      <c r="AW3" s="135">
        <f t="shared" si="1"/>
        <v>0</v>
      </c>
      <c r="AX3" s="135">
        <f t="shared" si="1"/>
        <v>0</v>
      </c>
      <c r="AY3" s="135">
        <f t="shared" si="1"/>
        <v>0</v>
      </c>
      <c r="AZ3" s="135">
        <f t="shared" si="1"/>
        <v>0</v>
      </c>
      <c r="BA3" s="135">
        <f t="shared" si="1"/>
        <v>0</v>
      </c>
      <c r="BB3" s="135">
        <f t="shared" si="1"/>
        <v>0</v>
      </c>
      <c r="BC3" s="135">
        <f t="shared" si="1"/>
        <v>0</v>
      </c>
      <c r="BD3" s="135">
        <f t="shared" si="1"/>
        <v>0</v>
      </c>
      <c r="BE3" s="135">
        <f t="shared" si="1"/>
        <v>0</v>
      </c>
      <c r="BF3" s="135">
        <f t="shared" si="1"/>
        <v>0</v>
      </c>
      <c r="BG3" s="135">
        <f t="shared" si="1"/>
        <v>0</v>
      </c>
      <c r="BH3" s="135">
        <f t="shared" si="1"/>
        <v>0</v>
      </c>
      <c r="BI3" s="135">
        <f t="shared" si="1"/>
        <v>0</v>
      </c>
      <c r="BJ3" s="135">
        <f t="shared" si="1"/>
        <v>0</v>
      </c>
      <c r="BK3" s="135">
        <f t="shared" si="1"/>
        <v>0</v>
      </c>
      <c r="BL3" s="135">
        <f t="shared" si="1"/>
        <v>0</v>
      </c>
      <c r="BM3" s="135">
        <f t="shared" si="1"/>
        <v>0</v>
      </c>
      <c r="BN3" s="135">
        <f t="shared" si="1"/>
        <v>0</v>
      </c>
      <c r="BO3" s="135">
        <f t="shared" si="1"/>
        <v>0</v>
      </c>
      <c r="BP3" s="135">
        <f t="shared" si="1"/>
        <v>0</v>
      </c>
      <c r="BQ3" s="135">
        <f t="shared" si="1"/>
        <v>0</v>
      </c>
      <c r="BR3" s="135">
        <f t="shared" si="1"/>
        <v>0</v>
      </c>
      <c r="BS3" s="135">
        <f t="shared" si="1"/>
        <v>0</v>
      </c>
      <c r="BT3" s="135">
        <f t="shared" si="1"/>
        <v>0</v>
      </c>
      <c r="BU3" s="135">
        <f t="shared" si="1"/>
        <v>0</v>
      </c>
      <c r="BV3" s="135">
        <f t="shared" si="1"/>
        <v>0</v>
      </c>
      <c r="BW3" s="135">
        <f t="shared" si="2"/>
        <v>0</v>
      </c>
      <c r="BX3" s="135">
        <f t="shared" si="2"/>
        <v>0</v>
      </c>
      <c r="BY3" s="135">
        <f t="shared" si="2"/>
        <v>0</v>
      </c>
      <c r="BZ3" s="135">
        <f t="shared" si="2"/>
        <v>-2187123.1207791399</v>
      </c>
      <c r="CA3" s="135">
        <f t="shared" si="2"/>
        <v>10660.255846666669</v>
      </c>
      <c r="CB3" s="135">
        <f t="shared" si="2"/>
        <v>10660.255846666669</v>
      </c>
      <c r="CC3" s="135">
        <f t="shared" si="2"/>
        <v>10660.255846666669</v>
      </c>
      <c r="CD3" s="135">
        <f t="shared" si="2"/>
        <v>10660.255846666669</v>
      </c>
      <c r="CE3" s="135">
        <f t="shared" si="2"/>
        <v>10660.255846666669</v>
      </c>
      <c r="CF3" s="135">
        <f t="shared" si="2"/>
        <v>10660.255846666669</v>
      </c>
      <c r="CG3" s="135">
        <f t="shared" si="2"/>
        <v>10660.255846666669</v>
      </c>
      <c r="CH3" s="135">
        <f t="shared" si="2"/>
        <v>10660.255846666669</v>
      </c>
      <c r="CI3" s="135">
        <f t="shared" si="2"/>
        <v>10660.255846666669</v>
      </c>
      <c r="CJ3" s="135">
        <f t="shared" si="2"/>
        <v>10660.255846666669</v>
      </c>
      <c r="CK3" s="135">
        <f t="shared" si="2"/>
        <v>10660.255846666669</v>
      </c>
      <c r="CL3" s="135">
        <f t="shared" si="2"/>
        <v>10660.255846666669</v>
      </c>
      <c r="CM3" s="135">
        <f t="shared" si="2"/>
        <v>10660.255846666669</v>
      </c>
      <c r="CN3" s="135">
        <f t="shared" si="2"/>
        <v>10660.255846666669</v>
      </c>
      <c r="CO3" s="135">
        <f t="shared" si="2"/>
        <v>10660.255846666669</v>
      </c>
      <c r="CP3" s="135">
        <f t="shared" si="2"/>
        <v>10660.255846666669</v>
      </c>
      <c r="CQ3" s="135">
        <f t="shared" si="2"/>
        <v>10660.255846666669</v>
      </c>
      <c r="CR3" s="135">
        <f t="shared" si="2"/>
        <v>10660.255846666669</v>
      </c>
      <c r="CS3" s="135">
        <f t="shared" si="2"/>
        <v>10660.255846666669</v>
      </c>
      <c r="CT3" s="135">
        <f t="shared" si="2"/>
        <v>10660.255846666669</v>
      </c>
      <c r="CU3" s="135">
        <f t="shared" si="2"/>
        <v>10660.255846666669</v>
      </c>
      <c r="CV3" s="135">
        <f t="shared" si="2"/>
        <v>10660.255846666669</v>
      </c>
      <c r="CW3" s="135">
        <f t="shared" si="2"/>
        <v>10660.255846666669</v>
      </c>
      <c r="CX3" s="135">
        <f t="shared" si="2"/>
        <v>2187810.8792208601</v>
      </c>
      <c r="CY3" s="135">
        <f t="shared" si="2"/>
        <v>0</v>
      </c>
      <c r="CZ3" s="135">
        <f t="shared" si="2"/>
        <v>0</v>
      </c>
      <c r="DA3" s="135">
        <f t="shared" si="2"/>
        <v>0</v>
      </c>
      <c r="DB3" s="135">
        <f t="shared" si="2"/>
        <v>0</v>
      </c>
      <c r="DC3" s="135">
        <f t="shared" si="2"/>
        <v>0</v>
      </c>
      <c r="DD3" s="135">
        <f t="shared" si="2"/>
        <v>0</v>
      </c>
      <c r="DE3" s="135">
        <f t="shared" si="2"/>
        <v>0</v>
      </c>
      <c r="DF3" s="135">
        <f t="shared" si="2"/>
        <v>0</v>
      </c>
      <c r="DG3" s="135">
        <f t="shared" si="2"/>
        <v>0</v>
      </c>
      <c r="DH3" s="135">
        <f t="shared" si="2"/>
        <v>0</v>
      </c>
      <c r="DI3" s="135">
        <f t="shared" si="2"/>
        <v>0</v>
      </c>
      <c r="DJ3" s="135">
        <f t="shared" si="2"/>
        <v>0</v>
      </c>
      <c r="DK3" s="135">
        <f t="shared" si="2"/>
        <v>0</v>
      </c>
      <c r="DL3" s="135">
        <f t="shared" si="2"/>
        <v>0</v>
      </c>
      <c r="DM3" s="135">
        <f t="shared" si="2"/>
        <v>0</v>
      </c>
      <c r="DN3" s="135">
        <f t="shared" si="2"/>
        <v>0</v>
      </c>
      <c r="DO3" s="135">
        <f t="shared" si="2"/>
        <v>0</v>
      </c>
      <c r="DP3" s="135">
        <f t="shared" si="2"/>
        <v>0</v>
      </c>
      <c r="DQ3" s="135">
        <f t="shared" si="2"/>
        <v>0</v>
      </c>
      <c r="DR3" s="135">
        <f t="shared" si="2"/>
        <v>0</v>
      </c>
      <c r="DS3" s="135">
        <f t="shared" si="2"/>
        <v>0</v>
      </c>
      <c r="DT3" s="135">
        <f t="shared" si="2"/>
        <v>0</v>
      </c>
      <c r="DU3" s="135">
        <f t="shared" si="2"/>
        <v>0</v>
      </c>
      <c r="DV3" s="135">
        <f t="shared" si="2"/>
        <v>0</v>
      </c>
      <c r="DW3" s="135">
        <f t="shared" si="2"/>
        <v>0</v>
      </c>
      <c r="DX3" s="135">
        <f t="shared" si="2"/>
        <v>0</v>
      </c>
      <c r="DY3" s="135">
        <f t="shared" si="2"/>
        <v>0</v>
      </c>
      <c r="DZ3" s="135">
        <f t="shared" si="2"/>
        <v>0</v>
      </c>
      <c r="EA3" s="135">
        <f t="shared" si="2"/>
        <v>0</v>
      </c>
      <c r="EB3" s="135">
        <f t="shared" si="2"/>
        <v>0</v>
      </c>
      <c r="EC3" s="135">
        <f t="shared" si="2"/>
        <v>0</v>
      </c>
      <c r="ED3" s="135">
        <f t="shared" si="2"/>
        <v>0</v>
      </c>
      <c r="EE3" s="135">
        <f t="shared" si="2"/>
        <v>0</v>
      </c>
      <c r="EF3" s="135">
        <f t="shared" si="2"/>
        <v>0</v>
      </c>
      <c r="EG3" s="135">
        <f t="shared" si="2"/>
        <v>0</v>
      </c>
      <c r="EH3" s="135">
        <f t="shared" si="2"/>
        <v>0</v>
      </c>
      <c r="EI3" s="135">
        <f t="shared" si="3"/>
        <v>0</v>
      </c>
      <c r="EJ3" s="135">
        <f t="shared" si="3"/>
        <v>0</v>
      </c>
      <c r="EK3" s="135">
        <f t="shared" si="3"/>
        <v>0</v>
      </c>
      <c r="EL3" s="135">
        <f t="shared" si="3"/>
        <v>0</v>
      </c>
      <c r="EM3" s="135">
        <f t="shared" si="3"/>
        <v>0</v>
      </c>
      <c r="EN3" s="135">
        <f t="shared" si="3"/>
        <v>0</v>
      </c>
      <c r="EO3" s="135">
        <f t="shared" si="3"/>
        <v>0</v>
      </c>
      <c r="EP3" s="135">
        <f t="shared" si="3"/>
        <v>0</v>
      </c>
      <c r="EQ3" s="135">
        <f t="shared" si="3"/>
        <v>0</v>
      </c>
      <c r="ER3" s="135">
        <f t="shared" si="3"/>
        <v>0</v>
      </c>
      <c r="ES3" s="135">
        <f t="shared" si="4"/>
        <v>0</v>
      </c>
      <c r="ET3" s="135">
        <f t="shared" si="4"/>
        <v>0</v>
      </c>
      <c r="EU3" s="135">
        <f t="shared" si="4"/>
        <v>0</v>
      </c>
      <c r="EV3" s="135">
        <f t="shared" si="4"/>
        <v>0</v>
      </c>
      <c r="EW3" s="135">
        <f t="shared" si="4"/>
        <v>0</v>
      </c>
      <c r="EX3" s="135">
        <f t="shared" si="4"/>
        <v>0</v>
      </c>
      <c r="EY3" s="135">
        <f t="shared" si="4"/>
        <v>0</v>
      </c>
      <c r="EZ3" s="135">
        <f t="shared" si="4"/>
        <v>0</v>
      </c>
      <c r="FA3" s="135">
        <f t="shared" si="4"/>
        <v>0</v>
      </c>
      <c r="FB3" s="135">
        <f t="shared" si="4"/>
        <v>0</v>
      </c>
      <c r="FC3" s="135">
        <f t="shared" si="5"/>
        <v>0</v>
      </c>
      <c r="FD3" s="135">
        <f t="shared" si="5"/>
        <v>0</v>
      </c>
      <c r="FE3" s="135">
        <f t="shared" si="5"/>
        <v>0</v>
      </c>
      <c r="FF3" s="135">
        <f t="shared" si="5"/>
        <v>0</v>
      </c>
      <c r="FG3" s="135">
        <f t="shared" si="5"/>
        <v>0</v>
      </c>
      <c r="FH3" s="135">
        <f t="shared" si="5"/>
        <v>0</v>
      </c>
      <c r="FI3" s="135">
        <f t="shared" si="5"/>
        <v>0</v>
      </c>
      <c r="FJ3" s="135">
        <f t="shared" si="5"/>
        <v>0</v>
      </c>
      <c r="FK3" s="135">
        <f t="shared" si="5"/>
        <v>0</v>
      </c>
      <c r="FL3" s="135">
        <f t="shared" si="5"/>
        <v>0</v>
      </c>
      <c r="FM3" s="135">
        <f t="shared" si="6"/>
        <v>0</v>
      </c>
      <c r="FN3" s="135">
        <f t="shared" si="6"/>
        <v>0</v>
      </c>
      <c r="FO3" s="135">
        <f t="shared" si="6"/>
        <v>0</v>
      </c>
      <c r="FP3" s="135">
        <f t="shared" si="6"/>
        <v>0</v>
      </c>
      <c r="FQ3" s="135">
        <f t="shared" si="6"/>
        <v>0</v>
      </c>
      <c r="FR3" s="135">
        <f t="shared" si="6"/>
        <v>0</v>
      </c>
      <c r="FS3" s="135">
        <f t="shared" si="6"/>
        <v>0</v>
      </c>
      <c r="FT3" s="135">
        <f t="shared" si="6"/>
        <v>0</v>
      </c>
      <c r="FU3" s="135">
        <f t="shared" si="6"/>
        <v>0</v>
      </c>
      <c r="FV3" s="135">
        <f t="shared" si="6"/>
        <v>0</v>
      </c>
      <c r="FW3" s="135">
        <f t="shared" si="7"/>
        <v>0</v>
      </c>
      <c r="FX3" s="135">
        <f t="shared" si="7"/>
        <v>0</v>
      </c>
      <c r="FY3" s="135">
        <f t="shared" si="7"/>
        <v>0</v>
      </c>
      <c r="FZ3" s="135">
        <f t="shared" si="7"/>
        <v>0</v>
      </c>
      <c r="GA3" s="135">
        <f t="shared" si="7"/>
        <v>0</v>
      </c>
      <c r="GB3" s="135">
        <f t="shared" si="7"/>
        <v>0</v>
      </c>
      <c r="GC3" s="135">
        <f t="shared" si="7"/>
        <v>0</v>
      </c>
      <c r="GD3" s="135">
        <f t="shared" si="7"/>
        <v>0</v>
      </c>
      <c r="GE3" s="135">
        <f t="shared" si="7"/>
        <v>0</v>
      </c>
      <c r="GF3" s="135">
        <f t="shared" si="7"/>
        <v>0</v>
      </c>
      <c r="GG3" s="135">
        <f t="shared" si="8"/>
        <v>0</v>
      </c>
      <c r="GH3" s="135">
        <f t="shared" si="8"/>
        <v>0</v>
      </c>
      <c r="GI3" s="135">
        <f t="shared" si="8"/>
        <v>0</v>
      </c>
      <c r="GJ3" s="135">
        <f t="shared" si="8"/>
        <v>0</v>
      </c>
      <c r="GK3" s="135">
        <f t="shared" si="8"/>
        <v>0</v>
      </c>
      <c r="GL3" s="135">
        <f t="shared" si="8"/>
        <v>0</v>
      </c>
      <c r="GM3" s="135">
        <f t="shared" si="8"/>
        <v>0</v>
      </c>
      <c r="GN3" s="135">
        <f t="shared" si="8"/>
        <v>0</v>
      </c>
      <c r="GO3" s="135">
        <f t="shared" si="8"/>
        <v>0</v>
      </c>
      <c r="GP3" s="135">
        <f t="shared" si="8"/>
        <v>0</v>
      </c>
      <c r="GQ3" s="135">
        <f t="shared" si="8"/>
        <v>0</v>
      </c>
      <c r="GR3" s="135">
        <f t="shared" si="8"/>
        <v>0</v>
      </c>
      <c r="GS3" s="135">
        <f t="shared" si="8"/>
        <v>0</v>
      </c>
      <c r="GT3" s="135">
        <f t="shared" si="8"/>
        <v>0</v>
      </c>
      <c r="GU3" s="135">
        <f t="shared" si="9"/>
        <v>0</v>
      </c>
      <c r="GV3" s="135">
        <f t="shared" si="9"/>
        <v>0</v>
      </c>
      <c r="GW3" s="135">
        <f t="shared" si="9"/>
        <v>0</v>
      </c>
      <c r="GX3" s="135">
        <f t="shared" si="9"/>
        <v>0</v>
      </c>
      <c r="GY3" s="135">
        <f t="shared" si="9"/>
        <v>0</v>
      </c>
      <c r="GZ3" s="135">
        <f t="shared" si="9"/>
        <v>0</v>
      </c>
      <c r="HA3" s="135">
        <f t="shared" si="9"/>
        <v>0</v>
      </c>
      <c r="HB3" s="135">
        <f t="shared" si="9"/>
        <v>0</v>
      </c>
      <c r="HC3" s="135">
        <f t="shared" si="9"/>
        <v>0</v>
      </c>
      <c r="HD3" s="135">
        <f t="shared" si="9"/>
        <v>0</v>
      </c>
      <c r="HE3" s="135">
        <f t="shared" si="9"/>
        <v>0</v>
      </c>
      <c r="HF3" s="135">
        <f t="shared" si="9"/>
        <v>0</v>
      </c>
      <c r="HG3" s="135">
        <f t="shared" si="9"/>
        <v>0</v>
      </c>
      <c r="HH3" s="135">
        <f t="shared" si="9"/>
        <v>0</v>
      </c>
      <c r="HI3" s="135">
        <f t="shared" si="9"/>
        <v>0</v>
      </c>
      <c r="HJ3" s="135">
        <f t="shared" si="9"/>
        <v>0</v>
      </c>
      <c r="HK3" s="135">
        <f t="shared" si="9"/>
        <v>0</v>
      </c>
      <c r="HL3" s="135">
        <f t="shared" si="9"/>
        <v>0</v>
      </c>
      <c r="HM3" s="135">
        <f t="shared" si="9"/>
        <v>0</v>
      </c>
      <c r="HN3" s="135">
        <f t="shared" si="9"/>
        <v>0</v>
      </c>
      <c r="HO3" s="135">
        <f t="shared" si="9"/>
        <v>0</v>
      </c>
      <c r="HP3" s="135">
        <f t="shared" si="9"/>
        <v>0</v>
      </c>
      <c r="HQ3" s="135">
        <f t="shared" si="9"/>
        <v>0</v>
      </c>
      <c r="HR3" s="135">
        <f t="shared" si="9"/>
        <v>0</v>
      </c>
      <c r="HS3" s="135">
        <f t="shared" si="9"/>
        <v>0</v>
      </c>
      <c r="HT3" s="135">
        <f t="shared" si="9"/>
        <v>0</v>
      </c>
      <c r="HU3" s="135">
        <f t="shared" si="9"/>
        <v>0</v>
      </c>
      <c r="HV3" s="135">
        <f t="shared" si="9"/>
        <v>0</v>
      </c>
      <c r="HW3" s="135">
        <f t="shared" si="9"/>
        <v>0</v>
      </c>
      <c r="HX3" s="135">
        <f t="shared" si="9"/>
        <v>0</v>
      </c>
      <c r="HY3" s="135">
        <f t="shared" si="9"/>
        <v>0</v>
      </c>
      <c r="HZ3" s="135">
        <f t="shared" si="9"/>
        <v>0</v>
      </c>
      <c r="IA3" s="135">
        <f t="shared" si="9"/>
        <v>0</v>
      </c>
      <c r="IB3" s="135">
        <f t="shared" si="9"/>
        <v>0</v>
      </c>
      <c r="IC3" s="135">
        <f t="shared" si="9"/>
        <v>0</v>
      </c>
      <c r="ID3" s="135">
        <f t="shared" si="9"/>
        <v>0</v>
      </c>
      <c r="IE3" s="135">
        <f t="shared" si="9"/>
        <v>0</v>
      </c>
      <c r="IF3" s="135">
        <f t="shared" si="9"/>
        <v>0</v>
      </c>
      <c r="IG3" s="135">
        <f t="shared" si="9"/>
        <v>0</v>
      </c>
      <c r="IH3" s="135">
        <f t="shared" si="9"/>
        <v>0</v>
      </c>
      <c r="II3" s="135">
        <f t="shared" si="9"/>
        <v>0</v>
      </c>
      <c r="IJ3" s="135">
        <f t="shared" si="9"/>
        <v>0</v>
      </c>
      <c r="IK3" s="135">
        <f t="shared" si="9"/>
        <v>0</v>
      </c>
      <c r="IL3" s="135">
        <f t="shared" si="9"/>
        <v>0</v>
      </c>
      <c r="IM3" s="135">
        <f t="shared" si="9"/>
        <v>0</v>
      </c>
      <c r="IN3" s="135">
        <f t="shared" si="9"/>
        <v>0</v>
      </c>
      <c r="IO3" s="135">
        <f t="shared" si="9"/>
        <v>0</v>
      </c>
      <c r="IP3" s="135">
        <f t="shared" si="9"/>
        <v>0</v>
      </c>
      <c r="IQ3" s="135">
        <f t="shared" si="9"/>
        <v>0</v>
      </c>
      <c r="IR3" s="135">
        <f t="shared" si="9"/>
        <v>0</v>
      </c>
      <c r="IS3" s="135">
        <f t="shared" si="9"/>
        <v>0</v>
      </c>
      <c r="IT3" s="135">
        <f t="shared" si="9"/>
        <v>0</v>
      </c>
      <c r="IU3" s="135">
        <f t="shared" si="9"/>
        <v>0</v>
      </c>
      <c r="IV3" s="135">
        <f t="shared" si="9"/>
        <v>0</v>
      </c>
      <c r="IW3" s="135">
        <f t="shared" si="9"/>
        <v>0</v>
      </c>
      <c r="IX3" s="135">
        <f t="shared" si="9"/>
        <v>0</v>
      </c>
      <c r="IY3" s="135">
        <f t="shared" si="9"/>
        <v>0</v>
      </c>
      <c r="IZ3" s="135">
        <f t="shared" si="9"/>
        <v>0</v>
      </c>
      <c r="JA3" s="135">
        <f t="shared" si="9"/>
        <v>0</v>
      </c>
      <c r="JB3" s="135">
        <f t="shared" si="9"/>
        <v>0</v>
      </c>
      <c r="JC3" s="135">
        <f t="shared" si="9"/>
        <v>0</v>
      </c>
      <c r="JD3" s="135">
        <f t="shared" si="9"/>
        <v>0</v>
      </c>
      <c r="JE3" s="135">
        <f t="shared" si="9"/>
        <v>0</v>
      </c>
      <c r="JF3" s="135">
        <f t="shared" si="9"/>
        <v>0</v>
      </c>
      <c r="JG3" s="135">
        <f t="shared" si="10"/>
        <v>0</v>
      </c>
      <c r="JH3" s="135">
        <f t="shared" si="10"/>
        <v>0</v>
      </c>
      <c r="JI3" s="135">
        <f t="shared" si="10"/>
        <v>0</v>
      </c>
      <c r="JJ3" s="135">
        <f t="shared" si="10"/>
        <v>0</v>
      </c>
      <c r="JK3" s="135">
        <f t="shared" si="10"/>
        <v>0</v>
      </c>
      <c r="JL3" s="135">
        <f t="shared" si="10"/>
        <v>0</v>
      </c>
      <c r="JM3" s="135">
        <f t="shared" si="10"/>
        <v>0</v>
      </c>
      <c r="JN3" s="135">
        <f t="shared" si="10"/>
        <v>0</v>
      </c>
      <c r="JO3" s="135">
        <f t="shared" si="10"/>
        <v>0</v>
      </c>
      <c r="JP3" s="135">
        <f t="shared" si="10"/>
        <v>0</v>
      </c>
      <c r="JQ3" s="135">
        <f t="shared" si="11"/>
        <v>0</v>
      </c>
      <c r="JR3" s="135">
        <f t="shared" si="11"/>
        <v>0</v>
      </c>
      <c r="JS3" s="135">
        <f t="shared" si="11"/>
        <v>0</v>
      </c>
      <c r="JT3" s="135">
        <f t="shared" si="11"/>
        <v>0</v>
      </c>
      <c r="JU3" s="135">
        <f t="shared" si="11"/>
        <v>0</v>
      </c>
      <c r="JV3" s="135">
        <f t="shared" si="11"/>
        <v>0</v>
      </c>
      <c r="JW3" s="135">
        <f t="shared" si="11"/>
        <v>0</v>
      </c>
      <c r="JX3" s="135">
        <f t="shared" si="11"/>
        <v>0</v>
      </c>
      <c r="JY3" s="135">
        <f t="shared" si="11"/>
        <v>0</v>
      </c>
      <c r="JZ3" s="135">
        <f t="shared" si="11"/>
        <v>0</v>
      </c>
      <c r="KA3" s="135">
        <f t="shared" si="12"/>
        <v>0</v>
      </c>
      <c r="KB3" s="135">
        <f t="shared" si="12"/>
        <v>0</v>
      </c>
      <c r="KC3" s="135">
        <f t="shared" si="12"/>
        <v>0</v>
      </c>
      <c r="KD3" s="135">
        <f t="shared" si="12"/>
        <v>0</v>
      </c>
      <c r="KE3" s="135">
        <f t="shared" si="12"/>
        <v>0</v>
      </c>
      <c r="KF3" s="135">
        <f t="shared" si="12"/>
        <v>0</v>
      </c>
      <c r="KG3" s="135">
        <f t="shared" si="12"/>
        <v>0</v>
      </c>
      <c r="KH3" s="135">
        <f t="shared" si="12"/>
        <v>0</v>
      </c>
      <c r="KI3" s="135">
        <f t="shared" si="12"/>
        <v>0</v>
      </c>
      <c r="KJ3" s="135">
        <f t="shared" si="12"/>
        <v>0</v>
      </c>
      <c r="KK3" s="135">
        <f t="shared" si="13"/>
        <v>0</v>
      </c>
      <c r="KL3" s="135">
        <f t="shared" si="13"/>
        <v>0</v>
      </c>
      <c r="KM3" s="135">
        <f t="shared" si="13"/>
        <v>0</v>
      </c>
      <c r="KN3" s="135">
        <f t="shared" si="13"/>
        <v>0</v>
      </c>
      <c r="KO3" s="135">
        <f t="shared" si="13"/>
        <v>0</v>
      </c>
      <c r="KP3" s="135">
        <f t="shared" si="13"/>
        <v>0</v>
      </c>
      <c r="KQ3" s="135">
        <f t="shared" si="13"/>
        <v>0</v>
      </c>
      <c r="KR3" s="135">
        <f t="shared" si="13"/>
        <v>0</v>
      </c>
      <c r="KS3" s="135">
        <f t="shared" si="13"/>
        <v>0</v>
      </c>
      <c r="KT3" s="135">
        <f t="shared" si="13"/>
        <v>0</v>
      </c>
      <c r="KU3" s="135">
        <f t="shared" si="14"/>
        <v>0</v>
      </c>
      <c r="KV3" s="135">
        <f t="shared" si="14"/>
        <v>0</v>
      </c>
      <c r="KW3" s="135">
        <f t="shared" si="14"/>
        <v>0</v>
      </c>
      <c r="KX3" s="135">
        <f t="shared" si="14"/>
        <v>0</v>
      </c>
      <c r="KY3" s="135">
        <f t="shared" si="14"/>
        <v>0</v>
      </c>
      <c r="KZ3" s="135">
        <f t="shared" si="14"/>
        <v>0</v>
      </c>
      <c r="LA3" s="135">
        <f t="shared" si="14"/>
        <v>0</v>
      </c>
      <c r="LB3" s="135">
        <f t="shared" si="14"/>
        <v>0</v>
      </c>
      <c r="LC3" s="135">
        <f t="shared" si="14"/>
        <v>0</v>
      </c>
      <c r="LD3" s="135">
        <f t="shared" si="14"/>
        <v>0</v>
      </c>
      <c r="LE3" s="135">
        <f t="shared" si="15"/>
        <v>0</v>
      </c>
      <c r="LF3" s="135">
        <f t="shared" si="15"/>
        <v>0</v>
      </c>
      <c r="LG3" s="135">
        <f t="shared" si="15"/>
        <v>0</v>
      </c>
      <c r="LH3" s="135">
        <f t="shared" si="15"/>
        <v>0</v>
      </c>
      <c r="LI3" s="135">
        <f t="shared" si="15"/>
        <v>0</v>
      </c>
      <c r="LJ3" s="135">
        <f t="shared" si="15"/>
        <v>0</v>
      </c>
      <c r="LK3" s="135">
        <f t="shared" si="15"/>
        <v>0</v>
      </c>
      <c r="LL3" s="135">
        <f t="shared" si="15"/>
        <v>0</v>
      </c>
      <c r="LM3" s="135">
        <f t="shared" si="15"/>
        <v>0</v>
      </c>
      <c r="LN3" s="135">
        <f t="shared" si="15"/>
        <v>0</v>
      </c>
      <c r="LO3" s="135">
        <f t="shared" si="15"/>
        <v>0</v>
      </c>
      <c r="LP3" s="135">
        <f t="shared" si="15"/>
        <v>0</v>
      </c>
      <c r="LQ3" s="135">
        <f t="shared" si="15"/>
        <v>0</v>
      </c>
      <c r="LR3" s="135">
        <f t="shared" si="15"/>
        <v>0</v>
      </c>
      <c r="LS3" s="135">
        <f t="shared" si="16"/>
        <v>0</v>
      </c>
      <c r="LT3" s="135">
        <f t="shared" si="16"/>
        <v>0</v>
      </c>
      <c r="LU3" s="135">
        <f t="shared" si="16"/>
        <v>0</v>
      </c>
      <c r="LV3" s="135">
        <f t="shared" si="16"/>
        <v>0</v>
      </c>
      <c r="LW3" s="135">
        <f t="shared" si="16"/>
        <v>0</v>
      </c>
      <c r="LX3" s="135">
        <f t="shared" si="16"/>
        <v>0</v>
      </c>
      <c r="LY3" s="135">
        <f t="shared" si="16"/>
        <v>0</v>
      </c>
      <c r="LZ3" s="135">
        <f t="shared" si="16"/>
        <v>0</v>
      </c>
      <c r="MA3" s="135">
        <f t="shared" si="16"/>
        <v>0</v>
      </c>
      <c r="MB3" s="135">
        <f t="shared" si="16"/>
        <v>0</v>
      </c>
      <c r="MC3" s="135">
        <f t="shared" si="16"/>
        <v>0</v>
      </c>
      <c r="MD3" s="135">
        <f t="shared" si="16"/>
        <v>0</v>
      </c>
      <c r="ME3" s="135">
        <f t="shared" si="16"/>
        <v>0</v>
      </c>
      <c r="MF3" s="135">
        <f t="shared" si="16"/>
        <v>0</v>
      </c>
      <c r="MG3" s="135">
        <f t="shared" si="16"/>
        <v>0</v>
      </c>
      <c r="MH3" s="135">
        <f t="shared" si="16"/>
        <v>0</v>
      </c>
      <c r="MI3" s="135">
        <f t="shared" si="16"/>
        <v>0</v>
      </c>
      <c r="MJ3" s="135">
        <f t="shared" si="16"/>
        <v>0</v>
      </c>
      <c r="MK3" s="135">
        <f t="shared" si="16"/>
        <v>0</v>
      </c>
      <c r="ML3" s="135">
        <f t="shared" si="16"/>
        <v>0</v>
      </c>
      <c r="MM3" s="135">
        <f t="shared" si="16"/>
        <v>0</v>
      </c>
      <c r="MN3" s="135">
        <f t="shared" si="16"/>
        <v>0</v>
      </c>
      <c r="MO3" s="135">
        <f t="shared" si="16"/>
        <v>0</v>
      </c>
      <c r="MP3" s="135">
        <f t="shared" si="16"/>
        <v>0</v>
      </c>
      <c r="MQ3" s="135">
        <f t="shared" si="16"/>
        <v>0</v>
      </c>
      <c r="MR3" s="135">
        <f t="shared" si="16"/>
        <v>0</v>
      </c>
      <c r="MS3" s="135">
        <f t="shared" si="16"/>
        <v>0</v>
      </c>
      <c r="MT3" s="135">
        <f t="shared" si="16"/>
        <v>0</v>
      </c>
      <c r="MU3" s="135">
        <f t="shared" si="16"/>
        <v>0</v>
      </c>
      <c r="MV3" s="135">
        <f t="shared" si="16"/>
        <v>0</v>
      </c>
      <c r="MW3" s="135">
        <f t="shared" si="16"/>
        <v>0</v>
      </c>
      <c r="MX3" s="135">
        <f t="shared" si="16"/>
        <v>0</v>
      </c>
      <c r="MY3" s="135">
        <f t="shared" si="16"/>
        <v>0</v>
      </c>
      <c r="MZ3" s="135">
        <f t="shared" si="16"/>
        <v>0</v>
      </c>
      <c r="NA3" s="135">
        <f t="shared" si="16"/>
        <v>0</v>
      </c>
      <c r="NB3" s="135">
        <f t="shared" si="16"/>
        <v>0</v>
      </c>
      <c r="NC3" s="135">
        <f t="shared" si="16"/>
        <v>0</v>
      </c>
      <c r="ND3" s="135">
        <f t="shared" si="16"/>
        <v>0</v>
      </c>
      <c r="NE3" s="135">
        <f t="shared" si="16"/>
        <v>0</v>
      </c>
      <c r="NF3" s="135">
        <f t="shared" si="16"/>
        <v>0</v>
      </c>
      <c r="NG3" s="135">
        <f t="shared" si="16"/>
        <v>0</v>
      </c>
      <c r="NH3" s="135">
        <f t="shared" si="16"/>
        <v>0</v>
      </c>
      <c r="NI3" s="135">
        <f t="shared" si="16"/>
        <v>0</v>
      </c>
      <c r="NJ3" s="135">
        <f t="shared" si="16"/>
        <v>0</v>
      </c>
      <c r="NK3" s="135">
        <f t="shared" si="16"/>
        <v>0</v>
      </c>
      <c r="NL3" s="135">
        <f t="shared" si="16"/>
        <v>0</v>
      </c>
      <c r="NM3" s="135">
        <f t="shared" si="16"/>
        <v>0</v>
      </c>
      <c r="NN3" s="135">
        <f t="shared" si="16"/>
        <v>0</v>
      </c>
      <c r="NO3" s="135">
        <f t="shared" si="16"/>
        <v>0</v>
      </c>
      <c r="NP3" s="135">
        <f t="shared" si="16"/>
        <v>0</v>
      </c>
      <c r="NQ3" s="135">
        <f t="shared" si="16"/>
        <v>0</v>
      </c>
      <c r="NR3" s="135">
        <f t="shared" si="16"/>
        <v>0</v>
      </c>
      <c r="NS3" s="135">
        <f t="shared" si="16"/>
        <v>0</v>
      </c>
      <c r="NT3" s="135">
        <f t="shared" si="16"/>
        <v>0</v>
      </c>
      <c r="NU3" s="135">
        <f t="shared" si="16"/>
        <v>0</v>
      </c>
      <c r="NV3" s="135">
        <f t="shared" si="16"/>
        <v>0</v>
      </c>
      <c r="NW3" s="135">
        <f t="shared" si="16"/>
        <v>0</v>
      </c>
      <c r="NX3" s="135">
        <f t="shared" si="16"/>
        <v>0</v>
      </c>
      <c r="NY3" s="135">
        <f t="shared" si="16"/>
        <v>0</v>
      </c>
      <c r="NZ3" s="135">
        <f t="shared" si="16"/>
        <v>0</v>
      </c>
      <c r="OA3" s="135">
        <f t="shared" si="16"/>
        <v>0</v>
      </c>
      <c r="OB3" s="135">
        <f t="shared" si="16"/>
        <v>0</v>
      </c>
      <c r="OC3" s="135">
        <f t="shared" si="16"/>
        <v>0</v>
      </c>
      <c r="OD3" s="135">
        <f t="shared" si="16"/>
        <v>0</v>
      </c>
      <c r="OE3" s="135">
        <f t="shared" si="17"/>
        <v>0</v>
      </c>
      <c r="OF3" s="135">
        <f t="shared" si="17"/>
        <v>0</v>
      </c>
      <c r="OG3" s="135">
        <f t="shared" si="17"/>
        <v>0</v>
      </c>
      <c r="OH3" s="135">
        <f t="shared" si="17"/>
        <v>0</v>
      </c>
      <c r="OI3" s="135">
        <f t="shared" si="17"/>
        <v>0</v>
      </c>
      <c r="OJ3" s="135">
        <f t="shared" si="17"/>
        <v>0</v>
      </c>
      <c r="OK3" s="135">
        <f t="shared" si="17"/>
        <v>0</v>
      </c>
      <c r="OL3" s="135">
        <f t="shared" si="17"/>
        <v>0</v>
      </c>
      <c r="OM3" s="135">
        <f t="shared" si="17"/>
        <v>0</v>
      </c>
      <c r="ON3" s="135">
        <f t="shared" si="17"/>
        <v>0</v>
      </c>
      <c r="OO3" s="135">
        <f t="shared" si="18"/>
        <v>0</v>
      </c>
      <c r="OP3" s="135">
        <f t="shared" si="18"/>
        <v>0</v>
      </c>
      <c r="OQ3" s="135">
        <f t="shared" si="18"/>
        <v>0</v>
      </c>
      <c r="OR3" s="135">
        <f t="shared" si="18"/>
        <v>0</v>
      </c>
      <c r="OS3" s="135">
        <f t="shared" si="18"/>
        <v>0</v>
      </c>
      <c r="OT3" s="135">
        <f t="shared" si="18"/>
        <v>0</v>
      </c>
      <c r="OU3" s="135">
        <f t="shared" si="18"/>
        <v>0</v>
      </c>
      <c r="OV3" s="135">
        <f t="shared" si="18"/>
        <v>0</v>
      </c>
      <c r="OW3" s="135">
        <f t="shared" si="18"/>
        <v>0</v>
      </c>
      <c r="OX3" s="135">
        <f t="shared" si="18"/>
        <v>0</v>
      </c>
      <c r="OY3" s="135">
        <f t="shared" si="19"/>
        <v>0</v>
      </c>
      <c r="OZ3" s="135">
        <f t="shared" si="19"/>
        <v>0</v>
      </c>
      <c r="PA3" s="135">
        <f t="shared" si="19"/>
        <v>0</v>
      </c>
      <c r="PB3" s="135">
        <f t="shared" si="19"/>
        <v>0</v>
      </c>
      <c r="PC3" s="135">
        <f t="shared" si="19"/>
        <v>0</v>
      </c>
      <c r="PD3" s="135">
        <f t="shared" si="19"/>
        <v>0</v>
      </c>
      <c r="PE3" s="135">
        <f t="shared" si="19"/>
        <v>0</v>
      </c>
      <c r="PF3" s="135">
        <f t="shared" si="19"/>
        <v>0</v>
      </c>
      <c r="PG3" s="135">
        <f t="shared" si="19"/>
        <v>0</v>
      </c>
      <c r="PH3" s="135">
        <f t="shared" si="19"/>
        <v>0</v>
      </c>
      <c r="PI3" s="135">
        <f t="shared" si="20"/>
        <v>0</v>
      </c>
      <c r="PJ3" s="135">
        <f t="shared" si="20"/>
        <v>0</v>
      </c>
      <c r="PK3" s="135">
        <f t="shared" si="20"/>
        <v>0</v>
      </c>
      <c r="PL3" s="135">
        <f t="shared" si="20"/>
        <v>0</v>
      </c>
      <c r="PM3" s="135">
        <f t="shared" si="20"/>
        <v>0</v>
      </c>
      <c r="PN3" s="135">
        <f t="shared" si="20"/>
        <v>0</v>
      </c>
      <c r="PO3" s="135">
        <f t="shared" si="20"/>
        <v>0</v>
      </c>
      <c r="PP3" s="135">
        <f t="shared" si="20"/>
        <v>0</v>
      </c>
      <c r="PQ3" s="135">
        <f t="shared" si="20"/>
        <v>0</v>
      </c>
      <c r="PR3" s="135">
        <f t="shared" si="20"/>
        <v>0</v>
      </c>
      <c r="PS3" s="135">
        <f t="shared" si="21"/>
        <v>0</v>
      </c>
      <c r="PT3" s="135">
        <f t="shared" si="21"/>
        <v>0</v>
      </c>
      <c r="PU3" s="135">
        <f t="shared" si="21"/>
        <v>0</v>
      </c>
      <c r="PV3" s="135">
        <f t="shared" si="21"/>
        <v>0</v>
      </c>
      <c r="PW3" s="135">
        <f t="shared" si="21"/>
        <v>0</v>
      </c>
      <c r="PX3" s="135">
        <f t="shared" si="21"/>
        <v>0</v>
      </c>
      <c r="PY3" s="135">
        <f t="shared" si="21"/>
        <v>0</v>
      </c>
      <c r="PZ3" s="135">
        <f t="shared" si="21"/>
        <v>0</v>
      </c>
      <c r="QA3" s="135">
        <f t="shared" si="21"/>
        <v>0</v>
      </c>
      <c r="QB3" s="135">
        <f t="shared" si="21"/>
        <v>0</v>
      </c>
      <c r="QC3" s="135">
        <f t="shared" si="22"/>
        <v>0</v>
      </c>
      <c r="QD3" s="135">
        <f t="shared" si="22"/>
        <v>0</v>
      </c>
      <c r="QE3" s="135">
        <f t="shared" si="22"/>
        <v>0</v>
      </c>
      <c r="QF3" s="135">
        <f t="shared" si="22"/>
        <v>0</v>
      </c>
      <c r="QG3" s="135">
        <f t="shared" si="22"/>
        <v>0</v>
      </c>
      <c r="QH3" s="135">
        <f t="shared" si="22"/>
        <v>0</v>
      </c>
      <c r="QI3" s="135">
        <f t="shared" si="22"/>
        <v>0</v>
      </c>
      <c r="QJ3" s="135">
        <f t="shared" si="22"/>
        <v>0</v>
      </c>
      <c r="QK3" s="135">
        <f t="shared" si="22"/>
        <v>0</v>
      </c>
      <c r="QL3" s="135">
        <f t="shared" si="22"/>
        <v>0</v>
      </c>
      <c r="QM3" s="135">
        <f t="shared" si="22"/>
        <v>0</v>
      </c>
      <c r="QN3" s="135">
        <f t="shared" si="22"/>
        <v>0</v>
      </c>
      <c r="QO3" s="135">
        <f t="shared" si="22"/>
        <v>0</v>
      </c>
      <c r="QP3" s="135">
        <f t="shared" si="22"/>
        <v>0</v>
      </c>
      <c r="QQ3" s="135">
        <f t="shared" si="23"/>
        <v>0</v>
      </c>
      <c r="QR3" s="135">
        <f t="shared" si="23"/>
        <v>0</v>
      </c>
      <c r="QS3" s="135">
        <f t="shared" si="23"/>
        <v>0</v>
      </c>
      <c r="QT3" s="135">
        <f t="shared" si="23"/>
        <v>0</v>
      </c>
      <c r="QU3" s="135">
        <f t="shared" si="23"/>
        <v>0</v>
      </c>
      <c r="QV3" s="135">
        <f t="shared" si="23"/>
        <v>0</v>
      </c>
      <c r="QW3" s="135">
        <f t="shared" si="23"/>
        <v>0</v>
      </c>
      <c r="QX3" s="135">
        <f t="shared" si="23"/>
        <v>0</v>
      </c>
      <c r="QY3" s="135">
        <f t="shared" si="23"/>
        <v>0</v>
      </c>
      <c r="QZ3" s="135">
        <f t="shared" si="23"/>
        <v>0</v>
      </c>
      <c r="RA3" s="135">
        <f t="shared" si="23"/>
        <v>0</v>
      </c>
      <c r="RB3" s="135">
        <f t="shared" si="23"/>
        <v>0</v>
      </c>
      <c r="RC3" s="135">
        <f t="shared" si="23"/>
        <v>0</v>
      </c>
      <c r="RD3" s="135">
        <f t="shared" si="23"/>
        <v>0</v>
      </c>
      <c r="RE3" s="135">
        <f t="shared" si="23"/>
        <v>0</v>
      </c>
      <c r="RF3" s="135">
        <f t="shared" si="23"/>
        <v>0</v>
      </c>
      <c r="RG3" s="135">
        <f t="shared" si="23"/>
        <v>0</v>
      </c>
      <c r="RH3" s="135">
        <f t="shared" si="23"/>
        <v>0</v>
      </c>
      <c r="RI3" s="135">
        <f t="shared" si="23"/>
        <v>0</v>
      </c>
      <c r="RJ3" s="135">
        <f t="shared" si="23"/>
        <v>0</v>
      </c>
      <c r="RK3" s="135">
        <f t="shared" si="23"/>
        <v>0</v>
      </c>
      <c r="RL3" s="135">
        <f t="shared" si="23"/>
        <v>0</v>
      </c>
      <c r="RM3" s="135">
        <f t="shared" si="23"/>
        <v>0</v>
      </c>
      <c r="RN3" s="135">
        <f t="shared" si="23"/>
        <v>0</v>
      </c>
      <c r="RO3" s="135">
        <f t="shared" si="23"/>
        <v>0</v>
      </c>
      <c r="RP3" s="135">
        <f t="shared" si="23"/>
        <v>0</v>
      </c>
      <c r="RQ3" s="135">
        <f t="shared" si="23"/>
        <v>0</v>
      </c>
      <c r="RR3" s="135">
        <f t="shared" si="23"/>
        <v>0</v>
      </c>
      <c r="RS3" s="135">
        <f t="shared" si="23"/>
        <v>0</v>
      </c>
      <c r="RT3" s="135">
        <f t="shared" si="23"/>
        <v>0</v>
      </c>
      <c r="RU3" s="135">
        <f t="shared" si="23"/>
        <v>0</v>
      </c>
      <c r="RV3" s="135">
        <f t="shared" si="23"/>
        <v>0</v>
      </c>
      <c r="RW3" s="135">
        <f t="shared" si="23"/>
        <v>0</v>
      </c>
      <c r="RX3" s="135">
        <f t="shared" si="23"/>
        <v>0</v>
      </c>
      <c r="RY3" s="135">
        <f t="shared" si="23"/>
        <v>0</v>
      </c>
      <c r="RZ3" s="135">
        <f t="shared" si="23"/>
        <v>0</v>
      </c>
      <c r="SA3" s="135">
        <f t="shared" si="23"/>
        <v>0</v>
      </c>
      <c r="SB3" s="135">
        <f t="shared" si="23"/>
        <v>0</v>
      </c>
      <c r="SC3" s="135">
        <f t="shared" si="23"/>
        <v>0</v>
      </c>
      <c r="SD3" s="135">
        <f t="shared" si="23"/>
        <v>0</v>
      </c>
      <c r="SE3" s="135">
        <f t="shared" si="23"/>
        <v>0</v>
      </c>
      <c r="SF3" s="135">
        <f t="shared" si="23"/>
        <v>0</v>
      </c>
      <c r="SG3" s="135">
        <f t="shared" si="23"/>
        <v>0</v>
      </c>
      <c r="SH3" s="135">
        <f t="shared" si="23"/>
        <v>0</v>
      </c>
      <c r="SI3" s="135">
        <f t="shared" si="23"/>
        <v>0</v>
      </c>
      <c r="SJ3" s="135">
        <f t="shared" si="23"/>
        <v>0</v>
      </c>
      <c r="SK3" s="135">
        <f t="shared" si="23"/>
        <v>0</v>
      </c>
      <c r="SL3" s="135">
        <f t="shared" si="23"/>
        <v>0</v>
      </c>
      <c r="SM3" s="135">
        <f t="shared" si="23"/>
        <v>0</v>
      </c>
      <c r="SN3" s="135">
        <f t="shared" si="23"/>
        <v>0</v>
      </c>
      <c r="SO3" s="135">
        <f t="shared" si="23"/>
        <v>0</v>
      </c>
      <c r="SP3" s="135">
        <f t="shared" si="23"/>
        <v>0</v>
      </c>
      <c r="SQ3" s="135">
        <f t="shared" si="23"/>
        <v>0</v>
      </c>
      <c r="SR3" s="135">
        <f t="shared" si="23"/>
        <v>0</v>
      </c>
      <c r="SS3" s="135">
        <f t="shared" si="23"/>
        <v>0</v>
      </c>
      <c r="ST3" s="135">
        <f t="shared" si="23"/>
        <v>0</v>
      </c>
      <c r="SU3" s="135">
        <f t="shared" si="23"/>
        <v>0</v>
      </c>
      <c r="SV3" s="135">
        <f t="shared" si="23"/>
        <v>0</v>
      </c>
      <c r="SW3" s="135">
        <f t="shared" si="23"/>
        <v>0</v>
      </c>
      <c r="SX3" s="135">
        <f t="shared" si="23"/>
        <v>0</v>
      </c>
      <c r="SY3" s="135">
        <f t="shared" si="23"/>
        <v>0</v>
      </c>
      <c r="SZ3" s="135">
        <f t="shared" si="23"/>
        <v>0</v>
      </c>
      <c r="TA3" s="135">
        <f t="shared" si="23"/>
        <v>0</v>
      </c>
      <c r="TB3" s="135">
        <f t="shared" si="23"/>
        <v>0</v>
      </c>
      <c r="TC3" s="135">
        <f t="shared" si="24"/>
        <v>0</v>
      </c>
      <c r="TD3" s="135">
        <f t="shared" si="24"/>
        <v>0</v>
      </c>
      <c r="TE3" s="135">
        <f t="shared" si="24"/>
        <v>0</v>
      </c>
      <c r="TF3" s="135">
        <f t="shared" si="24"/>
        <v>0</v>
      </c>
      <c r="TG3" s="135">
        <f t="shared" si="24"/>
        <v>0</v>
      </c>
      <c r="TH3" s="135">
        <f t="shared" si="24"/>
        <v>0</v>
      </c>
      <c r="TI3" s="135">
        <f t="shared" si="24"/>
        <v>0</v>
      </c>
      <c r="TJ3" s="135">
        <f t="shared" si="24"/>
        <v>0</v>
      </c>
      <c r="TK3" s="135">
        <f t="shared" si="24"/>
        <v>0</v>
      </c>
      <c r="TL3" s="135">
        <f t="shared" si="24"/>
        <v>0</v>
      </c>
      <c r="TM3" s="135">
        <f t="shared" si="24"/>
        <v>0</v>
      </c>
      <c r="TN3" s="135">
        <f t="shared" si="24"/>
        <v>0</v>
      </c>
      <c r="TO3" s="135">
        <f t="shared" si="24"/>
        <v>0</v>
      </c>
      <c r="TP3" s="135">
        <f t="shared" si="24"/>
        <v>0</v>
      </c>
      <c r="TQ3" s="135">
        <f t="shared" si="24"/>
        <v>0</v>
      </c>
      <c r="TR3" s="135">
        <f t="shared" si="24"/>
        <v>0</v>
      </c>
      <c r="TS3" s="135">
        <f t="shared" si="24"/>
        <v>0</v>
      </c>
      <c r="TT3" s="135">
        <f t="shared" si="24"/>
        <v>0</v>
      </c>
      <c r="TU3" s="135">
        <f t="shared" si="24"/>
        <v>0</v>
      </c>
      <c r="TV3" s="135">
        <f t="shared" si="24"/>
        <v>0</v>
      </c>
      <c r="TW3" s="135">
        <f t="shared" si="24"/>
        <v>0</v>
      </c>
      <c r="TX3" s="135">
        <f t="shared" si="24"/>
        <v>0</v>
      </c>
      <c r="TY3" s="135">
        <f t="shared" si="24"/>
        <v>0</v>
      </c>
      <c r="TZ3" s="135">
        <f t="shared" si="24"/>
        <v>0</v>
      </c>
      <c r="UA3" s="135">
        <f t="shared" si="24"/>
        <v>0</v>
      </c>
      <c r="UB3" s="135">
        <f t="shared" si="24"/>
        <v>0</v>
      </c>
      <c r="UC3" s="135">
        <f t="shared" si="24"/>
        <v>0</v>
      </c>
      <c r="UD3" s="135">
        <f t="shared" si="24"/>
        <v>0</v>
      </c>
      <c r="UE3" s="135">
        <f t="shared" si="24"/>
        <v>0</v>
      </c>
      <c r="UF3" s="135">
        <f t="shared" si="24"/>
        <v>0</v>
      </c>
      <c r="UG3" s="135">
        <f t="shared" si="24"/>
        <v>0</v>
      </c>
      <c r="UH3" s="135">
        <f t="shared" si="24"/>
        <v>0</v>
      </c>
      <c r="UI3" s="135">
        <f t="shared" si="24"/>
        <v>0</v>
      </c>
      <c r="UJ3" s="135">
        <f t="shared" si="24"/>
        <v>0</v>
      </c>
      <c r="UK3" s="135">
        <f t="shared" si="24"/>
        <v>0</v>
      </c>
    </row>
    <row r="4" spans="2:557">
      <c r="B4" t="str">
        <f>IF(Samenvatting!$F105&lt;&gt;0,Samenvatting!C105,"")</f>
        <v/>
      </c>
      <c r="C4" t="str">
        <f>IF(Samenvatting!$F105&lt;&gt;0,Samenvatting!D105,"")</f>
        <v/>
      </c>
      <c r="D4" t="str">
        <f>IF(Samenvatting!$F105&lt;&gt;0,Samenvatting!E105,"")</f>
        <v/>
      </c>
      <c r="E4" t="str">
        <f>IF(Samenvatting!$F105&lt;&gt;0,Samenvatting!F105,"")</f>
        <v/>
      </c>
      <c r="F4" t="str">
        <f>IF(Samenvatting!$F105&lt;&gt;0,Samenvatting!H105,"")</f>
        <v/>
      </c>
      <c r="G4" s="134" t="str">
        <f>IF(Samenvatting!$F105&lt;&gt;0,Samenvatting!I105,"")</f>
        <v/>
      </c>
      <c r="H4" t="str">
        <f>IF(Samenvatting!$F105&lt;&gt;0,Samenvatting!J105,"")</f>
        <v/>
      </c>
      <c r="I4" s="134" t="str">
        <f>IF(Samenvatting!$F105&lt;&gt;0,Samenvatting!K105,"")</f>
        <v/>
      </c>
      <c r="J4" s="135">
        <f t="shared" si="0"/>
        <v>0</v>
      </c>
      <c r="K4" s="135">
        <f t="shared" ref="K4:BV7" si="26">IFERROR(IF(K$1=EOMONTH($G4,0),(-$E4+($E4*(DAY($G4)/DAY(EOMONTH(K$1,0)))*$F4/12*(1-0.269))),IF(K$1=$G4,($E4+($E4*(DAY($I4)/DAY(EOMONTH(K$1,0)))*$F4/12*(1-0.269))),IFERROR(IF($I4&lt;K$1,0,IF(K$1&gt;$I4,(($F4/12)*$E4)*(DAY($I4)/DAY(EOMONTH(K$1,0)))*(1-26.9/100)+$E4,IF(AND(K$1&gt;=$G4,K$1&lt;$I4),(($F4/12)*$E4)*(1-26.9/100),""))-IF(K$1=EOMONTH($G4,0),$E4,"0")),0)+IF(K$1=EOMONTH($I4,0),($E4+($E4*(DAY($I4)/DAY(EOMONTH(K$1,0)))*$F4/12*(1-0.269))),"0"))),0)</f>
        <v>0</v>
      </c>
      <c r="L4" s="135">
        <f t="shared" si="26"/>
        <v>0</v>
      </c>
      <c r="M4" s="135">
        <f t="shared" si="26"/>
        <v>0</v>
      </c>
      <c r="N4" s="135">
        <f t="shared" si="26"/>
        <v>0</v>
      </c>
      <c r="O4" s="135">
        <f t="shared" si="26"/>
        <v>0</v>
      </c>
      <c r="P4" s="135">
        <f t="shared" si="26"/>
        <v>0</v>
      </c>
      <c r="Q4" s="135">
        <f t="shared" si="26"/>
        <v>0</v>
      </c>
      <c r="R4" s="135">
        <f t="shared" si="26"/>
        <v>0</v>
      </c>
      <c r="S4" s="135">
        <f t="shared" si="26"/>
        <v>0</v>
      </c>
      <c r="T4" s="135">
        <f t="shared" si="26"/>
        <v>0</v>
      </c>
      <c r="U4" s="135">
        <f t="shared" si="26"/>
        <v>0</v>
      </c>
      <c r="V4" s="135">
        <f t="shared" si="26"/>
        <v>0</v>
      </c>
      <c r="W4" s="135">
        <f t="shared" si="26"/>
        <v>0</v>
      </c>
      <c r="X4" s="135">
        <f t="shared" si="26"/>
        <v>0</v>
      </c>
      <c r="Y4" s="135">
        <f t="shared" si="26"/>
        <v>0</v>
      </c>
      <c r="Z4" s="135">
        <f t="shared" si="26"/>
        <v>0</v>
      </c>
      <c r="AA4" s="135">
        <f t="shared" si="26"/>
        <v>0</v>
      </c>
      <c r="AB4" s="135">
        <f t="shared" si="26"/>
        <v>0</v>
      </c>
      <c r="AC4" s="135">
        <f t="shared" si="26"/>
        <v>0</v>
      </c>
      <c r="AD4" s="135">
        <f t="shared" si="26"/>
        <v>0</v>
      </c>
      <c r="AE4" s="135">
        <f t="shared" si="26"/>
        <v>0</v>
      </c>
      <c r="AF4" s="135">
        <f t="shared" si="26"/>
        <v>0</v>
      </c>
      <c r="AG4" s="135">
        <f t="shared" si="26"/>
        <v>0</v>
      </c>
      <c r="AH4" s="135">
        <f t="shared" si="26"/>
        <v>0</v>
      </c>
      <c r="AI4" s="135">
        <f t="shared" si="26"/>
        <v>0</v>
      </c>
      <c r="AJ4" s="135">
        <f t="shared" si="26"/>
        <v>0</v>
      </c>
      <c r="AK4" s="135">
        <f t="shared" si="26"/>
        <v>0</v>
      </c>
      <c r="AL4" s="135">
        <f t="shared" si="26"/>
        <v>0</v>
      </c>
      <c r="AM4" s="135">
        <f t="shared" si="26"/>
        <v>0</v>
      </c>
      <c r="AN4" s="135">
        <f t="shared" si="26"/>
        <v>0</v>
      </c>
      <c r="AO4" s="135">
        <f t="shared" si="26"/>
        <v>0</v>
      </c>
      <c r="AP4" s="135">
        <f t="shared" si="26"/>
        <v>0</v>
      </c>
      <c r="AQ4" s="135">
        <f t="shared" si="26"/>
        <v>0</v>
      </c>
      <c r="AR4" s="135">
        <f t="shared" si="26"/>
        <v>0</v>
      </c>
      <c r="AS4" s="135">
        <f t="shared" si="26"/>
        <v>0</v>
      </c>
      <c r="AT4" s="135">
        <f t="shared" si="26"/>
        <v>0</v>
      </c>
      <c r="AU4" s="135">
        <f t="shared" si="26"/>
        <v>0</v>
      </c>
      <c r="AV4" s="135">
        <f t="shared" si="26"/>
        <v>0</v>
      </c>
      <c r="AW4" s="135">
        <f t="shared" si="26"/>
        <v>0</v>
      </c>
      <c r="AX4" s="135">
        <f t="shared" si="26"/>
        <v>0</v>
      </c>
      <c r="AY4" s="135">
        <f t="shared" si="26"/>
        <v>0</v>
      </c>
      <c r="AZ4" s="135">
        <f t="shared" si="26"/>
        <v>0</v>
      </c>
      <c r="BA4" s="135">
        <f t="shared" si="26"/>
        <v>0</v>
      </c>
      <c r="BB4" s="135">
        <f t="shared" si="26"/>
        <v>0</v>
      </c>
      <c r="BC4" s="135">
        <f t="shared" si="26"/>
        <v>0</v>
      </c>
      <c r="BD4" s="135">
        <f t="shared" si="26"/>
        <v>0</v>
      </c>
      <c r="BE4" s="135">
        <f t="shared" si="26"/>
        <v>0</v>
      </c>
      <c r="BF4" s="135">
        <f t="shared" si="26"/>
        <v>0</v>
      </c>
      <c r="BG4" s="135">
        <f t="shared" si="26"/>
        <v>0</v>
      </c>
      <c r="BH4" s="135">
        <f t="shared" si="26"/>
        <v>0</v>
      </c>
      <c r="BI4" s="135">
        <f t="shared" si="26"/>
        <v>0</v>
      </c>
      <c r="BJ4" s="135">
        <f t="shared" si="26"/>
        <v>0</v>
      </c>
      <c r="BK4" s="135">
        <f t="shared" si="26"/>
        <v>0</v>
      </c>
      <c r="BL4" s="135">
        <f t="shared" si="26"/>
        <v>0</v>
      </c>
      <c r="BM4" s="135">
        <f t="shared" si="26"/>
        <v>0</v>
      </c>
      <c r="BN4" s="135">
        <f t="shared" si="26"/>
        <v>0</v>
      </c>
      <c r="BO4" s="135">
        <f t="shared" si="26"/>
        <v>0</v>
      </c>
      <c r="BP4" s="135">
        <f t="shared" si="26"/>
        <v>0</v>
      </c>
      <c r="BQ4" s="135">
        <f t="shared" si="26"/>
        <v>0</v>
      </c>
      <c r="BR4" s="135">
        <f t="shared" si="26"/>
        <v>0</v>
      </c>
      <c r="BS4" s="135">
        <f t="shared" si="26"/>
        <v>0</v>
      </c>
      <c r="BT4" s="135">
        <f t="shared" si="26"/>
        <v>0</v>
      </c>
      <c r="BU4" s="135">
        <f t="shared" si="26"/>
        <v>0</v>
      </c>
      <c r="BV4" s="135">
        <f t="shared" si="26"/>
        <v>0</v>
      </c>
      <c r="BW4" s="135">
        <f t="shared" si="2"/>
        <v>0</v>
      </c>
      <c r="BX4" s="135">
        <f t="shared" si="2"/>
        <v>0</v>
      </c>
      <c r="BY4" s="135">
        <f t="shared" si="2"/>
        <v>0</v>
      </c>
      <c r="BZ4" s="135">
        <f t="shared" si="2"/>
        <v>0</v>
      </c>
      <c r="CA4" s="135">
        <f t="shared" si="2"/>
        <v>0</v>
      </c>
      <c r="CB4" s="135">
        <f t="shared" si="2"/>
        <v>0</v>
      </c>
      <c r="CC4" s="135">
        <f t="shared" si="2"/>
        <v>0</v>
      </c>
      <c r="CD4" s="135">
        <f t="shared" si="2"/>
        <v>0</v>
      </c>
      <c r="CE4" s="135">
        <f t="shared" si="2"/>
        <v>0</v>
      </c>
      <c r="CF4" s="135">
        <f t="shared" si="2"/>
        <v>0</v>
      </c>
      <c r="CG4" s="135">
        <f t="shared" si="2"/>
        <v>0</v>
      </c>
      <c r="CH4" s="135">
        <f t="shared" si="2"/>
        <v>0</v>
      </c>
      <c r="CI4" s="135">
        <f t="shared" si="2"/>
        <v>0</v>
      </c>
      <c r="CJ4" s="135">
        <f t="shared" si="2"/>
        <v>0</v>
      </c>
      <c r="CK4" s="135">
        <f t="shared" si="2"/>
        <v>0</v>
      </c>
      <c r="CL4" s="135">
        <f t="shared" si="2"/>
        <v>0</v>
      </c>
      <c r="CM4" s="135">
        <f t="shared" si="2"/>
        <v>0</v>
      </c>
      <c r="CN4" s="135">
        <f t="shared" si="2"/>
        <v>0</v>
      </c>
      <c r="CO4" s="135">
        <f t="shared" si="2"/>
        <v>0</v>
      </c>
      <c r="CP4" s="135">
        <f t="shared" si="2"/>
        <v>0</v>
      </c>
      <c r="CQ4" s="135">
        <f t="shared" si="2"/>
        <v>0</v>
      </c>
      <c r="CR4" s="135">
        <f t="shared" si="2"/>
        <v>0</v>
      </c>
      <c r="CS4" s="135">
        <f t="shared" si="2"/>
        <v>0</v>
      </c>
      <c r="CT4" s="135">
        <f t="shared" si="2"/>
        <v>0</v>
      </c>
      <c r="CU4" s="135">
        <f t="shared" si="2"/>
        <v>0</v>
      </c>
      <c r="CV4" s="135">
        <f t="shared" si="2"/>
        <v>0</v>
      </c>
      <c r="CW4" s="135">
        <f t="shared" si="2"/>
        <v>0</v>
      </c>
      <c r="CX4" s="135">
        <f t="shared" si="2"/>
        <v>0</v>
      </c>
      <c r="CY4" s="135">
        <f t="shared" si="2"/>
        <v>0</v>
      </c>
      <c r="CZ4" s="135">
        <f t="shared" si="2"/>
        <v>0</v>
      </c>
      <c r="DA4" s="135">
        <f t="shared" si="2"/>
        <v>0</v>
      </c>
      <c r="DB4" s="135">
        <f t="shared" si="2"/>
        <v>0</v>
      </c>
      <c r="DC4" s="135">
        <f t="shared" si="2"/>
        <v>0</v>
      </c>
      <c r="DD4" s="135">
        <f t="shared" si="2"/>
        <v>0</v>
      </c>
      <c r="DE4" s="135">
        <f t="shared" si="2"/>
        <v>0</v>
      </c>
      <c r="DF4" s="135">
        <f t="shared" si="2"/>
        <v>0</v>
      </c>
      <c r="DG4" s="135">
        <f t="shared" si="2"/>
        <v>0</v>
      </c>
      <c r="DH4" s="135">
        <f t="shared" si="2"/>
        <v>0</v>
      </c>
      <c r="DI4" s="135">
        <f t="shared" si="2"/>
        <v>0</v>
      </c>
      <c r="DJ4" s="135">
        <f t="shared" si="2"/>
        <v>0</v>
      </c>
      <c r="DK4" s="135">
        <f t="shared" si="2"/>
        <v>0</v>
      </c>
      <c r="DL4" s="135">
        <f t="shared" si="2"/>
        <v>0</v>
      </c>
      <c r="DM4" s="135">
        <f t="shared" si="2"/>
        <v>0</v>
      </c>
      <c r="DN4" s="135">
        <f t="shared" si="2"/>
        <v>0</v>
      </c>
      <c r="DO4" s="135">
        <f t="shared" si="2"/>
        <v>0</v>
      </c>
      <c r="DP4" s="135">
        <f t="shared" si="2"/>
        <v>0</v>
      </c>
      <c r="DQ4" s="135">
        <f t="shared" si="2"/>
        <v>0</v>
      </c>
      <c r="DR4" s="135">
        <f t="shared" si="2"/>
        <v>0</v>
      </c>
      <c r="DS4" s="135">
        <f t="shared" si="2"/>
        <v>0</v>
      </c>
      <c r="DT4" s="135">
        <f t="shared" si="2"/>
        <v>0</v>
      </c>
      <c r="DU4" s="135">
        <f t="shared" si="2"/>
        <v>0</v>
      </c>
      <c r="DV4" s="135">
        <f t="shared" si="2"/>
        <v>0</v>
      </c>
      <c r="DW4" s="135">
        <f t="shared" si="2"/>
        <v>0</v>
      </c>
      <c r="DX4" s="135">
        <f t="shared" si="2"/>
        <v>0</v>
      </c>
      <c r="DY4" s="135">
        <f t="shared" si="2"/>
        <v>0</v>
      </c>
      <c r="DZ4" s="135">
        <f t="shared" si="2"/>
        <v>0</v>
      </c>
      <c r="EA4" s="135">
        <f t="shared" si="2"/>
        <v>0</v>
      </c>
      <c r="EB4" s="135">
        <f t="shared" si="2"/>
        <v>0</v>
      </c>
      <c r="EC4" s="135">
        <f t="shared" si="2"/>
        <v>0</v>
      </c>
      <c r="ED4" s="135">
        <f t="shared" si="2"/>
        <v>0</v>
      </c>
      <c r="EE4" s="135">
        <f t="shared" si="2"/>
        <v>0</v>
      </c>
      <c r="EF4" s="135">
        <f t="shared" si="2"/>
        <v>0</v>
      </c>
      <c r="EG4" s="135">
        <f t="shared" si="2"/>
        <v>0</v>
      </c>
      <c r="EH4" s="135">
        <f t="shared" si="2"/>
        <v>0</v>
      </c>
      <c r="EI4" s="135">
        <f t="shared" si="3"/>
        <v>0</v>
      </c>
      <c r="EJ4" s="135">
        <f t="shared" si="3"/>
        <v>0</v>
      </c>
      <c r="EK4" s="135">
        <f t="shared" si="3"/>
        <v>0</v>
      </c>
      <c r="EL4" s="135">
        <f t="shared" si="3"/>
        <v>0</v>
      </c>
      <c r="EM4" s="135">
        <f t="shared" si="3"/>
        <v>0</v>
      </c>
      <c r="EN4" s="135">
        <f t="shared" si="3"/>
        <v>0</v>
      </c>
      <c r="EO4" s="135">
        <f t="shared" si="3"/>
        <v>0</v>
      </c>
      <c r="EP4" s="135">
        <f t="shared" si="3"/>
        <v>0</v>
      </c>
      <c r="EQ4" s="135">
        <f t="shared" si="3"/>
        <v>0</v>
      </c>
      <c r="ER4" s="135">
        <f t="shared" si="3"/>
        <v>0</v>
      </c>
      <c r="ES4" s="135">
        <f t="shared" si="4"/>
        <v>0</v>
      </c>
      <c r="ET4" s="135">
        <f t="shared" si="4"/>
        <v>0</v>
      </c>
      <c r="EU4" s="135">
        <f t="shared" si="4"/>
        <v>0</v>
      </c>
      <c r="EV4" s="135">
        <f t="shared" si="4"/>
        <v>0</v>
      </c>
      <c r="EW4" s="135">
        <f t="shared" si="4"/>
        <v>0</v>
      </c>
      <c r="EX4" s="135">
        <f t="shared" si="4"/>
        <v>0</v>
      </c>
      <c r="EY4" s="135">
        <f t="shared" si="4"/>
        <v>0</v>
      </c>
      <c r="EZ4" s="135">
        <f t="shared" si="4"/>
        <v>0</v>
      </c>
      <c r="FA4" s="135">
        <f t="shared" si="4"/>
        <v>0</v>
      </c>
      <c r="FB4" s="135">
        <f t="shared" si="4"/>
        <v>0</v>
      </c>
      <c r="FC4" s="135">
        <f t="shared" si="5"/>
        <v>0</v>
      </c>
      <c r="FD4" s="135">
        <f t="shared" si="5"/>
        <v>0</v>
      </c>
      <c r="FE4" s="135">
        <f t="shared" si="5"/>
        <v>0</v>
      </c>
      <c r="FF4" s="135">
        <f t="shared" si="5"/>
        <v>0</v>
      </c>
      <c r="FG4" s="135">
        <f t="shared" si="5"/>
        <v>0</v>
      </c>
      <c r="FH4" s="135">
        <f t="shared" si="5"/>
        <v>0</v>
      </c>
      <c r="FI4" s="135">
        <f t="shared" si="5"/>
        <v>0</v>
      </c>
      <c r="FJ4" s="135">
        <f t="shared" si="5"/>
        <v>0</v>
      </c>
      <c r="FK4" s="135">
        <f t="shared" si="5"/>
        <v>0</v>
      </c>
      <c r="FL4" s="135">
        <f t="shared" si="5"/>
        <v>0</v>
      </c>
      <c r="FM4" s="135">
        <f t="shared" si="6"/>
        <v>0</v>
      </c>
      <c r="FN4" s="135">
        <f t="shared" si="6"/>
        <v>0</v>
      </c>
      <c r="FO4" s="135">
        <f t="shared" si="6"/>
        <v>0</v>
      </c>
      <c r="FP4" s="135">
        <f t="shared" si="6"/>
        <v>0</v>
      </c>
      <c r="FQ4" s="135">
        <f t="shared" si="6"/>
        <v>0</v>
      </c>
      <c r="FR4" s="135">
        <f t="shared" si="6"/>
        <v>0</v>
      </c>
      <c r="FS4" s="135">
        <f t="shared" si="6"/>
        <v>0</v>
      </c>
      <c r="FT4" s="135">
        <f t="shared" si="6"/>
        <v>0</v>
      </c>
      <c r="FU4" s="135">
        <f t="shared" si="6"/>
        <v>0</v>
      </c>
      <c r="FV4" s="135">
        <f t="shared" si="6"/>
        <v>0</v>
      </c>
      <c r="FW4" s="135">
        <f t="shared" si="7"/>
        <v>0</v>
      </c>
      <c r="FX4" s="135">
        <f t="shared" si="7"/>
        <v>0</v>
      </c>
      <c r="FY4" s="135">
        <f t="shared" si="7"/>
        <v>0</v>
      </c>
      <c r="FZ4" s="135">
        <f t="shared" si="7"/>
        <v>0</v>
      </c>
      <c r="GA4" s="135">
        <f t="shared" si="7"/>
        <v>0</v>
      </c>
      <c r="GB4" s="135">
        <f t="shared" si="7"/>
        <v>0</v>
      </c>
      <c r="GC4" s="135">
        <f t="shared" si="7"/>
        <v>0</v>
      </c>
      <c r="GD4" s="135">
        <f t="shared" si="7"/>
        <v>0</v>
      </c>
      <c r="GE4" s="135">
        <f t="shared" si="7"/>
        <v>0</v>
      </c>
      <c r="GF4" s="135">
        <f t="shared" si="7"/>
        <v>0</v>
      </c>
      <c r="GG4" s="135">
        <f t="shared" si="8"/>
        <v>0</v>
      </c>
      <c r="GH4" s="135">
        <f t="shared" si="8"/>
        <v>0</v>
      </c>
      <c r="GI4" s="135">
        <f t="shared" si="8"/>
        <v>0</v>
      </c>
      <c r="GJ4" s="135">
        <f t="shared" si="8"/>
        <v>0</v>
      </c>
      <c r="GK4" s="135">
        <f t="shared" si="8"/>
        <v>0</v>
      </c>
      <c r="GL4" s="135">
        <f t="shared" si="8"/>
        <v>0</v>
      </c>
      <c r="GM4" s="135">
        <f t="shared" si="8"/>
        <v>0</v>
      </c>
      <c r="GN4" s="135">
        <f t="shared" si="8"/>
        <v>0</v>
      </c>
      <c r="GO4" s="135">
        <f t="shared" si="8"/>
        <v>0</v>
      </c>
      <c r="GP4" s="135">
        <f t="shared" si="8"/>
        <v>0</v>
      </c>
      <c r="GQ4" s="135">
        <f t="shared" si="8"/>
        <v>0</v>
      </c>
      <c r="GR4" s="135">
        <f t="shared" si="8"/>
        <v>0</v>
      </c>
      <c r="GS4" s="135">
        <f t="shared" si="8"/>
        <v>0</v>
      </c>
      <c r="GT4" s="135">
        <f t="shared" si="8"/>
        <v>0</v>
      </c>
      <c r="GU4" s="135">
        <f t="shared" si="9"/>
        <v>0</v>
      </c>
      <c r="GV4" s="135">
        <f t="shared" si="9"/>
        <v>0</v>
      </c>
      <c r="GW4" s="135">
        <f t="shared" si="9"/>
        <v>0</v>
      </c>
      <c r="GX4" s="135">
        <f t="shared" si="9"/>
        <v>0</v>
      </c>
      <c r="GY4" s="135">
        <f t="shared" si="9"/>
        <v>0</v>
      </c>
      <c r="GZ4" s="135">
        <f t="shared" si="9"/>
        <v>0</v>
      </c>
      <c r="HA4" s="135">
        <f t="shared" si="9"/>
        <v>0</v>
      </c>
      <c r="HB4" s="135">
        <f t="shared" si="9"/>
        <v>0</v>
      </c>
      <c r="HC4" s="135">
        <f t="shared" si="9"/>
        <v>0</v>
      </c>
      <c r="HD4" s="135">
        <f t="shared" si="9"/>
        <v>0</v>
      </c>
      <c r="HE4" s="135">
        <f t="shared" si="9"/>
        <v>0</v>
      </c>
      <c r="HF4" s="135">
        <f t="shared" si="9"/>
        <v>0</v>
      </c>
      <c r="HG4" s="135">
        <f t="shared" si="9"/>
        <v>0</v>
      </c>
      <c r="HH4" s="135">
        <f t="shared" si="9"/>
        <v>0</v>
      </c>
      <c r="HI4" s="135">
        <f t="shared" si="9"/>
        <v>0</v>
      </c>
      <c r="HJ4" s="135">
        <f t="shared" si="9"/>
        <v>0</v>
      </c>
      <c r="HK4" s="135">
        <f t="shared" si="9"/>
        <v>0</v>
      </c>
      <c r="HL4" s="135">
        <f t="shared" si="9"/>
        <v>0</v>
      </c>
      <c r="HM4" s="135">
        <f t="shared" si="9"/>
        <v>0</v>
      </c>
      <c r="HN4" s="135">
        <f t="shared" si="9"/>
        <v>0</v>
      </c>
      <c r="HO4" s="135">
        <f t="shared" si="9"/>
        <v>0</v>
      </c>
      <c r="HP4" s="135">
        <f t="shared" si="9"/>
        <v>0</v>
      </c>
      <c r="HQ4" s="135">
        <f t="shared" si="9"/>
        <v>0</v>
      </c>
      <c r="HR4" s="135">
        <f t="shared" si="9"/>
        <v>0</v>
      </c>
      <c r="HS4" s="135">
        <f t="shared" si="9"/>
        <v>0</v>
      </c>
      <c r="HT4" s="135">
        <f t="shared" si="9"/>
        <v>0</v>
      </c>
      <c r="HU4" s="135">
        <f t="shared" si="9"/>
        <v>0</v>
      </c>
      <c r="HV4" s="135">
        <f t="shared" si="9"/>
        <v>0</v>
      </c>
      <c r="HW4" s="135">
        <f t="shared" si="9"/>
        <v>0</v>
      </c>
      <c r="HX4" s="135">
        <f t="shared" si="9"/>
        <v>0</v>
      </c>
      <c r="HY4" s="135">
        <f t="shared" si="9"/>
        <v>0</v>
      </c>
      <c r="HZ4" s="135">
        <f t="shared" si="9"/>
        <v>0</v>
      </c>
      <c r="IA4" s="135">
        <f t="shared" si="9"/>
        <v>0</v>
      </c>
      <c r="IB4" s="135">
        <f t="shared" si="9"/>
        <v>0</v>
      </c>
      <c r="IC4" s="135">
        <f t="shared" si="9"/>
        <v>0</v>
      </c>
      <c r="ID4" s="135">
        <f t="shared" si="9"/>
        <v>0</v>
      </c>
      <c r="IE4" s="135">
        <f t="shared" si="9"/>
        <v>0</v>
      </c>
      <c r="IF4" s="135">
        <f t="shared" si="9"/>
        <v>0</v>
      </c>
      <c r="IG4" s="135">
        <f t="shared" si="9"/>
        <v>0</v>
      </c>
      <c r="IH4" s="135">
        <f t="shared" si="9"/>
        <v>0</v>
      </c>
      <c r="II4" s="135">
        <f t="shared" si="9"/>
        <v>0</v>
      </c>
      <c r="IJ4" s="135">
        <f t="shared" si="9"/>
        <v>0</v>
      </c>
      <c r="IK4" s="135">
        <f t="shared" si="9"/>
        <v>0</v>
      </c>
      <c r="IL4" s="135">
        <f t="shared" si="9"/>
        <v>0</v>
      </c>
      <c r="IM4" s="135">
        <f t="shared" si="9"/>
        <v>0</v>
      </c>
      <c r="IN4" s="135">
        <f t="shared" si="9"/>
        <v>0</v>
      </c>
      <c r="IO4" s="135">
        <f t="shared" si="9"/>
        <v>0</v>
      </c>
      <c r="IP4" s="135">
        <f t="shared" si="9"/>
        <v>0</v>
      </c>
      <c r="IQ4" s="135">
        <f t="shared" si="9"/>
        <v>0</v>
      </c>
      <c r="IR4" s="135">
        <f t="shared" si="9"/>
        <v>0</v>
      </c>
      <c r="IS4" s="135">
        <f t="shared" si="9"/>
        <v>0</v>
      </c>
      <c r="IT4" s="135">
        <f t="shared" si="9"/>
        <v>0</v>
      </c>
      <c r="IU4" s="135">
        <f t="shared" si="9"/>
        <v>0</v>
      </c>
      <c r="IV4" s="135">
        <f t="shared" si="9"/>
        <v>0</v>
      </c>
      <c r="IW4" s="135">
        <f t="shared" si="9"/>
        <v>0</v>
      </c>
      <c r="IX4" s="135">
        <f t="shared" si="9"/>
        <v>0</v>
      </c>
      <c r="IY4" s="135">
        <f t="shared" si="9"/>
        <v>0</v>
      </c>
      <c r="IZ4" s="135">
        <f t="shared" si="9"/>
        <v>0</v>
      </c>
      <c r="JA4" s="135">
        <f t="shared" si="9"/>
        <v>0</v>
      </c>
      <c r="JB4" s="135">
        <f t="shared" si="9"/>
        <v>0</v>
      </c>
      <c r="JC4" s="135">
        <f t="shared" si="9"/>
        <v>0</v>
      </c>
      <c r="JD4" s="135">
        <f t="shared" si="9"/>
        <v>0</v>
      </c>
      <c r="JE4" s="135">
        <f t="shared" si="9"/>
        <v>0</v>
      </c>
      <c r="JF4" s="135">
        <f t="shared" si="9"/>
        <v>0</v>
      </c>
      <c r="JG4" s="135">
        <f t="shared" si="10"/>
        <v>0</v>
      </c>
      <c r="JH4" s="135">
        <f t="shared" si="10"/>
        <v>0</v>
      </c>
      <c r="JI4" s="135">
        <f t="shared" si="10"/>
        <v>0</v>
      </c>
      <c r="JJ4" s="135">
        <f t="shared" si="10"/>
        <v>0</v>
      </c>
      <c r="JK4" s="135">
        <f t="shared" si="10"/>
        <v>0</v>
      </c>
      <c r="JL4" s="135">
        <f t="shared" si="10"/>
        <v>0</v>
      </c>
      <c r="JM4" s="135">
        <f t="shared" si="10"/>
        <v>0</v>
      </c>
      <c r="JN4" s="135">
        <f t="shared" si="10"/>
        <v>0</v>
      </c>
      <c r="JO4" s="135">
        <f t="shared" si="10"/>
        <v>0</v>
      </c>
      <c r="JP4" s="135">
        <f t="shared" si="10"/>
        <v>0</v>
      </c>
      <c r="JQ4" s="135">
        <f t="shared" si="11"/>
        <v>0</v>
      </c>
      <c r="JR4" s="135">
        <f t="shared" si="11"/>
        <v>0</v>
      </c>
      <c r="JS4" s="135">
        <f t="shared" si="11"/>
        <v>0</v>
      </c>
      <c r="JT4" s="135">
        <f t="shared" si="11"/>
        <v>0</v>
      </c>
      <c r="JU4" s="135">
        <f t="shared" si="11"/>
        <v>0</v>
      </c>
      <c r="JV4" s="135">
        <f t="shared" si="11"/>
        <v>0</v>
      </c>
      <c r="JW4" s="135">
        <f t="shared" si="11"/>
        <v>0</v>
      </c>
      <c r="JX4" s="135">
        <f t="shared" si="11"/>
        <v>0</v>
      </c>
      <c r="JY4" s="135">
        <f t="shared" si="11"/>
        <v>0</v>
      </c>
      <c r="JZ4" s="135">
        <f t="shared" si="11"/>
        <v>0</v>
      </c>
      <c r="KA4" s="135">
        <f t="shared" si="12"/>
        <v>0</v>
      </c>
      <c r="KB4" s="135">
        <f t="shared" si="12"/>
        <v>0</v>
      </c>
      <c r="KC4" s="135">
        <f t="shared" si="12"/>
        <v>0</v>
      </c>
      <c r="KD4" s="135">
        <f t="shared" si="12"/>
        <v>0</v>
      </c>
      <c r="KE4" s="135">
        <f t="shared" si="12"/>
        <v>0</v>
      </c>
      <c r="KF4" s="135">
        <f t="shared" si="12"/>
        <v>0</v>
      </c>
      <c r="KG4" s="135">
        <f t="shared" si="12"/>
        <v>0</v>
      </c>
      <c r="KH4" s="135">
        <f t="shared" si="12"/>
        <v>0</v>
      </c>
      <c r="KI4" s="135">
        <f t="shared" si="12"/>
        <v>0</v>
      </c>
      <c r="KJ4" s="135">
        <f t="shared" si="12"/>
        <v>0</v>
      </c>
      <c r="KK4" s="135">
        <f t="shared" si="13"/>
        <v>0</v>
      </c>
      <c r="KL4" s="135">
        <f t="shared" si="13"/>
        <v>0</v>
      </c>
      <c r="KM4" s="135">
        <f t="shared" si="13"/>
        <v>0</v>
      </c>
      <c r="KN4" s="135">
        <f t="shared" si="13"/>
        <v>0</v>
      </c>
      <c r="KO4" s="135">
        <f t="shared" si="13"/>
        <v>0</v>
      </c>
      <c r="KP4" s="135">
        <f t="shared" si="13"/>
        <v>0</v>
      </c>
      <c r="KQ4" s="135">
        <f t="shared" si="13"/>
        <v>0</v>
      </c>
      <c r="KR4" s="135">
        <f t="shared" si="13"/>
        <v>0</v>
      </c>
      <c r="KS4" s="135">
        <f t="shared" si="13"/>
        <v>0</v>
      </c>
      <c r="KT4" s="135">
        <f t="shared" si="13"/>
        <v>0</v>
      </c>
      <c r="KU4" s="135">
        <f t="shared" si="14"/>
        <v>0</v>
      </c>
      <c r="KV4" s="135">
        <f t="shared" si="14"/>
        <v>0</v>
      </c>
      <c r="KW4" s="135">
        <f t="shared" si="14"/>
        <v>0</v>
      </c>
      <c r="KX4" s="135">
        <f t="shared" si="14"/>
        <v>0</v>
      </c>
      <c r="KY4" s="135">
        <f t="shared" si="14"/>
        <v>0</v>
      </c>
      <c r="KZ4" s="135">
        <f t="shared" si="14"/>
        <v>0</v>
      </c>
      <c r="LA4" s="135">
        <f t="shared" si="14"/>
        <v>0</v>
      </c>
      <c r="LB4" s="135">
        <f t="shared" si="14"/>
        <v>0</v>
      </c>
      <c r="LC4" s="135">
        <f t="shared" si="14"/>
        <v>0</v>
      </c>
      <c r="LD4" s="135">
        <f t="shared" si="14"/>
        <v>0</v>
      </c>
      <c r="LE4" s="135">
        <f t="shared" si="15"/>
        <v>0</v>
      </c>
      <c r="LF4" s="135">
        <f t="shared" si="15"/>
        <v>0</v>
      </c>
      <c r="LG4" s="135">
        <f t="shared" si="15"/>
        <v>0</v>
      </c>
      <c r="LH4" s="135">
        <f t="shared" si="15"/>
        <v>0</v>
      </c>
      <c r="LI4" s="135">
        <f t="shared" si="15"/>
        <v>0</v>
      </c>
      <c r="LJ4" s="135">
        <f t="shared" si="15"/>
        <v>0</v>
      </c>
      <c r="LK4" s="135">
        <f t="shared" si="15"/>
        <v>0</v>
      </c>
      <c r="LL4" s="135">
        <f t="shared" si="15"/>
        <v>0</v>
      </c>
      <c r="LM4" s="135">
        <f t="shared" si="15"/>
        <v>0</v>
      </c>
      <c r="LN4" s="135">
        <f t="shared" si="15"/>
        <v>0</v>
      </c>
      <c r="LO4" s="135">
        <f t="shared" si="15"/>
        <v>0</v>
      </c>
      <c r="LP4" s="135">
        <f t="shared" si="15"/>
        <v>0</v>
      </c>
      <c r="LQ4" s="135">
        <f t="shared" si="15"/>
        <v>0</v>
      </c>
      <c r="LR4" s="135">
        <f t="shared" si="15"/>
        <v>0</v>
      </c>
      <c r="LS4" s="135">
        <f t="shared" si="16"/>
        <v>0</v>
      </c>
      <c r="LT4" s="135">
        <f t="shared" si="16"/>
        <v>0</v>
      </c>
      <c r="LU4" s="135">
        <f t="shared" si="16"/>
        <v>0</v>
      </c>
      <c r="LV4" s="135">
        <f t="shared" si="16"/>
        <v>0</v>
      </c>
      <c r="LW4" s="135">
        <f t="shared" si="16"/>
        <v>0</v>
      </c>
      <c r="LX4" s="135">
        <f t="shared" si="16"/>
        <v>0</v>
      </c>
      <c r="LY4" s="135">
        <f t="shared" si="16"/>
        <v>0</v>
      </c>
      <c r="LZ4" s="135">
        <f t="shared" si="16"/>
        <v>0</v>
      </c>
      <c r="MA4" s="135">
        <f t="shared" si="16"/>
        <v>0</v>
      </c>
      <c r="MB4" s="135">
        <f t="shared" si="16"/>
        <v>0</v>
      </c>
      <c r="MC4" s="135">
        <f t="shared" si="16"/>
        <v>0</v>
      </c>
      <c r="MD4" s="135">
        <f t="shared" si="16"/>
        <v>0</v>
      </c>
      <c r="ME4" s="135">
        <f t="shared" si="16"/>
        <v>0</v>
      </c>
      <c r="MF4" s="135">
        <f t="shared" si="16"/>
        <v>0</v>
      </c>
      <c r="MG4" s="135">
        <f t="shared" si="16"/>
        <v>0</v>
      </c>
      <c r="MH4" s="135">
        <f t="shared" si="16"/>
        <v>0</v>
      </c>
      <c r="MI4" s="135">
        <f t="shared" si="16"/>
        <v>0</v>
      </c>
      <c r="MJ4" s="135">
        <f t="shared" si="16"/>
        <v>0</v>
      </c>
      <c r="MK4" s="135">
        <f t="shared" si="16"/>
        <v>0</v>
      </c>
      <c r="ML4" s="135">
        <f t="shared" si="16"/>
        <v>0</v>
      </c>
      <c r="MM4" s="135">
        <f t="shared" si="16"/>
        <v>0</v>
      </c>
      <c r="MN4" s="135">
        <f t="shared" si="16"/>
        <v>0</v>
      </c>
      <c r="MO4" s="135">
        <f t="shared" si="16"/>
        <v>0</v>
      </c>
      <c r="MP4" s="135">
        <f t="shared" si="16"/>
        <v>0</v>
      </c>
      <c r="MQ4" s="135">
        <f t="shared" si="16"/>
        <v>0</v>
      </c>
      <c r="MR4" s="135">
        <f t="shared" si="16"/>
        <v>0</v>
      </c>
      <c r="MS4" s="135">
        <f t="shared" si="16"/>
        <v>0</v>
      </c>
      <c r="MT4" s="135">
        <f t="shared" si="16"/>
        <v>0</v>
      </c>
      <c r="MU4" s="135">
        <f t="shared" si="16"/>
        <v>0</v>
      </c>
      <c r="MV4" s="135">
        <f t="shared" si="16"/>
        <v>0</v>
      </c>
      <c r="MW4" s="135">
        <f t="shared" si="16"/>
        <v>0</v>
      </c>
      <c r="MX4" s="135">
        <f t="shared" si="16"/>
        <v>0</v>
      </c>
      <c r="MY4" s="135">
        <f t="shared" si="16"/>
        <v>0</v>
      </c>
      <c r="MZ4" s="135">
        <f t="shared" si="16"/>
        <v>0</v>
      </c>
      <c r="NA4" s="135">
        <f t="shared" si="16"/>
        <v>0</v>
      </c>
      <c r="NB4" s="135">
        <f t="shared" si="16"/>
        <v>0</v>
      </c>
      <c r="NC4" s="135">
        <f t="shared" si="16"/>
        <v>0</v>
      </c>
      <c r="ND4" s="135">
        <f t="shared" si="16"/>
        <v>0</v>
      </c>
      <c r="NE4" s="135">
        <f t="shared" si="16"/>
        <v>0</v>
      </c>
      <c r="NF4" s="135">
        <f t="shared" si="16"/>
        <v>0</v>
      </c>
      <c r="NG4" s="135">
        <f t="shared" si="16"/>
        <v>0</v>
      </c>
      <c r="NH4" s="135">
        <f t="shared" si="16"/>
        <v>0</v>
      </c>
      <c r="NI4" s="135">
        <f t="shared" si="16"/>
        <v>0</v>
      </c>
      <c r="NJ4" s="135">
        <f t="shared" si="16"/>
        <v>0</v>
      </c>
      <c r="NK4" s="135">
        <f t="shared" si="16"/>
        <v>0</v>
      </c>
      <c r="NL4" s="135">
        <f t="shared" si="16"/>
        <v>0</v>
      </c>
      <c r="NM4" s="135">
        <f t="shared" si="16"/>
        <v>0</v>
      </c>
      <c r="NN4" s="135">
        <f t="shared" si="16"/>
        <v>0</v>
      </c>
      <c r="NO4" s="135">
        <f t="shared" si="16"/>
        <v>0</v>
      </c>
      <c r="NP4" s="135">
        <f t="shared" si="16"/>
        <v>0</v>
      </c>
      <c r="NQ4" s="135">
        <f t="shared" si="16"/>
        <v>0</v>
      </c>
      <c r="NR4" s="135">
        <f t="shared" si="16"/>
        <v>0</v>
      </c>
      <c r="NS4" s="135">
        <f t="shared" si="16"/>
        <v>0</v>
      </c>
      <c r="NT4" s="135">
        <f t="shared" si="16"/>
        <v>0</v>
      </c>
      <c r="NU4" s="135">
        <f t="shared" si="16"/>
        <v>0</v>
      </c>
      <c r="NV4" s="135">
        <f t="shared" si="16"/>
        <v>0</v>
      </c>
      <c r="NW4" s="135">
        <f t="shared" si="16"/>
        <v>0</v>
      </c>
      <c r="NX4" s="135">
        <f t="shared" si="16"/>
        <v>0</v>
      </c>
      <c r="NY4" s="135">
        <f t="shared" si="16"/>
        <v>0</v>
      </c>
      <c r="NZ4" s="135">
        <f t="shared" si="16"/>
        <v>0</v>
      </c>
      <c r="OA4" s="135">
        <f t="shared" si="16"/>
        <v>0</v>
      </c>
      <c r="OB4" s="135">
        <f t="shared" si="16"/>
        <v>0</v>
      </c>
      <c r="OC4" s="135">
        <f t="shared" si="16"/>
        <v>0</v>
      </c>
      <c r="OD4" s="135">
        <f t="shared" si="16"/>
        <v>0</v>
      </c>
      <c r="OE4" s="135">
        <f t="shared" si="17"/>
        <v>0</v>
      </c>
      <c r="OF4" s="135">
        <f t="shared" si="17"/>
        <v>0</v>
      </c>
      <c r="OG4" s="135">
        <f t="shared" si="17"/>
        <v>0</v>
      </c>
      <c r="OH4" s="135">
        <f t="shared" si="17"/>
        <v>0</v>
      </c>
      <c r="OI4" s="135">
        <f t="shared" si="17"/>
        <v>0</v>
      </c>
      <c r="OJ4" s="135">
        <f t="shared" si="17"/>
        <v>0</v>
      </c>
      <c r="OK4" s="135">
        <f t="shared" si="17"/>
        <v>0</v>
      </c>
      <c r="OL4" s="135">
        <f t="shared" si="17"/>
        <v>0</v>
      </c>
      <c r="OM4" s="135">
        <f t="shared" si="17"/>
        <v>0</v>
      </c>
      <c r="ON4" s="135">
        <f t="shared" si="17"/>
        <v>0</v>
      </c>
      <c r="OO4" s="135">
        <f t="shared" si="18"/>
        <v>0</v>
      </c>
      <c r="OP4" s="135">
        <f t="shared" si="18"/>
        <v>0</v>
      </c>
      <c r="OQ4" s="135">
        <f t="shared" si="18"/>
        <v>0</v>
      </c>
      <c r="OR4" s="135">
        <f t="shared" si="18"/>
        <v>0</v>
      </c>
      <c r="OS4" s="135">
        <f t="shared" si="18"/>
        <v>0</v>
      </c>
      <c r="OT4" s="135">
        <f t="shared" si="18"/>
        <v>0</v>
      </c>
      <c r="OU4" s="135">
        <f t="shared" si="18"/>
        <v>0</v>
      </c>
      <c r="OV4" s="135">
        <f t="shared" si="18"/>
        <v>0</v>
      </c>
      <c r="OW4" s="135">
        <f t="shared" si="18"/>
        <v>0</v>
      </c>
      <c r="OX4" s="135">
        <f t="shared" si="18"/>
        <v>0</v>
      </c>
      <c r="OY4" s="135">
        <f t="shared" si="19"/>
        <v>0</v>
      </c>
      <c r="OZ4" s="135">
        <f t="shared" si="19"/>
        <v>0</v>
      </c>
      <c r="PA4" s="135">
        <f t="shared" si="19"/>
        <v>0</v>
      </c>
      <c r="PB4" s="135">
        <f t="shared" si="19"/>
        <v>0</v>
      </c>
      <c r="PC4" s="135">
        <f t="shared" si="19"/>
        <v>0</v>
      </c>
      <c r="PD4" s="135">
        <f t="shared" si="19"/>
        <v>0</v>
      </c>
      <c r="PE4" s="135">
        <f t="shared" si="19"/>
        <v>0</v>
      </c>
      <c r="PF4" s="135">
        <f t="shared" si="19"/>
        <v>0</v>
      </c>
      <c r="PG4" s="135">
        <f t="shared" si="19"/>
        <v>0</v>
      </c>
      <c r="PH4" s="135">
        <f t="shared" si="19"/>
        <v>0</v>
      </c>
      <c r="PI4" s="135">
        <f t="shared" si="20"/>
        <v>0</v>
      </c>
      <c r="PJ4" s="135">
        <f t="shared" si="20"/>
        <v>0</v>
      </c>
      <c r="PK4" s="135">
        <f t="shared" si="20"/>
        <v>0</v>
      </c>
      <c r="PL4" s="135">
        <f t="shared" si="20"/>
        <v>0</v>
      </c>
      <c r="PM4" s="135">
        <f t="shared" si="20"/>
        <v>0</v>
      </c>
      <c r="PN4" s="135">
        <f t="shared" si="20"/>
        <v>0</v>
      </c>
      <c r="PO4" s="135">
        <f t="shared" si="20"/>
        <v>0</v>
      </c>
      <c r="PP4" s="135">
        <f t="shared" si="20"/>
        <v>0</v>
      </c>
      <c r="PQ4" s="135">
        <f t="shared" si="20"/>
        <v>0</v>
      </c>
      <c r="PR4" s="135">
        <f t="shared" si="20"/>
        <v>0</v>
      </c>
      <c r="PS4" s="135">
        <f t="shared" si="21"/>
        <v>0</v>
      </c>
      <c r="PT4" s="135">
        <f t="shared" si="21"/>
        <v>0</v>
      </c>
      <c r="PU4" s="135">
        <f t="shared" si="21"/>
        <v>0</v>
      </c>
      <c r="PV4" s="135">
        <f t="shared" si="21"/>
        <v>0</v>
      </c>
      <c r="PW4" s="135">
        <f t="shared" si="21"/>
        <v>0</v>
      </c>
      <c r="PX4" s="135">
        <f t="shared" si="21"/>
        <v>0</v>
      </c>
      <c r="PY4" s="135">
        <f t="shared" si="21"/>
        <v>0</v>
      </c>
      <c r="PZ4" s="135">
        <f t="shared" si="21"/>
        <v>0</v>
      </c>
      <c r="QA4" s="135">
        <f t="shared" si="21"/>
        <v>0</v>
      </c>
      <c r="QB4" s="135">
        <f t="shared" si="21"/>
        <v>0</v>
      </c>
      <c r="QC4" s="135">
        <f t="shared" si="22"/>
        <v>0</v>
      </c>
      <c r="QD4" s="135">
        <f t="shared" si="22"/>
        <v>0</v>
      </c>
      <c r="QE4" s="135">
        <f t="shared" si="22"/>
        <v>0</v>
      </c>
      <c r="QF4" s="135">
        <f t="shared" si="22"/>
        <v>0</v>
      </c>
      <c r="QG4" s="135">
        <f t="shared" si="22"/>
        <v>0</v>
      </c>
      <c r="QH4" s="135">
        <f t="shared" si="22"/>
        <v>0</v>
      </c>
      <c r="QI4" s="135">
        <f t="shared" si="22"/>
        <v>0</v>
      </c>
      <c r="QJ4" s="135">
        <f t="shared" si="22"/>
        <v>0</v>
      </c>
      <c r="QK4" s="135">
        <f t="shared" si="22"/>
        <v>0</v>
      </c>
      <c r="QL4" s="135">
        <f t="shared" si="22"/>
        <v>0</v>
      </c>
      <c r="QM4" s="135">
        <f t="shared" si="22"/>
        <v>0</v>
      </c>
      <c r="QN4" s="135">
        <f t="shared" si="22"/>
        <v>0</v>
      </c>
      <c r="QO4" s="135">
        <f t="shared" si="22"/>
        <v>0</v>
      </c>
      <c r="QP4" s="135">
        <f t="shared" si="22"/>
        <v>0</v>
      </c>
      <c r="QQ4" s="135">
        <f t="shared" si="23"/>
        <v>0</v>
      </c>
      <c r="QR4" s="135">
        <f t="shared" si="23"/>
        <v>0</v>
      </c>
      <c r="QS4" s="135">
        <f t="shared" si="23"/>
        <v>0</v>
      </c>
      <c r="QT4" s="135">
        <f t="shared" si="23"/>
        <v>0</v>
      </c>
      <c r="QU4" s="135">
        <f t="shared" si="23"/>
        <v>0</v>
      </c>
      <c r="QV4" s="135">
        <f t="shared" si="23"/>
        <v>0</v>
      </c>
      <c r="QW4" s="135">
        <f t="shared" si="23"/>
        <v>0</v>
      </c>
      <c r="QX4" s="135">
        <f t="shared" si="23"/>
        <v>0</v>
      </c>
      <c r="QY4" s="135">
        <f t="shared" si="23"/>
        <v>0</v>
      </c>
      <c r="QZ4" s="135">
        <f t="shared" si="23"/>
        <v>0</v>
      </c>
      <c r="RA4" s="135">
        <f t="shared" si="23"/>
        <v>0</v>
      </c>
      <c r="RB4" s="135">
        <f t="shared" si="23"/>
        <v>0</v>
      </c>
      <c r="RC4" s="135">
        <f t="shared" si="23"/>
        <v>0</v>
      </c>
      <c r="RD4" s="135">
        <f t="shared" si="23"/>
        <v>0</v>
      </c>
      <c r="RE4" s="135">
        <f t="shared" si="23"/>
        <v>0</v>
      </c>
      <c r="RF4" s="135">
        <f t="shared" si="23"/>
        <v>0</v>
      </c>
      <c r="RG4" s="135">
        <f t="shared" si="23"/>
        <v>0</v>
      </c>
      <c r="RH4" s="135">
        <f t="shared" si="23"/>
        <v>0</v>
      </c>
      <c r="RI4" s="135">
        <f t="shared" si="23"/>
        <v>0</v>
      </c>
      <c r="RJ4" s="135">
        <f t="shared" si="23"/>
        <v>0</v>
      </c>
      <c r="RK4" s="135">
        <f t="shared" si="23"/>
        <v>0</v>
      </c>
      <c r="RL4" s="135">
        <f t="shared" si="23"/>
        <v>0</v>
      </c>
      <c r="RM4" s="135">
        <f t="shared" si="23"/>
        <v>0</v>
      </c>
      <c r="RN4" s="135">
        <f t="shared" si="23"/>
        <v>0</v>
      </c>
      <c r="RO4" s="135">
        <f t="shared" si="23"/>
        <v>0</v>
      </c>
      <c r="RP4" s="135">
        <f t="shared" si="23"/>
        <v>0</v>
      </c>
      <c r="RQ4" s="135">
        <f t="shared" si="23"/>
        <v>0</v>
      </c>
      <c r="RR4" s="135">
        <f t="shared" si="23"/>
        <v>0</v>
      </c>
      <c r="RS4" s="135">
        <f t="shared" si="23"/>
        <v>0</v>
      </c>
      <c r="RT4" s="135">
        <f t="shared" si="23"/>
        <v>0</v>
      </c>
      <c r="RU4" s="135">
        <f t="shared" si="23"/>
        <v>0</v>
      </c>
      <c r="RV4" s="135">
        <f t="shared" si="23"/>
        <v>0</v>
      </c>
      <c r="RW4" s="135">
        <f t="shared" si="23"/>
        <v>0</v>
      </c>
      <c r="RX4" s="135">
        <f t="shared" si="23"/>
        <v>0</v>
      </c>
      <c r="RY4" s="135">
        <f t="shared" si="23"/>
        <v>0</v>
      </c>
      <c r="RZ4" s="135">
        <f t="shared" si="23"/>
        <v>0</v>
      </c>
      <c r="SA4" s="135">
        <f t="shared" si="23"/>
        <v>0</v>
      </c>
      <c r="SB4" s="135">
        <f t="shared" si="23"/>
        <v>0</v>
      </c>
      <c r="SC4" s="135">
        <f t="shared" si="23"/>
        <v>0</v>
      </c>
      <c r="SD4" s="135">
        <f t="shared" si="23"/>
        <v>0</v>
      </c>
      <c r="SE4" s="135">
        <f t="shared" si="23"/>
        <v>0</v>
      </c>
      <c r="SF4" s="135">
        <f t="shared" si="23"/>
        <v>0</v>
      </c>
      <c r="SG4" s="135">
        <f t="shared" si="23"/>
        <v>0</v>
      </c>
      <c r="SH4" s="135">
        <f t="shared" si="23"/>
        <v>0</v>
      </c>
      <c r="SI4" s="135">
        <f t="shared" si="23"/>
        <v>0</v>
      </c>
      <c r="SJ4" s="135">
        <f t="shared" si="23"/>
        <v>0</v>
      </c>
      <c r="SK4" s="135">
        <f t="shared" si="23"/>
        <v>0</v>
      </c>
      <c r="SL4" s="135">
        <f t="shared" si="23"/>
        <v>0</v>
      </c>
      <c r="SM4" s="135">
        <f t="shared" si="23"/>
        <v>0</v>
      </c>
      <c r="SN4" s="135">
        <f t="shared" si="23"/>
        <v>0</v>
      </c>
      <c r="SO4" s="135">
        <f t="shared" si="23"/>
        <v>0</v>
      </c>
      <c r="SP4" s="135">
        <f t="shared" si="23"/>
        <v>0</v>
      </c>
      <c r="SQ4" s="135">
        <f t="shared" si="23"/>
        <v>0</v>
      </c>
      <c r="SR4" s="135">
        <f t="shared" si="23"/>
        <v>0</v>
      </c>
      <c r="SS4" s="135">
        <f t="shared" si="23"/>
        <v>0</v>
      </c>
      <c r="ST4" s="135">
        <f t="shared" si="23"/>
        <v>0</v>
      </c>
      <c r="SU4" s="135">
        <f t="shared" si="23"/>
        <v>0</v>
      </c>
      <c r="SV4" s="135">
        <f t="shared" si="23"/>
        <v>0</v>
      </c>
      <c r="SW4" s="135">
        <f t="shared" si="23"/>
        <v>0</v>
      </c>
      <c r="SX4" s="135">
        <f t="shared" si="23"/>
        <v>0</v>
      </c>
      <c r="SY4" s="135">
        <f t="shared" si="23"/>
        <v>0</v>
      </c>
      <c r="SZ4" s="135">
        <f t="shared" si="23"/>
        <v>0</v>
      </c>
      <c r="TA4" s="135">
        <f t="shared" si="23"/>
        <v>0</v>
      </c>
      <c r="TB4" s="135">
        <f t="shared" si="23"/>
        <v>0</v>
      </c>
      <c r="TC4" s="135">
        <f t="shared" si="24"/>
        <v>0</v>
      </c>
      <c r="TD4" s="135">
        <f t="shared" si="24"/>
        <v>0</v>
      </c>
      <c r="TE4" s="135">
        <f t="shared" si="24"/>
        <v>0</v>
      </c>
      <c r="TF4" s="135">
        <f t="shared" si="24"/>
        <v>0</v>
      </c>
      <c r="TG4" s="135">
        <f t="shared" si="24"/>
        <v>0</v>
      </c>
      <c r="TH4" s="135">
        <f t="shared" si="24"/>
        <v>0</v>
      </c>
      <c r="TI4" s="135">
        <f t="shared" si="24"/>
        <v>0</v>
      </c>
      <c r="TJ4" s="135">
        <f t="shared" si="24"/>
        <v>0</v>
      </c>
      <c r="TK4" s="135">
        <f t="shared" si="24"/>
        <v>0</v>
      </c>
      <c r="TL4" s="135">
        <f t="shared" si="24"/>
        <v>0</v>
      </c>
      <c r="TM4" s="135">
        <f t="shared" si="24"/>
        <v>0</v>
      </c>
      <c r="TN4" s="135">
        <f t="shared" si="24"/>
        <v>0</v>
      </c>
      <c r="TO4" s="135">
        <f t="shared" si="24"/>
        <v>0</v>
      </c>
      <c r="TP4" s="135">
        <f t="shared" si="24"/>
        <v>0</v>
      </c>
      <c r="TQ4" s="135">
        <f t="shared" si="24"/>
        <v>0</v>
      </c>
      <c r="TR4" s="135">
        <f t="shared" si="24"/>
        <v>0</v>
      </c>
      <c r="TS4" s="135">
        <f t="shared" si="24"/>
        <v>0</v>
      </c>
      <c r="TT4" s="135">
        <f t="shared" si="24"/>
        <v>0</v>
      </c>
      <c r="TU4" s="135">
        <f t="shared" si="24"/>
        <v>0</v>
      </c>
      <c r="TV4" s="135">
        <f t="shared" si="24"/>
        <v>0</v>
      </c>
      <c r="TW4" s="135">
        <f t="shared" si="24"/>
        <v>0</v>
      </c>
      <c r="TX4" s="135">
        <f t="shared" si="24"/>
        <v>0</v>
      </c>
      <c r="TY4" s="135">
        <f t="shared" si="24"/>
        <v>0</v>
      </c>
      <c r="TZ4" s="135">
        <f t="shared" si="24"/>
        <v>0</v>
      </c>
      <c r="UA4" s="135">
        <f t="shared" si="24"/>
        <v>0</v>
      </c>
      <c r="UB4" s="135">
        <f t="shared" si="24"/>
        <v>0</v>
      </c>
      <c r="UC4" s="135">
        <f t="shared" si="24"/>
        <v>0</v>
      </c>
      <c r="UD4" s="135">
        <f t="shared" si="24"/>
        <v>0</v>
      </c>
      <c r="UE4" s="135">
        <f t="shared" si="24"/>
        <v>0</v>
      </c>
      <c r="UF4" s="135">
        <f t="shared" si="24"/>
        <v>0</v>
      </c>
      <c r="UG4" s="135">
        <f t="shared" si="24"/>
        <v>0</v>
      </c>
      <c r="UH4" s="135">
        <f t="shared" si="24"/>
        <v>0</v>
      </c>
      <c r="UI4" s="135">
        <f t="shared" si="24"/>
        <v>0</v>
      </c>
      <c r="UJ4" s="135">
        <f t="shared" si="24"/>
        <v>0</v>
      </c>
      <c r="UK4" s="135">
        <f t="shared" si="24"/>
        <v>0</v>
      </c>
    </row>
    <row r="5" spans="2:557">
      <c r="B5" t="str">
        <f>IF(Samenvatting!$F106&lt;&gt;0,Samenvatting!C106,"")</f>
        <v/>
      </c>
      <c r="C5" t="str">
        <f>IF(Samenvatting!$F106&lt;&gt;0,Samenvatting!D106,"")</f>
        <v/>
      </c>
      <c r="D5" t="str">
        <f>IF(Samenvatting!$F106&lt;&gt;0,Samenvatting!E106,"")</f>
        <v/>
      </c>
      <c r="E5" t="str">
        <f>IF(Samenvatting!$F106&lt;&gt;0,Samenvatting!F106,"")</f>
        <v/>
      </c>
      <c r="F5" t="str">
        <f>IF(Samenvatting!$F106&lt;&gt;0,Samenvatting!H106,"")</f>
        <v/>
      </c>
      <c r="G5" s="134" t="str">
        <f>IF(Samenvatting!$F106&lt;&gt;0,Samenvatting!I106,"")</f>
        <v/>
      </c>
      <c r="H5" t="str">
        <f>IF(Samenvatting!$F106&lt;&gt;0,Samenvatting!J106,"")</f>
        <v/>
      </c>
      <c r="I5" s="134" t="str">
        <f>IF(Samenvatting!$F106&lt;&gt;0,Samenvatting!K106,"")</f>
        <v/>
      </c>
      <c r="J5" s="135">
        <f t="shared" si="0"/>
        <v>0</v>
      </c>
      <c r="K5" s="135">
        <f t="shared" si="26"/>
        <v>0</v>
      </c>
      <c r="L5" s="135">
        <f t="shared" si="26"/>
        <v>0</v>
      </c>
      <c r="M5" s="135">
        <f t="shared" si="26"/>
        <v>0</v>
      </c>
      <c r="N5" s="135">
        <f t="shared" si="26"/>
        <v>0</v>
      </c>
      <c r="O5" s="135">
        <f t="shared" si="26"/>
        <v>0</v>
      </c>
      <c r="P5" s="135">
        <f t="shared" si="26"/>
        <v>0</v>
      </c>
      <c r="Q5" s="135">
        <f t="shared" si="26"/>
        <v>0</v>
      </c>
      <c r="R5" s="135">
        <f t="shared" si="26"/>
        <v>0</v>
      </c>
      <c r="S5" s="135">
        <f t="shared" si="26"/>
        <v>0</v>
      </c>
      <c r="T5" s="135">
        <f t="shared" si="26"/>
        <v>0</v>
      </c>
      <c r="U5" s="135">
        <f t="shared" si="26"/>
        <v>0</v>
      </c>
      <c r="V5" s="135">
        <f t="shared" si="26"/>
        <v>0</v>
      </c>
      <c r="W5" s="135">
        <f t="shared" si="26"/>
        <v>0</v>
      </c>
      <c r="X5" s="135">
        <f t="shared" si="26"/>
        <v>0</v>
      </c>
      <c r="Y5" s="135">
        <f t="shared" si="26"/>
        <v>0</v>
      </c>
      <c r="Z5" s="135">
        <f t="shared" si="26"/>
        <v>0</v>
      </c>
      <c r="AA5" s="135">
        <f t="shared" si="26"/>
        <v>0</v>
      </c>
      <c r="AB5" s="135">
        <f t="shared" si="26"/>
        <v>0</v>
      </c>
      <c r="AC5" s="135">
        <f t="shared" si="26"/>
        <v>0</v>
      </c>
      <c r="AD5" s="135">
        <f t="shared" si="26"/>
        <v>0</v>
      </c>
      <c r="AE5" s="135">
        <f t="shared" si="26"/>
        <v>0</v>
      </c>
      <c r="AF5" s="135">
        <f t="shared" si="26"/>
        <v>0</v>
      </c>
      <c r="AG5" s="135">
        <f t="shared" si="26"/>
        <v>0</v>
      </c>
      <c r="AH5" s="135">
        <f t="shared" si="26"/>
        <v>0</v>
      </c>
      <c r="AI5" s="135">
        <f t="shared" si="26"/>
        <v>0</v>
      </c>
      <c r="AJ5" s="135">
        <f t="shared" si="26"/>
        <v>0</v>
      </c>
      <c r="AK5" s="135">
        <f t="shared" si="26"/>
        <v>0</v>
      </c>
      <c r="AL5" s="135">
        <f t="shared" si="26"/>
        <v>0</v>
      </c>
      <c r="AM5" s="135">
        <f t="shared" si="26"/>
        <v>0</v>
      </c>
      <c r="AN5" s="135">
        <f t="shared" si="26"/>
        <v>0</v>
      </c>
      <c r="AO5" s="135">
        <f t="shared" si="26"/>
        <v>0</v>
      </c>
      <c r="AP5" s="135">
        <f t="shared" si="26"/>
        <v>0</v>
      </c>
      <c r="AQ5" s="135">
        <f t="shared" si="26"/>
        <v>0</v>
      </c>
      <c r="AR5" s="135">
        <f t="shared" si="26"/>
        <v>0</v>
      </c>
      <c r="AS5" s="135">
        <f t="shared" si="26"/>
        <v>0</v>
      </c>
      <c r="AT5" s="135">
        <f t="shared" si="26"/>
        <v>0</v>
      </c>
      <c r="AU5" s="135">
        <f t="shared" si="26"/>
        <v>0</v>
      </c>
      <c r="AV5" s="135">
        <f t="shared" si="26"/>
        <v>0</v>
      </c>
      <c r="AW5" s="135">
        <f t="shared" si="26"/>
        <v>0</v>
      </c>
      <c r="AX5" s="135">
        <f t="shared" si="26"/>
        <v>0</v>
      </c>
      <c r="AY5" s="135">
        <f t="shared" si="26"/>
        <v>0</v>
      </c>
      <c r="AZ5" s="135">
        <f t="shared" si="26"/>
        <v>0</v>
      </c>
      <c r="BA5" s="135">
        <f t="shared" si="26"/>
        <v>0</v>
      </c>
      <c r="BB5" s="135">
        <f t="shared" si="26"/>
        <v>0</v>
      </c>
      <c r="BC5" s="135">
        <f t="shared" si="26"/>
        <v>0</v>
      </c>
      <c r="BD5" s="135">
        <f t="shared" si="26"/>
        <v>0</v>
      </c>
      <c r="BE5" s="135">
        <f t="shared" si="26"/>
        <v>0</v>
      </c>
      <c r="BF5" s="135">
        <f t="shared" si="26"/>
        <v>0</v>
      </c>
      <c r="BG5" s="135">
        <f t="shared" si="26"/>
        <v>0</v>
      </c>
      <c r="BH5" s="135">
        <f t="shared" si="26"/>
        <v>0</v>
      </c>
      <c r="BI5" s="135">
        <f t="shared" si="26"/>
        <v>0</v>
      </c>
      <c r="BJ5" s="135">
        <f t="shared" si="26"/>
        <v>0</v>
      </c>
      <c r="BK5" s="135">
        <f t="shared" si="26"/>
        <v>0</v>
      </c>
      <c r="BL5" s="135">
        <f t="shared" si="26"/>
        <v>0</v>
      </c>
      <c r="BM5" s="135">
        <f t="shared" si="26"/>
        <v>0</v>
      </c>
      <c r="BN5" s="135">
        <f t="shared" si="26"/>
        <v>0</v>
      </c>
      <c r="BO5" s="135">
        <f t="shared" si="26"/>
        <v>0</v>
      </c>
      <c r="BP5" s="135">
        <f t="shared" si="26"/>
        <v>0</v>
      </c>
      <c r="BQ5" s="135">
        <f t="shared" si="26"/>
        <v>0</v>
      </c>
      <c r="BR5" s="135">
        <f t="shared" si="26"/>
        <v>0</v>
      </c>
      <c r="BS5" s="135">
        <f t="shared" si="26"/>
        <v>0</v>
      </c>
      <c r="BT5" s="135">
        <f t="shared" si="26"/>
        <v>0</v>
      </c>
      <c r="BU5" s="135">
        <f t="shared" si="26"/>
        <v>0</v>
      </c>
      <c r="BV5" s="135">
        <f t="shared" si="26"/>
        <v>0</v>
      </c>
      <c r="BW5" s="135">
        <f t="shared" si="2"/>
        <v>0</v>
      </c>
      <c r="BX5" s="135">
        <f t="shared" si="2"/>
        <v>0</v>
      </c>
      <c r="BY5" s="135">
        <f t="shared" si="2"/>
        <v>0</v>
      </c>
      <c r="BZ5" s="135">
        <f t="shared" si="2"/>
        <v>0</v>
      </c>
      <c r="CA5" s="135">
        <f t="shared" si="2"/>
        <v>0</v>
      </c>
      <c r="CB5" s="135">
        <f t="shared" si="2"/>
        <v>0</v>
      </c>
      <c r="CC5" s="135">
        <f t="shared" si="2"/>
        <v>0</v>
      </c>
      <c r="CD5" s="135">
        <f t="shared" si="2"/>
        <v>0</v>
      </c>
      <c r="CE5" s="135">
        <f t="shared" si="2"/>
        <v>0</v>
      </c>
      <c r="CF5" s="135">
        <f t="shared" si="2"/>
        <v>0</v>
      </c>
      <c r="CG5" s="135">
        <f t="shared" si="2"/>
        <v>0</v>
      </c>
      <c r="CH5" s="135">
        <f t="shared" si="2"/>
        <v>0</v>
      </c>
      <c r="CI5" s="135">
        <f t="shared" si="2"/>
        <v>0</v>
      </c>
      <c r="CJ5" s="135">
        <f t="shared" si="2"/>
        <v>0</v>
      </c>
      <c r="CK5" s="135">
        <f t="shared" si="2"/>
        <v>0</v>
      </c>
      <c r="CL5" s="135">
        <f t="shared" si="2"/>
        <v>0</v>
      </c>
      <c r="CM5" s="135">
        <f t="shared" si="2"/>
        <v>0</v>
      </c>
      <c r="CN5" s="135">
        <f t="shared" si="2"/>
        <v>0</v>
      </c>
      <c r="CO5" s="135">
        <f t="shared" si="2"/>
        <v>0</v>
      </c>
      <c r="CP5" s="135">
        <f t="shared" si="2"/>
        <v>0</v>
      </c>
      <c r="CQ5" s="135">
        <f t="shared" si="2"/>
        <v>0</v>
      </c>
      <c r="CR5" s="135">
        <f t="shared" si="2"/>
        <v>0</v>
      </c>
      <c r="CS5" s="135">
        <f t="shared" si="2"/>
        <v>0</v>
      </c>
      <c r="CT5" s="135">
        <f t="shared" si="2"/>
        <v>0</v>
      </c>
      <c r="CU5" s="135">
        <f t="shared" si="2"/>
        <v>0</v>
      </c>
      <c r="CV5" s="135">
        <f t="shared" si="2"/>
        <v>0</v>
      </c>
      <c r="CW5" s="135">
        <f t="shared" si="2"/>
        <v>0</v>
      </c>
      <c r="CX5" s="135">
        <f t="shared" si="2"/>
        <v>0</v>
      </c>
      <c r="CY5" s="135">
        <f t="shared" si="2"/>
        <v>0</v>
      </c>
      <c r="CZ5" s="135">
        <f t="shared" si="2"/>
        <v>0</v>
      </c>
      <c r="DA5" s="135">
        <f t="shared" si="2"/>
        <v>0</v>
      </c>
      <c r="DB5" s="135">
        <f t="shared" si="2"/>
        <v>0</v>
      </c>
      <c r="DC5" s="135">
        <f t="shared" si="2"/>
        <v>0</v>
      </c>
      <c r="DD5" s="135">
        <f t="shared" si="2"/>
        <v>0</v>
      </c>
      <c r="DE5" s="135">
        <f t="shared" si="2"/>
        <v>0</v>
      </c>
      <c r="DF5" s="135">
        <f t="shared" si="2"/>
        <v>0</v>
      </c>
      <c r="DG5" s="135">
        <f t="shared" si="2"/>
        <v>0</v>
      </c>
      <c r="DH5" s="135">
        <f t="shared" si="2"/>
        <v>0</v>
      </c>
      <c r="DI5" s="135">
        <f t="shared" si="2"/>
        <v>0</v>
      </c>
      <c r="DJ5" s="135">
        <f t="shared" si="2"/>
        <v>0</v>
      </c>
      <c r="DK5" s="135">
        <f t="shared" si="2"/>
        <v>0</v>
      </c>
      <c r="DL5" s="135">
        <f t="shared" si="2"/>
        <v>0</v>
      </c>
      <c r="DM5" s="135">
        <f t="shared" si="2"/>
        <v>0</v>
      </c>
      <c r="DN5" s="135">
        <f t="shared" si="2"/>
        <v>0</v>
      </c>
      <c r="DO5" s="135">
        <f t="shared" si="2"/>
        <v>0</v>
      </c>
      <c r="DP5" s="135">
        <f t="shared" si="2"/>
        <v>0</v>
      </c>
      <c r="DQ5" s="135">
        <f t="shared" si="2"/>
        <v>0</v>
      </c>
      <c r="DR5" s="135">
        <f t="shared" si="2"/>
        <v>0</v>
      </c>
      <c r="DS5" s="135">
        <f t="shared" si="2"/>
        <v>0</v>
      </c>
      <c r="DT5" s="135">
        <f t="shared" si="2"/>
        <v>0</v>
      </c>
      <c r="DU5" s="135">
        <f t="shared" si="2"/>
        <v>0</v>
      </c>
      <c r="DV5" s="135">
        <f t="shared" si="2"/>
        <v>0</v>
      </c>
      <c r="DW5" s="135">
        <f t="shared" si="2"/>
        <v>0</v>
      </c>
      <c r="DX5" s="135">
        <f t="shared" si="2"/>
        <v>0</v>
      </c>
      <c r="DY5" s="135">
        <f t="shared" si="2"/>
        <v>0</v>
      </c>
      <c r="DZ5" s="135">
        <f t="shared" si="2"/>
        <v>0</v>
      </c>
      <c r="EA5" s="135">
        <f t="shared" si="2"/>
        <v>0</v>
      </c>
      <c r="EB5" s="135">
        <f t="shared" si="2"/>
        <v>0</v>
      </c>
      <c r="EC5" s="135">
        <f t="shared" si="2"/>
        <v>0</v>
      </c>
      <c r="ED5" s="135">
        <f t="shared" si="2"/>
        <v>0</v>
      </c>
      <c r="EE5" s="135">
        <f t="shared" si="2"/>
        <v>0</v>
      </c>
      <c r="EF5" s="135">
        <f t="shared" si="2"/>
        <v>0</v>
      </c>
      <c r="EG5" s="135">
        <f t="shared" si="2"/>
        <v>0</v>
      </c>
      <c r="EH5" s="135">
        <f t="shared" ref="EH5:GS9" si="27">IFERROR(IF(EH$1=EOMONTH($G5,0),(-$E5+($E5*(DAY($G5)/DAY(EOMONTH(EH$1,0)))*$F5/12*(1-0.269))),IF(EH$1=$G5,($E5+($E5*(DAY($I5)/DAY(EOMONTH(EH$1,0)))*$F5/12*(1-0.269))),IFERROR(IF($I5&lt;EH$1,0,IF(EH$1&gt;$I5,(($F5/12)*$E5)*(DAY($I5)/DAY(EOMONTH(EH$1,0)))*(1-26.9/100)+$E5,IF(AND(EH$1&gt;=$G5,EH$1&lt;$I5),(($F5/12)*$E5)*(1-26.9/100),""))-IF(EH$1=EOMONTH($G5,0),$E5,"0")),0)+IF(EH$1=EOMONTH($I5,0),($E5+($E5*(DAY($I5)/DAY(EOMONTH(EH$1,0)))*$F5/12*(1-0.269))),"0"))),0)</f>
        <v>0</v>
      </c>
      <c r="EI5" s="135">
        <f t="shared" si="27"/>
        <v>0</v>
      </c>
      <c r="EJ5" s="135">
        <f t="shared" si="27"/>
        <v>0</v>
      </c>
      <c r="EK5" s="135">
        <f t="shared" si="27"/>
        <v>0</v>
      </c>
      <c r="EL5" s="135">
        <f t="shared" si="27"/>
        <v>0</v>
      </c>
      <c r="EM5" s="135">
        <f t="shared" si="27"/>
        <v>0</v>
      </c>
      <c r="EN5" s="135">
        <f t="shared" si="27"/>
        <v>0</v>
      </c>
      <c r="EO5" s="135">
        <f t="shared" si="27"/>
        <v>0</v>
      </c>
      <c r="EP5" s="135">
        <f t="shared" si="27"/>
        <v>0</v>
      </c>
      <c r="EQ5" s="135">
        <f t="shared" si="27"/>
        <v>0</v>
      </c>
      <c r="ER5" s="135">
        <f t="shared" si="27"/>
        <v>0</v>
      </c>
      <c r="ES5" s="135">
        <f t="shared" si="27"/>
        <v>0</v>
      </c>
      <c r="ET5" s="135">
        <f t="shared" si="27"/>
        <v>0</v>
      </c>
      <c r="EU5" s="135">
        <f t="shared" si="27"/>
        <v>0</v>
      </c>
      <c r="EV5" s="135">
        <f t="shared" si="27"/>
        <v>0</v>
      </c>
      <c r="EW5" s="135">
        <f t="shared" si="27"/>
        <v>0</v>
      </c>
      <c r="EX5" s="135">
        <f t="shared" si="27"/>
        <v>0</v>
      </c>
      <c r="EY5" s="135">
        <f t="shared" si="27"/>
        <v>0</v>
      </c>
      <c r="EZ5" s="135">
        <f t="shared" si="27"/>
        <v>0</v>
      </c>
      <c r="FA5" s="135">
        <f t="shared" si="27"/>
        <v>0</v>
      </c>
      <c r="FB5" s="135">
        <f t="shared" si="27"/>
        <v>0</v>
      </c>
      <c r="FC5" s="135">
        <f t="shared" si="27"/>
        <v>0</v>
      </c>
      <c r="FD5" s="135">
        <f t="shared" si="27"/>
        <v>0</v>
      </c>
      <c r="FE5" s="135">
        <f t="shared" si="27"/>
        <v>0</v>
      </c>
      <c r="FF5" s="135">
        <f t="shared" si="27"/>
        <v>0</v>
      </c>
      <c r="FG5" s="135">
        <f t="shared" si="27"/>
        <v>0</v>
      </c>
      <c r="FH5" s="135">
        <f t="shared" si="27"/>
        <v>0</v>
      </c>
      <c r="FI5" s="135">
        <f t="shared" si="27"/>
        <v>0</v>
      </c>
      <c r="FJ5" s="135">
        <f t="shared" si="27"/>
        <v>0</v>
      </c>
      <c r="FK5" s="135">
        <f t="shared" si="27"/>
        <v>0</v>
      </c>
      <c r="FL5" s="135">
        <f t="shared" si="27"/>
        <v>0</v>
      </c>
      <c r="FM5" s="135">
        <f t="shared" si="27"/>
        <v>0</v>
      </c>
      <c r="FN5" s="135">
        <f t="shared" si="27"/>
        <v>0</v>
      </c>
      <c r="FO5" s="135">
        <f t="shared" si="27"/>
        <v>0</v>
      </c>
      <c r="FP5" s="135">
        <f t="shared" si="27"/>
        <v>0</v>
      </c>
      <c r="FQ5" s="135">
        <f t="shared" si="27"/>
        <v>0</v>
      </c>
      <c r="FR5" s="135">
        <f t="shared" si="27"/>
        <v>0</v>
      </c>
      <c r="FS5" s="135">
        <f t="shared" si="27"/>
        <v>0</v>
      </c>
      <c r="FT5" s="135">
        <f t="shared" si="27"/>
        <v>0</v>
      </c>
      <c r="FU5" s="135">
        <f t="shared" si="27"/>
        <v>0</v>
      </c>
      <c r="FV5" s="135">
        <f t="shared" si="27"/>
        <v>0</v>
      </c>
      <c r="FW5" s="135">
        <f t="shared" si="27"/>
        <v>0</v>
      </c>
      <c r="FX5" s="135">
        <f t="shared" si="27"/>
        <v>0</v>
      </c>
      <c r="FY5" s="135">
        <f t="shared" si="27"/>
        <v>0</v>
      </c>
      <c r="FZ5" s="135">
        <f t="shared" si="27"/>
        <v>0</v>
      </c>
      <c r="GA5" s="135">
        <f t="shared" si="27"/>
        <v>0</v>
      </c>
      <c r="GB5" s="135">
        <f t="shared" si="27"/>
        <v>0</v>
      </c>
      <c r="GC5" s="135">
        <f t="shared" si="27"/>
        <v>0</v>
      </c>
      <c r="GD5" s="135">
        <f t="shared" si="27"/>
        <v>0</v>
      </c>
      <c r="GE5" s="135">
        <f t="shared" si="27"/>
        <v>0</v>
      </c>
      <c r="GF5" s="135">
        <f t="shared" si="27"/>
        <v>0</v>
      </c>
      <c r="GG5" s="135">
        <f t="shared" si="27"/>
        <v>0</v>
      </c>
      <c r="GH5" s="135">
        <f t="shared" si="27"/>
        <v>0</v>
      </c>
      <c r="GI5" s="135">
        <f t="shared" si="27"/>
        <v>0</v>
      </c>
      <c r="GJ5" s="135">
        <f t="shared" si="27"/>
        <v>0</v>
      </c>
      <c r="GK5" s="135">
        <f t="shared" si="27"/>
        <v>0</v>
      </c>
      <c r="GL5" s="135">
        <f t="shared" si="27"/>
        <v>0</v>
      </c>
      <c r="GM5" s="135">
        <f t="shared" si="27"/>
        <v>0</v>
      </c>
      <c r="GN5" s="135">
        <f t="shared" si="27"/>
        <v>0</v>
      </c>
      <c r="GO5" s="135">
        <f t="shared" si="27"/>
        <v>0</v>
      </c>
      <c r="GP5" s="135">
        <f t="shared" si="27"/>
        <v>0</v>
      </c>
      <c r="GQ5" s="135">
        <f t="shared" si="27"/>
        <v>0</v>
      </c>
      <c r="GR5" s="135">
        <f t="shared" si="27"/>
        <v>0</v>
      </c>
      <c r="GS5" s="135">
        <f t="shared" si="27"/>
        <v>0</v>
      </c>
      <c r="GT5" s="135">
        <f>IFERROR(IF(GT$1=EOMONTH($G5,0),(-$E5+($E5*(DAY($G5)/DAY(EOMONTH(GT$1,0)))*$F5/12*(1-0.269))),IF(GT$1=$G5,($E5+($E5*(DAY($I5)/DAY(EOMONTH(GT$1,0)))*$F5/12*(1-0.269))),IFERROR(IF($I5&lt;GT$1,0,IF(GT$1&gt;$I5,(($F5/12)*$E5)*(DAY($I5)/DAY(EOMONTH(GT$1,0)))*(1-26.9/100)+$E5,IF(AND(GT$1&gt;=$G5,GT$1&lt;$I5),(($F5/12)*$E5)*(1-26.9/100),""))-IF(GT$1=EOMONTH($G5,0),$E5,"0")),0)+IF(GT$1=EOMONTH($I5,0),($E5+($E5*(DAY($I5)/DAY(EOMONTH(GT$1,0)))*$F5/12*(1-0.269))),"0"))),0)</f>
        <v>0</v>
      </c>
      <c r="GU5" s="135">
        <f t="shared" si="9"/>
        <v>0</v>
      </c>
      <c r="GV5" s="135">
        <f t="shared" si="9"/>
        <v>0</v>
      </c>
      <c r="GW5" s="135">
        <f t="shared" si="9"/>
        <v>0</v>
      </c>
      <c r="GX5" s="135">
        <f t="shared" si="9"/>
        <v>0</v>
      </c>
      <c r="GY5" s="135">
        <f t="shared" si="9"/>
        <v>0</v>
      </c>
      <c r="GZ5" s="135">
        <f t="shared" si="9"/>
        <v>0</v>
      </c>
      <c r="HA5" s="135">
        <f t="shared" si="9"/>
        <v>0</v>
      </c>
      <c r="HB5" s="135">
        <f t="shared" si="9"/>
        <v>0</v>
      </c>
      <c r="HC5" s="135">
        <f t="shared" si="9"/>
        <v>0</v>
      </c>
      <c r="HD5" s="135">
        <f t="shared" si="9"/>
        <v>0</v>
      </c>
      <c r="HE5" s="135">
        <f t="shared" si="9"/>
        <v>0</v>
      </c>
      <c r="HF5" s="135">
        <f t="shared" si="9"/>
        <v>0</v>
      </c>
      <c r="HG5" s="135">
        <f t="shared" si="9"/>
        <v>0</v>
      </c>
      <c r="HH5" s="135">
        <f t="shared" si="9"/>
        <v>0</v>
      </c>
      <c r="HI5" s="135">
        <f t="shared" si="9"/>
        <v>0</v>
      </c>
      <c r="HJ5" s="135">
        <f t="shared" si="9"/>
        <v>0</v>
      </c>
      <c r="HK5" s="135">
        <f t="shared" si="9"/>
        <v>0</v>
      </c>
      <c r="HL5" s="135">
        <f t="shared" si="9"/>
        <v>0</v>
      </c>
      <c r="HM5" s="135">
        <f t="shared" si="9"/>
        <v>0</v>
      </c>
      <c r="HN5" s="135">
        <f t="shared" si="9"/>
        <v>0</v>
      </c>
      <c r="HO5" s="135">
        <f t="shared" si="9"/>
        <v>0</v>
      </c>
      <c r="HP5" s="135">
        <f t="shared" si="9"/>
        <v>0</v>
      </c>
      <c r="HQ5" s="135">
        <f t="shared" si="9"/>
        <v>0</v>
      </c>
      <c r="HR5" s="135">
        <f t="shared" si="9"/>
        <v>0</v>
      </c>
      <c r="HS5" s="135">
        <f t="shared" si="9"/>
        <v>0</v>
      </c>
      <c r="HT5" s="135">
        <f t="shared" si="9"/>
        <v>0</v>
      </c>
      <c r="HU5" s="135">
        <f t="shared" si="9"/>
        <v>0</v>
      </c>
      <c r="HV5" s="135">
        <f t="shared" si="9"/>
        <v>0</v>
      </c>
      <c r="HW5" s="135">
        <f t="shared" si="9"/>
        <v>0</v>
      </c>
      <c r="HX5" s="135">
        <f t="shared" si="9"/>
        <v>0</v>
      </c>
      <c r="HY5" s="135">
        <f t="shared" si="9"/>
        <v>0</v>
      </c>
      <c r="HZ5" s="135">
        <f t="shared" si="9"/>
        <v>0</v>
      </c>
      <c r="IA5" s="135">
        <f t="shared" si="9"/>
        <v>0</v>
      </c>
      <c r="IB5" s="135">
        <f t="shared" si="9"/>
        <v>0</v>
      </c>
      <c r="IC5" s="135">
        <f t="shared" si="9"/>
        <v>0</v>
      </c>
      <c r="ID5" s="135">
        <f t="shared" si="9"/>
        <v>0</v>
      </c>
      <c r="IE5" s="135">
        <f t="shared" si="9"/>
        <v>0</v>
      </c>
      <c r="IF5" s="135">
        <f t="shared" si="9"/>
        <v>0</v>
      </c>
      <c r="IG5" s="135">
        <f t="shared" si="9"/>
        <v>0</v>
      </c>
      <c r="IH5" s="135">
        <f t="shared" si="9"/>
        <v>0</v>
      </c>
      <c r="II5" s="135">
        <f t="shared" si="9"/>
        <v>0</v>
      </c>
      <c r="IJ5" s="135">
        <f t="shared" si="9"/>
        <v>0</v>
      </c>
      <c r="IK5" s="135">
        <f t="shared" si="9"/>
        <v>0</v>
      </c>
      <c r="IL5" s="135">
        <f t="shared" si="9"/>
        <v>0</v>
      </c>
      <c r="IM5" s="135">
        <f t="shared" si="9"/>
        <v>0</v>
      </c>
      <c r="IN5" s="135">
        <f t="shared" si="9"/>
        <v>0</v>
      </c>
      <c r="IO5" s="135">
        <f t="shared" si="9"/>
        <v>0</v>
      </c>
      <c r="IP5" s="135">
        <f t="shared" si="9"/>
        <v>0</v>
      </c>
      <c r="IQ5" s="135">
        <f t="shared" si="9"/>
        <v>0</v>
      </c>
      <c r="IR5" s="135">
        <f t="shared" si="9"/>
        <v>0</v>
      </c>
      <c r="IS5" s="135">
        <f t="shared" si="9"/>
        <v>0</v>
      </c>
      <c r="IT5" s="135">
        <f t="shared" si="9"/>
        <v>0</v>
      </c>
      <c r="IU5" s="135">
        <f t="shared" si="9"/>
        <v>0</v>
      </c>
      <c r="IV5" s="135">
        <f t="shared" si="9"/>
        <v>0</v>
      </c>
      <c r="IW5" s="135">
        <f t="shared" si="9"/>
        <v>0</v>
      </c>
      <c r="IX5" s="135">
        <f t="shared" si="9"/>
        <v>0</v>
      </c>
      <c r="IY5" s="135">
        <f t="shared" si="9"/>
        <v>0</v>
      </c>
      <c r="IZ5" s="135">
        <f t="shared" si="9"/>
        <v>0</v>
      </c>
      <c r="JA5" s="135">
        <f t="shared" si="9"/>
        <v>0</v>
      </c>
      <c r="JB5" s="135">
        <f t="shared" si="9"/>
        <v>0</v>
      </c>
      <c r="JC5" s="135">
        <f t="shared" si="9"/>
        <v>0</v>
      </c>
      <c r="JD5" s="135">
        <f t="shared" si="9"/>
        <v>0</v>
      </c>
      <c r="JE5" s="135">
        <f t="shared" si="9"/>
        <v>0</v>
      </c>
      <c r="JF5" s="135">
        <f t="shared" ref="JF5:LQ9" si="28">IFERROR(IF(JF$1=EOMONTH($G5,0),(-$E5+($E5*(DAY($G5)/DAY(EOMONTH(JF$1,0)))*$F5/12*(1-0.269))),IF(JF$1=$G5,($E5+($E5*(DAY($I5)/DAY(EOMONTH(JF$1,0)))*$F5/12*(1-0.269))),IFERROR(IF($I5&lt;JF$1,0,IF(JF$1&gt;$I5,(($F5/12)*$E5)*(DAY($I5)/DAY(EOMONTH(JF$1,0)))*(1-26.9/100)+$E5,IF(AND(JF$1&gt;=$G5,JF$1&lt;$I5),(($F5/12)*$E5)*(1-26.9/100),""))-IF(JF$1=EOMONTH($G5,0),$E5,"0")),0)+IF(JF$1=EOMONTH($I5,0),($E5+($E5*(DAY($I5)/DAY(EOMONTH(JF$1,0)))*$F5/12*(1-0.269))),"0"))),0)</f>
        <v>0</v>
      </c>
      <c r="JG5" s="135">
        <f t="shared" si="28"/>
        <v>0</v>
      </c>
      <c r="JH5" s="135">
        <f t="shared" si="28"/>
        <v>0</v>
      </c>
      <c r="JI5" s="135">
        <f t="shared" si="28"/>
        <v>0</v>
      </c>
      <c r="JJ5" s="135">
        <f t="shared" si="28"/>
        <v>0</v>
      </c>
      <c r="JK5" s="135">
        <f t="shared" si="28"/>
        <v>0</v>
      </c>
      <c r="JL5" s="135">
        <f t="shared" si="28"/>
        <v>0</v>
      </c>
      <c r="JM5" s="135">
        <f t="shared" si="28"/>
        <v>0</v>
      </c>
      <c r="JN5" s="135">
        <f t="shared" si="28"/>
        <v>0</v>
      </c>
      <c r="JO5" s="135">
        <f t="shared" si="28"/>
        <v>0</v>
      </c>
      <c r="JP5" s="135">
        <f t="shared" si="28"/>
        <v>0</v>
      </c>
      <c r="JQ5" s="135">
        <f t="shared" si="28"/>
        <v>0</v>
      </c>
      <c r="JR5" s="135">
        <f t="shared" si="28"/>
        <v>0</v>
      </c>
      <c r="JS5" s="135">
        <f t="shared" si="28"/>
        <v>0</v>
      </c>
      <c r="JT5" s="135">
        <f t="shared" si="28"/>
        <v>0</v>
      </c>
      <c r="JU5" s="135">
        <f t="shared" si="28"/>
        <v>0</v>
      </c>
      <c r="JV5" s="135">
        <f t="shared" si="28"/>
        <v>0</v>
      </c>
      <c r="JW5" s="135">
        <f t="shared" si="28"/>
        <v>0</v>
      </c>
      <c r="JX5" s="135">
        <f t="shared" si="28"/>
        <v>0</v>
      </c>
      <c r="JY5" s="135">
        <f t="shared" si="28"/>
        <v>0</v>
      </c>
      <c r="JZ5" s="135">
        <f t="shared" si="28"/>
        <v>0</v>
      </c>
      <c r="KA5" s="135">
        <f t="shared" si="28"/>
        <v>0</v>
      </c>
      <c r="KB5" s="135">
        <f t="shared" si="28"/>
        <v>0</v>
      </c>
      <c r="KC5" s="135">
        <f t="shared" si="28"/>
        <v>0</v>
      </c>
      <c r="KD5" s="135">
        <f t="shared" si="28"/>
        <v>0</v>
      </c>
      <c r="KE5" s="135">
        <f t="shared" si="28"/>
        <v>0</v>
      </c>
      <c r="KF5" s="135">
        <f t="shared" si="28"/>
        <v>0</v>
      </c>
      <c r="KG5" s="135">
        <f t="shared" si="28"/>
        <v>0</v>
      </c>
      <c r="KH5" s="135">
        <f t="shared" si="28"/>
        <v>0</v>
      </c>
      <c r="KI5" s="135">
        <f t="shared" si="28"/>
        <v>0</v>
      </c>
      <c r="KJ5" s="135">
        <f t="shared" si="28"/>
        <v>0</v>
      </c>
      <c r="KK5" s="135">
        <f t="shared" si="28"/>
        <v>0</v>
      </c>
      <c r="KL5" s="135">
        <f t="shared" si="28"/>
        <v>0</v>
      </c>
      <c r="KM5" s="135">
        <f t="shared" si="28"/>
        <v>0</v>
      </c>
      <c r="KN5" s="135">
        <f t="shared" si="28"/>
        <v>0</v>
      </c>
      <c r="KO5" s="135">
        <f t="shared" si="28"/>
        <v>0</v>
      </c>
      <c r="KP5" s="135">
        <f t="shared" si="28"/>
        <v>0</v>
      </c>
      <c r="KQ5" s="135">
        <f t="shared" si="28"/>
        <v>0</v>
      </c>
      <c r="KR5" s="135">
        <f t="shared" si="28"/>
        <v>0</v>
      </c>
      <c r="KS5" s="135">
        <f t="shared" si="28"/>
        <v>0</v>
      </c>
      <c r="KT5" s="135">
        <f t="shared" si="28"/>
        <v>0</v>
      </c>
      <c r="KU5" s="135">
        <f t="shared" si="28"/>
        <v>0</v>
      </c>
      <c r="KV5" s="135">
        <f t="shared" si="28"/>
        <v>0</v>
      </c>
      <c r="KW5" s="135">
        <f t="shared" si="28"/>
        <v>0</v>
      </c>
      <c r="KX5" s="135">
        <f t="shared" si="28"/>
        <v>0</v>
      </c>
      <c r="KY5" s="135">
        <f t="shared" si="28"/>
        <v>0</v>
      </c>
      <c r="KZ5" s="135">
        <f t="shared" si="28"/>
        <v>0</v>
      </c>
      <c r="LA5" s="135">
        <f t="shared" si="28"/>
        <v>0</v>
      </c>
      <c r="LB5" s="135">
        <f t="shared" si="28"/>
        <v>0</v>
      </c>
      <c r="LC5" s="135">
        <f t="shared" si="28"/>
        <v>0</v>
      </c>
      <c r="LD5" s="135">
        <f t="shared" si="28"/>
        <v>0</v>
      </c>
      <c r="LE5" s="135">
        <f t="shared" si="28"/>
        <v>0</v>
      </c>
      <c r="LF5" s="135">
        <f t="shared" si="28"/>
        <v>0</v>
      </c>
      <c r="LG5" s="135">
        <f t="shared" si="28"/>
        <v>0</v>
      </c>
      <c r="LH5" s="135">
        <f t="shared" si="28"/>
        <v>0</v>
      </c>
      <c r="LI5" s="135">
        <f t="shared" si="28"/>
        <v>0</v>
      </c>
      <c r="LJ5" s="135">
        <f t="shared" si="28"/>
        <v>0</v>
      </c>
      <c r="LK5" s="135">
        <f t="shared" si="28"/>
        <v>0</v>
      </c>
      <c r="LL5" s="135">
        <f t="shared" si="28"/>
        <v>0</v>
      </c>
      <c r="LM5" s="135">
        <f t="shared" si="28"/>
        <v>0</v>
      </c>
      <c r="LN5" s="135">
        <f t="shared" si="28"/>
        <v>0</v>
      </c>
      <c r="LO5" s="135">
        <f t="shared" si="28"/>
        <v>0</v>
      </c>
      <c r="LP5" s="135">
        <f t="shared" si="28"/>
        <v>0</v>
      </c>
      <c r="LQ5" s="135">
        <f t="shared" si="28"/>
        <v>0</v>
      </c>
      <c r="LR5" s="135">
        <f>IFERROR(IF(LR$1=EOMONTH($G5,0),(-$E5+($E5*(DAY($G5)/DAY(EOMONTH(LR$1,0)))*$F5/12*(1-0.269))),IF(LR$1=$G5,($E5+($E5*(DAY($I5)/DAY(EOMONTH(LR$1,0)))*$F5/12*(1-0.269))),IFERROR(IF($I5&lt;LR$1,0,IF(LR$1&gt;$I5,(($F5/12)*$E5)*(DAY($I5)/DAY(EOMONTH(LR$1,0)))*(1-26.9/100)+$E5,IF(AND(LR$1&gt;=$G5,LR$1&lt;$I5),(($F5/12)*$E5)*(1-26.9/100),""))-IF(LR$1=EOMONTH($G5,0),$E5,"0")),0)+IF(LR$1=EOMONTH($I5,0),($E5+($E5*(DAY($I5)/DAY(EOMONTH(LR$1,0)))*$F5/12*(1-0.269))),"0"))),0)</f>
        <v>0</v>
      </c>
      <c r="LS5" s="135">
        <f t="shared" si="16"/>
        <v>0</v>
      </c>
      <c r="LT5" s="135">
        <f t="shared" si="16"/>
        <v>0</v>
      </c>
      <c r="LU5" s="135">
        <f t="shared" si="16"/>
        <v>0</v>
      </c>
      <c r="LV5" s="135">
        <f t="shared" si="16"/>
        <v>0</v>
      </c>
      <c r="LW5" s="135">
        <f t="shared" si="16"/>
        <v>0</v>
      </c>
      <c r="LX5" s="135">
        <f t="shared" si="16"/>
        <v>0</v>
      </c>
      <c r="LY5" s="135">
        <f t="shared" si="16"/>
        <v>0</v>
      </c>
      <c r="LZ5" s="135">
        <f t="shared" si="16"/>
        <v>0</v>
      </c>
      <c r="MA5" s="135">
        <f t="shared" si="16"/>
        <v>0</v>
      </c>
      <c r="MB5" s="135">
        <f t="shared" si="16"/>
        <v>0</v>
      </c>
      <c r="MC5" s="135">
        <f t="shared" si="16"/>
        <v>0</v>
      </c>
      <c r="MD5" s="135">
        <f t="shared" si="16"/>
        <v>0</v>
      </c>
      <c r="ME5" s="135">
        <f t="shared" si="16"/>
        <v>0</v>
      </c>
      <c r="MF5" s="135">
        <f t="shared" si="16"/>
        <v>0</v>
      </c>
      <c r="MG5" s="135">
        <f t="shared" si="16"/>
        <v>0</v>
      </c>
      <c r="MH5" s="135">
        <f t="shared" si="16"/>
        <v>0</v>
      </c>
      <c r="MI5" s="135">
        <f t="shared" si="16"/>
        <v>0</v>
      </c>
      <c r="MJ5" s="135">
        <f t="shared" si="16"/>
        <v>0</v>
      </c>
      <c r="MK5" s="135">
        <f t="shared" si="16"/>
        <v>0</v>
      </c>
      <c r="ML5" s="135">
        <f t="shared" si="16"/>
        <v>0</v>
      </c>
      <c r="MM5" s="135">
        <f t="shared" si="16"/>
        <v>0</v>
      </c>
      <c r="MN5" s="135">
        <f t="shared" si="16"/>
        <v>0</v>
      </c>
      <c r="MO5" s="135">
        <f t="shared" si="16"/>
        <v>0</v>
      </c>
      <c r="MP5" s="135">
        <f t="shared" si="16"/>
        <v>0</v>
      </c>
      <c r="MQ5" s="135">
        <f t="shared" si="16"/>
        <v>0</v>
      </c>
      <c r="MR5" s="135">
        <f t="shared" si="16"/>
        <v>0</v>
      </c>
      <c r="MS5" s="135">
        <f t="shared" si="16"/>
        <v>0</v>
      </c>
      <c r="MT5" s="135">
        <f t="shared" si="16"/>
        <v>0</v>
      </c>
      <c r="MU5" s="135">
        <f t="shared" si="16"/>
        <v>0</v>
      </c>
      <c r="MV5" s="135">
        <f t="shared" si="16"/>
        <v>0</v>
      </c>
      <c r="MW5" s="135">
        <f t="shared" si="16"/>
        <v>0</v>
      </c>
      <c r="MX5" s="135">
        <f t="shared" si="16"/>
        <v>0</v>
      </c>
      <c r="MY5" s="135">
        <f t="shared" si="16"/>
        <v>0</v>
      </c>
      <c r="MZ5" s="135">
        <f t="shared" si="16"/>
        <v>0</v>
      </c>
      <c r="NA5" s="135">
        <f t="shared" si="16"/>
        <v>0</v>
      </c>
      <c r="NB5" s="135">
        <f t="shared" si="16"/>
        <v>0</v>
      </c>
      <c r="NC5" s="135">
        <f t="shared" si="16"/>
        <v>0</v>
      </c>
      <c r="ND5" s="135">
        <f t="shared" si="16"/>
        <v>0</v>
      </c>
      <c r="NE5" s="135">
        <f t="shared" si="16"/>
        <v>0</v>
      </c>
      <c r="NF5" s="135">
        <f t="shared" si="16"/>
        <v>0</v>
      </c>
      <c r="NG5" s="135">
        <f t="shared" si="16"/>
        <v>0</v>
      </c>
      <c r="NH5" s="135">
        <f t="shared" si="16"/>
        <v>0</v>
      </c>
      <c r="NI5" s="135">
        <f t="shared" si="16"/>
        <v>0</v>
      </c>
      <c r="NJ5" s="135">
        <f t="shared" si="16"/>
        <v>0</v>
      </c>
      <c r="NK5" s="135">
        <f t="shared" si="16"/>
        <v>0</v>
      </c>
      <c r="NL5" s="135">
        <f t="shared" si="16"/>
        <v>0</v>
      </c>
      <c r="NM5" s="135">
        <f t="shared" si="16"/>
        <v>0</v>
      </c>
      <c r="NN5" s="135">
        <f t="shared" si="16"/>
        <v>0</v>
      </c>
      <c r="NO5" s="135">
        <f t="shared" si="16"/>
        <v>0</v>
      </c>
      <c r="NP5" s="135">
        <f t="shared" si="16"/>
        <v>0</v>
      </c>
      <c r="NQ5" s="135">
        <f t="shared" si="16"/>
        <v>0</v>
      </c>
      <c r="NR5" s="135">
        <f t="shared" si="16"/>
        <v>0</v>
      </c>
      <c r="NS5" s="135">
        <f t="shared" si="16"/>
        <v>0</v>
      </c>
      <c r="NT5" s="135">
        <f t="shared" si="16"/>
        <v>0</v>
      </c>
      <c r="NU5" s="135">
        <f t="shared" si="16"/>
        <v>0</v>
      </c>
      <c r="NV5" s="135">
        <f t="shared" si="16"/>
        <v>0</v>
      </c>
      <c r="NW5" s="135">
        <f t="shared" si="16"/>
        <v>0</v>
      </c>
      <c r="NX5" s="135">
        <f t="shared" si="16"/>
        <v>0</v>
      </c>
      <c r="NY5" s="135">
        <f t="shared" si="16"/>
        <v>0</v>
      </c>
      <c r="NZ5" s="135">
        <f t="shared" si="16"/>
        <v>0</v>
      </c>
      <c r="OA5" s="135">
        <f t="shared" si="16"/>
        <v>0</v>
      </c>
      <c r="OB5" s="135">
        <f t="shared" si="16"/>
        <v>0</v>
      </c>
      <c r="OC5" s="135">
        <f t="shared" si="16"/>
        <v>0</v>
      </c>
      <c r="OD5" s="135">
        <f t="shared" ref="OD5:QO9" si="29">IFERROR(IF(OD$1=EOMONTH($G5,0),(-$E5+($E5*(DAY($G5)/DAY(EOMONTH(OD$1,0)))*$F5/12*(1-0.269))),IF(OD$1=$G5,($E5+($E5*(DAY($I5)/DAY(EOMONTH(OD$1,0)))*$F5/12*(1-0.269))),IFERROR(IF($I5&lt;OD$1,0,IF(OD$1&gt;$I5,(($F5/12)*$E5)*(DAY($I5)/DAY(EOMONTH(OD$1,0)))*(1-26.9/100)+$E5,IF(AND(OD$1&gt;=$G5,OD$1&lt;$I5),(($F5/12)*$E5)*(1-26.9/100),""))-IF(OD$1=EOMONTH($G5,0),$E5,"0")),0)+IF(OD$1=EOMONTH($I5,0),($E5+($E5*(DAY($I5)/DAY(EOMONTH(OD$1,0)))*$F5/12*(1-0.269))),"0"))),0)</f>
        <v>0</v>
      </c>
      <c r="OE5" s="135">
        <f t="shared" si="29"/>
        <v>0</v>
      </c>
      <c r="OF5" s="135">
        <f t="shared" si="29"/>
        <v>0</v>
      </c>
      <c r="OG5" s="135">
        <f t="shared" si="29"/>
        <v>0</v>
      </c>
      <c r="OH5" s="135">
        <f t="shared" si="29"/>
        <v>0</v>
      </c>
      <c r="OI5" s="135">
        <f t="shared" si="29"/>
        <v>0</v>
      </c>
      <c r="OJ5" s="135">
        <f t="shared" si="29"/>
        <v>0</v>
      </c>
      <c r="OK5" s="135">
        <f t="shared" si="29"/>
        <v>0</v>
      </c>
      <c r="OL5" s="135">
        <f t="shared" si="29"/>
        <v>0</v>
      </c>
      <c r="OM5" s="135">
        <f t="shared" si="29"/>
        <v>0</v>
      </c>
      <c r="ON5" s="135">
        <f t="shared" si="29"/>
        <v>0</v>
      </c>
      <c r="OO5" s="135">
        <f t="shared" si="29"/>
        <v>0</v>
      </c>
      <c r="OP5" s="135">
        <f t="shared" si="29"/>
        <v>0</v>
      </c>
      <c r="OQ5" s="135">
        <f t="shared" si="29"/>
        <v>0</v>
      </c>
      <c r="OR5" s="135">
        <f t="shared" si="29"/>
        <v>0</v>
      </c>
      <c r="OS5" s="135">
        <f t="shared" si="29"/>
        <v>0</v>
      </c>
      <c r="OT5" s="135">
        <f t="shared" si="29"/>
        <v>0</v>
      </c>
      <c r="OU5" s="135">
        <f t="shared" si="29"/>
        <v>0</v>
      </c>
      <c r="OV5" s="135">
        <f t="shared" si="29"/>
        <v>0</v>
      </c>
      <c r="OW5" s="135">
        <f t="shared" si="29"/>
        <v>0</v>
      </c>
      <c r="OX5" s="135">
        <f t="shared" si="29"/>
        <v>0</v>
      </c>
      <c r="OY5" s="135">
        <f t="shared" si="29"/>
        <v>0</v>
      </c>
      <c r="OZ5" s="135">
        <f t="shared" si="29"/>
        <v>0</v>
      </c>
      <c r="PA5" s="135">
        <f t="shared" si="29"/>
        <v>0</v>
      </c>
      <c r="PB5" s="135">
        <f t="shared" si="29"/>
        <v>0</v>
      </c>
      <c r="PC5" s="135">
        <f t="shared" si="29"/>
        <v>0</v>
      </c>
      <c r="PD5" s="135">
        <f t="shared" si="29"/>
        <v>0</v>
      </c>
      <c r="PE5" s="135">
        <f t="shared" si="29"/>
        <v>0</v>
      </c>
      <c r="PF5" s="135">
        <f t="shared" si="29"/>
        <v>0</v>
      </c>
      <c r="PG5" s="135">
        <f t="shared" si="29"/>
        <v>0</v>
      </c>
      <c r="PH5" s="135">
        <f t="shared" si="29"/>
        <v>0</v>
      </c>
      <c r="PI5" s="135">
        <f t="shared" si="29"/>
        <v>0</v>
      </c>
      <c r="PJ5" s="135">
        <f t="shared" si="29"/>
        <v>0</v>
      </c>
      <c r="PK5" s="135">
        <f t="shared" si="29"/>
        <v>0</v>
      </c>
      <c r="PL5" s="135">
        <f t="shared" si="29"/>
        <v>0</v>
      </c>
      <c r="PM5" s="135">
        <f t="shared" si="29"/>
        <v>0</v>
      </c>
      <c r="PN5" s="135">
        <f t="shared" si="29"/>
        <v>0</v>
      </c>
      <c r="PO5" s="135">
        <f t="shared" si="29"/>
        <v>0</v>
      </c>
      <c r="PP5" s="135">
        <f t="shared" si="29"/>
        <v>0</v>
      </c>
      <c r="PQ5" s="135">
        <f t="shared" si="29"/>
        <v>0</v>
      </c>
      <c r="PR5" s="135">
        <f t="shared" si="29"/>
        <v>0</v>
      </c>
      <c r="PS5" s="135">
        <f t="shared" si="29"/>
        <v>0</v>
      </c>
      <c r="PT5" s="135">
        <f t="shared" si="29"/>
        <v>0</v>
      </c>
      <c r="PU5" s="135">
        <f t="shared" si="29"/>
        <v>0</v>
      </c>
      <c r="PV5" s="135">
        <f t="shared" si="29"/>
        <v>0</v>
      </c>
      <c r="PW5" s="135">
        <f t="shared" si="29"/>
        <v>0</v>
      </c>
      <c r="PX5" s="135">
        <f t="shared" si="29"/>
        <v>0</v>
      </c>
      <c r="PY5" s="135">
        <f t="shared" si="29"/>
        <v>0</v>
      </c>
      <c r="PZ5" s="135">
        <f t="shared" si="29"/>
        <v>0</v>
      </c>
      <c r="QA5" s="135">
        <f t="shared" si="29"/>
        <v>0</v>
      </c>
      <c r="QB5" s="135">
        <f t="shared" si="29"/>
        <v>0</v>
      </c>
      <c r="QC5" s="135">
        <f t="shared" si="29"/>
        <v>0</v>
      </c>
      <c r="QD5" s="135">
        <f t="shared" si="29"/>
        <v>0</v>
      </c>
      <c r="QE5" s="135">
        <f t="shared" si="29"/>
        <v>0</v>
      </c>
      <c r="QF5" s="135">
        <f t="shared" si="29"/>
        <v>0</v>
      </c>
      <c r="QG5" s="135">
        <f t="shared" si="29"/>
        <v>0</v>
      </c>
      <c r="QH5" s="135">
        <f t="shared" si="29"/>
        <v>0</v>
      </c>
      <c r="QI5" s="135">
        <f t="shared" si="29"/>
        <v>0</v>
      </c>
      <c r="QJ5" s="135">
        <f t="shared" si="29"/>
        <v>0</v>
      </c>
      <c r="QK5" s="135">
        <f t="shared" si="29"/>
        <v>0</v>
      </c>
      <c r="QL5" s="135">
        <f t="shared" si="29"/>
        <v>0</v>
      </c>
      <c r="QM5" s="135">
        <f t="shared" si="29"/>
        <v>0</v>
      </c>
      <c r="QN5" s="135">
        <f t="shared" si="29"/>
        <v>0</v>
      </c>
      <c r="QO5" s="135">
        <f t="shared" si="29"/>
        <v>0</v>
      </c>
      <c r="QP5" s="135">
        <f>IFERROR(IF(QP$1=EOMONTH($G5,0),(-$E5+($E5*(DAY($G5)/DAY(EOMONTH(QP$1,0)))*$F5/12*(1-0.269))),IF(QP$1=$G5,($E5+($E5*(DAY($I5)/DAY(EOMONTH(QP$1,0)))*$F5/12*(1-0.269))),IFERROR(IF($I5&lt;QP$1,0,IF(QP$1&gt;$I5,(($F5/12)*$E5)*(DAY($I5)/DAY(EOMONTH(QP$1,0)))*(1-26.9/100)+$E5,IF(AND(QP$1&gt;=$G5,QP$1&lt;$I5),(($F5/12)*$E5)*(1-26.9/100),""))-IF(QP$1=EOMONTH($G5,0),$E5,"0")),0)+IF(QP$1=EOMONTH($I5,0),($E5+($E5*(DAY($I5)/DAY(EOMONTH(QP$1,0)))*$F5/12*(1-0.269))),"0"))),0)</f>
        <v>0</v>
      </c>
      <c r="QQ5" s="135">
        <f t="shared" si="23"/>
        <v>0</v>
      </c>
      <c r="QR5" s="135">
        <f t="shared" si="23"/>
        <v>0</v>
      </c>
      <c r="QS5" s="135">
        <f t="shared" si="23"/>
        <v>0</v>
      </c>
      <c r="QT5" s="135">
        <f t="shared" si="23"/>
        <v>0</v>
      </c>
      <c r="QU5" s="135">
        <f t="shared" si="23"/>
        <v>0</v>
      </c>
      <c r="QV5" s="135">
        <f t="shared" si="23"/>
        <v>0</v>
      </c>
      <c r="QW5" s="135">
        <f t="shared" si="23"/>
        <v>0</v>
      </c>
      <c r="QX5" s="135">
        <f t="shared" si="23"/>
        <v>0</v>
      </c>
      <c r="QY5" s="135">
        <f t="shared" si="23"/>
        <v>0</v>
      </c>
      <c r="QZ5" s="135">
        <f t="shared" si="23"/>
        <v>0</v>
      </c>
      <c r="RA5" s="135">
        <f t="shared" si="23"/>
        <v>0</v>
      </c>
      <c r="RB5" s="135">
        <f t="shared" si="23"/>
        <v>0</v>
      </c>
      <c r="RC5" s="135">
        <f t="shared" si="23"/>
        <v>0</v>
      </c>
      <c r="RD5" s="135">
        <f t="shared" si="23"/>
        <v>0</v>
      </c>
      <c r="RE5" s="135">
        <f t="shared" si="23"/>
        <v>0</v>
      </c>
      <c r="RF5" s="135">
        <f t="shared" si="23"/>
        <v>0</v>
      </c>
      <c r="RG5" s="135">
        <f t="shared" si="23"/>
        <v>0</v>
      </c>
      <c r="RH5" s="135">
        <f t="shared" si="23"/>
        <v>0</v>
      </c>
      <c r="RI5" s="135">
        <f t="shared" si="23"/>
        <v>0</v>
      </c>
      <c r="RJ5" s="135">
        <f t="shared" si="23"/>
        <v>0</v>
      </c>
      <c r="RK5" s="135">
        <f t="shared" si="23"/>
        <v>0</v>
      </c>
      <c r="RL5" s="135">
        <f t="shared" si="23"/>
        <v>0</v>
      </c>
      <c r="RM5" s="135">
        <f t="shared" si="23"/>
        <v>0</v>
      </c>
      <c r="RN5" s="135">
        <f t="shared" si="23"/>
        <v>0</v>
      </c>
      <c r="RO5" s="135">
        <f t="shared" si="23"/>
        <v>0</v>
      </c>
      <c r="RP5" s="135">
        <f t="shared" si="23"/>
        <v>0</v>
      </c>
      <c r="RQ5" s="135">
        <f t="shared" si="23"/>
        <v>0</v>
      </c>
      <c r="RR5" s="135">
        <f t="shared" si="23"/>
        <v>0</v>
      </c>
      <c r="RS5" s="135">
        <f t="shared" si="23"/>
        <v>0</v>
      </c>
      <c r="RT5" s="135">
        <f t="shared" si="23"/>
        <v>0</v>
      </c>
      <c r="RU5" s="135">
        <f t="shared" si="23"/>
        <v>0</v>
      </c>
      <c r="RV5" s="135">
        <f t="shared" si="23"/>
        <v>0</v>
      </c>
      <c r="RW5" s="135">
        <f t="shared" si="23"/>
        <v>0</v>
      </c>
      <c r="RX5" s="135">
        <f t="shared" si="23"/>
        <v>0</v>
      </c>
      <c r="RY5" s="135">
        <f t="shared" si="23"/>
        <v>0</v>
      </c>
      <c r="RZ5" s="135">
        <f t="shared" si="23"/>
        <v>0</v>
      </c>
      <c r="SA5" s="135">
        <f t="shared" si="23"/>
        <v>0</v>
      </c>
      <c r="SB5" s="135">
        <f t="shared" si="23"/>
        <v>0</v>
      </c>
      <c r="SC5" s="135">
        <f t="shared" si="23"/>
        <v>0</v>
      </c>
      <c r="SD5" s="135">
        <f t="shared" si="23"/>
        <v>0</v>
      </c>
      <c r="SE5" s="135">
        <f t="shared" si="23"/>
        <v>0</v>
      </c>
      <c r="SF5" s="135">
        <f t="shared" si="23"/>
        <v>0</v>
      </c>
      <c r="SG5" s="135">
        <f t="shared" si="23"/>
        <v>0</v>
      </c>
      <c r="SH5" s="135">
        <f t="shared" si="23"/>
        <v>0</v>
      </c>
      <c r="SI5" s="135">
        <f t="shared" si="23"/>
        <v>0</v>
      </c>
      <c r="SJ5" s="135">
        <f t="shared" si="23"/>
        <v>0</v>
      </c>
      <c r="SK5" s="135">
        <f t="shared" si="23"/>
        <v>0</v>
      </c>
      <c r="SL5" s="135">
        <f t="shared" si="23"/>
        <v>0</v>
      </c>
      <c r="SM5" s="135">
        <f t="shared" si="23"/>
        <v>0</v>
      </c>
      <c r="SN5" s="135">
        <f t="shared" si="23"/>
        <v>0</v>
      </c>
      <c r="SO5" s="135">
        <f t="shared" si="23"/>
        <v>0</v>
      </c>
      <c r="SP5" s="135">
        <f t="shared" si="23"/>
        <v>0</v>
      </c>
      <c r="SQ5" s="135">
        <f t="shared" si="23"/>
        <v>0</v>
      </c>
      <c r="SR5" s="135">
        <f t="shared" si="23"/>
        <v>0</v>
      </c>
      <c r="SS5" s="135">
        <f t="shared" si="23"/>
        <v>0</v>
      </c>
      <c r="ST5" s="135">
        <f t="shared" si="23"/>
        <v>0</v>
      </c>
      <c r="SU5" s="135">
        <f t="shared" si="23"/>
        <v>0</v>
      </c>
      <c r="SV5" s="135">
        <f t="shared" si="23"/>
        <v>0</v>
      </c>
      <c r="SW5" s="135">
        <f t="shared" si="23"/>
        <v>0</v>
      </c>
      <c r="SX5" s="135">
        <f t="shared" si="23"/>
        <v>0</v>
      </c>
      <c r="SY5" s="135">
        <f t="shared" si="23"/>
        <v>0</v>
      </c>
      <c r="SZ5" s="135">
        <f t="shared" si="23"/>
        <v>0</v>
      </c>
      <c r="TA5" s="135">
        <f t="shared" si="23"/>
        <v>0</v>
      </c>
      <c r="TB5" s="135">
        <f t="shared" ref="TB5:UK12" si="30">IFERROR(IF(TB$1=EOMONTH($G5,0),(-$E5+($E5*(DAY($G5)/DAY(EOMONTH(TB$1,0)))*$F5/12*(1-0.269))),IF(TB$1=$G5,($E5+($E5*(DAY($I5)/DAY(EOMONTH(TB$1,0)))*$F5/12*(1-0.269))),IFERROR(IF($I5&lt;TB$1,0,IF(TB$1&gt;$I5,(($F5/12)*$E5)*(DAY($I5)/DAY(EOMONTH(TB$1,0)))*(1-26.9/100)+$E5,IF(AND(TB$1&gt;=$G5,TB$1&lt;$I5),(($F5/12)*$E5)*(1-26.9/100),""))-IF(TB$1=EOMONTH($G5,0),$E5,"0")),0)+IF(TB$1=EOMONTH($I5,0),($E5+($E5*(DAY($I5)/DAY(EOMONTH(TB$1,0)))*$F5/12*(1-0.269))),"0"))),0)</f>
        <v>0</v>
      </c>
      <c r="TC5" s="135">
        <f t="shared" si="30"/>
        <v>0</v>
      </c>
      <c r="TD5" s="135">
        <f t="shared" si="30"/>
        <v>0</v>
      </c>
      <c r="TE5" s="135">
        <f t="shared" si="30"/>
        <v>0</v>
      </c>
      <c r="TF5" s="135">
        <f t="shared" si="30"/>
        <v>0</v>
      </c>
      <c r="TG5" s="135">
        <f t="shared" si="30"/>
        <v>0</v>
      </c>
      <c r="TH5" s="135">
        <f t="shared" si="30"/>
        <v>0</v>
      </c>
      <c r="TI5" s="135">
        <f t="shared" si="30"/>
        <v>0</v>
      </c>
      <c r="TJ5" s="135">
        <f t="shared" si="30"/>
        <v>0</v>
      </c>
      <c r="TK5" s="135">
        <f t="shared" si="30"/>
        <v>0</v>
      </c>
      <c r="TL5" s="135">
        <f t="shared" si="30"/>
        <v>0</v>
      </c>
      <c r="TM5" s="135">
        <f t="shared" si="30"/>
        <v>0</v>
      </c>
      <c r="TN5" s="135">
        <f t="shared" si="30"/>
        <v>0</v>
      </c>
      <c r="TO5" s="135">
        <f t="shared" si="30"/>
        <v>0</v>
      </c>
      <c r="TP5" s="135">
        <f t="shared" si="30"/>
        <v>0</v>
      </c>
      <c r="TQ5" s="135">
        <f t="shared" si="30"/>
        <v>0</v>
      </c>
      <c r="TR5" s="135">
        <f t="shared" si="30"/>
        <v>0</v>
      </c>
      <c r="TS5" s="135">
        <f t="shared" si="30"/>
        <v>0</v>
      </c>
      <c r="TT5" s="135">
        <f t="shared" si="30"/>
        <v>0</v>
      </c>
      <c r="TU5" s="135">
        <f t="shared" si="30"/>
        <v>0</v>
      </c>
      <c r="TV5" s="135">
        <f t="shared" si="30"/>
        <v>0</v>
      </c>
      <c r="TW5" s="135">
        <f t="shared" si="30"/>
        <v>0</v>
      </c>
      <c r="TX5" s="135">
        <f t="shared" si="30"/>
        <v>0</v>
      </c>
      <c r="TY5" s="135">
        <f t="shared" si="30"/>
        <v>0</v>
      </c>
      <c r="TZ5" s="135">
        <f t="shared" si="30"/>
        <v>0</v>
      </c>
      <c r="UA5" s="135">
        <f t="shared" si="30"/>
        <v>0</v>
      </c>
      <c r="UB5" s="135">
        <f t="shared" si="30"/>
        <v>0</v>
      </c>
      <c r="UC5" s="135">
        <f t="shared" si="30"/>
        <v>0</v>
      </c>
      <c r="UD5" s="135">
        <f t="shared" si="30"/>
        <v>0</v>
      </c>
      <c r="UE5" s="135">
        <f t="shared" si="30"/>
        <v>0</v>
      </c>
      <c r="UF5" s="135">
        <f t="shared" si="30"/>
        <v>0</v>
      </c>
      <c r="UG5" s="135">
        <f t="shared" si="30"/>
        <v>0</v>
      </c>
      <c r="UH5" s="135">
        <f t="shared" si="30"/>
        <v>0</v>
      </c>
      <c r="UI5" s="135">
        <f t="shared" si="30"/>
        <v>0</v>
      </c>
      <c r="UJ5" s="135">
        <f t="shared" si="30"/>
        <v>0</v>
      </c>
      <c r="UK5" s="135">
        <f t="shared" si="30"/>
        <v>0</v>
      </c>
    </row>
    <row r="6" spans="2:557">
      <c r="B6" t="str">
        <f>IF(Samenvatting!$F107&lt;&gt;0,Samenvatting!C107,"")</f>
        <v/>
      </c>
      <c r="C6" t="str">
        <f>IF(Samenvatting!$F107&lt;&gt;0,Samenvatting!D107,"")</f>
        <v/>
      </c>
      <c r="D6" t="str">
        <f>IF(Samenvatting!$F107&lt;&gt;0,Samenvatting!E107,"")</f>
        <v/>
      </c>
      <c r="E6" t="str">
        <f>IF(Samenvatting!$F107&lt;&gt;0,Samenvatting!F107,"")</f>
        <v/>
      </c>
      <c r="F6" t="str">
        <f>IF(Samenvatting!$F107&lt;&gt;0,Samenvatting!H107,"")</f>
        <v/>
      </c>
      <c r="G6" s="134" t="str">
        <f>IF(Samenvatting!$F107&lt;&gt;0,Samenvatting!I107,"")</f>
        <v/>
      </c>
      <c r="H6" t="str">
        <f>IF(Samenvatting!$F107&lt;&gt;0,Samenvatting!J107,"")</f>
        <v/>
      </c>
      <c r="I6" s="134" t="str">
        <f>IF(Samenvatting!$F107&lt;&gt;0,Samenvatting!K107,"")</f>
        <v/>
      </c>
      <c r="J6" s="135">
        <f t="shared" si="0"/>
        <v>0</v>
      </c>
      <c r="K6" s="135">
        <f t="shared" si="26"/>
        <v>0</v>
      </c>
      <c r="L6" s="135">
        <f t="shared" si="26"/>
        <v>0</v>
      </c>
      <c r="M6" s="135">
        <f t="shared" si="26"/>
        <v>0</v>
      </c>
      <c r="N6" s="135">
        <f t="shared" si="26"/>
        <v>0</v>
      </c>
      <c r="O6" s="135">
        <f t="shared" si="26"/>
        <v>0</v>
      </c>
      <c r="P6" s="135">
        <f t="shared" si="26"/>
        <v>0</v>
      </c>
      <c r="Q6" s="135">
        <f t="shared" si="26"/>
        <v>0</v>
      </c>
      <c r="R6" s="135">
        <f t="shared" si="26"/>
        <v>0</v>
      </c>
      <c r="S6" s="135">
        <f t="shared" si="26"/>
        <v>0</v>
      </c>
      <c r="T6" s="135">
        <f t="shared" si="26"/>
        <v>0</v>
      </c>
      <c r="U6" s="135">
        <f t="shared" si="26"/>
        <v>0</v>
      </c>
      <c r="V6" s="135">
        <f t="shared" si="26"/>
        <v>0</v>
      </c>
      <c r="W6" s="135">
        <f t="shared" si="26"/>
        <v>0</v>
      </c>
      <c r="X6" s="135">
        <f t="shared" si="26"/>
        <v>0</v>
      </c>
      <c r="Y6" s="135">
        <f t="shared" si="26"/>
        <v>0</v>
      </c>
      <c r="Z6" s="135">
        <f t="shared" si="26"/>
        <v>0</v>
      </c>
      <c r="AA6" s="135">
        <f t="shared" si="26"/>
        <v>0</v>
      </c>
      <c r="AB6" s="135">
        <f t="shared" si="26"/>
        <v>0</v>
      </c>
      <c r="AC6" s="135">
        <f t="shared" si="26"/>
        <v>0</v>
      </c>
      <c r="AD6" s="135">
        <f t="shared" si="26"/>
        <v>0</v>
      </c>
      <c r="AE6" s="135">
        <f t="shared" si="26"/>
        <v>0</v>
      </c>
      <c r="AF6" s="135">
        <f t="shared" si="26"/>
        <v>0</v>
      </c>
      <c r="AG6" s="135">
        <f t="shared" si="26"/>
        <v>0</v>
      </c>
      <c r="AH6" s="135">
        <f t="shared" si="26"/>
        <v>0</v>
      </c>
      <c r="AI6" s="135">
        <f t="shared" si="26"/>
        <v>0</v>
      </c>
      <c r="AJ6" s="135">
        <f t="shared" si="26"/>
        <v>0</v>
      </c>
      <c r="AK6" s="135">
        <f t="shared" si="26"/>
        <v>0</v>
      </c>
      <c r="AL6" s="135">
        <f t="shared" si="26"/>
        <v>0</v>
      </c>
      <c r="AM6" s="135">
        <f t="shared" si="26"/>
        <v>0</v>
      </c>
      <c r="AN6" s="135">
        <f t="shared" si="26"/>
        <v>0</v>
      </c>
      <c r="AO6" s="135">
        <f t="shared" si="26"/>
        <v>0</v>
      </c>
      <c r="AP6" s="135">
        <f t="shared" si="26"/>
        <v>0</v>
      </c>
      <c r="AQ6" s="135">
        <f t="shared" si="26"/>
        <v>0</v>
      </c>
      <c r="AR6" s="135">
        <f t="shared" si="26"/>
        <v>0</v>
      </c>
      <c r="AS6" s="135">
        <f t="shared" si="26"/>
        <v>0</v>
      </c>
      <c r="AT6" s="135">
        <f t="shared" si="26"/>
        <v>0</v>
      </c>
      <c r="AU6" s="135">
        <f t="shared" si="26"/>
        <v>0</v>
      </c>
      <c r="AV6" s="135">
        <f t="shared" si="26"/>
        <v>0</v>
      </c>
      <c r="AW6" s="135">
        <f t="shared" si="26"/>
        <v>0</v>
      </c>
      <c r="AX6" s="135">
        <f t="shared" si="26"/>
        <v>0</v>
      </c>
      <c r="AY6" s="135">
        <f t="shared" si="26"/>
        <v>0</v>
      </c>
      <c r="AZ6" s="135">
        <f t="shared" si="26"/>
        <v>0</v>
      </c>
      <c r="BA6" s="135">
        <f t="shared" si="26"/>
        <v>0</v>
      </c>
      <c r="BB6" s="135">
        <f t="shared" si="26"/>
        <v>0</v>
      </c>
      <c r="BC6" s="135">
        <f t="shared" si="26"/>
        <v>0</v>
      </c>
      <c r="BD6" s="135">
        <f t="shared" si="26"/>
        <v>0</v>
      </c>
      <c r="BE6" s="135">
        <f t="shared" si="26"/>
        <v>0</v>
      </c>
      <c r="BF6" s="135">
        <f t="shared" si="26"/>
        <v>0</v>
      </c>
      <c r="BG6" s="135">
        <f t="shared" si="26"/>
        <v>0</v>
      </c>
      <c r="BH6" s="135">
        <f t="shared" si="26"/>
        <v>0</v>
      </c>
      <c r="BI6" s="135">
        <f t="shared" si="26"/>
        <v>0</v>
      </c>
      <c r="BJ6" s="135">
        <f t="shared" si="26"/>
        <v>0</v>
      </c>
      <c r="BK6" s="135">
        <f t="shared" si="26"/>
        <v>0</v>
      </c>
      <c r="BL6" s="135">
        <f t="shared" si="26"/>
        <v>0</v>
      </c>
      <c r="BM6" s="135">
        <f t="shared" si="26"/>
        <v>0</v>
      </c>
      <c r="BN6" s="135">
        <f t="shared" si="26"/>
        <v>0</v>
      </c>
      <c r="BO6" s="135">
        <f t="shared" si="26"/>
        <v>0</v>
      </c>
      <c r="BP6" s="135">
        <f t="shared" si="26"/>
        <v>0</v>
      </c>
      <c r="BQ6" s="135">
        <f t="shared" si="26"/>
        <v>0</v>
      </c>
      <c r="BR6" s="135">
        <f t="shared" si="26"/>
        <v>0</v>
      </c>
      <c r="BS6" s="135">
        <f t="shared" si="26"/>
        <v>0</v>
      </c>
      <c r="BT6" s="135">
        <f t="shared" si="26"/>
        <v>0</v>
      </c>
      <c r="BU6" s="135">
        <f t="shared" si="26"/>
        <v>0</v>
      </c>
      <c r="BV6" s="135">
        <f t="shared" si="26"/>
        <v>0</v>
      </c>
      <c r="BW6" s="135">
        <f t="shared" ref="BW6:DB6" si="31">IFERROR(IF(BW$1=EOMONTH($G6,0),(-$E6+($E6*(DAY($G6)/DAY(EOMONTH(BW$1,0)))*$F6/12*(1-0.269))),IF(BW$1=$G6,($E6+($E6*(DAY($I6)/DAY(EOMONTH(BW$1,0)))*$F6/12*(1-0.269))),IFERROR(IF($I6&lt;BW$1,0,IF(BW$1&gt;$I6,(($F6/12)*$E6)*(DAY($I6)/DAY(EOMONTH(BW$1,0)))*(1-26.9/100)+$E6,IF(AND(BW$1&gt;=$G6,BW$1&lt;$I6),(($F6/12)*$E6)*(1-26.9/100),""))-IF(BW$1=EOMONTH($G6,0),$E6,"0")),0)+IF(BW$1=EOMONTH($I6,0),($E6+($E6*(DAY($I6)/DAY(EOMONTH(BW$1,0)))*$F6/12*(1-0.269))),"0"))),0)</f>
        <v>0</v>
      </c>
      <c r="BX6" s="135">
        <f t="shared" si="31"/>
        <v>0</v>
      </c>
      <c r="BY6" s="135">
        <f t="shared" si="31"/>
        <v>0</v>
      </c>
      <c r="BZ6" s="135">
        <f t="shared" si="31"/>
        <v>0</v>
      </c>
      <c r="CA6" s="135">
        <f t="shared" si="31"/>
        <v>0</v>
      </c>
      <c r="CB6" s="135">
        <f t="shared" si="31"/>
        <v>0</v>
      </c>
      <c r="CC6" s="135">
        <f t="shared" si="31"/>
        <v>0</v>
      </c>
      <c r="CD6" s="135">
        <f t="shared" si="31"/>
        <v>0</v>
      </c>
      <c r="CE6" s="135">
        <f t="shared" si="31"/>
        <v>0</v>
      </c>
      <c r="CF6" s="135">
        <f t="shared" si="31"/>
        <v>0</v>
      </c>
      <c r="CG6" s="135">
        <f t="shared" si="31"/>
        <v>0</v>
      </c>
      <c r="CH6" s="135">
        <f t="shared" si="31"/>
        <v>0</v>
      </c>
      <c r="CI6" s="135">
        <f t="shared" si="31"/>
        <v>0</v>
      </c>
      <c r="CJ6" s="135">
        <f t="shared" si="31"/>
        <v>0</v>
      </c>
      <c r="CK6" s="135">
        <f t="shared" si="31"/>
        <v>0</v>
      </c>
      <c r="CL6" s="135">
        <f t="shared" si="31"/>
        <v>0</v>
      </c>
      <c r="CM6" s="135">
        <f t="shared" si="31"/>
        <v>0</v>
      </c>
      <c r="CN6" s="135">
        <f t="shared" si="31"/>
        <v>0</v>
      </c>
      <c r="CO6" s="135">
        <f t="shared" si="31"/>
        <v>0</v>
      </c>
      <c r="CP6" s="135">
        <f t="shared" si="31"/>
        <v>0</v>
      </c>
      <c r="CQ6" s="135">
        <f t="shared" si="31"/>
        <v>0</v>
      </c>
      <c r="CR6" s="135">
        <f t="shared" si="31"/>
        <v>0</v>
      </c>
      <c r="CS6" s="135">
        <f t="shared" si="31"/>
        <v>0</v>
      </c>
      <c r="CT6" s="135">
        <f t="shared" si="31"/>
        <v>0</v>
      </c>
      <c r="CU6" s="135">
        <f t="shared" si="31"/>
        <v>0</v>
      </c>
      <c r="CV6" s="135">
        <f t="shared" si="31"/>
        <v>0</v>
      </c>
      <c r="CW6" s="135">
        <f t="shared" si="31"/>
        <v>0</v>
      </c>
      <c r="CX6" s="135">
        <f t="shared" si="31"/>
        <v>0</v>
      </c>
      <c r="CY6" s="135">
        <f t="shared" si="31"/>
        <v>0</v>
      </c>
      <c r="CZ6" s="135">
        <f t="shared" si="31"/>
        <v>0</v>
      </c>
      <c r="DA6" s="135">
        <f t="shared" si="31"/>
        <v>0</v>
      </c>
      <c r="DB6" s="135">
        <f t="shared" si="31"/>
        <v>0</v>
      </c>
      <c r="DC6" s="135">
        <f t="shared" ref="DC6:EH6" si="32">IFERROR(IF(DC$1=EOMONTH($G6,0),(-$E6+($E6*(DAY($G6)/DAY(EOMONTH(DC$1,0)))*$F6/12*(1-0.269))),IF(DC$1=$G6,($E6+($E6*(DAY($I6)/DAY(EOMONTH(DC$1,0)))*$F6/12*(1-0.269))),IFERROR(IF($I6&lt;DC$1,0,IF(DC$1&gt;$I6,(($F6/12)*$E6)*(DAY($I6)/DAY(EOMONTH(DC$1,0)))*(1-26.9/100)+$E6,IF(AND(DC$1&gt;=$G6,DC$1&lt;$I6),(($F6/12)*$E6)*(1-26.9/100),""))-IF(DC$1=EOMONTH($G6,0),$E6,"0")),0)+IF(DC$1=EOMONTH($I6,0),($E6+($E6*(DAY($I6)/DAY(EOMONTH(DC$1,0)))*$F6/12*(1-0.269))),"0"))),0)</f>
        <v>0</v>
      </c>
      <c r="DD6" s="135">
        <f t="shared" si="32"/>
        <v>0</v>
      </c>
      <c r="DE6" s="135">
        <f t="shared" si="32"/>
        <v>0</v>
      </c>
      <c r="DF6" s="135">
        <f t="shared" si="32"/>
        <v>0</v>
      </c>
      <c r="DG6" s="135">
        <f t="shared" si="32"/>
        <v>0</v>
      </c>
      <c r="DH6" s="135">
        <f t="shared" si="32"/>
        <v>0</v>
      </c>
      <c r="DI6" s="135">
        <f t="shared" si="32"/>
        <v>0</v>
      </c>
      <c r="DJ6" s="135">
        <f t="shared" si="32"/>
        <v>0</v>
      </c>
      <c r="DK6" s="135">
        <f t="shared" si="32"/>
        <v>0</v>
      </c>
      <c r="DL6" s="135">
        <f t="shared" si="32"/>
        <v>0</v>
      </c>
      <c r="DM6" s="135">
        <f t="shared" si="32"/>
        <v>0</v>
      </c>
      <c r="DN6" s="135">
        <f t="shared" si="32"/>
        <v>0</v>
      </c>
      <c r="DO6" s="135">
        <f t="shared" si="32"/>
        <v>0</v>
      </c>
      <c r="DP6" s="135">
        <f t="shared" si="32"/>
        <v>0</v>
      </c>
      <c r="DQ6" s="135">
        <f t="shared" si="32"/>
        <v>0</v>
      </c>
      <c r="DR6" s="135">
        <f t="shared" si="32"/>
        <v>0</v>
      </c>
      <c r="DS6" s="135">
        <f t="shared" si="32"/>
        <v>0</v>
      </c>
      <c r="DT6" s="135">
        <f t="shared" si="32"/>
        <v>0</v>
      </c>
      <c r="DU6" s="135">
        <f t="shared" si="32"/>
        <v>0</v>
      </c>
      <c r="DV6" s="135">
        <f t="shared" si="32"/>
        <v>0</v>
      </c>
      <c r="DW6" s="135">
        <f t="shared" si="32"/>
        <v>0</v>
      </c>
      <c r="DX6" s="135">
        <f t="shared" si="32"/>
        <v>0</v>
      </c>
      <c r="DY6" s="135">
        <f t="shared" si="32"/>
        <v>0</v>
      </c>
      <c r="DZ6" s="135">
        <f t="shared" si="32"/>
        <v>0</v>
      </c>
      <c r="EA6" s="135">
        <f t="shared" si="32"/>
        <v>0</v>
      </c>
      <c r="EB6" s="135">
        <f t="shared" si="32"/>
        <v>0</v>
      </c>
      <c r="EC6" s="135">
        <f t="shared" si="32"/>
        <v>0</v>
      </c>
      <c r="ED6" s="135">
        <f t="shared" si="32"/>
        <v>0</v>
      </c>
      <c r="EE6" s="135">
        <f t="shared" si="32"/>
        <v>0</v>
      </c>
      <c r="EF6" s="135">
        <f t="shared" si="32"/>
        <v>0</v>
      </c>
      <c r="EG6" s="135">
        <f t="shared" si="32"/>
        <v>0</v>
      </c>
      <c r="EH6" s="135">
        <f t="shared" si="32"/>
        <v>0</v>
      </c>
      <c r="EI6" s="135">
        <f t="shared" si="27"/>
        <v>0</v>
      </c>
      <c r="EJ6" s="135">
        <f t="shared" si="27"/>
        <v>0</v>
      </c>
      <c r="EK6" s="135">
        <f t="shared" si="27"/>
        <v>0</v>
      </c>
      <c r="EL6" s="135">
        <f t="shared" si="27"/>
        <v>0</v>
      </c>
      <c r="EM6" s="135">
        <f t="shared" si="27"/>
        <v>0</v>
      </c>
      <c r="EN6" s="135">
        <f t="shared" si="27"/>
        <v>0</v>
      </c>
      <c r="EO6" s="135">
        <f t="shared" si="27"/>
        <v>0</v>
      </c>
      <c r="EP6" s="135">
        <f t="shared" si="27"/>
        <v>0</v>
      </c>
      <c r="EQ6" s="135">
        <f t="shared" si="27"/>
        <v>0</v>
      </c>
      <c r="ER6" s="135">
        <f t="shared" si="27"/>
        <v>0</v>
      </c>
      <c r="ES6" s="135">
        <f t="shared" si="27"/>
        <v>0</v>
      </c>
      <c r="ET6" s="135">
        <f t="shared" si="27"/>
        <v>0</v>
      </c>
      <c r="EU6" s="135">
        <f t="shared" si="27"/>
        <v>0</v>
      </c>
      <c r="EV6" s="135">
        <f t="shared" si="27"/>
        <v>0</v>
      </c>
      <c r="EW6" s="135">
        <f t="shared" si="27"/>
        <v>0</v>
      </c>
      <c r="EX6" s="135">
        <f t="shared" si="27"/>
        <v>0</v>
      </c>
      <c r="EY6" s="135">
        <f t="shared" si="27"/>
        <v>0</v>
      </c>
      <c r="EZ6" s="135">
        <f t="shared" si="27"/>
        <v>0</v>
      </c>
      <c r="FA6" s="135">
        <f t="shared" si="27"/>
        <v>0</v>
      </c>
      <c r="FB6" s="135">
        <f t="shared" si="27"/>
        <v>0</v>
      </c>
      <c r="FC6" s="135">
        <f t="shared" si="27"/>
        <v>0</v>
      </c>
      <c r="FD6" s="135">
        <f t="shared" si="27"/>
        <v>0</v>
      </c>
      <c r="FE6" s="135">
        <f t="shared" si="27"/>
        <v>0</v>
      </c>
      <c r="FF6" s="135">
        <f t="shared" si="27"/>
        <v>0</v>
      </c>
      <c r="FG6" s="135">
        <f t="shared" si="27"/>
        <v>0</v>
      </c>
      <c r="FH6" s="135">
        <f t="shared" si="27"/>
        <v>0</v>
      </c>
      <c r="FI6" s="135">
        <f t="shared" si="27"/>
        <v>0</v>
      </c>
      <c r="FJ6" s="135">
        <f t="shared" si="27"/>
        <v>0</v>
      </c>
      <c r="FK6" s="135">
        <f t="shared" si="27"/>
        <v>0</v>
      </c>
      <c r="FL6" s="135">
        <f t="shared" si="27"/>
        <v>0</v>
      </c>
      <c r="FM6" s="135">
        <f t="shared" si="27"/>
        <v>0</v>
      </c>
      <c r="FN6" s="135">
        <f t="shared" si="27"/>
        <v>0</v>
      </c>
      <c r="FO6" s="135">
        <f t="shared" si="27"/>
        <v>0</v>
      </c>
      <c r="FP6" s="135">
        <f t="shared" si="27"/>
        <v>0</v>
      </c>
      <c r="FQ6" s="135">
        <f t="shared" si="27"/>
        <v>0</v>
      </c>
      <c r="FR6" s="135">
        <f t="shared" si="27"/>
        <v>0</v>
      </c>
      <c r="FS6" s="135">
        <f t="shared" si="27"/>
        <v>0</v>
      </c>
      <c r="FT6" s="135">
        <f t="shared" si="27"/>
        <v>0</v>
      </c>
      <c r="FU6" s="135">
        <f t="shared" si="27"/>
        <v>0</v>
      </c>
      <c r="FV6" s="135">
        <f t="shared" si="27"/>
        <v>0</v>
      </c>
      <c r="FW6" s="135">
        <f t="shared" si="27"/>
        <v>0</v>
      </c>
      <c r="FX6" s="135">
        <f t="shared" si="27"/>
        <v>0</v>
      </c>
      <c r="FY6" s="135">
        <f t="shared" si="27"/>
        <v>0</v>
      </c>
      <c r="FZ6" s="135">
        <f t="shared" si="27"/>
        <v>0</v>
      </c>
      <c r="GA6" s="135">
        <f t="shared" si="27"/>
        <v>0</v>
      </c>
      <c r="GB6" s="135">
        <f t="shared" si="27"/>
        <v>0</v>
      </c>
      <c r="GC6" s="135">
        <f t="shared" si="27"/>
        <v>0</v>
      </c>
      <c r="GD6" s="135">
        <f t="shared" si="27"/>
        <v>0</v>
      </c>
      <c r="GE6" s="135">
        <f t="shared" si="27"/>
        <v>0</v>
      </c>
      <c r="GF6" s="135">
        <f t="shared" si="27"/>
        <v>0</v>
      </c>
      <c r="GG6" s="135">
        <f t="shared" si="27"/>
        <v>0</v>
      </c>
      <c r="GH6" s="135">
        <f t="shared" si="27"/>
        <v>0</v>
      </c>
      <c r="GI6" s="135">
        <f t="shared" si="27"/>
        <v>0</v>
      </c>
      <c r="GJ6" s="135">
        <f t="shared" si="27"/>
        <v>0</v>
      </c>
      <c r="GK6" s="135">
        <f t="shared" si="27"/>
        <v>0</v>
      </c>
      <c r="GL6" s="135">
        <f t="shared" si="27"/>
        <v>0</v>
      </c>
      <c r="GM6" s="135">
        <f t="shared" si="27"/>
        <v>0</v>
      </c>
      <c r="GN6" s="135">
        <f t="shared" si="27"/>
        <v>0</v>
      </c>
      <c r="GO6" s="135">
        <f t="shared" si="27"/>
        <v>0</v>
      </c>
      <c r="GP6" s="135">
        <f t="shared" si="27"/>
        <v>0</v>
      </c>
      <c r="GQ6" s="135">
        <f t="shared" si="27"/>
        <v>0</v>
      </c>
      <c r="GR6" s="135">
        <f t="shared" si="27"/>
        <v>0</v>
      </c>
      <c r="GS6" s="135">
        <f t="shared" si="27"/>
        <v>0</v>
      </c>
      <c r="GT6" s="135">
        <f>IFERROR(IF(GT$1=EOMONTH($G6,0),(-$E6+($E6*(DAY($G6)/DAY(EOMONTH(GT$1,0)))*$F6/12*(1-0.269))),IF(GT$1=$G6,($E6+($E6*(DAY($I6)/DAY(EOMONTH(GT$1,0)))*$F6/12*(1-0.269))),IFERROR(IF($I6&lt;GT$1,0,IF(GT$1&gt;$I6,(($F6/12)*$E6)*(DAY($I6)/DAY(EOMONTH(GT$1,0)))*(1-26.9/100)+$E6,IF(AND(GT$1&gt;=$G6,GT$1&lt;$I6),(($F6/12)*$E6)*(1-26.9/100),""))-IF(GT$1=EOMONTH($G6,0),$E6,"0")),0)+IF(GT$1=EOMONTH($I6,0),($E6+($E6*(DAY($I6)/DAY(EOMONTH(GT$1,0)))*$F6/12*(1-0.269))),"0"))),0)</f>
        <v>0</v>
      </c>
      <c r="GU6" s="135">
        <f t="shared" ref="GU6:JF10" si="33">IFERROR(IF(GU$1=EOMONTH($G6,0),(-$E6+($E6*(DAY($G6)/DAY(EOMONTH(GU$1,0)))*$F6/12*(1-0.269))),IF(GU$1=$G6,($E6+($E6*(DAY($I6)/DAY(EOMONTH(GU$1,0)))*$F6/12*(1-0.269))),IFERROR(IF($I6&lt;GU$1,0,IF(GU$1&gt;$I6,(($F6/12)*$E6)*(DAY($I6)/DAY(EOMONTH(GU$1,0)))*(1-26.9/100)+$E6,IF(AND(GU$1&gt;=$G6,GU$1&lt;$I6),(($F6/12)*$E6)*(1-26.9/100),""))-IF(GU$1=EOMONTH($G6,0),$E6,"0")),0)+IF(GU$1=EOMONTH($I6,0),($E6+($E6*(DAY($I6)/DAY(EOMONTH(GU$1,0)))*$F6/12*(1-0.269))),"0"))),0)</f>
        <v>0</v>
      </c>
      <c r="GV6" s="135">
        <f t="shared" si="33"/>
        <v>0</v>
      </c>
      <c r="GW6" s="135">
        <f t="shared" si="33"/>
        <v>0</v>
      </c>
      <c r="GX6" s="135">
        <f t="shared" si="33"/>
        <v>0</v>
      </c>
      <c r="GY6" s="135">
        <f t="shared" si="33"/>
        <v>0</v>
      </c>
      <c r="GZ6" s="135">
        <f t="shared" si="33"/>
        <v>0</v>
      </c>
      <c r="HA6" s="135">
        <f t="shared" si="33"/>
        <v>0</v>
      </c>
      <c r="HB6" s="135">
        <f t="shared" si="33"/>
        <v>0</v>
      </c>
      <c r="HC6" s="135">
        <f t="shared" si="33"/>
        <v>0</v>
      </c>
      <c r="HD6" s="135">
        <f t="shared" si="33"/>
        <v>0</v>
      </c>
      <c r="HE6" s="135">
        <f t="shared" si="33"/>
        <v>0</v>
      </c>
      <c r="HF6" s="135">
        <f t="shared" si="33"/>
        <v>0</v>
      </c>
      <c r="HG6" s="135">
        <f t="shared" si="33"/>
        <v>0</v>
      </c>
      <c r="HH6" s="135">
        <f t="shared" si="33"/>
        <v>0</v>
      </c>
      <c r="HI6" s="135">
        <f t="shared" si="33"/>
        <v>0</v>
      </c>
      <c r="HJ6" s="135">
        <f t="shared" si="33"/>
        <v>0</v>
      </c>
      <c r="HK6" s="135">
        <f t="shared" si="33"/>
        <v>0</v>
      </c>
      <c r="HL6" s="135">
        <f t="shared" si="33"/>
        <v>0</v>
      </c>
      <c r="HM6" s="135">
        <f t="shared" si="33"/>
        <v>0</v>
      </c>
      <c r="HN6" s="135">
        <f t="shared" si="33"/>
        <v>0</v>
      </c>
      <c r="HO6" s="135">
        <f t="shared" si="33"/>
        <v>0</v>
      </c>
      <c r="HP6" s="135">
        <f t="shared" si="33"/>
        <v>0</v>
      </c>
      <c r="HQ6" s="135">
        <f t="shared" si="33"/>
        <v>0</v>
      </c>
      <c r="HR6" s="135">
        <f t="shared" si="33"/>
        <v>0</v>
      </c>
      <c r="HS6" s="135">
        <f t="shared" si="33"/>
        <v>0</v>
      </c>
      <c r="HT6" s="135">
        <f t="shared" si="33"/>
        <v>0</v>
      </c>
      <c r="HU6" s="135">
        <f t="shared" si="33"/>
        <v>0</v>
      </c>
      <c r="HV6" s="135">
        <f t="shared" si="33"/>
        <v>0</v>
      </c>
      <c r="HW6" s="135">
        <f t="shared" si="33"/>
        <v>0</v>
      </c>
      <c r="HX6" s="135">
        <f t="shared" si="33"/>
        <v>0</v>
      </c>
      <c r="HY6" s="135">
        <f t="shared" si="33"/>
        <v>0</v>
      </c>
      <c r="HZ6" s="135">
        <f t="shared" si="33"/>
        <v>0</v>
      </c>
      <c r="IA6" s="135">
        <f t="shared" si="33"/>
        <v>0</v>
      </c>
      <c r="IB6" s="135">
        <f t="shared" si="33"/>
        <v>0</v>
      </c>
      <c r="IC6" s="135">
        <f t="shared" si="33"/>
        <v>0</v>
      </c>
      <c r="ID6" s="135">
        <f t="shared" si="33"/>
        <v>0</v>
      </c>
      <c r="IE6" s="135">
        <f t="shared" si="33"/>
        <v>0</v>
      </c>
      <c r="IF6" s="135">
        <f t="shared" si="33"/>
        <v>0</v>
      </c>
      <c r="IG6" s="135">
        <f t="shared" si="33"/>
        <v>0</v>
      </c>
      <c r="IH6" s="135">
        <f t="shared" si="33"/>
        <v>0</v>
      </c>
      <c r="II6" s="135">
        <f t="shared" si="33"/>
        <v>0</v>
      </c>
      <c r="IJ6" s="135">
        <f t="shared" si="33"/>
        <v>0</v>
      </c>
      <c r="IK6" s="135">
        <f t="shared" si="33"/>
        <v>0</v>
      </c>
      <c r="IL6" s="135">
        <f t="shared" si="33"/>
        <v>0</v>
      </c>
      <c r="IM6" s="135">
        <f t="shared" si="33"/>
        <v>0</v>
      </c>
      <c r="IN6" s="135">
        <f t="shared" si="33"/>
        <v>0</v>
      </c>
      <c r="IO6" s="135">
        <f t="shared" si="33"/>
        <v>0</v>
      </c>
      <c r="IP6" s="135">
        <f t="shared" si="33"/>
        <v>0</v>
      </c>
      <c r="IQ6" s="135">
        <f t="shared" si="33"/>
        <v>0</v>
      </c>
      <c r="IR6" s="135">
        <f t="shared" si="33"/>
        <v>0</v>
      </c>
      <c r="IS6" s="135">
        <f t="shared" si="33"/>
        <v>0</v>
      </c>
      <c r="IT6" s="135">
        <f t="shared" si="33"/>
        <v>0</v>
      </c>
      <c r="IU6" s="135">
        <f t="shared" si="33"/>
        <v>0</v>
      </c>
      <c r="IV6" s="135">
        <f t="shared" si="33"/>
        <v>0</v>
      </c>
      <c r="IW6" s="135">
        <f t="shared" si="33"/>
        <v>0</v>
      </c>
      <c r="IX6" s="135">
        <f t="shared" si="33"/>
        <v>0</v>
      </c>
      <c r="IY6" s="135">
        <f t="shared" si="33"/>
        <v>0</v>
      </c>
      <c r="IZ6" s="135">
        <f t="shared" si="33"/>
        <v>0</v>
      </c>
      <c r="JA6" s="135">
        <f t="shared" si="33"/>
        <v>0</v>
      </c>
      <c r="JB6" s="135">
        <f t="shared" si="33"/>
        <v>0</v>
      </c>
      <c r="JC6" s="135">
        <f t="shared" si="33"/>
        <v>0</v>
      </c>
      <c r="JD6" s="135">
        <f t="shared" si="33"/>
        <v>0</v>
      </c>
      <c r="JE6" s="135">
        <f t="shared" si="33"/>
        <v>0</v>
      </c>
      <c r="JF6" s="135">
        <f t="shared" si="33"/>
        <v>0</v>
      </c>
      <c r="JG6" s="135">
        <f t="shared" si="28"/>
        <v>0</v>
      </c>
      <c r="JH6" s="135">
        <f t="shared" si="28"/>
        <v>0</v>
      </c>
      <c r="JI6" s="135">
        <f t="shared" si="28"/>
        <v>0</v>
      </c>
      <c r="JJ6" s="135">
        <f t="shared" si="28"/>
        <v>0</v>
      </c>
      <c r="JK6" s="135">
        <f t="shared" si="28"/>
        <v>0</v>
      </c>
      <c r="JL6" s="135">
        <f t="shared" si="28"/>
        <v>0</v>
      </c>
      <c r="JM6" s="135">
        <f t="shared" si="28"/>
        <v>0</v>
      </c>
      <c r="JN6" s="135">
        <f t="shared" si="28"/>
        <v>0</v>
      </c>
      <c r="JO6" s="135">
        <f t="shared" si="28"/>
        <v>0</v>
      </c>
      <c r="JP6" s="135">
        <f t="shared" si="28"/>
        <v>0</v>
      </c>
      <c r="JQ6" s="135">
        <f t="shared" si="28"/>
        <v>0</v>
      </c>
      <c r="JR6" s="135">
        <f t="shared" si="28"/>
        <v>0</v>
      </c>
      <c r="JS6" s="135">
        <f t="shared" si="28"/>
        <v>0</v>
      </c>
      <c r="JT6" s="135">
        <f t="shared" si="28"/>
        <v>0</v>
      </c>
      <c r="JU6" s="135">
        <f t="shared" si="28"/>
        <v>0</v>
      </c>
      <c r="JV6" s="135">
        <f t="shared" si="28"/>
        <v>0</v>
      </c>
      <c r="JW6" s="135">
        <f t="shared" si="28"/>
        <v>0</v>
      </c>
      <c r="JX6" s="135">
        <f t="shared" si="28"/>
        <v>0</v>
      </c>
      <c r="JY6" s="135">
        <f t="shared" si="28"/>
        <v>0</v>
      </c>
      <c r="JZ6" s="135">
        <f t="shared" si="28"/>
        <v>0</v>
      </c>
      <c r="KA6" s="135">
        <f t="shared" si="28"/>
        <v>0</v>
      </c>
      <c r="KB6" s="135">
        <f t="shared" si="28"/>
        <v>0</v>
      </c>
      <c r="KC6" s="135">
        <f t="shared" si="28"/>
        <v>0</v>
      </c>
      <c r="KD6" s="135">
        <f t="shared" si="28"/>
        <v>0</v>
      </c>
      <c r="KE6" s="135">
        <f t="shared" si="28"/>
        <v>0</v>
      </c>
      <c r="KF6" s="135">
        <f t="shared" si="28"/>
        <v>0</v>
      </c>
      <c r="KG6" s="135">
        <f t="shared" si="28"/>
        <v>0</v>
      </c>
      <c r="KH6" s="135">
        <f t="shared" si="28"/>
        <v>0</v>
      </c>
      <c r="KI6" s="135">
        <f t="shared" si="28"/>
        <v>0</v>
      </c>
      <c r="KJ6" s="135">
        <f t="shared" si="28"/>
        <v>0</v>
      </c>
      <c r="KK6" s="135">
        <f t="shared" si="28"/>
        <v>0</v>
      </c>
      <c r="KL6" s="135">
        <f t="shared" si="28"/>
        <v>0</v>
      </c>
      <c r="KM6" s="135">
        <f t="shared" si="28"/>
        <v>0</v>
      </c>
      <c r="KN6" s="135">
        <f t="shared" si="28"/>
        <v>0</v>
      </c>
      <c r="KO6" s="135">
        <f t="shared" si="28"/>
        <v>0</v>
      </c>
      <c r="KP6" s="135">
        <f t="shared" si="28"/>
        <v>0</v>
      </c>
      <c r="KQ6" s="135">
        <f t="shared" si="28"/>
        <v>0</v>
      </c>
      <c r="KR6" s="135">
        <f t="shared" si="28"/>
        <v>0</v>
      </c>
      <c r="KS6" s="135">
        <f t="shared" si="28"/>
        <v>0</v>
      </c>
      <c r="KT6" s="135">
        <f t="shared" si="28"/>
        <v>0</v>
      </c>
      <c r="KU6" s="135">
        <f t="shared" si="28"/>
        <v>0</v>
      </c>
      <c r="KV6" s="135">
        <f t="shared" si="28"/>
        <v>0</v>
      </c>
      <c r="KW6" s="135">
        <f t="shared" si="28"/>
        <v>0</v>
      </c>
      <c r="KX6" s="135">
        <f t="shared" si="28"/>
        <v>0</v>
      </c>
      <c r="KY6" s="135">
        <f t="shared" si="28"/>
        <v>0</v>
      </c>
      <c r="KZ6" s="135">
        <f t="shared" si="28"/>
        <v>0</v>
      </c>
      <c r="LA6" s="135">
        <f t="shared" si="28"/>
        <v>0</v>
      </c>
      <c r="LB6" s="135">
        <f t="shared" si="28"/>
        <v>0</v>
      </c>
      <c r="LC6" s="135">
        <f t="shared" si="28"/>
        <v>0</v>
      </c>
      <c r="LD6" s="135">
        <f t="shared" si="28"/>
        <v>0</v>
      </c>
      <c r="LE6" s="135">
        <f t="shared" si="28"/>
        <v>0</v>
      </c>
      <c r="LF6" s="135">
        <f t="shared" si="28"/>
        <v>0</v>
      </c>
      <c r="LG6" s="135">
        <f t="shared" si="28"/>
        <v>0</v>
      </c>
      <c r="LH6" s="135">
        <f t="shared" si="28"/>
        <v>0</v>
      </c>
      <c r="LI6" s="135">
        <f t="shared" si="28"/>
        <v>0</v>
      </c>
      <c r="LJ6" s="135">
        <f t="shared" si="28"/>
        <v>0</v>
      </c>
      <c r="LK6" s="135">
        <f t="shared" si="28"/>
        <v>0</v>
      </c>
      <c r="LL6" s="135">
        <f t="shared" si="28"/>
        <v>0</v>
      </c>
      <c r="LM6" s="135">
        <f t="shared" si="28"/>
        <v>0</v>
      </c>
      <c r="LN6" s="135">
        <f t="shared" si="28"/>
        <v>0</v>
      </c>
      <c r="LO6" s="135">
        <f t="shared" si="28"/>
        <v>0</v>
      </c>
      <c r="LP6" s="135">
        <f t="shared" si="28"/>
        <v>0</v>
      </c>
      <c r="LQ6" s="135">
        <f t="shared" si="28"/>
        <v>0</v>
      </c>
      <c r="LR6" s="135">
        <f>IFERROR(IF(LR$1=EOMONTH($G6,0),(-$E6+($E6*(DAY($G6)/DAY(EOMONTH(LR$1,0)))*$F6/12*(1-0.269))),IF(LR$1=$G6,($E6+($E6*(DAY($I6)/DAY(EOMONTH(LR$1,0)))*$F6/12*(1-0.269))),IFERROR(IF($I6&lt;LR$1,0,IF(LR$1&gt;$I6,(($F6/12)*$E6)*(DAY($I6)/DAY(EOMONTH(LR$1,0)))*(1-26.9/100)+$E6,IF(AND(LR$1&gt;=$G6,LR$1&lt;$I6),(($F6/12)*$E6)*(1-26.9/100),""))-IF(LR$1=EOMONTH($G6,0),$E6,"0")),0)+IF(LR$1=EOMONTH($I6,0),($E6+($E6*(DAY($I6)/DAY(EOMONTH(LR$1,0)))*$F6/12*(1-0.269))),"0"))),0)</f>
        <v>0</v>
      </c>
      <c r="LS6" s="135">
        <f t="shared" ref="LS6:OD10" si="34">IFERROR(IF(LS$1=EOMONTH($G6,0),(-$E6+($E6*(DAY($G6)/DAY(EOMONTH(LS$1,0)))*$F6/12*(1-0.269))),IF(LS$1=$G6,($E6+($E6*(DAY($I6)/DAY(EOMONTH(LS$1,0)))*$F6/12*(1-0.269))),IFERROR(IF($I6&lt;LS$1,0,IF(LS$1&gt;$I6,(($F6/12)*$E6)*(DAY($I6)/DAY(EOMONTH(LS$1,0)))*(1-26.9/100)+$E6,IF(AND(LS$1&gt;=$G6,LS$1&lt;$I6),(($F6/12)*$E6)*(1-26.9/100),""))-IF(LS$1=EOMONTH($G6,0),$E6,"0")),0)+IF(LS$1=EOMONTH($I6,0),($E6+($E6*(DAY($I6)/DAY(EOMONTH(LS$1,0)))*$F6/12*(1-0.269))),"0"))),0)</f>
        <v>0</v>
      </c>
      <c r="LT6" s="135">
        <f t="shared" si="34"/>
        <v>0</v>
      </c>
      <c r="LU6" s="135">
        <f t="shared" si="34"/>
        <v>0</v>
      </c>
      <c r="LV6" s="135">
        <f t="shared" si="34"/>
        <v>0</v>
      </c>
      <c r="LW6" s="135">
        <f t="shared" si="34"/>
        <v>0</v>
      </c>
      <c r="LX6" s="135">
        <f t="shared" si="34"/>
        <v>0</v>
      </c>
      <c r="LY6" s="135">
        <f t="shared" si="34"/>
        <v>0</v>
      </c>
      <c r="LZ6" s="135">
        <f t="shared" si="34"/>
        <v>0</v>
      </c>
      <c r="MA6" s="135">
        <f t="shared" si="34"/>
        <v>0</v>
      </c>
      <c r="MB6" s="135">
        <f t="shared" si="34"/>
        <v>0</v>
      </c>
      <c r="MC6" s="135">
        <f t="shared" si="34"/>
        <v>0</v>
      </c>
      <c r="MD6" s="135">
        <f t="shared" si="34"/>
        <v>0</v>
      </c>
      <c r="ME6" s="135">
        <f t="shared" si="34"/>
        <v>0</v>
      </c>
      <c r="MF6" s="135">
        <f t="shared" si="34"/>
        <v>0</v>
      </c>
      <c r="MG6" s="135">
        <f t="shared" si="34"/>
        <v>0</v>
      </c>
      <c r="MH6" s="135">
        <f t="shared" si="34"/>
        <v>0</v>
      </c>
      <c r="MI6" s="135">
        <f t="shared" si="34"/>
        <v>0</v>
      </c>
      <c r="MJ6" s="135">
        <f t="shared" si="34"/>
        <v>0</v>
      </c>
      <c r="MK6" s="135">
        <f t="shared" si="34"/>
        <v>0</v>
      </c>
      <c r="ML6" s="135">
        <f t="shared" si="34"/>
        <v>0</v>
      </c>
      <c r="MM6" s="135">
        <f t="shared" si="34"/>
        <v>0</v>
      </c>
      <c r="MN6" s="135">
        <f t="shared" si="34"/>
        <v>0</v>
      </c>
      <c r="MO6" s="135">
        <f t="shared" si="34"/>
        <v>0</v>
      </c>
      <c r="MP6" s="135">
        <f t="shared" si="34"/>
        <v>0</v>
      </c>
      <c r="MQ6" s="135">
        <f t="shared" si="34"/>
        <v>0</v>
      </c>
      <c r="MR6" s="135">
        <f t="shared" si="34"/>
        <v>0</v>
      </c>
      <c r="MS6" s="135">
        <f t="shared" si="34"/>
        <v>0</v>
      </c>
      <c r="MT6" s="135">
        <f t="shared" si="34"/>
        <v>0</v>
      </c>
      <c r="MU6" s="135">
        <f t="shared" si="34"/>
        <v>0</v>
      </c>
      <c r="MV6" s="135">
        <f t="shared" si="34"/>
        <v>0</v>
      </c>
      <c r="MW6" s="135">
        <f t="shared" si="34"/>
        <v>0</v>
      </c>
      <c r="MX6" s="135">
        <f t="shared" si="34"/>
        <v>0</v>
      </c>
      <c r="MY6" s="135">
        <f t="shared" si="34"/>
        <v>0</v>
      </c>
      <c r="MZ6" s="135">
        <f t="shared" si="34"/>
        <v>0</v>
      </c>
      <c r="NA6" s="135">
        <f t="shared" si="34"/>
        <v>0</v>
      </c>
      <c r="NB6" s="135">
        <f t="shared" si="34"/>
        <v>0</v>
      </c>
      <c r="NC6" s="135">
        <f t="shared" si="34"/>
        <v>0</v>
      </c>
      <c r="ND6" s="135">
        <f t="shared" si="34"/>
        <v>0</v>
      </c>
      <c r="NE6" s="135">
        <f t="shared" si="34"/>
        <v>0</v>
      </c>
      <c r="NF6" s="135">
        <f t="shared" si="34"/>
        <v>0</v>
      </c>
      <c r="NG6" s="135">
        <f t="shared" si="34"/>
        <v>0</v>
      </c>
      <c r="NH6" s="135">
        <f t="shared" si="34"/>
        <v>0</v>
      </c>
      <c r="NI6" s="135">
        <f t="shared" si="34"/>
        <v>0</v>
      </c>
      <c r="NJ6" s="135">
        <f t="shared" si="34"/>
        <v>0</v>
      </c>
      <c r="NK6" s="135">
        <f t="shared" si="34"/>
        <v>0</v>
      </c>
      <c r="NL6" s="135">
        <f t="shared" si="34"/>
        <v>0</v>
      </c>
      <c r="NM6" s="135">
        <f t="shared" si="34"/>
        <v>0</v>
      </c>
      <c r="NN6" s="135">
        <f t="shared" si="34"/>
        <v>0</v>
      </c>
      <c r="NO6" s="135">
        <f t="shared" si="34"/>
        <v>0</v>
      </c>
      <c r="NP6" s="135">
        <f t="shared" si="34"/>
        <v>0</v>
      </c>
      <c r="NQ6" s="135">
        <f t="shared" si="34"/>
        <v>0</v>
      </c>
      <c r="NR6" s="135">
        <f t="shared" si="34"/>
        <v>0</v>
      </c>
      <c r="NS6" s="135">
        <f t="shared" si="34"/>
        <v>0</v>
      </c>
      <c r="NT6" s="135">
        <f t="shared" si="34"/>
        <v>0</v>
      </c>
      <c r="NU6" s="135">
        <f t="shared" si="34"/>
        <v>0</v>
      </c>
      <c r="NV6" s="135">
        <f t="shared" si="34"/>
        <v>0</v>
      </c>
      <c r="NW6" s="135">
        <f t="shared" si="34"/>
        <v>0</v>
      </c>
      <c r="NX6" s="135">
        <f t="shared" si="34"/>
        <v>0</v>
      </c>
      <c r="NY6" s="135">
        <f t="shared" si="34"/>
        <v>0</v>
      </c>
      <c r="NZ6" s="135">
        <f t="shared" si="34"/>
        <v>0</v>
      </c>
      <c r="OA6" s="135">
        <f t="shared" si="34"/>
        <v>0</v>
      </c>
      <c r="OB6" s="135">
        <f t="shared" si="34"/>
        <v>0</v>
      </c>
      <c r="OC6" s="135">
        <f t="shared" si="34"/>
        <v>0</v>
      </c>
      <c r="OD6" s="135">
        <f t="shared" si="34"/>
        <v>0</v>
      </c>
      <c r="OE6" s="135">
        <f t="shared" si="29"/>
        <v>0</v>
      </c>
      <c r="OF6" s="135">
        <f t="shared" si="29"/>
        <v>0</v>
      </c>
      <c r="OG6" s="135">
        <f t="shared" si="29"/>
        <v>0</v>
      </c>
      <c r="OH6" s="135">
        <f t="shared" si="29"/>
        <v>0</v>
      </c>
      <c r="OI6" s="135">
        <f t="shared" si="29"/>
        <v>0</v>
      </c>
      <c r="OJ6" s="135">
        <f t="shared" si="29"/>
        <v>0</v>
      </c>
      <c r="OK6" s="135">
        <f t="shared" si="29"/>
        <v>0</v>
      </c>
      <c r="OL6" s="135">
        <f t="shared" si="29"/>
        <v>0</v>
      </c>
      <c r="OM6" s="135">
        <f t="shared" si="29"/>
        <v>0</v>
      </c>
      <c r="ON6" s="135">
        <f t="shared" si="29"/>
        <v>0</v>
      </c>
      <c r="OO6" s="135">
        <f t="shared" si="29"/>
        <v>0</v>
      </c>
      <c r="OP6" s="135">
        <f t="shared" si="29"/>
        <v>0</v>
      </c>
      <c r="OQ6" s="135">
        <f t="shared" si="29"/>
        <v>0</v>
      </c>
      <c r="OR6" s="135">
        <f t="shared" si="29"/>
        <v>0</v>
      </c>
      <c r="OS6" s="135">
        <f t="shared" si="29"/>
        <v>0</v>
      </c>
      <c r="OT6" s="135">
        <f t="shared" si="29"/>
        <v>0</v>
      </c>
      <c r="OU6" s="135">
        <f t="shared" si="29"/>
        <v>0</v>
      </c>
      <c r="OV6" s="135">
        <f t="shared" si="29"/>
        <v>0</v>
      </c>
      <c r="OW6" s="135">
        <f t="shared" si="29"/>
        <v>0</v>
      </c>
      <c r="OX6" s="135">
        <f t="shared" si="29"/>
        <v>0</v>
      </c>
      <c r="OY6" s="135">
        <f t="shared" si="29"/>
        <v>0</v>
      </c>
      <c r="OZ6" s="135">
        <f t="shared" si="29"/>
        <v>0</v>
      </c>
      <c r="PA6" s="135">
        <f t="shared" si="29"/>
        <v>0</v>
      </c>
      <c r="PB6" s="135">
        <f t="shared" si="29"/>
        <v>0</v>
      </c>
      <c r="PC6" s="135">
        <f t="shared" si="29"/>
        <v>0</v>
      </c>
      <c r="PD6" s="135">
        <f t="shared" si="29"/>
        <v>0</v>
      </c>
      <c r="PE6" s="135">
        <f t="shared" si="29"/>
        <v>0</v>
      </c>
      <c r="PF6" s="135">
        <f t="shared" si="29"/>
        <v>0</v>
      </c>
      <c r="PG6" s="135">
        <f t="shared" si="29"/>
        <v>0</v>
      </c>
      <c r="PH6" s="135">
        <f t="shared" si="29"/>
        <v>0</v>
      </c>
      <c r="PI6" s="135">
        <f t="shared" si="29"/>
        <v>0</v>
      </c>
      <c r="PJ6" s="135">
        <f t="shared" si="29"/>
        <v>0</v>
      </c>
      <c r="PK6" s="135">
        <f t="shared" si="29"/>
        <v>0</v>
      </c>
      <c r="PL6" s="135">
        <f t="shared" si="29"/>
        <v>0</v>
      </c>
      <c r="PM6" s="135">
        <f t="shared" si="29"/>
        <v>0</v>
      </c>
      <c r="PN6" s="135">
        <f t="shared" si="29"/>
        <v>0</v>
      </c>
      <c r="PO6" s="135">
        <f t="shared" si="29"/>
        <v>0</v>
      </c>
      <c r="PP6" s="135">
        <f t="shared" si="29"/>
        <v>0</v>
      </c>
      <c r="PQ6" s="135">
        <f t="shared" si="29"/>
        <v>0</v>
      </c>
      <c r="PR6" s="135">
        <f t="shared" si="29"/>
        <v>0</v>
      </c>
      <c r="PS6" s="135">
        <f t="shared" si="29"/>
        <v>0</v>
      </c>
      <c r="PT6" s="135">
        <f t="shared" si="29"/>
        <v>0</v>
      </c>
      <c r="PU6" s="135">
        <f t="shared" si="29"/>
        <v>0</v>
      </c>
      <c r="PV6" s="135">
        <f t="shared" si="29"/>
        <v>0</v>
      </c>
      <c r="PW6" s="135">
        <f t="shared" si="29"/>
        <v>0</v>
      </c>
      <c r="PX6" s="135">
        <f t="shared" si="29"/>
        <v>0</v>
      </c>
      <c r="PY6" s="135">
        <f t="shared" si="29"/>
        <v>0</v>
      </c>
      <c r="PZ6" s="135">
        <f t="shared" si="29"/>
        <v>0</v>
      </c>
      <c r="QA6" s="135">
        <f t="shared" si="29"/>
        <v>0</v>
      </c>
      <c r="QB6" s="135">
        <f t="shared" si="29"/>
        <v>0</v>
      </c>
      <c r="QC6" s="135">
        <f t="shared" si="29"/>
        <v>0</v>
      </c>
      <c r="QD6" s="135">
        <f t="shared" si="29"/>
        <v>0</v>
      </c>
      <c r="QE6" s="135">
        <f t="shared" si="29"/>
        <v>0</v>
      </c>
      <c r="QF6" s="135">
        <f t="shared" si="29"/>
        <v>0</v>
      </c>
      <c r="QG6" s="135">
        <f t="shared" si="29"/>
        <v>0</v>
      </c>
      <c r="QH6" s="135">
        <f t="shared" si="29"/>
        <v>0</v>
      </c>
      <c r="QI6" s="135">
        <f t="shared" si="29"/>
        <v>0</v>
      </c>
      <c r="QJ6" s="135">
        <f t="shared" si="29"/>
        <v>0</v>
      </c>
      <c r="QK6" s="135">
        <f t="shared" si="29"/>
        <v>0</v>
      </c>
      <c r="QL6" s="135">
        <f t="shared" si="29"/>
        <v>0</v>
      </c>
      <c r="QM6" s="135">
        <f t="shared" si="29"/>
        <v>0</v>
      </c>
      <c r="QN6" s="135">
        <f t="shared" si="29"/>
        <v>0</v>
      </c>
      <c r="QO6" s="135">
        <f t="shared" si="29"/>
        <v>0</v>
      </c>
      <c r="QP6" s="135">
        <f>IFERROR(IF(QP$1=EOMONTH($G6,0),(-$E6+($E6*(DAY($G6)/DAY(EOMONTH(QP$1,0)))*$F6/12*(1-0.269))),IF(QP$1=$G6,($E6+($E6*(DAY($I6)/DAY(EOMONTH(QP$1,0)))*$F6/12*(1-0.269))),IFERROR(IF($I6&lt;QP$1,0,IF(QP$1&gt;$I6,(($F6/12)*$E6)*(DAY($I6)/DAY(EOMONTH(QP$1,0)))*(1-26.9/100)+$E6,IF(AND(QP$1&gt;=$G6,QP$1&lt;$I6),(($F6/12)*$E6)*(1-26.9/100),""))-IF(QP$1=EOMONTH($G6,0),$E6,"0")),0)+IF(QP$1=EOMONTH($I6,0),($E6+($E6*(DAY($I6)/DAY(EOMONTH(QP$1,0)))*$F6/12*(1-0.269))),"0"))),0)</f>
        <v>0</v>
      </c>
      <c r="QQ6" s="135">
        <f t="shared" ref="QQ6:TB10" si="35">IFERROR(IF(QQ$1=EOMONTH($G6,0),(-$E6+($E6*(DAY($G6)/DAY(EOMONTH(QQ$1,0)))*$F6/12*(1-0.269))),IF(QQ$1=$G6,($E6+($E6*(DAY($I6)/DAY(EOMONTH(QQ$1,0)))*$F6/12*(1-0.269))),IFERROR(IF($I6&lt;QQ$1,0,IF(QQ$1&gt;$I6,(($F6/12)*$E6)*(DAY($I6)/DAY(EOMONTH(QQ$1,0)))*(1-26.9/100)+$E6,IF(AND(QQ$1&gt;=$G6,QQ$1&lt;$I6),(($F6/12)*$E6)*(1-26.9/100),""))-IF(QQ$1=EOMONTH($G6,0),$E6,"0")),0)+IF(QQ$1=EOMONTH($I6,0),($E6+($E6*(DAY($I6)/DAY(EOMONTH(QQ$1,0)))*$F6/12*(1-0.269))),"0"))),0)</f>
        <v>0</v>
      </c>
      <c r="QR6" s="135">
        <f t="shared" si="35"/>
        <v>0</v>
      </c>
      <c r="QS6" s="135">
        <f t="shared" si="35"/>
        <v>0</v>
      </c>
      <c r="QT6" s="135">
        <f t="shared" si="35"/>
        <v>0</v>
      </c>
      <c r="QU6" s="135">
        <f t="shared" si="35"/>
        <v>0</v>
      </c>
      <c r="QV6" s="135">
        <f t="shared" si="35"/>
        <v>0</v>
      </c>
      <c r="QW6" s="135">
        <f t="shared" si="35"/>
        <v>0</v>
      </c>
      <c r="QX6" s="135">
        <f t="shared" si="35"/>
        <v>0</v>
      </c>
      <c r="QY6" s="135">
        <f t="shared" si="35"/>
        <v>0</v>
      </c>
      <c r="QZ6" s="135">
        <f t="shared" si="35"/>
        <v>0</v>
      </c>
      <c r="RA6" s="135">
        <f t="shared" si="35"/>
        <v>0</v>
      </c>
      <c r="RB6" s="135">
        <f t="shared" si="35"/>
        <v>0</v>
      </c>
      <c r="RC6" s="135">
        <f t="shared" si="35"/>
        <v>0</v>
      </c>
      <c r="RD6" s="135">
        <f t="shared" si="35"/>
        <v>0</v>
      </c>
      <c r="RE6" s="135">
        <f t="shared" si="35"/>
        <v>0</v>
      </c>
      <c r="RF6" s="135">
        <f t="shared" si="35"/>
        <v>0</v>
      </c>
      <c r="RG6" s="135">
        <f t="shared" si="35"/>
        <v>0</v>
      </c>
      <c r="RH6" s="135">
        <f t="shared" si="35"/>
        <v>0</v>
      </c>
      <c r="RI6" s="135">
        <f t="shared" si="35"/>
        <v>0</v>
      </c>
      <c r="RJ6" s="135">
        <f t="shared" si="35"/>
        <v>0</v>
      </c>
      <c r="RK6" s="135">
        <f t="shared" si="35"/>
        <v>0</v>
      </c>
      <c r="RL6" s="135">
        <f t="shared" si="35"/>
        <v>0</v>
      </c>
      <c r="RM6" s="135">
        <f t="shared" si="35"/>
        <v>0</v>
      </c>
      <c r="RN6" s="135">
        <f t="shared" si="35"/>
        <v>0</v>
      </c>
      <c r="RO6" s="135">
        <f t="shared" si="35"/>
        <v>0</v>
      </c>
      <c r="RP6" s="135">
        <f t="shared" si="35"/>
        <v>0</v>
      </c>
      <c r="RQ6" s="135">
        <f t="shared" si="35"/>
        <v>0</v>
      </c>
      <c r="RR6" s="135">
        <f t="shared" si="35"/>
        <v>0</v>
      </c>
      <c r="RS6" s="135">
        <f t="shared" si="35"/>
        <v>0</v>
      </c>
      <c r="RT6" s="135">
        <f t="shared" si="35"/>
        <v>0</v>
      </c>
      <c r="RU6" s="135">
        <f t="shared" si="35"/>
        <v>0</v>
      </c>
      <c r="RV6" s="135">
        <f t="shared" si="35"/>
        <v>0</v>
      </c>
      <c r="RW6" s="135">
        <f t="shared" si="35"/>
        <v>0</v>
      </c>
      <c r="RX6" s="135">
        <f t="shared" si="35"/>
        <v>0</v>
      </c>
      <c r="RY6" s="135">
        <f t="shared" si="35"/>
        <v>0</v>
      </c>
      <c r="RZ6" s="135">
        <f t="shared" si="35"/>
        <v>0</v>
      </c>
      <c r="SA6" s="135">
        <f t="shared" si="35"/>
        <v>0</v>
      </c>
      <c r="SB6" s="135">
        <f t="shared" si="35"/>
        <v>0</v>
      </c>
      <c r="SC6" s="135">
        <f t="shared" si="35"/>
        <v>0</v>
      </c>
      <c r="SD6" s="135">
        <f t="shared" si="35"/>
        <v>0</v>
      </c>
      <c r="SE6" s="135">
        <f t="shared" si="35"/>
        <v>0</v>
      </c>
      <c r="SF6" s="135">
        <f t="shared" si="35"/>
        <v>0</v>
      </c>
      <c r="SG6" s="135">
        <f t="shared" si="35"/>
        <v>0</v>
      </c>
      <c r="SH6" s="135">
        <f t="shared" si="35"/>
        <v>0</v>
      </c>
      <c r="SI6" s="135">
        <f t="shared" si="35"/>
        <v>0</v>
      </c>
      <c r="SJ6" s="135">
        <f t="shared" si="35"/>
        <v>0</v>
      </c>
      <c r="SK6" s="135">
        <f t="shared" si="35"/>
        <v>0</v>
      </c>
      <c r="SL6" s="135">
        <f t="shared" si="35"/>
        <v>0</v>
      </c>
      <c r="SM6" s="135">
        <f t="shared" si="35"/>
        <v>0</v>
      </c>
      <c r="SN6" s="135">
        <f t="shared" si="35"/>
        <v>0</v>
      </c>
      <c r="SO6" s="135">
        <f t="shared" si="35"/>
        <v>0</v>
      </c>
      <c r="SP6" s="135">
        <f t="shared" si="35"/>
        <v>0</v>
      </c>
      <c r="SQ6" s="135">
        <f t="shared" si="35"/>
        <v>0</v>
      </c>
      <c r="SR6" s="135">
        <f t="shared" si="35"/>
        <v>0</v>
      </c>
      <c r="SS6" s="135">
        <f t="shared" si="35"/>
        <v>0</v>
      </c>
      <c r="ST6" s="135">
        <f t="shared" si="35"/>
        <v>0</v>
      </c>
      <c r="SU6" s="135">
        <f t="shared" si="35"/>
        <v>0</v>
      </c>
      <c r="SV6" s="135">
        <f t="shared" si="35"/>
        <v>0</v>
      </c>
      <c r="SW6" s="135">
        <f t="shared" si="35"/>
        <v>0</v>
      </c>
      <c r="SX6" s="135">
        <f t="shared" si="35"/>
        <v>0</v>
      </c>
      <c r="SY6" s="135">
        <f t="shared" si="35"/>
        <v>0</v>
      </c>
      <c r="SZ6" s="135">
        <f t="shared" si="35"/>
        <v>0</v>
      </c>
      <c r="TA6" s="135">
        <f t="shared" si="35"/>
        <v>0</v>
      </c>
      <c r="TB6" s="135">
        <f t="shared" si="35"/>
        <v>0</v>
      </c>
      <c r="TC6" s="135">
        <f t="shared" si="30"/>
        <v>0</v>
      </c>
      <c r="TD6" s="135">
        <f t="shared" si="30"/>
        <v>0</v>
      </c>
      <c r="TE6" s="135">
        <f t="shared" si="30"/>
        <v>0</v>
      </c>
      <c r="TF6" s="135">
        <f t="shared" si="30"/>
        <v>0</v>
      </c>
      <c r="TG6" s="135">
        <f t="shared" si="30"/>
        <v>0</v>
      </c>
      <c r="TH6" s="135">
        <f t="shared" si="30"/>
        <v>0</v>
      </c>
      <c r="TI6" s="135">
        <f t="shared" si="30"/>
        <v>0</v>
      </c>
      <c r="TJ6" s="135">
        <f t="shared" si="30"/>
        <v>0</v>
      </c>
      <c r="TK6" s="135">
        <f t="shared" si="30"/>
        <v>0</v>
      </c>
      <c r="TL6" s="135">
        <f t="shared" si="30"/>
        <v>0</v>
      </c>
      <c r="TM6" s="135">
        <f t="shared" si="30"/>
        <v>0</v>
      </c>
      <c r="TN6" s="135">
        <f t="shared" si="30"/>
        <v>0</v>
      </c>
      <c r="TO6" s="135">
        <f t="shared" si="30"/>
        <v>0</v>
      </c>
      <c r="TP6" s="135">
        <f t="shared" si="30"/>
        <v>0</v>
      </c>
      <c r="TQ6" s="135">
        <f t="shared" si="30"/>
        <v>0</v>
      </c>
      <c r="TR6" s="135">
        <f t="shared" si="30"/>
        <v>0</v>
      </c>
      <c r="TS6" s="135">
        <f t="shared" si="30"/>
        <v>0</v>
      </c>
      <c r="TT6" s="135">
        <f t="shared" si="30"/>
        <v>0</v>
      </c>
      <c r="TU6" s="135">
        <f t="shared" si="30"/>
        <v>0</v>
      </c>
      <c r="TV6" s="135">
        <f t="shared" si="30"/>
        <v>0</v>
      </c>
      <c r="TW6" s="135">
        <f t="shared" si="30"/>
        <v>0</v>
      </c>
      <c r="TX6" s="135">
        <f t="shared" si="30"/>
        <v>0</v>
      </c>
      <c r="TY6" s="135">
        <f t="shared" si="30"/>
        <v>0</v>
      </c>
      <c r="TZ6" s="135">
        <f t="shared" si="30"/>
        <v>0</v>
      </c>
      <c r="UA6" s="135">
        <f t="shared" si="30"/>
        <v>0</v>
      </c>
      <c r="UB6" s="135">
        <f t="shared" si="30"/>
        <v>0</v>
      </c>
      <c r="UC6" s="135">
        <f t="shared" si="30"/>
        <v>0</v>
      </c>
      <c r="UD6" s="135">
        <f t="shared" si="30"/>
        <v>0</v>
      </c>
      <c r="UE6" s="135">
        <f t="shared" si="30"/>
        <v>0</v>
      </c>
      <c r="UF6" s="135">
        <f t="shared" si="30"/>
        <v>0</v>
      </c>
      <c r="UG6" s="135">
        <f t="shared" si="30"/>
        <v>0</v>
      </c>
      <c r="UH6" s="135">
        <f t="shared" si="30"/>
        <v>0</v>
      </c>
      <c r="UI6" s="135">
        <f t="shared" si="30"/>
        <v>0</v>
      </c>
      <c r="UJ6" s="135">
        <f t="shared" si="30"/>
        <v>0</v>
      </c>
      <c r="UK6" s="135">
        <f t="shared" si="30"/>
        <v>0</v>
      </c>
    </row>
    <row r="7" spans="2:557">
      <c r="B7" t="str">
        <f>IF(Samenvatting!$F108&lt;&gt;0,Samenvatting!C108,"")</f>
        <v/>
      </c>
      <c r="C7" t="str">
        <f>IF(Samenvatting!$F108&lt;&gt;0,Samenvatting!D108,"")</f>
        <v/>
      </c>
      <c r="D7" t="str">
        <f>IF(Samenvatting!$F108&lt;&gt;0,Samenvatting!E108,"")</f>
        <v/>
      </c>
      <c r="E7" t="str">
        <f>IF(Samenvatting!$F108&lt;&gt;0,Samenvatting!F108,"")</f>
        <v/>
      </c>
      <c r="F7" t="str">
        <f>IF(Samenvatting!$F108&lt;&gt;0,Samenvatting!H108,"")</f>
        <v/>
      </c>
      <c r="G7" s="134" t="str">
        <f>IF(Samenvatting!$F108&lt;&gt;0,Samenvatting!I108,"")</f>
        <v/>
      </c>
      <c r="H7" t="str">
        <f>IF(Samenvatting!$F108&lt;&gt;0,Samenvatting!J108,"")</f>
        <v/>
      </c>
      <c r="I7" s="134" t="str">
        <f>IF(Samenvatting!$F108&lt;&gt;0,Samenvatting!K108,"")</f>
        <v/>
      </c>
      <c r="J7" s="135">
        <f t="shared" si="0"/>
        <v>0</v>
      </c>
      <c r="K7" s="135">
        <f t="shared" si="26"/>
        <v>0</v>
      </c>
      <c r="L7" s="135">
        <f t="shared" si="26"/>
        <v>0</v>
      </c>
      <c r="M7" s="135">
        <f t="shared" si="26"/>
        <v>0</v>
      </c>
      <c r="N7" s="135">
        <f t="shared" si="26"/>
        <v>0</v>
      </c>
      <c r="O7" s="135">
        <f t="shared" si="26"/>
        <v>0</v>
      </c>
      <c r="P7" s="135">
        <f t="shared" si="26"/>
        <v>0</v>
      </c>
      <c r="Q7" s="135">
        <f t="shared" si="26"/>
        <v>0</v>
      </c>
      <c r="R7" s="135">
        <f t="shared" si="26"/>
        <v>0</v>
      </c>
      <c r="S7" s="135">
        <f t="shared" si="26"/>
        <v>0</v>
      </c>
      <c r="T7" s="135">
        <f t="shared" si="26"/>
        <v>0</v>
      </c>
      <c r="U7" s="135">
        <f t="shared" si="26"/>
        <v>0</v>
      </c>
      <c r="V7" s="135">
        <f t="shared" si="26"/>
        <v>0</v>
      </c>
      <c r="W7" s="135">
        <f t="shared" si="26"/>
        <v>0</v>
      </c>
      <c r="X7" s="135">
        <f t="shared" si="26"/>
        <v>0</v>
      </c>
      <c r="Y7" s="135">
        <f t="shared" si="26"/>
        <v>0</v>
      </c>
      <c r="Z7" s="135">
        <f t="shared" si="26"/>
        <v>0</v>
      </c>
      <c r="AA7" s="135">
        <f t="shared" si="26"/>
        <v>0</v>
      </c>
      <c r="AB7" s="135">
        <f t="shared" si="26"/>
        <v>0</v>
      </c>
      <c r="AC7" s="135">
        <f t="shared" si="26"/>
        <v>0</v>
      </c>
      <c r="AD7" s="135">
        <f t="shared" si="26"/>
        <v>0</v>
      </c>
      <c r="AE7" s="135">
        <f t="shared" si="26"/>
        <v>0</v>
      </c>
      <c r="AF7" s="135">
        <f t="shared" si="26"/>
        <v>0</v>
      </c>
      <c r="AG7" s="135">
        <f t="shared" si="26"/>
        <v>0</v>
      </c>
      <c r="AH7" s="135">
        <f t="shared" si="26"/>
        <v>0</v>
      </c>
      <c r="AI7" s="135">
        <f t="shared" si="26"/>
        <v>0</v>
      </c>
      <c r="AJ7" s="135">
        <f t="shared" si="26"/>
        <v>0</v>
      </c>
      <c r="AK7" s="135">
        <f t="shared" si="26"/>
        <v>0</v>
      </c>
      <c r="AL7" s="135">
        <f t="shared" si="26"/>
        <v>0</v>
      </c>
      <c r="AM7" s="135">
        <f t="shared" si="26"/>
        <v>0</v>
      </c>
      <c r="AN7" s="135">
        <f t="shared" si="26"/>
        <v>0</v>
      </c>
      <c r="AO7" s="135">
        <f t="shared" si="26"/>
        <v>0</v>
      </c>
      <c r="AP7" s="135">
        <f t="shared" si="26"/>
        <v>0</v>
      </c>
      <c r="AQ7" s="135">
        <f t="shared" si="26"/>
        <v>0</v>
      </c>
      <c r="AR7" s="135">
        <f t="shared" si="26"/>
        <v>0</v>
      </c>
      <c r="AS7" s="135">
        <f t="shared" si="26"/>
        <v>0</v>
      </c>
      <c r="AT7" s="135">
        <f t="shared" si="26"/>
        <v>0</v>
      </c>
      <c r="AU7" s="135">
        <f t="shared" si="26"/>
        <v>0</v>
      </c>
      <c r="AV7" s="135">
        <f t="shared" si="26"/>
        <v>0</v>
      </c>
      <c r="AW7" s="135">
        <f t="shared" si="26"/>
        <v>0</v>
      </c>
      <c r="AX7" s="135">
        <f t="shared" si="26"/>
        <v>0</v>
      </c>
      <c r="AY7" s="135">
        <f t="shared" si="26"/>
        <v>0</v>
      </c>
      <c r="AZ7" s="135">
        <f t="shared" si="26"/>
        <v>0</v>
      </c>
      <c r="BA7" s="135">
        <f t="shared" si="26"/>
        <v>0</v>
      </c>
      <c r="BB7" s="135">
        <f t="shared" si="26"/>
        <v>0</v>
      </c>
      <c r="BC7" s="135">
        <f t="shared" si="26"/>
        <v>0</v>
      </c>
      <c r="BD7" s="135">
        <f t="shared" si="26"/>
        <v>0</v>
      </c>
      <c r="BE7" s="135">
        <f t="shared" si="26"/>
        <v>0</v>
      </c>
      <c r="BF7" s="135">
        <f t="shared" si="26"/>
        <v>0</v>
      </c>
      <c r="BG7" s="135">
        <f t="shared" si="26"/>
        <v>0</v>
      </c>
      <c r="BH7" s="135">
        <f t="shared" si="26"/>
        <v>0</v>
      </c>
      <c r="BI7" s="135">
        <f t="shared" si="26"/>
        <v>0</v>
      </c>
      <c r="BJ7" s="135">
        <f t="shared" si="26"/>
        <v>0</v>
      </c>
      <c r="BK7" s="135">
        <f t="shared" si="26"/>
        <v>0</v>
      </c>
      <c r="BL7" s="135">
        <f t="shared" si="26"/>
        <v>0</v>
      </c>
      <c r="BM7" s="135">
        <f t="shared" si="26"/>
        <v>0</v>
      </c>
      <c r="BN7" s="135">
        <f t="shared" si="26"/>
        <v>0</v>
      </c>
      <c r="BO7" s="135">
        <f t="shared" si="26"/>
        <v>0</v>
      </c>
      <c r="BP7" s="135">
        <f t="shared" si="26"/>
        <v>0</v>
      </c>
      <c r="BQ7" s="135">
        <f t="shared" si="26"/>
        <v>0</v>
      </c>
      <c r="BR7" s="135">
        <f t="shared" si="26"/>
        <v>0</v>
      </c>
      <c r="BS7" s="135">
        <f t="shared" si="26"/>
        <v>0</v>
      </c>
      <c r="BT7" s="135">
        <f t="shared" si="26"/>
        <v>0</v>
      </c>
      <c r="BU7" s="135">
        <f t="shared" si="26"/>
        <v>0</v>
      </c>
      <c r="BV7" s="135">
        <f t="shared" ref="BV7:EG10" si="36">IFERROR(IF(BV$1=EOMONTH($G7,0),(-$E7+($E7*(DAY($G7)/DAY(EOMONTH(BV$1,0)))*$F7/12*(1-0.269))),IF(BV$1=$G7,($E7+($E7*(DAY($I7)/DAY(EOMONTH(BV$1,0)))*$F7/12*(1-0.269))),IFERROR(IF($I7&lt;BV$1,0,IF(BV$1&gt;$I7,(($F7/12)*$E7)*(DAY($I7)/DAY(EOMONTH(BV$1,0)))*(1-26.9/100)+$E7,IF(AND(BV$1&gt;=$G7,BV$1&lt;$I7),(($F7/12)*$E7)*(1-26.9/100),""))-IF(BV$1=EOMONTH($G7,0),$E7,"0")),0)+IF(BV$1=EOMONTH($I7,0),($E7+($E7*(DAY($I7)/DAY(EOMONTH(BV$1,0)))*$F7/12*(1-0.269))),"0"))),0)</f>
        <v>0</v>
      </c>
      <c r="BW7" s="135">
        <f t="shared" si="36"/>
        <v>0</v>
      </c>
      <c r="BX7" s="135">
        <f t="shared" si="36"/>
        <v>0</v>
      </c>
      <c r="BY7" s="135">
        <f t="shared" si="36"/>
        <v>0</v>
      </c>
      <c r="BZ7" s="135">
        <f t="shared" si="36"/>
        <v>0</v>
      </c>
      <c r="CA7" s="135">
        <f t="shared" si="36"/>
        <v>0</v>
      </c>
      <c r="CB7" s="135">
        <f t="shared" si="36"/>
        <v>0</v>
      </c>
      <c r="CC7" s="135">
        <f t="shared" si="36"/>
        <v>0</v>
      </c>
      <c r="CD7" s="135">
        <f t="shared" si="36"/>
        <v>0</v>
      </c>
      <c r="CE7" s="135">
        <f t="shared" si="36"/>
        <v>0</v>
      </c>
      <c r="CF7" s="135">
        <f t="shared" si="36"/>
        <v>0</v>
      </c>
      <c r="CG7" s="135">
        <f t="shared" si="36"/>
        <v>0</v>
      </c>
      <c r="CH7" s="135">
        <f t="shared" si="36"/>
        <v>0</v>
      </c>
      <c r="CI7" s="135">
        <f t="shared" si="36"/>
        <v>0</v>
      </c>
      <c r="CJ7" s="135">
        <f t="shared" si="36"/>
        <v>0</v>
      </c>
      <c r="CK7" s="135">
        <f t="shared" si="36"/>
        <v>0</v>
      </c>
      <c r="CL7" s="135">
        <f t="shared" si="36"/>
        <v>0</v>
      </c>
      <c r="CM7" s="135">
        <f t="shared" si="36"/>
        <v>0</v>
      </c>
      <c r="CN7" s="135">
        <f t="shared" si="36"/>
        <v>0</v>
      </c>
      <c r="CO7" s="135">
        <f t="shared" si="36"/>
        <v>0</v>
      </c>
      <c r="CP7" s="135">
        <f t="shared" si="36"/>
        <v>0</v>
      </c>
      <c r="CQ7" s="135">
        <f t="shared" si="36"/>
        <v>0</v>
      </c>
      <c r="CR7" s="135">
        <f t="shared" si="36"/>
        <v>0</v>
      </c>
      <c r="CS7" s="135">
        <f t="shared" si="36"/>
        <v>0</v>
      </c>
      <c r="CT7" s="135">
        <f t="shared" si="36"/>
        <v>0</v>
      </c>
      <c r="CU7" s="135">
        <f t="shared" si="36"/>
        <v>0</v>
      </c>
      <c r="CV7" s="135">
        <f t="shared" si="36"/>
        <v>0</v>
      </c>
      <c r="CW7" s="135">
        <f t="shared" si="36"/>
        <v>0</v>
      </c>
      <c r="CX7" s="135">
        <f t="shared" si="36"/>
        <v>0</v>
      </c>
      <c r="CY7" s="135">
        <f t="shared" si="36"/>
        <v>0</v>
      </c>
      <c r="CZ7" s="135">
        <f t="shared" si="36"/>
        <v>0</v>
      </c>
      <c r="DA7" s="135">
        <f t="shared" si="36"/>
        <v>0</v>
      </c>
      <c r="DB7" s="135">
        <f t="shared" si="36"/>
        <v>0</v>
      </c>
      <c r="DC7" s="135">
        <f t="shared" si="36"/>
        <v>0</v>
      </c>
      <c r="DD7" s="135">
        <f t="shared" si="36"/>
        <v>0</v>
      </c>
      <c r="DE7" s="135">
        <f t="shared" si="36"/>
        <v>0</v>
      </c>
      <c r="DF7" s="135">
        <f t="shared" si="36"/>
        <v>0</v>
      </c>
      <c r="DG7" s="135">
        <f t="shared" si="36"/>
        <v>0</v>
      </c>
      <c r="DH7" s="135">
        <f t="shared" si="36"/>
        <v>0</v>
      </c>
      <c r="DI7" s="135">
        <f t="shared" si="36"/>
        <v>0</v>
      </c>
      <c r="DJ7" s="135">
        <f t="shared" si="36"/>
        <v>0</v>
      </c>
      <c r="DK7" s="135">
        <f t="shared" si="36"/>
        <v>0</v>
      </c>
      <c r="DL7" s="135">
        <f t="shared" si="36"/>
        <v>0</v>
      </c>
      <c r="DM7" s="135">
        <f t="shared" si="36"/>
        <v>0</v>
      </c>
      <c r="DN7" s="135">
        <f t="shared" si="36"/>
        <v>0</v>
      </c>
      <c r="DO7" s="135">
        <f t="shared" si="36"/>
        <v>0</v>
      </c>
      <c r="DP7" s="135">
        <f t="shared" si="36"/>
        <v>0</v>
      </c>
      <c r="DQ7" s="135">
        <f t="shared" si="36"/>
        <v>0</v>
      </c>
      <c r="DR7" s="135">
        <f t="shared" si="36"/>
        <v>0</v>
      </c>
      <c r="DS7" s="135">
        <f t="shared" si="36"/>
        <v>0</v>
      </c>
      <c r="DT7" s="135">
        <f t="shared" si="36"/>
        <v>0</v>
      </c>
      <c r="DU7" s="135">
        <f t="shared" si="36"/>
        <v>0</v>
      </c>
      <c r="DV7" s="135">
        <f t="shared" si="36"/>
        <v>0</v>
      </c>
      <c r="DW7" s="135">
        <f t="shared" si="36"/>
        <v>0</v>
      </c>
      <c r="DX7" s="135">
        <f t="shared" si="36"/>
        <v>0</v>
      </c>
      <c r="DY7" s="135">
        <f t="shared" si="36"/>
        <v>0</v>
      </c>
      <c r="DZ7" s="135">
        <f t="shared" si="36"/>
        <v>0</v>
      </c>
      <c r="EA7" s="135">
        <f t="shared" si="36"/>
        <v>0</v>
      </c>
      <c r="EB7" s="135">
        <f t="shared" si="36"/>
        <v>0</v>
      </c>
      <c r="EC7" s="135">
        <f t="shared" si="36"/>
        <v>0</v>
      </c>
      <c r="ED7" s="135">
        <f t="shared" si="36"/>
        <v>0</v>
      </c>
      <c r="EE7" s="135">
        <f t="shared" si="36"/>
        <v>0</v>
      </c>
      <c r="EF7" s="135">
        <f t="shared" si="36"/>
        <v>0</v>
      </c>
      <c r="EG7" s="135">
        <f t="shared" si="36"/>
        <v>0</v>
      </c>
      <c r="EH7" s="135">
        <f t="shared" ref="EH7:EH21" si="37">IFERROR(IF(EH$1=EOMONTH($G7,0),(-$E7+($E7*(DAY($G7)/DAY(EOMONTH(EH$1,0)))*$F7/12*(1-0.269))),IF(EH$1=$G7,($E7+($E7*(DAY($I7)/DAY(EOMONTH(EH$1,0)))*$F7/12*(1-0.269))),IFERROR(IF($I7&lt;EH$1,0,IF(EH$1&gt;$I7,(($F7/12)*$E7)*(DAY($I7)/DAY(EOMONTH(EH$1,0)))*(1-26.9/100)+$E7,IF(AND(EH$1&gt;=$G7,EH$1&lt;$I7),(($F7/12)*$E7)*(1-26.9/100),""))-IF(EH$1=EOMONTH($G7,0),$E7,"0")),0)+IF(EH$1=EOMONTH($I7,0),($E7+($E7*(DAY($I7)/DAY(EOMONTH(EH$1,0)))*$F7/12*(1-0.269))),"0"))),0)</f>
        <v>0</v>
      </c>
      <c r="EI7" s="135">
        <f t="shared" si="27"/>
        <v>0</v>
      </c>
      <c r="EJ7" s="135">
        <f t="shared" si="27"/>
        <v>0</v>
      </c>
      <c r="EK7" s="135">
        <f t="shared" si="27"/>
        <v>0</v>
      </c>
      <c r="EL7" s="135">
        <f t="shared" si="27"/>
        <v>0</v>
      </c>
      <c r="EM7" s="135">
        <f t="shared" si="27"/>
        <v>0</v>
      </c>
      <c r="EN7" s="135">
        <f t="shared" si="27"/>
        <v>0</v>
      </c>
      <c r="EO7" s="135">
        <f t="shared" si="27"/>
        <v>0</v>
      </c>
      <c r="EP7" s="135">
        <f t="shared" si="27"/>
        <v>0</v>
      </c>
      <c r="EQ7" s="135">
        <f t="shared" si="27"/>
        <v>0</v>
      </c>
      <c r="ER7" s="135">
        <f t="shared" si="27"/>
        <v>0</v>
      </c>
      <c r="ES7" s="135">
        <f t="shared" si="27"/>
        <v>0</v>
      </c>
      <c r="ET7" s="135">
        <f t="shared" si="27"/>
        <v>0</v>
      </c>
      <c r="EU7" s="135">
        <f t="shared" si="27"/>
        <v>0</v>
      </c>
      <c r="EV7" s="135">
        <f t="shared" si="27"/>
        <v>0</v>
      </c>
      <c r="EW7" s="135">
        <f t="shared" si="27"/>
        <v>0</v>
      </c>
      <c r="EX7" s="135">
        <f t="shared" si="27"/>
        <v>0</v>
      </c>
      <c r="EY7" s="135">
        <f t="shared" si="27"/>
        <v>0</v>
      </c>
      <c r="EZ7" s="135">
        <f t="shared" si="27"/>
        <v>0</v>
      </c>
      <c r="FA7" s="135">
        <f t="shared" si="27"/>
        <v>0</v>
      </c>
      <c r="FB7" s="135">
        <f t="shared" si="27"/>
        <v>0</v>
      </c>
      <c r="FC7" s="135">
        <f t="shared" si="27"/>
        <v>0</v>
      </c>
      <c r="FD7" s="135">
        <f t="shared" si="27"/>
        <v>0</v>
      </c>
      <c r="FE7" s="135">
        <f t="shared" si="27"/>
        <v>0</v>
      </c>
      <c r="FF7" s="135">
        <f t="shared" si="27"/>
        <v>0</v>
      </c>
      <c r="FG7" s="135">
        <f t="shared" si="27"/>
        <v>0</v>
      </c>
      <c r="FH7" s="135">
        <f t="shared" si="27"/>
        <v>0</v>
      </c>
      <c r="FI7" s="135">
        <f t="shared" si="27"/>
        <v>0</v>
      </c>
      <c r="FJ7" s="135">
        <f t="shared" si="27"/>
        <v>0</v>
      </c>
      <c r="FK7" s="135">
        <f t="shared" si="27"/>
        <v>0</v>
      </c>
      <c r="FL7" s="135">
        <f t="shared" si="27"/>
        <v>0</v>
      </c>
      <c r="FM7" s="135">
        <f t="shared" si="27"/>
        <v>0</v>
      </c>
      <c r="FN7" s="135">
        <f t="shared" si="27"/>
        <v>0</v>
      </c>
      <c r="FO7" s="135">
        <f t="shared" si="27"/>
        <v>0</v>
      </c>
      <c r="FP7" s="135">
        <f t="shared" si="27"/>
        <v>0</v>
      </c>
      <c r="FQ7" s="135">
        <f t="shared" si="27"/>
        <v>0</v>
      </c>
      <c r="FR7" s="135">
        <f t="shared" si="27"/>
        <v>0</v>
      </c>
      <c r="FS7" s="135">
        <f t="shared" si="27"/>
        <v>0</v>
      </c>
      <c r="FT7" s="135">
        <f t="shared" si="27"/>
        <v>0</v>
      </c>
      <c r="FU7" s="135">
        <f t="shared" si="27"/>
        <v>0</v>
      </c>
      <c r="FV7" s="135">
        <f t="shared" si="27"/>
        <v>0</v>
      </c>
      <c r="FW7" s="135">
        <f t="shared" si="27"/>
        <v>0</v>
      </c>
      <c r="FX7" s="135">
        <f t="shared" si="27"/>
        <v>0</v>
      </c>
      <c r="FY7" s="135">
        <f t="shared" si="27"/>
        <v>0</v>
      </c>
      <c r="FZ7" s="135">
        <f t="shared" si="27"/>
        <v>0</v>
      </c>
      <c r="GA7" s="135">
        <f t="shared" si="27"/>
        <v>0</v>
      </c>
      <c r="GB7" s="135">
        <f t="shared" si="27"/>
        <v>0</v>
      </c>
      <c r="GC7" s="135">
        <f t="shared" si="27"/>
        <v>0</v>
      </c>
      <c r="GD7" s="135">
        <f t="shared" si="27"/>
        <v>0</v>
      </c>
      <c r="GE7" s="135">
        <f t="shared" si="27"/>
        <v>0</v>
      </c>
      <c r="GF7" s="135">
        <f t="shared" si="27"/>
        <v>0</v>
      </c>
      <c r="GG7" s="135">
        <f t="shared" si="27"/>
        <v>0</v>
      </c>
      <c r="GH7" s="135">
        <f t="shared" si="27"/>
        <v>0</v>
      </c>
      <c r="GI7" s="135">
        <f t="shared" si="27"/>
        <v>0</v>
      </c>
      <c r="GJ7" s="135">
        <f t="shared" si="27"/>
        <v>0</v>
      </c>
      <c r="GK7" s="135">
        <f t="shared" si="27"/>
        <v>0</v>
      </c>
      <c r="GL7" s="135">
        <f t="shared" si="27"/>
        <v>0</v>
      </c>
      <c r="GM7" s="135">
        <f t="shared" si="27"/>
        <v>0</v>
      </c>
      <c r="GN7" s="135">
        <f t="shared" si="27"/>
        <v>0</v>
      </c>
      <c r="GO7" s="135">
        <f t="shared" si="27"/>
        <v>0</v>
      </c>
      <c r="GP7" s="135">
        <f t="shared" si="27"/>
        <v>0</v>
      </c>
      <c r="GQ7" s="135">
        <f t="shared" si="27"/>
        <v>0</v>
      </c>
      <c r="GR7" s="135">
        <f t="shared" si="27"/>
        <v>0</v>
      </c>
      <c r="GS7" s="135">
        <f t="shared" si="27"/>
        <v>0</v>
      </c>
      <c r="GT7" s="135">
        <f>IFERROR(IF(GT$1=EOMONTH($G7,0),(-$E7+($E7*(DAY($G7)/DAY(EOMONTH(GT$1,0)))*$F7/12*(1-0.269))),IF(GT$1=$G7,($E7+($E7*(DAY($I7)/DAY(EOMONTH(GT$1,0)))*$F7/12*(1-0.269))),IFERROR(IF($I7&lt;GT$1,0,IF(GT$1&gt;$I7,(($F7/12)*$E7)*(DAY($I7)/DAY(EOMONTH(GT$1,0)))*(1-26.9/100)+$E7,IF(AND(GT$1&gt;=$G7,GT$1&lt;$I7),(($F7/12)*$E7)*(1-26.9/100),""))-IF(GT$1=EOMONTH($G7,0),$E7,"0")),0)+IF(GT$1=EOMONTH($I7,0),($E7+($E7*(DAY($I7)/DAY(EOMONTH(GT$1,0)))*$F7/12*(1-0.269))),"0"))),0)</f>
        <v>0</v>
      </c>
      <c r="GU7" s="135">
        <f t="shared" si="33"/>
        <v>0</v>
      </c>
      <c r="GV7" s="135">
        <f t="shared" si="33"/>
        <v>0</v>
      </c>
      <c r="GW7" s="135">
        <f t="shared" si="33"/>
        <v>0</v>
      </c>
      <c r="GX7" s="135">
        <f t="shared" si="33"/>
        <v>0</v>
      </c>
      <c r="GY7" s="135">
        <f t="shared" si="33"/>
        <v>0</v>
      </c>
      <c r="GZ7" s="135">
        <f t="shared" si="33"/>
        <v>0</v>
      </c>
      <c r="HA7" s="135">
        <f t="shared" si="33"/>
        <v>0</v>
      </c>
      <c r="HB7" s="135">
        <f t="shared" si="33"/>
        <v>0</v>
      </c>
      <c r="HC7" s="135">
        <f t="shared" si="33"/>
        <v>0</v>
      </c>
      <c r="HD7" s="135">
        <f t="shared" si="33"/>
        <v>0</v>
      </c>
      <c r="HE7" s="135">
        <f t="shared" si="33"/>
        <v>0</v>
      </c>
      <c r="HF7" s="135">
        <f t="shared" si="33"/>
        <v>0</v>
      </c>
      <c r="HG7" s="135">
        <f t="shared" si="33"/>
        <v>0</v>
      </c>
      <c r="HH7" s="135">
        <f t="shared" si="33"/>
        <v>0</v>
      </c>
      <c r="HI7" s="135">
        <f t="shared" si="33"/>
        <v>0</v>
      </c>
      <c r="HJ7" s="135">
        <f t="shared" si="33"/>
        <v>0</v>
      </c>
      <c r="HK7" s="135">
        <f t="shared" si="33"/>
        <v>0</v>
      </c>
      <c r="HL7" s="135">
        <f t="shared" si="33"/>
        <v>0</v>
      </c>
      <c r="HM7" s="135">
        <f t="shared" si="33"/>
        <v>0</v>
      </c>
      <c r="HN7" s="135">
        <f t="shared" si="33"/>
        <v>0</v>
      </c>
      <c r="HO7" s="135">
        <f t="shared" si="33"/>
        <v>0</v>
      </c>
      <c r="HP7" s="135">
        <f t="shared" si="33"/>
        <v>0</v>
      </c>
      <c r="HQ7" s="135">
        <f t="shared" si="33"/>
        <v>0</v>
      </c>
      <c r="HR7" s="135">
        <f t="shared" si="33"/>
        <v>0</v>
      </c>
      <c r="HS7" s="135">
        <f t="shared" si="33"/>
        <v>0</v>
      </c>
      <c r="HT7" s="135">
        <f t="shared" si="33"/>
        <v>0</v>
      </c>
      <c r="HU7" s="135">
        <f t="shared" si="33"/>
        <v>0</v>
      </c>
      <c r="HV7" s="135">
        <f t="shared" si="33"/>
        <v>0</v>
      </c>
      <c r="HW7" s="135">
        <f t="shared" si="33"/>
        <v>0</v>
      </c>
      <c r="HX7" s="135">
        <f t="shared" si="33"/>
        <v>0</v>
      </c>
      <c r="HY7" s="135">
        <f t="shared" si="33"/>
        <v>0</v>
      </c>
      <c r="HZ7" s="135">
        <f t="shared" si="33"/>
        <v>0</v>
      </c>
      <c r="IA7" s="135">
        <f t="shared" si="33"/>
        <v>0</v>
      </c>
      <c r="IB7" s="135">
        <f t="shared" si="33"/>
        <v>0</v>
      </c>
      <c r="IC7" s="135">
        <f t="shared" si="33"/>
        <v>0</v>
      </c>
      <c r="ID7" s="135">
        <f t="shared" si="33"/>
        <v>0</v>
      </c>
      <c r="IE7" s="135">
        <f t="shared" si="33"/>
        <v>0</v>
      </c>
      <c r="IF7" s="135">
        <f t="shared" si="33"/>
        <v>0</v>
      </c>
      <c r="IG7" s="135">
        <f t="shared" si="33"/>
        <v>0</v>
      </c>
      <c r="IH7" s="135">
        <f t="shared" si="33"/>
        <v>0</v>
      </c>
      <c r="II7" s="135">
        <f t="shared" si="33"/>
        <v>0</v>
      </c>
      <c r="IJ7" s="135">
        <f t="shared" si="33"/>
        <v>0</v>
      </c>
      <c r="IK7" s="135">
        <f t="shared" si="33"/>
        <v>0</v>
      </c>
      <c r="IL7" s="135">
        <f t="shared" si="33"/>
        <v>0</v>
      </c>
      <c r="IM7" s="135">
        <f t="shared" si="33"/>
        <v>0</v>
      </c>
      <c r="IN7" s="135">
        <f t="shared" si="33"/>
        <v>0</v>
      </c>
      <c r="IO7" s="135">
        <f t="shared" si="33"/>
        <v>0</v>
      </c>
      <c r="IP7" s="135">
        <f t="shared" si="33"/>
        <v>0</v>
      </c>
      <c r="IQ7" s="135">
        <f t="shared" si="33"/>
        <v>0</v>
      </c>
      <c r="IR7" s="135">
        <f t="shared" si="33"/>
        <v>0</v>
      </c>
      <c r="IS7" s="135">
        <f t="shared" si="33"/>
        <v>0</v>
      </c>
      <c r="IT7" s="135">
        <f t="shared" si="33"/>
        <v>0</v>
      </c>
      <c r="IU7" s="135">
        <f t="shared" si="33"/>
        <v>0</v>
      </c>
      <c r="IV7" s="135">
        <f t="shared" si="33"/>
        <v>0</v>
      </c>
      <c r="IW7" s="135">
        <f t="shared" si="33"/>
        <v>0</v>
      </c>
      <c r="IX7" s="135">
        <f t="shared" si="33"/>
        <v>0</v>
      </c>
      <c r="IY7" s="135">
        <f t="shared" si="33"/>
        <v>0</v>
      </c>
      <c r="IZ7" s="135">
        <f t="shared" si="33"/>
        <v>0</v>
      </c>
      <c r="JA7" s="135">
        <f t="shared" si="33"/>
        <v>0</v>
      </c>
      <c r="JB7" s="135">
        <f t="shared" si="33"/>
        <v>0</v>
      </c>
      <c r="JC7" s="135">
        <f t="shared" si="33"/>
        <v>0</v>
      </c>
      <c r="JD7" s="135">
        <f t="shared" si="33"/>
        <v>0</v>
      </c>
      <c r="JE7" s="135">
        <f t="shared" si="33"/>
        <v>0</v>
      </c>
      <c r="JF7" s="135">
        <f t="shared" si="33"/>
        <v>0</v>
      </c>
      <c r="JG7" s="135">
        <f t="shared" si="28"/>
        <v>0</v>
      </c>
      <c r="JH7" s="135">
        <f t="shared" si="28"/>
        <v>0</v>
      </c>
      <c r="JI7" s="135">
        <f t="shared" si="28"/>
        <v>0</v>
      </c>
      <c r="JJ7" s="135">
        <f t="shared" si="28"/>
        <v>0</v>
      </c>
      <c r="JK7" s="135">
        <f t="shared" si="28"/>
        <v>0</v>
      </c>
      <c r="JL7" s="135">
        <f t="shared" si="28"/>
        <v>0</v>
      </c>
      <c r="JM7" s="135">
        <f t="shared" si="28"/>
        <v>0</v>
      </c>
      <c r="JN7" s="135">
        <f t="shared" si="28"/>
        <v>0</v>
      </c>
      <c r="JO7" s="135">
        <f t="shared" si="28"/>
        <v>0</v>
      </c>
      <c r="JP7" s="135">
        <f t="shared" si="28"/>
        <v>0</v>
      </c>
      <c r="JQ7" s="135">
        <f t="shared" si="28"/>
        <v>0</v>
      </c>
      <c r="JR7" s="135">
        <f t="shared" si="28"/>
        <v>0</v>
      </c>
      <c r="JS7" s="135">
        <f t="shared" si="28"/>
        <v>0</v>
      </c>
      <c r="JT7" s="135">
        <f t="shared" si="28"/>
        <v>0</v>
      </c>
      <c r="JU7" s="135">
        <f t="shared" si="28"/>
        <v>0</v>
      </c>
      <c r="JV7" s="135">
        <f t="shared" si="28"/>
        <v>0</v>
      </c>
      <c r="JW7" s="135">
        <f t="shared" si="28"/>
        <v>0</v>
      </c>
      <c r="JX7" s="135">
        <f t="shared" si="28"/>
        <v>0</v>
      </c>
      <c r="JY7" s="135">
        <f t="shared" si="28"/>
        <v>0</v>
      </c>
      <c r="JZ7" s="135">
        <f t="shared" si="28"/>
        <v>0</v>
      </c>
      <c r="KA7" s="135">
        <f t="shared" si="28"/>
        <v>0</v>
      </c>
      <c r="KB7" s="135">
        <f t="shared" si="28"/>
        <v>0</v>
      </c>
      <c r="KC7" s="135">
        <f t="shared" si="28"/>
        <v>0</v>
      </c>
      <c r="KD7" s="135">
        <f t="shared" si="28"/>
        <v>0</v>
      </c>
      <c r="KE7" s="135">
        <f t="shared" si="28"/>
        <v>0</v>
      </c>
      <c r="KF7" s="135">
        <f t="shared" si="28"/>
        <v>0</v>
      </c>
      <c r="KG7" s="135">
        <f t="shared" si="28"/>
        <v>0</v>
      </c>
      <c r="KH7" s="135">
        <f t="shared" si="28"/>
        <v>0</v>
      </c>
      <c r="KI7" s="135">
        <f t="shared" si="28"/>
        <v>0</v>
      </c>
      <c r="KJ7" s="135">
        <f t="shared" si="28"/>
        <v>0</v>
      </c>
      <c r="KK7" s="135">
        <f t="shared" si="28"/>
        <v>0</v>
      </c>
      <c r="KL7" s="135">
        <f t="shared" si="28"/>
        <v>0</v>
      </c>
      <c r="KM7" s="135">
        <f t="shared" si="28"/>
        <v>0</v>
      </c>
      <c r="KN7" s="135">
        <f t="shared" si="28"/>
        <v>0</v>
      </c>
      <c r="KO7" s="135">
        <f t="shared" si="28"/>
        <v>0</v>
      </c>
      <c r="KP7" s="135">
        <f t="shared" si="28"/>
        <v>0</v>
      </c>
      <c r="KQ7" s="135">
        <f t="shared" si="28"/>
        <v>0</v>
      </c>
      <c r="KR7" s="135">
        <f t="shared" si="28"/>
        <v>0</v>
      </c>
      <c r="KS7" s="135">
        <f t="shared" si="28"/>
        <v>0</v>
      </c>
      <c r="KT7" s="135">
        <f t="shared" si="28"/>
        <v>0</v>
      </c>
      <c r="KU7" s="135">
        <f t="shared" si="28"/>
        <v>0</v>
      </c>
      <c r="KV7" s="135">
        <f t="shared" si="28"/>
        <v>0</v>
      </c>
      <c r="KW7" s="135">
        <f t="shared" si="28"/>
        <v>0</v>
      </c>
      <c r="KX7" s="135">
        <f t="shared" si="28"/>
        <v>0</v>
      </c>
      <c r="KY7" s="135">
        <f t="shared" si="28"/>
        <v>0</v>
      </c>
      <c r="KZ7" s="135">
        <f t="shared" si="28"/>
        <v>0</v>
      </c>
      <c r="LA7" s="135">
        <f t="shared" si="28"/>
        <v>0</v>
      </c>
      <c r="LB7" s="135">
        <f t="shared" si="28"/>
        <v>0</v>
      </c>
      <c r="LC7" s="135">
        <f t="shared" si="28"/>
        <v>0</v>
      </c>
      <c r="LD7" s="135">
        <f t="shared" si="28"/>
        <v>0</v>
      </c>
      <c r="LE7" s="135">
        <f t="shared" si="28"/>
        <v>0</v>
      </c>
      <c r="LF7" s="135">
        <f t="shared" si="28"/>
        <v>0</v>
      </c>
      <c r="LG7" s="135">
        <f t="shared" si="28"/>
        <v>0</v>
      </c>
      <c r="LH7" s="135">
        <f t="shared" si="28"/>
        <v>0</v>
      </c>
      <c r="LI7" s="135">
        <f t="shared" si="28"/>
        <v>0</v>
      </c>
      <c r="LJ7" s="135">
        <f t="shared" si="28"/>
        <v>0</v>
      </c>
      <c r="LK7" s="135">
        <f t="shared" si="28"/>
        <v>0</v>
      </c>
      <c r="LL7" s="135">
        <f t="shared" si="28"/>
        <v>0</v>
      </c>
      <c r="LM7" s="135">
        <f t="shared" si="28"/>
        <v>0</v>
      </c>
      <c r="LN7" s="135">
        <f t="shared" si="28"/>
        <v>0</v>
      </c>
      <c r="LO7" s="135">
        <f t="shared" si="28"/>
        <v>0</v>
      </c>
      <c r="LP7" s="135">
        <f t="shared" si="28"/>
        <v>0</v>
      </c>
      <c r="LQ7" s="135">
        <f t="shared" si="28"/>
        <v>0</v>
      </c>
      <c r="LR7" s="135">
        <f>IFERROR(IF(LR$1=EOMONTH($G7,0),(-$E7+($E7*(DAY($G7)/DAY(EOMONTH(LR$1,0)))*$F7/12*(1-0.269))),IF(LR$1=$G7,($E7+($E7*(DAY($I7)/DAY(EOMONTH(LR$1,0)))*$F7/12*(1-0.269))),IFERROR(IF($I7&lt;LR$1,0,IF(LR$1&gt;$I7,(($F7/12)*$E7)*(DAY($I7)/DAY(EOMONTH(LR$1,0)))*(1-26.9/100)+$E7,IF(AND(LR$1&gt;=$G7,LR$1&lt;$I7),(($F7/12)*$E7)*(1-26.9/100),""))-IF(LR$1=EOMONTH($G7,0),$E7,"0")),0)+IF(LR$1=EOMONTH($I7,0),($E7+($E7*(DAY($I7)/DAY(EOMONTH(LR$1,0)))*$F7/12*(1-0.269))),"0"))),0)</f>
        <v>0</v>
      </c>
      <c r="LS7" s="135">
        <f t="shared" si="34"/>
        <v>0</v>
      </c>
      <c r="LT7" s="135">
        <f t="shared" si="34"/>
        <v>0</v>
      </c>
      <c r="LU7" s="135">
        <f t="shared" si="34"/>
        <v>0</v>
      </c>
      <c r="LV7" s="135">
        <f t="shared" si="34"/>
        <v>0</v>
      </c>
      <c r="LW7" s="135">
        <f t="shared" si="34"/>
        <v>0</v>
      </c>
      <c r="LX7" s="135">
        <f t="shared" si="34"/>
        <v>0</v>
      </c>
      <c r="LY7" s="135">
        <f t="shared" si="34"/>
        <v>0</v>
      </c>
      <c r="LZ7" s="135">
        <f t="shared" si="34"/>
        <v>0</v>
      </c>
      <c r="MA7" s="135">
        <f t="shared" si="34"/>
        <v>0</v>
      </c>
      <c r="MB7" s="135">
        <f t="shared" si="34"/>
        <v>0</v>
      </c>
      <c r="MC7" s="135">
        <f t="shared" si="34"/>
        <v>0</v>
      </c>
      <c r="MD7" s="135">
        <f t="shared" si="34"/>
        <v>0</v>
      </c>
      <c r="ME7" s="135">
        <f t="shared" si="34"/>
        <v>0</v>
      </c>
      <c r="MF7" s="135">
        <f t="shared" si="34"/>
        <v>0</v>
      </c>
      <c r="MG7" s="135">
        <f t="shared" si="34"/>
        <v>0</v>
      </c>
      <c r="MH7" s="135">
        <f t="shared" si="34"/>
        <v>0</v>
      </c>
      <c r="MI7" s="135">
        <f t="shared" si="34"/>
        <v>0</v>
      </c>
      <c r="MJ7" s="135">
        <f t="shared" si="34"/>
        <v>0</v>
      </c>
      <c r="MK7" s="135">
        <f t="shared" si="34"/>
        <v>0</v>
      </c>
      <c r="ML7" s="135">
        <f t="shared" si="34"/>
        <v>0</v>
      </c>
      <c r="MM7" s="135">
        <f t="shared" si="34"/>
        <v>0</v>
      </c>
      <c r="MN7" s="135">
        <f t="shared" si="34"/>
        <v>0</v>
      </c>
      <c r="MO7" s="135">
        <f t="shared" si="34"/>
        <v>0</v>
      </c>
      <c r="MP7" s="135">
        <f t="shared" si="34"/>
        <v>0</v>
      </c>
      <c r="MQ7" s="135">
        <f t="shared" si="34"/>
        <v>0</v>
      </c>
      <c r="MR7" s="135">
        <f t="shared" si="34"/>
        <v>0</v>
      </c>
      <c r="MS7" s="135">
        <f t="shared" si="34"/>
        <v>0</v>
      </c>
      <c r="MT7" s="135">
        <f t="shared" si="34"/>
        <v>0</v>
      </c>
      <c r="MU7" s="135">
        <f t="shared" si="34"/>
        <v>0</v>
      </c>
      <c r="MV7" s="135">
        <f t="shared" si="34"/>
        <v>0</v>
      </c>
      <c r="MW7" s="135">
        <f t="shared" si="34"/>
        <v>0</v>
      </c>
      <c r="MX7" s="135">
        <f t="shared" si="34"/>
        <v>0</v>
      </c>
      <c r="MY7" s="135">
        <f t="shared" si="34"/>
        <v>0</v>
      </c>
      <c r="MZ7" s="135">
        <f t="shared" si="34"/>
        <v>0</v>
      </c>
      <c r="NA7" s="135">
        <f t="shared" si="34"/>
        <v>0</v>
      </c>
      <c r="NB7" s="135">
        <f t="shared" si="34"/>
        <v>0</v>
      </c>
      <c r="NC7" s="135">
        <f t="shared" si="34"/>
        <v>0</v>
      </c>
      <c r="ND7" s="135">
        <f t="shared" si="34"/>
        <v>0</v>
      </c>
      <c r="NE7" s="135">
        <f t="shared" si="34"/>
        <v>0</v>
      </c>
      <c r="NF7" s="135">
        <f t="shared" si="34"/>
        <v>0</v>
      </c>
      <c r="NG7" s="135">
        <f t="shared" si="34"/>
        <v>0</v>
      </c>
      <c r="NH7" s="135">
        <f t="shared" si="34"/>
        <v>0</v>
      </c>
      <c r="NI7" s="135">
        <f t="shared" si="34"/>
        <v>0</v>
      </c>
      <c r="NJ7" s="135">
        <f t="shared" si="34"/>
        <v>0</v>
      </c>
      <c r="NK7" s="135">
        <f t="shared" si="34"/>
        <v>0</v>
      </c>
      <c r="NL7" s="135">
        <f t="shared" si="34"/>
        <v>0</v>
      </c>
      <c r="NM7" s="135">
        <f t="shared" si="34"/>
        <v>0</v>
      </c>
      <c r="NN7" s="135">
        <f t="shared" si="34"/>
        <v>0</v>
      </c>
      <c r="NO7" s="135">
        <f t="shared" si="34"/>
        <v>0</v>
      </c>
      <c r="NP7" s="135">
        <f t="shared" si="34"/>
        <v>0</v>
      </c>
      <c r="NQ7" s="135">
        <f t="shared" si="34"/>
        <v>0</v>
      </c>
      <c r="NR7" s="135">
        <f t="shared" si="34"/>
        <v>0</v>
      </c>
      <c r="NS7" s="135">
        <f t="shared" si="34"/>
        <v>0</v>
      </c>
      <c r="NT7" s="135">
        <f t="shared" si="34"/>
        <v>0</v>
      </c>
      <c r="NU7" s="135">
        <f t="shared" si="34"/>
        <v>0</v>
      </c>
      <c r="NV7" s="135">
        <f t="shared" si="34"/>
        <v>0</v>
      </c>
      <c r="NW7" s="135">
        <f t="shared" si="34"/>
        <v>0</v>
      </c>
      <c r="NX7" s="135">
        <f t="shared" si="34"/>
        <v>0</v>
      </c>
      <c r="NY7" s="135">
        <f t="shared" si="34"/>
        <v>0</v>
      </c>
      <c r="NZ7" s="135">
        <f t="shared" si="34"/>
        <v>0</v>
      </c>
      <c r="OA7" s="135">
        <f t="shared" si="34"/>
        <v>0</v>
      </c>
      <c r="OB7" s="135">
        <f t="shared" si="34"/>
        <v>0</v>
      </c>
      <c r="OC7" s="135">
        <f t="shared" si="34"/>
        <v>0</v>
      </c>
      <c r="OD7" s="135">
        <f t="shared" si="34"/>
        <v>0</v>
      </c>
      <c r="OE7" s="135">
        <f t="shared" si="29"/>
        <v>0</v>
      </c>
      <c r="OF7" s="135">
        <f t="shared" si="29"/>
        <v>0</v>
      </c>
      <c r="OG7" s="135">
        <f t="shared" si="29"/>
        <v>0</v>
      </c>
      <c r="OH7" s="135">
        <f t="shared" si="29"/>
        <v>0</v>
      </c>
      <c r="OI7" s="135">
        <f t="shared" si="29"/>
        <v>0</v>
      </c>
      <c r="OJ7" s="135">
        <f t="shared" si="29"/>
        <v>0</v>
      </c>
      <c r="OK7" s="135">
        <f t="shared" si="29"/>
        <v>0</v>
      </c>
      <c r="OL7" s="135">
        <f t="shared" si="29"/>
        <v>0</v>
      </c>
      <c r="OM7" s="135">
        <f t="shared" si="29"/>
        <v>0</v>
      </c>
      <c r="ON7" s="135">
        <f t="shared" si="29"/>
        <v>0</v>
      </c>
      <c r="OO7" s="135">
        <f t="shared" si="29"/>
        <v>0</v>
      </c>
      <c r="OP7" s="135">
        <f t="shared" si="29"/>
        <v>0</v>
      </c>
      <c r="OQ7" s="135">
        <f t="shared" si="29"/>
        <v>0</v>
      </c>
      <c r="OR7" s="135">
        <f t="shared" si="29"/>
        <v>0</v>
      </c>
      <c r="OS7" s="135">
        <f t="shared" si="29"/>
        <v>0</v>
      </c>
      <c r="OT7" s="135">
        <f t="shared" si="29"/>
        <v>0</v>
      </c>
      <c r="OU7" s="135">
        <f t="shared" si="29"/>
        <v>0</v>
      </c>
      <c r="OV7" s="135">
        <f t="shared" si="29"/>
        <v>0</v>
      </c>
      <c r="OW7" s="135">
        <f t="shared" si="29"/>
        <v>0</v>
      </c>
      <c r="OX7" s="135">
        <f t="shared" si="29"/>
        <v>0</v>
      </c>
      <c r="OY7" s="135">
        <f t="shared" si="29"/>
        <v>0</v>
      </c>
      <c r="OZ7" s="135">
        <f t="shared" si="29"/>
        <v>0</v>
      </c>
      <c r="PA7" s="135">
        <f t="shared" si="29"/>
        <v>0</v>
      </c>
      <c r="PB7" s="135">
        <f t="shared" si="29"/>
        <v>0</v>
      </c>
      <c r="PC7" s="135">
        <f t="shared" si="29"/>
        <v>0</v>
      </c>
      <c r="PD7" s="135">
        <f t="shared" si="29"/>
        <v>0</v>
      </c>
      <c r="PE7" s="135">
        <f t="shared" si="29"/>
        <v>0</v>
      </c>
      <c r="PF7" s="135">
        <f t="shared" si="29"/>
        <v>0</v>
      </c>
      <c r="PG7" s="135">
        <f t="shared" si="29"/>
        <v>0</v>
      </c>
      <c r="PH7" s="135">
        <f t="shared" si="29"/>
        <v>0</v>
      </c>
      <c r="PI7" s="135">
        <f t="shared" si="29"/>
        <v>0</v>
      </c>
      <c r="PJ7" s="135">
        <f t="shared" si="29"/>
        <v>0</v>
      </c>
      <c r="PK7" s="135">
        <f t="shared" si="29"/>
        <v>0</v>
      </c>
      <c r="PL7" s="135">
        <f t="shared" si="29"/>
        <v>0</v>
      </c>
      <c r="PM7" s="135">
        <f t="shared" si="29"/>
        <v>0</v>
      </c>
      <c r="PN7" s="135">
        <f t="shared" si="29"/>
        <v>0</v>
      </c>
      <c r="PO7" s="135">
        <f t="shared" si="29"/>
        <v>0</v>
      </c>
      <c r="PP7" s="135">
        <f t="shared" si="29"/>
        <v>0</v>
      </c>
      <c r="PQ7" s="135">
        <f t="shared" si="29"/>
        <v>0</v>
      </c>
      <c r="PR7" s="135">
        <f t="shared" si="29"/>
        <v>0</v>
      </c>
      <c r="PS7" s="135">
        <f t="shared" si="29"/>
        <v>0</v>
      </c>
      <c r="PT7" s="135">
        <f t="shared" si="29"/>
        <v>0</v>
      </c>
      <c r="PU7" s="135">
        <f t="shared" si="29"/>
        <v>0</v>
      </c>
      <c r="PV7" s="135">
        <f t="shared" si="29"/>
        <v>0</v>
      </c>
      <c r="PW7" s="135">
        <f t="shared" si="29"/>
        <v>0</v>
      </c>
      <c r="PX7" s="135">
        <f t="shared" si="29"/>
        <v>0</v>
      </c>
      <c r="PY7" s="135">
        <f t="shared" si="29"/>
        <v>0</v>
      </c>
      <c r="PZ7" s="135">
        <f t="shared" si="29"/>
        <v>0</v>
      </c>
      <c r="QA7" s="135">
        <f t="shared" si="29"/>
        <v>0</v>
      </c>
      <c r="QB7" s="135">
        <f t="shared" si="29"/>
        <v>0</v>
      </c>
      <c r="QC7" s="135">
        <f t="shared" si="29"/>
        <v>0</v>
      </c>
      <c r="QD7" s="135">
        <f t="shared" si="29"/>
        <v>0</v>
      </c>
      <c r="QE7" s="135">
        <f t="shared" si="29"/>
        <v>0</v>
      </c>
      <c r="QF7" s="135">
        <f t="shared" si="29"/>
        <v>0</v>
      </c>
      <c r="QG7" s="135">
        <f t="shared" si="29"/>
        <v>0</v>
      </c>
      <c r="QH7" s="135">
        <f t="shared" si="29"/>
        <v>0</v>
      </c>
      <c r="QI7" s="135">
        <f t="shared" si="29"/>
        <v>0</v>
      </c>
      <c r="QJ7" s="135">
        <f t="shared" si="29"/>
        <v>0</v>
      </c>
      <c r="QK7" s="135">
        <f t="shared" si="29"/>
        <v>0</v>
      </c>
      <c r="QL7" s="135">
        <f t="shared" si="29"/>
        <v>0</v>
      </c>
      <c r="QM7" s="135">
        <f t="shared" si="29"/>
        <v>0</v>
      </c>
      <c r="QN7" s="135">
        <f t="shared" si="29"/>
        <v>0</v>
      </c>
      <c r="QO7" s="135">
        <f t="shared" si="29"/>
        <v>0</v>
      </c>
      <c r="QP7" s="135">
        <f>IFERROR(IF(QP$1=EOMONTH($G7,0),(-$E7+($E7*(DAY($G7)/DAY(EOMONTH(QP$1,0)))*$F7/12*(1-0.269))),IF(QP$1=$G7,($E7+($E7*(DAY($I7)/DAY(EOMONTH(QP$1,0)))*$F7/12*(1-0.269))),IFERROR(IF($I7&lt;QP$1,0,IF(QP$1&gt;$I7,(($F7/12)*$E7)*(DAY($I7)/DAY(EOMONTH(QP$1,0)))*(1-26.9/100)+$E7,IF(AND(QP$1&gt;=$G7,QP$1&lt;$I7),(($F7/12)*$E7)*(1-26.9/100),""))-IF(QP$1=EOMONTH($G7,0),$E7,"0")),0)+IF(QP$1=EOMONTH($I7,0),($E7+($E7*(DAY($I7)/DAY(EOMONTH(QP$1,0)))*$F7/12*(1-0.269))),"0"))),0)</f>
        <v>0</v>
      </c>
      <c r="QQ7" s="135">
        <f t="shared" si="35"/>
        <v>0</v>
      </c>
      <c r="QR7" s="135">
        <f t="shared" si="35"/>
        <v>0</v>
      </c>
      <c r="QS7" s="135">
        <f t="shared" si="35"/>
        <v>0</v>
      </c>
      <c r="QT7" s="135">
        <f t="shared" si="35"/>
        <v>0</v>
      </c>
      <c r="QU7" s="135">
        <f t="shared" si="35"/>
        <v>0</v>
      </c>
      <c r="QV7" s="135">
        <f t="shared" si="35"/>
        <v>0</v>
      </c>
      <c r="QW7" s="135">
        <f t="shared" si="35"/>
        <v>0</v>
      </c>
      <c r="QX7" s="135">
        <f t="shared" si="35"/>
        <v>0</v>
      </c>
      <c r="QY7" s="135">
        <f t="shared" si="35"/>
        <v>0</v>
      </c>
      <c r="QZ7" s="135">
        <f t="shared" si="35"/>
        <v>0</v>
      </c>
      <c r="RA7" s="135">
        <f t="shared" si="35"/>
        <v>0</v>
      </c>
      <c r="RB7" s="135">
        <f t="shared" si="35"/>
        <v>0</v>
      </c>
      <c r="RC7" s="135">
        <f t="shared" si="35"/>
        <v>0</v>
      </c>
      <c r="RD7" s="135">
        <f t="shared" si="35"/>
        <v>0</v>
      </c>
      <c r="RE7" s="135">
        <f t="shared" si="35"/>
        <v>0</v>
      </c>
      <c r="RF7" s="135">
        <f t="shared" si="35"/>
        <v>0</v>
      </c>
      <c r="RG7" s="135">
        <f t="shared" si="35"/>
        <v>0</v>
      </c>
      <c r="RH7" s="135">
        <f t="shared" si="35"/>
        <v>0</v>
      </c>
      <c r="RI7" s="135">
        <f t="shared" si="35"/>
        <v>0</v>
      </c>
      <c r="RJ7" s="135">
        <f t="shared" si="35"/>
        <v>0</v>
      </c>
      <c r="RK7" s="135">
        <f t="shared" si="35"/>
        <v>0</v>
      </c>
      <c r="RL7" s="135">
        <f t="shared" si="35"/>
        <v>0</v>
      </c>
      <c r="RM7" s="135">
        <f t="shared" si="35"/>
        <v>0</v>
      </c>
      <c r="RN7" s="135">
        <f t="shared" si="35"/>
        <v>0</v>
      </c>
      <c r="RO7" s="135">
        <f t="shared" si="35"/>
        <v>0</v>
      </c>
      <c r="RP7" s="135">
        <f t="shared" si="35"/>
        <v>0</v>
      </c>
      <c r="RQ7" s="135">
        <f t="shared" si="35"/>
        <v>0</v>
      </c>
      <c r="RR7" s="135">
        <f t="shared" si="35"/>
        <v>0</v>
      </c>
      <c r="RS7" s="135">
        <f t="shared" si="35"/>
        <v>0</v>
      </c>
      <c r="RT7" s="135">
        <f t="shared" si="35"/>
        <v>0</v>
      </c>
      <c r="RU7" s="135">
        <f t="shared" si="35"/>
        <v>0</v>
      </c>
      <c r="RV7" s="135">
        <f t="shared" si="35"/>
        <v>0</v>
      </c>
      <c r="RW7" s="135">
        <f t="shared" si="35"/>
        <v>0</v>
      </c>
      <c r="RX7" s="135">
        <f t="shared" si="35"/>
        <v>0</v>
      </c>
      <c r="RY7" s="135">
        <f t="shared" si="35"/>
        <v>0</v>
      </c>
      <c r="RZ7" s="135">
        <f t="shared" si="35"/>
        <v>0</v>
      </c>
      <c r="SA7" s="135">
        <f t="shared" si="35"/>
        <v>0</v>
      </c>
      <c r="SB7" s="135">
        <f t="shared" si="35"/>
        <v>0</v>
      </c>
      <c r="SC7" s="135">
        <f t="shared" si="35"/>
        <v>0</v>
      </c>
      <c r="SD7" s="135">
        <f t="shared" si="35"/>
        <v>0</v>
      </c>
      <c r="SE7" s="135">
        <f t="shared" si="35"/>
        <v>0</v>
      </c>
      <c r="SF7" s="135">
        <f t="shared" si="35"/>
        <v>0</v>
      </c>
      <c r="SG7" s="135">
        <f t="shared" si="35"/>
        <v>0</v>
      </c>
      <c r="SH7" s="135">
        <f t="shared" si="35"/>
        <v>0</v>
      </c>
      <c r="SI7" s="135">
        <f t="shared" si="35"/>
        <v>0</v>
      </c>
      <c r="SJ7" s="135">
        <f t="shared" si="35"/>
        <v>0</v>
      </c>
      <c r="SK7" s="135">
        <f t="shared" si="35"/>
        <v>0</v>
      </c>
      <c r="SL7" s="135">
        <f t="shared" si="35"/>
        <v>0</v>
      </c>
      <c r="SM7" s="135">
        <f t="shared" si="35"/>
        <v>0</v>
      </c>
      <c r="SN7" s="135">
        <f t="shared" si="35"/>
        <v>0</v>
      </c>
      <c r="SO7" s="135">
        <f t="shared" si="35"/>
        <v>0</v>
      </c>
      <c r="SP7" s="135">
        <f t="shared" si="35"/>
        <v>0</v>
      </c>
      <c r="SQ7" s="135">
        <f t="shared" si="35"/>
        <v>0</v>
      </c>
      <c r="SR7" s="135">
        <f t="shared" si="35"/>
        <v>0</v>
      </c>
      <c r="SS7" s="135">
        <f t="shared" si="35"/>
        <v>0</v>
      </c>
      <c r="ST7" s="135">
        <f t="shared" si="35"/>
        <v>0</v>
      </c>
      <c r="SU7" s="135">
        <f t="shared" si="35"/>
        <v>0</v>
      </c>
      <c r="SV7" s="135">
        <f t="shared" si="35"/>
        <v>0</v>
      </c>
      <c r="SW7" s="135">
        <f t="shared" si="35"/>
        <v>0</v>
      </c>
      <c r="SX7" s="135">
        <f t="shared" si="35"/>
        <v>0</v>
      </c>
      <c r="SY7" s="135">
        <f t="shared" si="35"/>
        <v>0</v>
      </c>
      <c r="SZ7" s="135">
        <f t="shared" si="35"/>
        <v>0</v>
      </c>
      <c r="TA7" s="135">
        <f t="shared" si="35"/>
        <v>0</v>
      </c>
      <c r="TB7" s="135">
        <f t="shared" si="35"/>
        <v>0</v>
      </c>
      <c r="TC7" s="135">
        <f t="shared" si="30"/>
        <v>0</v>
      </c>
      <c r="TD7" s="135">
        <f t="shared" si="30"/>
        <v>0</v>
      </c>
      <c r="TE7" s="135">
        <f t="shared" si="30"/>
        <v>0</v>
      </c>
      <c r="TF7" s="135">
        <f t="shared" si="30"/>
        <v>0</v>
      </c>
      <c r="TG7" s="135">
        <f t="shared" si="30"/>
        <v>0</v>
      </c>
      <c r="TH7" s="135">
        <f t="shared" si="30"/>
        <v>0</v>
      </c>
      <c r="TI7" s="135">
        <f t="shared" si="30"/>
        <v>0</v>
      </c>
      <c r="TJ7" s="135">
        <f t="shared" si="30"/>
        <v>0</v>
      </c>
      <c r="TK7" s="135">
        <f t="shared" si="30"/>
        <v>0</v>
      </c>
      <c r="TL7" s="135">
        <f t="shared" si="30"/>
        <v>0</v>
      </c>
      <c r="TM7" s="135">
        <f t="shared" si="30"/>
        <v>0</v>
      </c>
      <c r="TN7" s="135">
        <f t="shared" si="30"/>
        <v>0</v>
      </c>
      <c r="TO7" s="135">
        <f t="shared" si="30"/>
        <v>0</v>
      </c>
      <c r="TP7" s="135">
        <f t="shared" si="30"/>
        <v>0</v>
      </c>
      <c r="TQ7" s="135">
        <f t="shared" si="30"/>
        <v>0</v>
      </c>
      <c r="TR7" s="135">
        <f t="shared" si="30"/>
        <v>0</v>
      </c>
      <c r="TS7" s="135">
        <f t="shared" si="30"/>
        <v>0</v>
      </c>
      <c r="TT7" s="135">
        <f t="shared" si="30"/>
        <v>0</v>
      </c>
      <c r="TU7" s="135">
        <f t="shared" si="30"/>
        <v>0</v>
      </c>
      <c r="TV7" s="135">
        <f t="shared" si="30"/>
        <v>0</v>
      </c>
      <c r="TW7" s="135">
        <f t="shared" si="30"/>
        <v>0</v>
      </c>
      <c r="TX7" s="135">
        <f t="shared" si="30"/>
        <v>0</v>
      </c>
      <c r="TY7" s="135">
        <f t="shared" si="30"/>
        <v>0</v>
      </c>
      <c r="TZ7" s="135">
        <f t="shared" si="30"/>
        <v>0</v>
      </c>
      <c r="UA7" s="135">
        <f t="shared" si="30"/>
        <v>0</v>
      </c>
      <c r="UB7" s="135">
        <f t="shared" si="30"/>
        <v>0</v>
      </c>
      <c r="UC7" s="135">
        <f t="shared" si="30"/>
        <v>0</v>
      </c>
      <c r="UD7" s="135">
        <f t="shared" si="30"/>
        <v>0</v>
      </c>
      <c r="UE7" s="135">
        <f t="shared" si="30"/>
        <v>0</v>
      </c>
      <c r="UF7" s="135">
        <f t="shared" si="30"/>
        <v>0</v>
      </c>
      <c r="UG7" s="135">
        <f t="shared" si="30"/>
        <v>0</v>
      </c>
      <c r="UH7" s="135">
        <f t="shared" si="30"/>
        <v>0</v>
      </c>
      <c r="UI7" s="135">
        <f t="shared" si="30"/>
        <v>0</v>
      </c>
      <c r="UJ7" s="135">
        <f t="shared" si="30"/>
        <v>0</v>
      </c>
      <c r="UK7" s="135">
        <f t="shared" si="30"/>
        <v>0</v>
      </c>
    </row>
    <row r="8" spans="2:557">
      <c r="B8" t="str">
        <f>IF(Samenvatting!$F109&lt;&gt;0,Samenvatting!C109,"")</f>
        <v/>
      </c>
      <c r="C8" t="str">
        <f>IF(Samenvatting!$F109&lt;&gt;0,Samenvatting!D109,"")</f>
        <v/>
      </c>
      <c r="D8" t="str">
        <f>IF(Samenvatting!$F109&lt;&gt;0,Samenvatting!E109,"")</f>
        <v/>
      </c>
      <c r="E8" t="str">
        <f>IF(Samenvatting!$F109&lt;&gt;0,Samenvatting!F109,"")</f>
        <v/>
      </c>
      <c r="F8" t="str">
        <f>IF(Samenvatting!$F109&lt;&gt;0,Samenvatting!H109,"")</f>
        <v/>
      </c>
      <c r="G8" s="134" t="str">
        <f>IF(Samenvatting!$F109&lt;&gt;0,Samenvatting!I109,"")</f>
        <v/>
      </c>
      <c r="H8" t="str">
        <f>IF(Samenvatting!$F109&lt;&gt;0,Samenvatting!J109,"")</f>
        <v/>
      </c>
      <c r="I8" s="134" t="str">
        <f>IF(Samenvatting!$F109&lt;&gt;0,Samenvatting!K109,"")</f>
        <v/>
      </c>
      <c r="J8" s="135">
        <f t="shared" si="0"/>
        <v>0</v>
      </c>
      <c r="K8" s="135">
        <f t="shared" ref="K8:BV11" si="38">IFERROR(IF(K$1=EOMONTH($G8,0),(-$E8+($E8*(DAY($G8)/DAY(EOMONTH(K$1,0)))*$F8/12*(1-0.269))),IF(K$1=$G8,($E8+($E8*(DAY($I8)/DAY(EOMONTH(K$1,0)))*$F8/12*(1-0.269))),IFERROR(IF($I8&lt;K$1,0,IF(K$1&gt;$I8,(($F8/12)*$E8)*(DAY($I8)/DAY(EOMONTH(K$1,0)))*(1-26.9/100)+$E8,IF(AND(K$1&gt;=$G8,K$1&lt;$I8),(($F8/12)*$E8)*(1-26.9/100),""))-IF(K$1=EOMONTH($G8,0),$E8,"0")),0)+IF(K$1=EOMONTH($I8,0),($E8+($E8*(DAY($I8)/DAY(EOMONTH(K$1,0)))*$F8/12*(1-0.269))),"0"))),0)</f>
        <v>0</v>
      </c>
      <c r="L8" s="135">
        <f t="shared" si="38"/>
        <v>0</v>
      </c>
      <c r="M8" s="135">
        <f t="shared" si="38"/>
        <v>0</v>
      </c>
      <c r="N8" s="135">
        <f t="shared" si="38"/>
        <v>0</v>
      </c>
      <c r="O8" s="135">
        <f t="shared" si="38"/>
        <v>0</v>
      </c>
      <c r="P8" s="135">
        <f t="shared" si="38"/>
        <v>0</v>
      </c>
      <c r="Q8" s="135">
        <f t="shared" si="38"/>
        <v>0</v>
      </c>
      <c r="R8" s="135">
        <f t="shared" si="38"/>
        <v>0</v>
      </c>
      <c r="S8" s="135">
        <f t="shared" si="38"/>
        <v>0</v>
      </c>
      <c r="T8" s="135">
        <f t="shared" si="38"/>
        <v>0</v>
      </c>
      <c r="U8" s="135">
        <f t="shared" si="38"/>
        <v>0</v>
      </c>
      <c r="V8" s="135">
        <f t="shared" si="38"/>
        <v>0</v>
      </c>
      <c r="W8" s="135">
        <f t="shared" si="38"/>
        <v>0</v>
      </c>
      <c r="X8" s="135">
        <f t="shared" si="38"/>
        <v>0</v>
      </c>
      <c r="Y8" s="135">
        <f t="shared" si="38"/>
        <v>0</v>
      </c>
      <c r="Z8" s="135">
        <f t="shared" si="38"/>
        <v>0</v>
      </c>
      <c r="AA8" s="135">
        <f t="shared" si="38"/>
        <v>0</v>
      </c>
      <c r="AB8" s="135">
        <f t="shared" si="38"/>
        <v>0</v>
      </c>
      <c r="AC8" s="135">
        <f t="shared" si="38"/>
        <v>0</v>
      </c>
      <c r="AD8" s="135">
        <f t="shared" si="38"/>
        <v>0</v>
      </c>
      <c r="AE8" s="135">
        <f t="shared" si="38"/>
        <v>0</v>
      </c>
      <c r="AF8" s="135">
        <f t="shared" si="38"/>
        <v>0</v>
      </c>
      <c r="AG8" s="135">
        <f t="shared" si="38"/>
        <v>0</v>
      </c>
      <c r="AH8" s="135">
        <f t="shared" si="38"/>
        <v>0</v>
      </c>
      <c r="AI8" s="135">
        <f t="shared" si="38"/>
        <v>0</v>
      </c>
      <c r="AJ8" s="135">
        <f t="shared" si="38"/>
        <v>0</v>
      </c>
      <c r="AK8" s="135">
        <f t="shared" si="38"/>
        <v>0</v>
      </c>
      <c r="AL8" s="135">
        <f t="shared" si="38"/>
        <v>0</v>
      </c>
      <c r="AM8" s="135">
        <f t="shared" si="38"/>
        <v>0</v>
      </c>
      <c r="AN8" s="135">
        <f t="shared" si="38"/>
        <v>0</v>
      </c>
      <c r="AO8" s="135">
        <f t="shared" si="38"/>
        <v>0</v>
      </c>
      <c r="AP8" s="135">
        <f t="shared" si="38"/>
        <v>0</v>
      </c>
      <c r="AQ8" s="135">
        <f t="shared" si="38"/>
        <v>0</v>
      </c>
      <c r="AR8" s="135">
        <f t="shared" si="38"/>
        <v>0</v>
      </c>
      <c r="AS8" s="135">
        <f t="shared" si="38"/>
        <v>0</v>
      </c>
      <c r="AT8" s="135">
        <f t="shared" si="38"/>
        <v>0</v>
      </c>
      <c r="AU8" s="135">
        <f t="shared" si="38"/>
        <v>0</v>
      </c>
      <c r="AV8" s="135">
        <f t="shared" si="38"/>
        <v>0</v>
      </c>
      <c r="AW8" s="135">
        <f t="shared" si="38"/>
        <v>0</v>
      </c>
      <c r="AX8" s="135">
        <f t="shared" si="38"/>
        <v>0</v>
      </c>
      <c r="AY8" s="135">
        <f t="shared" si="38"/>
        <v>0</v>
      </c>
      <c r="AZ8" s="135">
        <f t="shared" si="38"/>
        <v>0</v>
      </c>
      <c r="BA8" s="135">
        <f t="shared" si="38"/>
        <v>0</v>
      </c>
      <c r="BB8" s="135">
        <f t="shared" si="38"/>
        <v>0</v>
      </c>
      <c r="BC8" s="135">
        <f t="shared" si="38"/>
        <v>0</v>
      </c>
      <c r="BD8" s="135">
        <f t="shared" si="38"/>
        <v>0</v>
      </c>
      <c r="BE8" s="135">
        <f t="shared" si="38"/>
        <v>0</v>
      </c>
      <c r="BF8" s="135">
        <f t="shared" si="38"/>
        <v>0</v>
      </c>
      <c r="BG8" s="135">
        <f t="shared" si="38"/>
        <v>0</v>
      </c>
      <c r="BH8" s="135">
        <f t="shared" si="38"/>
        <v>0</v>
      </c>
      <c r="BI8" s="135">
        <f t="shared" si="38"/>
        <v>0</v>
      </c>
      <c r="BJ8" s="135">
        <f t="shared" si="38"/>
        <v>0</v>
      </c>
      <c r="BK8" s="135">
        <f t="shared" si="38"/>
        <v>0</v>
      </c>
      <c r="BL8" s="135">
        <f t="shared" si="38"/>
        <v>0</v>
      </c>
      <c r="BM8" s="135">
        <f t="shared" si="38"/>
        <v>0</v>
      </c>
      <c r="BN8" s="135">
        <f t="shared" si="38"/>
        <v>0</v>
      </c>
      <c r="BO8" s="135">
        <f t="shared" si="38"/>
        <v>0</v>
      </c>
      <c r="BP8" s="135">
        <f t="shared" si="38"/>
        <v>0</v>
      </c>
      <c r="BQ8" s="135">
        <f t="shared" si="38"/>
        <v>0</v>
      </c>
      <c r="BR8" s="135">
        <f t="shared" si="38"/>
        <v>0</v>
      </c>
      <c r="BS8" s="135">
        <f t="shared" si="38"/>
        <v>0</v>
      </c>
      <c r="BT8" s="135">
        <f t="shared" si="38"/>
        <v>0</v>
      </c>
      <c r="BU8" s="135">
        <f t="shared" si="38"/>
        <v>0</v>
      </c>
      <c r="BV8" s="135">
        <f t="shared" si="38"/>
        <v>0</v>
      </c>
      <c r="BW8" s="135">
        <f t="shared" si="36"/>
        <v>0</v>
      </c>
      <c r="BX8" s="135">
        <f t="shared" si="36"/>
        <v>0</v>
      </c>
      <c r="BY8" s="135">
        <f t="shared" si="36"/>
        <v>0</v>
      </c>
      <c r="BZ8" s="135">
        <f t="shared" si="36"/>
        <v>0</v>
      </c>
      <c r="CA8" s="135">
        <f t="shared" si="36"/>
        <v>0</v>
      </c>
      <c r="CB8" s="135">
        <f t="shared" si="36"/>
        <v>0</v>
      </c>
      <c r="CC8" s="135">
        <f t="shared" si="36"/>
        <v>0</v>
      </c>
      <c r="CD8" s="135">
        <f t="shared" si="36"/>
        <v>0</v>
      </c>
      <c r="CE8" s="135">
        <f t="shared" si="36"/>
        <v>0</v>
      </c>
      <c r="CF8" s="135">
        <f t="shared" si="36"/>
        <v>0</v>
      </c>
      <c r="CG8" s="135">
        <f t="shared" si="36"/>
        <v>0</v>
      </c>
      <c r="CH8" s="135">
        <f t="shared" si="36"/>
        <v>0</v>
      </c>
      <c r="CI8" s="135">
        <f t="shared" si="36"/>
        <v>0</v>
      </c>
      <c r="CJ8" s="135">
        <f t="shared" si="36"/>
        <v>0</v>
      </c>
      <c r="CK8" s="135">
        <f t="shared" si="36"/>
        <v>0</v>
      </c>
      <c r="CL8" s="135">
        <f t="shared" si="36"/>
        <v>0</v>
      </c>
      <c r="CM8" s="135">
        <f t="shared" si="36"/>
        <v>0</v>
      </c>
      <c r="CN8" s="135">
        <f t="shared" si="36"/>
        <v>0</v>
      </c>
      <c r="CO8" s="135">
        <f t="shared" si="36"/>
        <v>0</v>
      </c>
      <c r="CP8" s="135">
        <f t="shared" si="36"/>
        <v>0</v>
      </c>
      <c r="CQ8" s="135">
        <f t="shared" si="36"/>
        <v>0</v>
      </c>
      <c r="CR8" s="135">
        <f t="shared" si="36"/>
        <v>0</v>
      </c>
      <c r="CS8" s="135">
        <f t="shared" si="36"/>
        <v>0</v>
      </c>
      <c r="CT8" s="135">
        <f t="shared" si="36"/>
        <v>0</v>
      </c>
      <c r="CU8" s="135">
        <f t="shared" si="36"/>
        <v>0</v>
      </c>
      <c r="CV8" s="135">
        <f t="shared" si="36"/>
        <v>0</v>
      </c>
      <c r="CW8" s="135">
        <f t="shared" si="36"/>
        <v>0</v>
      </c>
      <c r="CX8" s="135">
        <f t="shared" si="36"/>
        <v>0</v>
      </c>
      <c r="CY8" s="135">
        <f t="shared" si="36"/>
        <v>0</v>
      </c>
      <c r="CZ8" s="135">
        <f t="shared" si="36"/>
        <v>0</v>
      </c>
      <c r="DA8" s="135">
        <f t="shared" si="36"/>
        <v>0</v>
      </c>
      <c r="DB8" s="135">
        <f t="shared" si="36"/>
        <v>0</v>
      </c>
      <c r="DC8" s="135">
        <f t="shared" si="36"/>
        <v>0</v>
      </c>
      <c r="DD8" s="135">
        <f t="shared" si="36"/>
        <v>0</v>
      </c>
      <c r="DE8" s="135">
        <f t="shared" si="36"/>
        <v>0</v>
      </c>
      <c r="DF8" s="135">
        <f t="shared" si="36"/>
        <v>0</v>
      </c>
      <c r="DG8" s="135">
        <f t="shared" si="36"/>
        <v>0</v>
      </c>
      <c r="DH8" s="135">
        <f t="shared" si="36"/>
        <v>0</v>
      </c>
      <c r="DI8" s="135">
        <f t="shared" si="36"/>
        <v>0</v>
      </c>
      <c r="DJ8" s="135">
        <f t="shared" si="36"/>
        <v>0</v>
      </c>
      <c r="DK8" s="135">
        <f t="shared" si="36"/>
        <v>0</v>
      </c>
      <c r="DL8" s="135">
        <f t="shared" si="36"/>
        <v>0</v>
      </c>
      <c r="DM8" s="135">
        <f t="shared" si="36"/>
        <v>0</v>
      </c>
      <c r="DN8" s="135">
        <f t="shared" si="36"/>
        <v>0</v>
      </c>
      <c r="DO8" s="135">
        <f t="shared" si="36"/>
        <v>0</v>
      </c>
      <c r="DP8" s="135">
        <f t="shared" si="36"/>
        <v>0</v>
      </c>
      <c r="DQ8" s="135">
        <f t="shared" si="36"/>
        <v>0</v>
      </c>
      <c r="DR8" s="135">
        <f t="shared" si="36"/>
        <v>0</v>
      </c>
      <c r="DS8" s="135">
        <f t="shared" si="36"/>
        <v>0</v>
      </c>
      <c r="DT8" s="135">
        <f t="shared" si="36"/>
        <v>0</v>
      </c>
      <c r="DU8" s="135">
        <f t="shared" si="36"/>
        <v>0</v>
      </c>
      <c r="DV8" s="135">
        <f t="shared" si="36"/>
        <v>0</v>
      </c>
      <c r="DW8" s="135">
        <f t="shared" si="36"/>
        <v>0</v>
      </c>
      <c r="DX8" s="135">
        <f t="shared" si="36"/>
        <v>0</v>
      </c>
      <c r="DY8" s="135">
        <f t="shared" si="36"/>
        <v>0</v>
      </c>
      <c r="DZ8" s="135">
        <f t="shared" si="36"/>
        <v>0</v>
      </c>
      <c r="EA8" s="135">
        <f t="shared" si="36"/>
        <v>0</v>
      </c>
      <c r="EB8" s="135">
        <f t="shared" si="36"/>
        <v>0</v>
      </c>
      <c r="EC8" s="135">
        <f t="shared" si="36"/>
        <v>0</v>
      </c>
      <c r="ED8" s="135">
        <f t="shared" si="36"/>
        <v>0</v>
      </c>
      <c r="EE8" s="135">
        <f t="shared" si="36"/>
        <v>0</v>
      </c>
      <c r="EF8" s="135">
        <f t="shared" si="36"/>
        <v>0</v>
      </c>
      <c r="EG8" s="135">
        <f t="shared" si="36"/>
        <v>0</v>
      </c>
      <c r="EH8" s="135">
        <f t="shared" si="37"/>
        <v>0</v>
      </c>
      <c r="EI8" s="135">
        <f t="shared" si="27"/>
        <v>0</v>
      </c>
      <c r="EJ8" s="135">
        <f t="shared" si="27"/>
        <v>0</v>
      </c>
      <c r="EK8" s="135">
        <f t="shared" si="27"/>
        <v>0</v>
      </c>
      <c r="EL8" s="135">
        <f t="shared" si="27"/>
        <v>0</v>
      </c>
      <c r="EM8" s="135">
        <f t="shared" si="27"/>
        <v>0</v>
      </c>
      <c r="EN8" s="135">
        <f t="shared" si="27"/>
        <v>0</v>
      </c>
      <c r="EO8" s="135">
        <f t="shared" si="27"/>
        <v>0</v>
      </c>
      <c r="EP8" s="135">
        <f t="shared" si="27"/>
        <v>0</v>
      </c>
      <c r="EQ8" s="135">
        <f t="shared" si="27"/>
        <v>0</v>
      </c>
      <c r="ER8" s="135">
        <f t="shared" si="27"/>
        <v>0</v>
      </c>
      <c r="ES8" s="135">
        <f t="shared" si="27"/>
        <v>0</v>
      </c>
      <c r="ET8" s="135">
        <f t="shared" si="27"/>
        <v>0</v>
      </c>
      <c r="EU8" s="135">
        <f t="shared" si="27"/>
        <v>0</v>
      </c>
      <c r="EV8" s="135">
        <f t="shared" si="27"/>
        <v>0</v>
      </c>
      <c r="EW8" s="135">
        <f t="shared" si="27"/>
        <v>0</v>
      </c>
      <c r="EX8" s="135">
        <f t="shared" si="27"/>
        <v>0</v>
      </c>
      <c r="EY8" s="135">
        <f t="shared" si="27"/>
        <v>0</v>
      </c>
      <c r="EZ8" s="135">
        <f t="shared" si="27"/>
        <v>0</v>
      </c>
      <c r="FA8" s="135">
        <f t="shared" si="27"/>
        <v>0</v>
      </c>
      <c r="FB8" s="135">
        <f t="shared" si="27"/>
        <v>0</v>
      </c>
      <c r="FC8" s="135">
        <f t="shared" si="27"/>
        <v>0</v>
      </c>
      <c r="FD8" s="135">
        <f t="shared" si="27"/>
        <v>0</v>
      </c>
      <c r="FE8" s="135">
        <f t="shared" si="27"/>
        <v>0</v>
      </c>
      <c r="FF8" s="135">
        <f t="shared" si="27"/>
        <v>0</v>
      </c>
      <c r="FG8" s="135">
        <f t="shared" si="27"/>
        <v>0</v>
      </c>
      <c r="FH8" s="135">
        <f t="shared" si="27"/>
        <v>0</v>
      </c>
      <c r="FI8" s="135">
        <f t="shared" si="27"/>
        <v>0</v>
      </c>
      <c r="FJ8" s="135">
        <f t="shared" si="27"/>
        <v>0</v>
      </c>
      <c r="FK8" s="135">
        <f t="shared" si="27"/>
        <v>0</v>
      </c>
      <c r="FL8" s="135">
        <f t="shared" si="27"/>
        <v>0</v>
      </c>
      <c r="FM8" s="135">
        <f t="shared" si="27"/>
        <v>0</v>
      </c>
      <c r="FN8" s="135">
        <f t="shared" si="27"/>
        <v>0</v>
      </c>
      <c r="FO8" s="135">
        <f t="shared" si="27"/>
        <v>0</v>
      </c>
      <c r="FP8" s="135">
        <f t="shared" si="27"/>
        <v>0</v>
      </c>
      <c r="FQ8" s="135">
        <f t="shared" si="27"/>
        <v>0</v>
      </c>
      <c r="FR8" s="135">
        <f t="shared" si="27"/>
        <v>0</v>
      </c>
      <c r="FS8" s="135">
        <f t="shared" si="27"/>
        <v>0</v>
      </c>
      <c r="FT8" s="135">
        <f t="shared" si="27"/>
        <v>0</v>
      </c>
      <c r="FU8" s="135">
        <f t="shared" si="27"/>
        <v>0</v>
      </c>
      <c r="FV8" s="135">
        <f t="shared" si="27"/>
        <v>0</v>
      </c>
      <c r="FW8" s="135">
        <f t="shared" si="27"/>
        <v>0</v>
      </c>
      <c r="FX8" s="135">
        <f t="shared" si="27"/>
        <v>0</v>
      </c>
      <c r="FY8" s="135">
        <f t="shared" si="27"/>
        <v>0</v>
      </c>
      <c r="FZ8" s="135">
        <f t="shared" si="27"/>
        <v>0</v>
      </c>
      <c r="GA8" s="135">
        <f t="shared" si="27"/>
        <v>0</v>
      </c>
      <c r="GB8" s="135">
        <f t="shared" si="27"/>
        <v>0</v>
      </c>
      <c r="GC8" s="135">
        <f t="shared" si="27"/>
        <v>0</v>
      </c>
      <c r="GD8" s="135">
        <f t="shared" si="27"/>
        <v>0</v>
      </c>
      <c r="GE8" s="135">
        <f t="shared" si="27"/>
        <v>0</v>
      </c>
      <c r="GF8" s="135">
        <f t="shared" si="27"/>
        <v>0</v>
      </c>
      <c r="GG8" s="135">
        <f t="shared" si="27"/>
        <v>0</v>
      </c>
      <c r="GH8" s="135">
        <f t="shared" si="27"/>
        <v>0</v>
      </c>
      <c r="GI8" s="135">
        <f t="shared" si="27"/>
        <v>0</v>
      </c>
      <c r="GJ8" s="135">
        <f t="shared" si="27"/>
        <v>0</v>
      </c>
      <c r="GK8" s="135">
        <f t="shared" si="27"/>
        <v>0</v>
      </c>
      <c r="GL8" s="135">
        <f t="shared" si="27"/>
        <v>0</v>
      </c>
      <c r="GM8" s="135">
        <f t="shared" si="27"/>
        <v>0</v>
      </c>
      <c r="GN8" s="135">
        <f t="shared" si="27"/>
        <v>0</v>
      </c>
      <c r="GO8" s="135">
        <f t="shared" si="27"/>
        <v>0</v>
      </c>
      <c r="GP8" s="135">
        <f t="shared" si="27"/>
        <v>0</v>
      </c>
      <c r="GQ8" s="135">
        <f t="shared" si="27"/>
        <v>0</v>
      </c>
      <c r="GR8" s="135">
        <f t="shared" si="27"/>
        <v>0</v>
      </c>
      <c r="GS8" s="135">
        <f t="shared" si="27"/>
        <v>0</v>
      </c>
      <c r="GT8" s="135">
        <f>IFERROR(IF(GT$1=EOMONTH($G8,0),(-$E8+($E8*(DAY($G8)/DAY(EOMONTH(GT$1,0)))*$F8/12*(1-0.269))),IF(GT$1=$G8,($E8+($E8*(DAY($I8)/DAY(EOMONTH(GT$1,0)))*$F8/12*(1-0.269))),IFERROR(IF($I8&lt;GT$1,0,IF(GT$1&gt;$I8,(($F8/12)*$E8)*(DAY($I8)/DAY(EOMONTH(GT$1,0)))*(1-26.9/100)+$E8,IF(AND(GT$1&gt;=$G8,GT$1&lt;$I8),(($F8/12)*$E8)*(1-26.9/100),""))-IF(GT$1=EOMONTH($G8,0),$E8,"0")),0)+IF(GT$1=EOMONTH($I8,0),($E8+($E8*(DAY($I8)/DAY(EOMONTH(GT$1,0)))*$F8/12*(1-0.269))),"0"))),0)</f>
        <v>0</v>
      </c>
      <c r="GU8" s="135">
        <f t="shared" si="33"/>
        <v>0</v>
      </c>
      <c r="GV8" s="135">
        <f t="shared" si="33"/>
        <v>0</v>
      </c>
      <c r="GW8" s="135">
        <f t="shared" si="33"/>
        <v>0</v>
      </c>
      <c r="GX8" s="135">
        <f t="shared" si="33"/>
        <v>0</v>
      </c>
      <c r="GY8" s="135">
        <f t="shared" si="33"/>
        <v>0</v>
      </c>
      <c r="GZ8" s="135">
        <f t="shared" si="33"/>
        <v>0</v>
      </c>
      <c r="HA8" s="135">
        <f t="shared" si="33"/>
        <v>0</v>
      </c>
      <c r="HB8" s="135">
        <f t="shared" si="33"/>
        <v>0</v>
      </c>
      <c r="HC8" s="135">
        <f t="shared" si="33"/>
        <v>0</v>
      </c>
      <c r="HD8" s="135">
        <f t="shared" si="33"/>
        <v>0</v>
      </c>
      <c r="HE8" s="135">
        <f t="shared" si="33"/>
        <v>0</v>
      </c>
      <c r="HF8" s="135">
        <f t="shared" si="33"/>
        <v>0</v>
      </c>
      <c r="HG8" s="135">
        <f t="shared" si="33"/>
        <v>0</v>
      </c>
      <c r="HH8" s="135">
        <f t="shared" si="33"/>
        <v>0</v>
      </c>
      <c r="HI8" s="135">
        <f t="shared" si="33"/>
        <v>0</v>
      </c>
      <c r="HJ8" s="135">
        <f t="shared" si="33"/>
        <v>0</v>
      </c>
      <c r="HK8" s="135">
        <f t="shared" si="33"/>
        <v>0</v>
      </c>
      <c r="HL8" s="135">
        <f t="shared" si="33"/>
        <v>0</v>
      </c>
      <c r="HM8" s="135">
        <f t="shared" si="33"/>
        <v>0</v>
      </c>
      <c r="HN8" s="135">
        <f t="shared" si="33"/>
        <v>0</v>
      </c>
      <c r="HO8" s="135">
        <f t="shared" si="33"/>
        <v>0</v>
      </c>
      <c r="HP8" s="135">
        <f t="shared" si="33"/>
        <v>0</v>
      </c>
      <c r="HQ8" s="135">
        <f t="shared" si="33"/>
        <v>0</v>
      </c>
      <c r="HR8" s="135">
        <f t="shared" si="33"/>
        <v>0</v>
      </c>
      <c r="HS8" s="135">
        <f t="shared" si="33"/>
        <v>0</v>
      </c>
      <c r="HT8" s="135">
        <f t="shared" si="33"/>
        <v>0</v>
      </c>
      <c r="HU8" s="135">
        <f t="shared" si="33"/>
        <v>0</v>
      </c>
      <c r="HV8" s="135">
        <f t="shared" si="33"/>
        <v>0</v>
      </c>
      <c r="HW8" s="135">
        <f t="shared" si="33"/>
        <v>0</v>
      </c>
      <c r="HX8" s="135">
        <f t="shared" si="33"/>
        <v>0</v>
      </c>
      <c r="HY8" s="135">
        <f t="shared" si="33"/>
        <v>0</v>
      </c>
      <c r="HZ8" s="135">
        <f t="shared" si="33"/>
        <v>0</v>
      </c>
      <c r="IA8" s="135">
        <f t="shared" si="33"/>
        <v>0</v>
      </c>
      <c r="IB8" s="135">
        <f t="shared" si="33"/>
        <v>0</v>
      </c>
      <c r="IC8" s="135">
        <f t="shared" si="33"/>
        <v>0</v>
      </c>
      <c r="ID8" s="135">
        <f t="shared" si="33"/>
        <v>0</v>
      </c>
      <c r="IE8" s="135">
        <f t="shared" si="33"/>
        <v>0</v>
      </c>
      <c r="IF8" s="135">
        <f t="shared" si="33"/>
        <v>0</v>
      </c>
      <c r="IG8" s="135">
        <f t="shared" si="33"/>
        <v>0</v>
      </c>
      <c r="IH8" s="135">
        <f t="shared" si="33"/>
        <v>0</v>
      </c>
      <c r="II8" s="135">
        <f t="shared" si="33"/>
        <v>0</v>
      </c>
      <c r="IJ8" s="135">
        <f t="shared" si="33"/>
        <v>0</v>
      </c>
      <c r="IK8" s="135">
        <f t="shared" si="33"/>
        <v>0</v>
      </c>
      <c r="IL8" s="135">
        <f t="shared" si="33"/>
        <v>0</v>
      </c>
      <c r="IM8" s="135">
        <f t="shared" si="33"/>
        <v>0</v>
      </c>
      <c r="IN8" s="135">
        <f t="shared" si="33"/>
        <v>0</v>
      </c>
      <c r="IO8" s="135">
        <f t="shared" si="33"/>
        <v>0</v>
      </c>
      <c r="IP8" s="135">
        <f t="shared" si="33"/>
        <v>0</v>
      </c>
      <c r="IQ8" s="135">
        <f t="shared" si="33"/>
        <v>0</v>
      </c>
      <c r="IR8" s="135">
        <f t="shared" si="33"/>
        <v>0</v>
      </c>
      <c r="IS8" s="135">
        <f t="shared" si="33"/>
        <v>0</v>
      </c>
      <c r="IT8" s="135">
        <f t="shared" si="33"/>
        <v>0</v>
      </c>
      <c r="IU8" s="135">
        <f t="shared" si="33"/>
        <v>0</v>
      </c>
      <c r="IV8" s="135">
        <f t="shared" si="33"/>
        <v>0</v>
      </c>
      <c r="IW8" s="135">
        <f t="shared" si="33"/>
        <v>0</v>
      </c>
      <c r="IX8" s="135">
        <f t="shared" si="33"/>
        <v>0</v>
      </c>
      <c r="IY8" s="135">
        <f t="shared" si="33"/>
        <v>0</v>
      </c>
      <c r="IZ8" s="135">
        <f t="shared" si="33"/>
        <v>0</v>
      </c>
      <c r="JA8" s="135">
        <f t="shared" si="33"/>
        <v>0</v>
      </c>
      <c r="JB8" s="135">
        <f t="shared" si="33"/>
        <v>0</v>
      </c>
      <c r="JC8" s="135">
        <f t="shared" si="33"/>
        <v>0</v>
      </c>
      <c r="JD8" s="135">
        <f t="shared" si="33"/>
        <v>0</v>
      </c>
      <c r="JE8" s="135">
        <f t="shared" si="33"/>
        <v>0</v>
      </c>
      <c r="JF8" s="135">
        <f t="shared" si="33"/>
        <v>0</v>
      </c>
      <c r="JG8" s="135">
        <f t="shared" si="28"/>
        <v>0</v>
      </c>
      <c r="JH8" s="135">
        <f t="shared" si="28"/>
        <v>0</v>
      </c>
      <c r="JI8" s="135">
        <f t="shared" si="28"/>
        <v>0</v>
      </c>
      <c r="JJ8" s="135">
        <f t="shared" si="28"/>
        <v>0</v>
      </c>
      <c r="JK8" s="135">
        <f t="shared" si="28"/>
        <v>0</v>
      </c>
      <c r="JL8" s="135">
        <f t="shared" si="28"/>
        <v>0</v>
      </c>
      <c r="JM8" s="135">
        <f t="shared" si="28"/>
        <v>0</v>
      </c>
      <c r="JN8" s="135">
        <f t="shared" si="28"/>
        <v>0</v>
      </c>
      <c r="JO8" s="135">
        <f t="shared" si="28"/>
        <v>0</v>
      </c>
      <c r="JP8" s="135">
        <f t="shared" si="28"/>
        <v>0</v>
      </c>
      <c r="JQ8" s="135">
        <f t="shared" si="28"/>
        <v>0</v>
      </c>
      <c r="JR8" s="135">
        <f t="shared" si="28"/>
        <v>0</v>
      </c>
      <c r="JS8" s="135">
        <f t="shared" si="28"/>
        <v>0</v>
      </c>
      <c r="JT8" s="135">
        <f t="shared" si="28"/>
        <v>0</v>
      </c>
      <c r="JU8" s="135">
        <f t="shared" si="28"/>
        <v>0</v>
      </c>
      <c r="JV8" s="135">
        <f t="shared" si="28"/>
        <v>0</v>
      </c>
      <c r="JW8" s="135">
        <f t="shared" si="28"/>
        <v>0</v>
      </c>
      <c r="JX8" s="135">
        <f t="shared" si="28"/>
        <v>0</v>
      </c>
      <c r="JY8" s="135">
        <f t="shared" si="28"/>
        <v>0</v>
      </c>
      <c r="JZ8" s="135">
        <f t="shared" si="28"/>
        <v>0</v>
      </c>
      <c r="KA8" s="135">
        <f t="shared" si="28"/>
        <v>0</v>
      </c>
      <c r="KB8" s="135">
        <f t="shared" si="28"/>
        <v>0</v>
      </c>
      <c r="KC8" s="135">
        <f t="shared" si="28"/>
        <v>0</v>
      </c>
      <c r="KD8" s="135">
        <f t="shared" si="28"/>
        <v>0</v>
      </c>
      <c r="KE8" s="135">
        <f t="shared" si="28"/>
        <v>0</v>
      </c>
      <c r="KF8" s="135">
        <f t="shared" si="28"/>
        <v>0</v>
      </c>
      <c r="KG8" s="135">
        <f t="shared" si="28"/>
        <v>0</v>
      </c>
      <c r="KH8" s="135">
        <f t="shared" si="28"/>
        <v>0</v>
      </c>
      <c r="KI8" s="135">
        <f t="shared" si="28"/>
        <v>0</v>
      </c>
      <c r="KJ8" s="135">
        <f t="shared" si="28"/>
        <v>0</v>
      </c>
      <c r="KK8" s="135">
        <f t="shared" si="28"/>
        <v>0</v>
      </c>
      <c r="KL8" s="135">
        <f t="shared" si="28"/>
        <v>0</v>
      </c>
      <c r="KM8" s="135">
        <f t="shared" si="28"/>
        <v>0</v>
      </c>
      <c r="KN8" s="135">
        <f t="shared" si="28"/>
        <v>0</v>
      </c>
      <c r="KO8" s="135">
        <f t="shared" si="28"/>
        <v>0</v>
      </c>
      <c r="KP8" s="135">
        <f t="shared" si="28"/>
        <v>0</v>
      </c>
      <c r="KQ8" s="135">
        <f t="shared" si="28"/>
        <v>0</v>
      </c>
      <c r="KR8" s="135">
        <f t="shared" si="28"/>
        <v>0</v>
      </c>
      <c r="KS8" s="135">
        <f t="shared" si="28"/>
        <v>0</v>
      </c>
      <c r="KT8" s="135">
        <f t="shared" si="28"/>
        <v>0</v>
      </c>
      <c r="KU8" s="135">
        <f t="shared" si="28"/>
        <v>0</v>
      </c>
      <c r="KV8" s="135">
        <f t="shared" si="28"/>
        <v>0</v>
      </c>
      <c r="KW8" s="135">
        <f t="shared" si="28"/>
        <v>0</v>
      </c>
      <c r="KX8" s="135">
        <f t="shared" si="28"/>
        <v>0</v>
      </c>
      <c r="KY8" s="135">
        <f t="shared" si="28"/>
        <v>0</v>
      </c>
      <c r="KZ8" s="135">
        <f t="shared" si="28"/>
        <v>0</v>
      </c>
      <c r="LA8" s="135">
        <f t="shared" si="28"/>
        <v>0</v>
      </c>
      <c r="LB8" s="135">
        <f t="shared" si="28"/>
        <v>0</v>
      </c>
      <c r="LC8" s="135">
        <f t="shared" si="28"/>
        <v>0</v>
      </c>
      <c r="LD8" s="135">
        <f t="shared" si="28"/>
        <v>0</v>
      </c>
      <c r="LE8" s="135">
        <f t="shared" si="28"/>
        <v>0</v>
      </c>
      <c r="LF8" s="135">
        <f t="shared" si="28"/>
        <v>0</v>
      </c>
      <c r="LG8" s="135">
        <f t="shared" si="28"/>
        <v>0</v>
      </c>
      <c r="LH8" s="135">
        <f t="shared" si="28"/>
        <v>0</v>
      </c>
      <c r="LI8" s="135">
        <f t="shared" si="28"/>
        <v>0</v>
      </c>
      <c r="LJ8" s="135">
        <f t="shared" si="28"/>
        <v>0</v>
      </c>
      <c r="LK8" s="135">
        <f t="shared" si="28"/>
        <v>0</v>
      </c>
      <c r="LL8" s="135">
        <f t="shared" si="28"/>
        <v>0</v>
      </c>
      <c r="LM8" s="135">
        <f t="shared" si="28"/>
        <v>0</v>
      </c>
      <c r="LN8" s="135">
        <f t="shared" si="28"/>
        <v>0</v>
      </c>
      <c r="LO8" s="135">
        <f t="shared" si="28"/>
        <v>0</v>
      </c>
      <c r="LP8" s="135">
        <f t="shared" si="28"/>
        <v>0</v>
      </c>
      <c r="LQ8" s="135">
        <f t="shared" si="28"/>
        <v>0</v>
      </c>
      <c r="LR8" s="135">
        <f>IFERROR(IF(LR$1=EOMONTH($G8,0),(-$E8+($E8*(DAY($G8)/DAY(EOMONTH(LR$1,0)))*$F8/12*(1-0.269))),IF(LR$1=$G8,($E8+($E8*(DAY($I8)/DAY(EOMONTH(LR$1,0)))*$F8/12*(1-0.269))),IFERROR(IF($I8&lt;LR$1,0,IF(LR$1&gt;$I8,(($F8/12)*$E8)*(DAY($I8)/DAY(EOMONTH(LR$1,0)))*(1-26.9/100)+$E8,IF(AND(LR$1&gt;=$G8,LR$1&lt;$I8),(($F8/12)*$E8)*(1-26.9/100),""))-IF(LR$1=EOMONTH($G8,0),$E8,"0")),0)+IF(LR$1=EOMONTH($I8,0),($E8+($E8*(DAY($I8)/DAY(EOMONTH(LR$1,0)))*$F8/12*(1-0.269))),"0"))),0)</f>
        <v>0</v>
      </c>
      <c r="LS8" s="135">
        <f t="shared" si="34"/>
        <v>0</v>
      </c>
      <c r="LT8" s="135">
        <f t="shared" si="34"/>
        <v>0</v>
      </c>
      <c r="LU8" s="135">
        <f t="shared" si="34"/>
        <v>0</v>
      </c>
      <c r="LV8" s="135">
        <f t="shared" si="34"/>
        <v>0</v>
      </c>
      <c r="LW8" s="135">
        <f t="shared" si="34"/>
        <v>0</v>
      </c>
      <c r="LX8" s="135">
        <f t="shared" si="34"/>
        <v>0</v>
      </c>
      <c r="LY8" s="135">
        <f t="shared" si="34"/>
        <v>0</v>
      </c>
      <c r="LZ8" s="135">
        <f t="shared" si="34"/>
        <v>0</v>
      </c>
      <c r="MA8" s="135">
        <f t="shared" si="34"/>
        <v>0</v>
      </c>
      <c r="MB8" s="135">
        <f t="shared" si="34"/>
        <v>0</v>
      </c>
      <c r="MC8" s="135">
        <f t="shared" si="34"/>
        <v>0</v>
      </c>
      <c r="MD8" s="135">
        <f t="shared" si="34"/>
        <v>0</v>
      </c>
      <c r="ME8" s="135">
        <f t="shared" si="34"/>
        <v>0</v>
      </c>
      <c r="MF8" s="135">
        <f t="shared" si="34"/>
        <v>0</v>
      </c>
      <c r="MG8" s="135">
        <f t="shared" si="34"/>
        <v>0</v>
      </c>
      <c r="MH8" s="135">
        <f t="shared" si="34"/>
        <v>0</v>
      </c>
      <c r="MI8" s="135">
        <f t="shared" si="34"/>
        <v>0</v>
      </c>
      <c r="MJ8" s="135">
        <f t="shared" si="34"/>
        <v>0</v>
      </c>
      <c r="MK8" s="135">
        <f t="shared" si="34"/>
        <v>0</v>
      </c>
      <c r="ML8" s="135">
        <f t="shared" si="34"/>
        <v>0</v>
      </c>
      <c r="MM8" s="135">
        <f t="shared" si="34"/>
        <v>0</v>
      </c>
      <c r="MN8" s="135">
        <f t="shared" si="34"/>
        <v>0</v>
      </c>
      <c r="MO8" s="135">
        <f t="shared" si="34"/>
        <v>0</v>
      </c>
      <c r="MP8" s="135">
        <f t="shared" si="34"/>
        <v>0</v>
      </c>
      <c r="MQ8" s="135">
        <f t="shared" si="34"/>
        <v>0</v>
      </c>
      <c r="MR8" s="135">
        <f t="shared" si="34"/>
        <v>0</v>
      </c>
      <c r="MS8" s="135">
        <f t="shared" si="34"/>
        <v>0</v>
      </c>
      <c r="MT8" s="135">
        <f t="shared" si="34"/>
        <v>0</v>
      </c>
      <c r="MU8" s="135">
        <f t="shared" si="34"/>
        <v>0</v>
      </c>
      <c r="MV8" s="135">
        <f t="shared" si="34"/>
        <v>0</v>
      </c>
      <c r="MW8" s="135">
        <f t="shared" si="34"/>
        <v>0</v>
      </c>
      <c r="MX8" s="135">
        <f t="shared" si="34"/>
        <v>0</v>
      </c>
      <c r="MY8" s="135">
        <f t="shared" si="34"/>
        <v>0</v>
      </c>
      <c r="MZ8" s="135">
        <f t="shared" si="34"/>
        <v>0</v>
      </c>
      <c r="NA8" s="135">
        <f t="shared" si="34"/>
        <v>0</v>
      </c>
      <c r="NB8" s="135">
        <f t="shared" si="34"/>
        <v>0</v>
      </c>
      <c r="NC8" s="135">
        <f t="shared" si="34"/>
        <v>0</v>
      </c>
      <c r="ND8" s="135">
        <f t="shared" si="34"/>
        <v>0</v>
      </c>
      <c r="NE8" s="135">
        <f t="shared" si="34"/>
        <v>0</v>
      </c>
      <c r="NF8" s="135">
        <f t="shared" si="34"/>
        <v>0</v>
      </c>
      <c r="NG8" s="135">
        <f t="shared" si="34"/>
        <v>0</v>
      </c>
      <c r="NH8" s="135">
        <f t="shared" si="34"/>
        <v>0</v>
      </c>
      <c r="NI8" s="135">
        <f t="shared" si="34"/>
        <v>0</v>
      </c>
      <c r="NJ8" s="135">
        <f t="shared" si="34"/>
        <v>0</v>
      </c>
      <c r="NK8" s="135">
        <f t="shared" si="34"/>
        <v>0</v>
      </c>
      <c r="NL8" s="135">
        <f t="shared" si="34"/>
        <v>0</v>
      </c>
      <c r="NM8" s="135">
        <f t="shared" si="34"/>
        <v>0</v>
      </c>
      <c r="NN8" s="135">
        <f t="shared" si="34"/>
        <v>0</v>
      </c>
      <c r="NO8" s="135">
        <f t="shared" si="34"/>
        <v>0</v>
      </c>
      <c r="NP8" s="135">
        <f t="shared" si="34"/>
        <v>0</v>
      </c>
      <c r="NQ8" s="135">
        <f t="shared" si="34"/>
        <v>0</v>
      </c>
      <c r="NR8" s="135">
        <f t="shared" si="34"/>
        <v>0</v>
      </c>
      <c r="NS8" s="135">
        <f t="shared" si="34"/>
        <v>0</v>
      </c>
      <c r="NT8" s="135">
        <f t="shared" si="34"/>
        <v>0</v>
      </c>
      <c r="NU8" s="135">
        <f t="shared" si="34"/>
        <v>0</v>
      </c>
      <c r="NV8" s="135">
        <f t="shared" si="34"/>
        <v>0</v>
      </c>
      <c r="NW8" s="135">
        <f t="shared" si="34"/>
        <v>0</v>
      </c>
      <c r="NX8" s="135">
        <f t="shared" si="34"/>
        <v>0</v>
      </c>
      <c r="NY8" s="135">
        <f t="shared" si="34"/>
        <v>0</v>
      </c>
      <c r="NZ8" s="135">
        <f t="shared" si="34"/>
        <v>0</v>
      </c>
      <c r="OA8" s="135">
        <f t="shared" si="34"/>
        <v>0</v>
      </c>
      <c r="OB8" s="135">
        <f t="shared" si="34"/>
        <v>0</v>
      </c>
      <c r="OC8" s="135">
        <f t="shared" si="34"/>
        <v>0</v>
      </c>
      <c r="OD8" s="135">
        <f t="shared" si="34"/>
        <v>0</v>
      </c>
      <c r="OE8" s="135">
        <f t="shared" si="29"/>
        <v>0</v>
      </c>
      <c r="OF8" s="135">
        <f t="shared" si="29"/>
        <v>0</v>
      </c>
      <c r="OG8" s="135">
        <f t="shared" si="29"/>
        <v>0</v>
      </c>
      <c r="OH8" s="135">
        <f t="shared" si="29"/>
        <v>0</v>
      </c>
      <c r="OI8" s="135">
        <f t="shared" si="29"/>
        <v>0</v>
      </c>
      <c r="OJ8" s="135">
        <f t="shared" si="29"/>
        <v>0</v>
      </c>
      <c r="OK8" s="135">
        <f t="shared" si="29"/>
        <v>0</v>
      </c>
      <c r="OL8" s="135">
        <f t="shared" si="29"/>
        <v>0</v>
      </c>
      <c r="OM8" s="135">
        <f t="shared" si="29"/>
        <v>0</v>
      </c>
      <c r="ON8" s="135">
        <f t="shared" si="29"/>
        <v>0</v>
      </c>
      <c r="OO8" s="135">
        <f t="shared" si="29"/>
        <v>0</v>
      </c>
      <c r="OP8" s="135">
        <f t="shared" si="29"/>
        <v>0</v>
      </c>
      <c r="OQ8" s="135">
        <f t="shared" si="29"/>
        <v>0</v>
      </c>
      <c r="OR8" s="135">
        <f t="shared" si="29"/>
        <v>0</v>
      </c>
      <c r="OS8" s="135">
        <f t="shared" si="29"/>
        <v>0</v>
      </c>
      <c r="OT8" s="135">
        <f t="shared" si="29"/>
        <v>0</v>
      </c>
      <c r="OU8" s="135">
        <f t="shared" si="29"/>
        <v>0</v>
      </c>
      <c r="OV8" s="135">
        <f t="shared" si="29"/>
        <v>0</v>
      </c>
      <c r="OW8" s="135">
        <f t="shared" si="29"/>
        <v>0</v>
      </c>
      <c r="OX8" s="135">
        <f t="shared" si="29"/>
        <v>0</v>
      </c>
      <c r="OY8" s="135">
        <f t="shared" si="29"/>
        <v>0</v>
      </c>
      <c r="OZ8" s="135">
        <f t="shared" si="29"/>
        <v>0</v>
      </c>
      <c r="PA8" s="135">
        <f t="shared" si="29"/>
        <v>0</v>
      </c>
      <c r="PB8" s="135">
        <f t="shared" si="29"/>
        <v>0</v>
      </c>
      <c r="PC8" s="135">
        <f t="shared" si="29"/>
        <v>0</v>
      </c>
      <c r="PD8" s="135">
        <f t="shared" si="29"/>
        <v>0</v>
      </c>
      <c r="PE8" s="135">
        <f t="shared" si="29"/>
        <v>0</v>
      </c>
      <c r="PF8" s="135">
        <f t="shared" si="29"/>
        <v>0</v>
      </c>
      <c r="PG8" s="135">
        <f t="shared" si="29"/>
        <v>0</v>
      </c>
      <c r="PH8" s="135">
        <f t="shared" si="29"/>
        <v>0</v>
      </c>
      <c r="PI8" s="135">
        <f t="shared" si="29"/>
        <v>0</v>
      </c>
      <c r="PJ8" s="135">
        <f t="shared" si="29"/>
        <v>0</v>
      </c>
      <c r="PK8" s="135">
        <f t="shared" si="29"/>
        <v>0</v>
      </c>
      <c r="PL8" s="135">
        <f t="shared" si="29"/>
        <v>0</v>
      </c>
      <c r="PM8" s="135">
        <f t="shared" si="29"/>
        <v>0</v>
      </c>
      <c r="PN8" s="135">
        <f t="shared" si="29"/>
        <v>0</v>
      </c>
      <c r="PO8" s="135">
        <f t="shared" si="29"/>
        <v>0</v>
      </c>
      <c r="PP8" s="135">
        <f t="shared" si="29"/>
        <v>0</v>
      </c>
      <c r="PQ8" s="135">
        <f t="shared" si="29"/>
        <v>0</v>
      </c>
      <c r="PR8" s="135">
        <f t="shared" si="29"/>
        <v>0</v>
      </c>
      <c r="PS8" s="135">
        <f t="shared" si="29"/>
        <v>0</v>
      </c>
      <c r="PT8" s="135">
        <f t="shared" si="29"/>
        <v>0</v>
      </c>
      <c r="PU8" s="135">
        <f t="shared" si="29"/>
        <v>0</v>
      </c>
      <c r="PV8" s="135">
        <f t="shared" si="29"/>
        <v>0</v>
      </c>
      <c r="PW8" s="135">
        <f t="shared" si="29"/>
        <v>0</v>
      </c>
      <c r="PX8" s="135">
        <f t="shared" si="29"/>
        <v>0</v>
      </c>
      <c r="PY8" s="135">
        <f t="shared" si="29"/>
        <v>0</v>
      </c>
      <c r="PZ8" s="135">
        <f t="shared" si="29"/>
        <v>0</v>
      </c>
      <c r="QA8" s="135">
        <f t="shared" si="29"/>
        <v>0</v>
      </c>
      <c r="QB8" s="135">
        <f t="shared" si="29"/>
        <v>0</v>
      </c>
      <c r="QC8" s="135">
        <f t="shared" si="29"/>
        <v>0</v>
      </c>
      <c r="QD8" s="135">
        <f t="shared" si="29"/>
        <v>0</v>
      </c>
      <c r="QE8" s="135">
        <f t="shared" si="29"/>
        <v>0</v>
      </c>
      <c r="QF8" s="135">
        <f t="shared" si="29"/>
        <v>0</v>
      </c>
      <c r="QG8" s="135">
        <f t="shared" si="29"/>
        <v>0</v>
      </c>
      <c r="QH8" s="135">
        <f t="shared" si="29"/>
        <v>0</v>
      </c>
      <c r="QI8" s="135">
        <f t="shared" si="29"/>
        <v>0</v>
      </c>
      <c r="QJ8" s="135">
        <f t="shared" si="29"/>
        <v>0</v>
      </c>
      <c r="QK8" s="135">
        <f t="shared" si="29"/>
        <v>0</v>
      </c>
      <c r="QL8" s="135">
        <f t="shared" si="29"/>
        <v>0</v>
      </c>
      <c r="QM8" s="135">
        <f t="shared" si="29"/>
        <v>0</v>
      </c>
      <c r="QN8" s="135">
        <f t="shared" si="29"/>
        <v>0</v>
      </c>
      <c r="QO8" s="135">
        <f t="shared" si="29"/>
        <v>0</v>
      </c>
      <c r="QP8" s="135">
        <f>IFERROR(IF(QP$1=EOMONTH($G8,0),(-$E8+($E8*(DAY($G8)/DAY(EOMONTH(QP$1,0)))*$F8/12*(1-0.269))),IF(QP$1=$G8,($E8+($E8*(DAY($I8)/DAY(EOMONTH(QP$1,0)))*$F8/12*(1-0.269))),IFERROR(IF($I8&lt;QP$1,0,IF(QP$1&gt;$I8,(($F8/12)*$E8)*(DAY($I8)/DAY(EOMONTH(QP$1,0)))*(1-26.9/100)+$E8,IF(AND(QP$1&gt;=$G8,QP$1&lt;$I8),(($F8/12)*$E8)*(1-26.9/100),""))-IF(QP$1=EOMONTH($G8,0),$E8,"0")),0)+IF(QP$1=EOMONTH($I8,0),($E8+($E8*(DAY($I8)/DAY(EOMONTH(QP$1,0)))*$F8/12*(1-0.269))),"0"))),0)</f>
        <v>0</v>
      </c>
      <c r="QQ8" s="135">
        <f t="shared" si="35"/>
        <v>0</v>
      </c>
      <c r="QR8" s="135">
        <f t="shared" si="35"/>
        <v>0</v>
      </c>
      <c r="QS8" s="135">
        <f t="shared" si="35"/>
        <v>0</v>
      </c>
      <c r="QT8" s="135">
        <f t="shared" si="35"/>
        <v>0</v>
      </c>
      <c r="QU8" s="135">
        <f t="shared" si="35"/>
        <v>0</v>
      </c>
      <c r="QV8" s="135">
        <f t="shared" si="35"/>
        <v>0</v>
      </c>
      <c r="QW8" s="135">
        <f t="shared" si="35"/>
        <v>0</v>
      </c>
      <c r="QX8" s="135">
        <f t="shared" si="35"/>
        <v>0</v>
      </c>
      <c r="QY8" s="135">
        <f t="shared" si="35"/>
        <v>0</v>
      </c>
      <c r="QZ8" s="135">
        <f t="shared" si="35"/>
        <v>0</v>
      </c>
      <c r="RA8" s="135">
        <f t="shared" si="35"/>
        <v>0</v>
      </c>
      <c r="RB8" s="135">
        <f t="shared" si="35"/>
        <v>0</v>
      </c>
      <c r="RC8" s="135">
        <f t="shared" si="35"/>
        <v>0</v>
      </c>
      <c r="RD8" s="135">
        <f t="shared" si="35"/>
        <v>0</v>
      </c>
      <c r="RE8" s="135">
        <f t="shared" si="35"/>
        <v>0</v>
      </c>
      <c r="RF8" s="135">
        <f t="shared" si="35"/>
        <v>0</v>
      </c>
      <c r="RG8" s="135">
        <f t="shared" si="35"/>
        <v>0</v>
      </c>
      <c r="RH8" s="135">
        <f t="shared" si="35"/>
        <v>0</v>
      </c>
      <c r="RI8" s="135">
        <f t="shared" si="35"/>
        <v>0</v>
      </c>
      <c r="RJ8" s="135">
        <f t="shared" si="35"/>
        <v>0</v>
      </c>
      <c r="RK8" s="135">
        <f t="shared" si="35"/>
        <v>0</v>
      </c>
      <c r="RL8" s="135">
        <f t="shared" si="35"/>
        <v>0</v>
      </c>
      <c r="RM8" s="135">
        <f t="shared" si="35"/>
        <v>0</v>
      </c>
      <c r="RN8" s="135">
        <f t="shared" si="35"/>
        <v>0</v>
      </c>
      <c r="RO8" s="135">
        <f t="shared" si="35"/>
        <v>0</v>
      </c>
      <c r="RP8" s="135">
        <f t="shared" si="35"/>
        <v>0</v>
      </c>
      <c r="RQ8" s="135">
        <f t="shared" si="35"/>
        <v>0</v>
      </c>
      <c r="RR8" s="135">
        <f t="shared" si="35"/>
        <v>0</v>
      </c>
      <c r="RS8" s="135">
        <f t="shared" si="35"/>
        <v>0</v>
      </c>
      <c r="RT8" s="135">
        <f t="shared" si="35"/>
        <v>0</v>
      </c>
      <c r="RU8" s="135">
        <f t="shared" si="35"/>
        <v>0</v>
      </c>
      <c r="RV8" s="135">
        <f t="shared" si="35"/>
        <v>0</v>
      </c>
      <c r="RW8" s="135">
        <f t="shared" si="35"/>
        <v>0</v>
      </c>
      <c r="RX8" s="135">
        <f t="shared" si="35"/>
        <v>0</v>
      </c>
      <c r="RY8" s="135">
        <f t="shared" si="35"/>
        <v>0</v>
      </c>
      <c r="RZ8" s="135">
        <f t="shared" si="35"/>
        <v>0</v>
      </c>
      <c r="SA8" s="135">
        <f t="shared" si="35"/>
        <v>0</v>
      </c>
      <c r="SB8" s="135">
        <f t="shared" si="35"/>
        <v>0</v>
      </c>
      <c r="SC8" s="135">
        <f t="shared" si="35"/>
        <v>0</v>
      </c>
      <c r="SD8" s="135">
        <f t="shared" si="35"/>
        <v>0</v>
      </c>
      <c r="SE8" s="135">
        <f t="shared" si="35"/>
        <v>0</v>
      </c>
      <c r="SF8" s="135">
        <f t="shared" si="35"/>
        <v>0</v>
      </c>
      <c r="SG8" s="135">
        <f t="shared" si="35"/>
        <v>0</v>
      </c>
      <c r="SH8" s="135">
        <f t="shared" si="35"/>
        <v>0</v>
      </c>
      <c r="SI8" s="135">
        <f t="shared" si="35"/>
        <v>0</v>
      </c>
      <c r="SJ8" s="135">
        <f t="shared" si="35"/>
        <v>0</v>
      </c>
      <c r="SK8" s="135">
        <f t="shared" si="35"/>
        <v>0</v>
      </c>
      <c r="SL8" s="135">
        <f t="shared" si="35"/>
        <v>0</v>
      </c>
      <c r="SM8" s="135">
        <f t="shared" si="35"/>
        <v>0</v>
      </c>
      <c r="SN8" s="135">
        <f t="shared" si="35"/>
        <v>0</v>
      </c>
      <c r="SO8" s="135">
        <f t="shared" si="35"/>
        <v>0</v>
      </c>
      <c r="SP8" s="135">
        <f t="shared" si="35"/>
        <v>0</v>
      </c>
      <c r="SQ8" s="135">
        <f t="shared" si="35"/>
        <v>0</v>
      </c>
      <c r="SR8" s="135">
        <f t="shared" si="35"/>
        <v>0</v>
      </c>
      <c r="SS8" s="135">
        <f t="shared" si="35"/>
        <v>0</v>
      </c>
      <c r="ST8" s="135">
        <f t="shared" si="35"/>
        <v>0</v>
      </c>
      <c r="SU8" s="135">
        <f t="shared" si="35"/>
        <v>0</v>
      </c>
      <c r="SV8" s="135">
        <f t="shared" si="35"/>
        <v>0</v>
      </c>
      <c r="SW8" s="135">
        <f t="shared" si="35"/>
        <v>0</v>
      </c>
      <c r="SX8" s="135">
        <f t="shared" si="35"/>
        <v>0</v>
      </c>
      <c r="SY8" s="135">
        <f t="shared" si="35"/>
        <v>0</v>
      </c>
      <c r="SZ8" s="135">
        <f t="shared" si="35"/>
        <v>0</v>
      </c>
      <c r="TA8" s="135">
        <f t="shared" si="35"/>
        <v>0</v>
      </c>
      <c r="TB8" s="135">
        <f t="shared" si="35"/>
        <v>0</v>
      </c>
      <c r="TC8" s="135">
        <f t="shared" si="30"/>
        <v>0</v>
      </c>
      <c r="TD8" s="135">
        <f t="shared" si="30"/>
        <v>0</v>
      </c>
      <c r="TE8" s="135">
        <f t="shared" si="30"/>
        <v>0</v>
      </c>
      <c r="TF8" s="135">
        <f t="shared" si="30"/>
        <v>0</v>
      </c>
      <c r="TG8" s="135">
        <f t="shared" si="30"/>
        <v>0</v>
      </c>
      <c r="TH8" s="135">
        <f t="shared" si="30"/>
        <v>0</v>
      </c>
      <c r="TI8" s="135">
        <f t="shared" si="30"/>
        <v>0</v>
      </c>
      <c r="TJ8" s="135">
        <f t="shared" si="30"/>
        <v>0</v>
      </c>
      <c r="TK8" s="135">
        <f t="shared" si="30"/>
        <v>0</v>
      </c>
      <c r="TL8" s="135">
        <f t="shared" si="30"/>
        <v>0</v>
      </c>
      <c r="TM8" s="135">
        <f t="shared" si="30"/>
        <v>0</v>
      </c>
      <c r="TN8" s="135">
        <f t="shared" si="30"/>
        <v>0</v>
      </c>
      <c r="TO8" s="135">
        <f t="shared" si="30"/>
        <v>0</v>
      </c>
      <c r="TP8" s="135">
        <f t="shared" si="30"/>
        <v>0</v>
      </c>
      <c r="TQ8" s="135">
        <f t="shared" si="30"/>
        <v>0</v>
      </c>
      <c r="TR8" s="135">
        <f t="shared" si="30"/>
        <v>0</v>
      </c>
      <c r="TS8" s="135">
        <f t="shared" si="30"/>
        <v>0</v>
      </c>
      <c r="TT8" s="135">
        <f t="shared" si="30"/>
        <v>0</v>
      </c>
      <c r="TU8" s="135">
        <f t="shared" si="30"/>
        <v>0</v>
      </c>
      <c r="TV8" s="135">
        <f t="shared" si="30"/>
        <v>0</v>
      </c>
      <c r="TW8" s="135">
        <f t="shared" si="30"/>
        <v>0</v>
      </c>
      <c r="TX8" s="135">
        <f t="shared" si="30"/>
        <v>0</v>
      </c>
      <c r="TY8" s="135">
        <f t="shared" si="30"/>
        <v>0</v>
      </c>
      <c r="TZ8" s="135">
        <f t="shared" si="30"/>
        <v>0</v>
      </c>
      <c r="UA8" s="135">
        <f t="shared" si="30"/>
        <v>0</v>
      </c>
      <c r="UB8" s="135">
        <f t="shared" si="30"/>
        <v>0</v>
      </c>
      <c r="UC8" s="135">
        <f t="shared" si="30"/>
        <v>0</v>
      </c>
      <c r="UD8" s="135">
        <f t="shared" si="30"/>
        <v>0</v>
      </c>
      <c r="UE8" s="135">
        <f t="shared" si="30"/>
        <v>0</v>
      </c>
      <c r="UF8" s="135">
        <f t="shared" si="30"/>
        <v>0</v>
      </c>
      <c r="UG8" s="135">
        <f t="shared" si="30"/>
        <v>0</v>
      </c>
      <c r="UH8" s="135">
        <f t="shared" si="30"/>
        <v>0</v>
      </c>
      <c r="UI8" s="135">
        <f t="shared" si="30"/>
        <v>0</v>
      </c>
      <c r="UJ8" s="135">
        <f t="shared" si="30"/>
        <v>0</v>
      </c>
      <c r="UK8" s="135">
        <f t="shared" si="30"/>
        <v>0</v>
      </c>
    </row>
    <row r="9" spans="2:557">
      <c r="B9" t="str">
        <f>IF(Samenvatting!$F110&lt;&gt;0,Samenvatting!C110,"")</f>
        <v/>
      </c>
      <c r="C9" t="str">
        <f>IF(Samenvatting!$F110&lt;&gt;0,Samenvatting!D110,"")</f>
        <v/>
      </c>
      <c r="D9" t="str">
        <f>IF(Samenvatting!$F110&lt;&gt;0,Samenvatting!E110,"")</f>
        <v/>
      </c>
      <c r="E9" t="str">
        <f>IF(Samenvatting!$F110&lt;&gt;0,Samenvatting!F110,"")</f>
        <v/>
      </c>
      <c r="F9" t="str">
        <f>IF(Samenvatting!$F110&lt;&gt;0,Samenvatting!H110,"")</f>
        <v/>
      </c>
      <c r="G9" s="134" t="str">
        <f>IF(Samenvatting!$F110&lt;&gt;0,Samenvatting!I110,"")</f>
        <v/>
      </c>
      <c r="H9" t="str">
        <f>IF(Samenvatting!$F110&lt;&gt;0,Samenvatting!J110,"")</f>
        <v/>
      </c>
      <c r="I9" s="134" t="str">
        <f>IF(Samenvatting!$F110&lt;&gt;0,Samenvatting!K110,"")</f>
        <v/>
      </c>
      <c r="J9" s="135">
        <f t="shared" si="0"/>
        <v>0</v>
      </c>
      <c r="K9" s="135">
        <f t="shared" si="38"/>
        <v>0</v>
      </c>
      <c r="L9" s="135">
        <f t="shared" si="38"/>
        <v>0</v>
      </c>
      <c r="M9" s="135">
        <f t="shared" si="38"/>
        <v>0</v>
      </c>
      <c r="N9" s="135">
        <f t="shared" si="38"/>
        <v>0</v>
      </c>
      <c r="O9" s="135">
        <f t="shared" si="38"/>
        <v>0</v>
      </c>
      <c r="P9" s="135">
        <f t="shared" si="38"/>
        <v>0</v>
      </c>
      <c r="Q9" s="135">
        <f t="shared" si="38"/>
        <v>0</v>
      </c>
      <c r="R9" s="135">
        <f t="shared" si="38"/>
        <v>0</v>
      </c>
      <c r="S9" s="135">
        <f t="shared" si="38"/>
        <v>0</v>
      </c>
      <c r="T9" s="135">
        <f t="shared" si="38"/>
        <v>0</v>
      </c>
      <c r="U9" s="135">
        <f t="shared" si="38"/>
        <v>0</v>
      </c>
      <c r="V9" s="135">
        <f t="shared" si="38"/>
        <v>0</v>
      </c>
      <c r="W9" s="135">
        <f t="shared" si="38"/>
        <v>0</v>
      </c>
      <c r="X9" s="135">
        <f t="shared" si="38"/>
        <v>0</v>
      </c>
      <c r="Y9" s="135">
        <f t="shared" si="38"/>
        <v>0</v>
      </c>
      <c r="Z9" s="135">
        <f t="shared" si="38"/>
        <v>0</v>
      </c>
      <c r="AA9" s="135">
        <f t="shared" si="38"/>
        <v>0</v>
      </c>
      <c r="AB9" s="135">
        <f t="shared" si="38"/>
        <v>0</v>
      </c>
      <c r="AC9" s="135">
        <f t="shared" si="38"/>
        <v>0</v>
      </c>
      <c r="AD9" s="135">
        <f t="shared" si="38"/>
        <v>0</v>
      </c>
      <c r="AE9" s="135">
        <f t="shared" si="38"/>
        <v>0</v>
      </c>
      <c r="AF9" s="135">
        <f t="shared" si="38"/>
        <v>0</v>
      </c>
      <c r="AG9" s="135">
        <f t="shared" si="38"/>
        <v>0</v>
      </c>
      <c r="AH9" s="135">
        <f t="shared" si="38"/>
        <v>0</v>
      </c>
      <c r="AI9" s="135">
        <f t="shared" si="38"/>
        <v>0</v>
      </c>
      <c r="AJ9" s="135">
        <f t="shared" si="38"/>
        <v>0</v>
      </c>
      <c r="AK9" s="135">
        <f t="shared" si="38"/>
        <v>0</v>
      </c>
      <c r="AL9" s="135">
        <f t="shared" si="38"/>
        <v>0</v>
      </c>
      <c r="AM9" s="135">
        <f t="shared" si="38"/>
        <v>0</v>
      </c>
      <c r="AN9" s="135">
        <f t="shared" si="38"/>
        <v>0</v>
      </c>
      <c r="AO9" s="135">
        <f t="shared" si="38"/>
        <v>0</v>
      </c>
      <c r="AP9" s="135">
        <f t="shared" si="38"/>
        <v>0</v>
      </c>
      <c r="AQ9" s="135">
        <f t="shared" si="38"/>
        <v>0</v>
      </c>
      <c r="AR9" s="135">
        <f t="shared" si="38"/>
        <v>0</v>
      </c>
      <c r="AS9" s="135">
        <f t="shared" si="38"/>
        <v>0</v>
      </c>
      <c r="AT9" s="135">
        <f t="shared" si="38"/>
        <v>0</v>
      </c>
      <c r="AU9" s="135">
        <f t="shared" si="38"/>
        <v>0</v>
      </c>
      <c r="AV9" s="135">
        <f t="shared" si="38"/>
        <v>0</v>
      </c>
      <c r="AW9" s="135">
        <f t="shared" si="38"/>
        <v>0</v>
      </c>
      <c r="AX9" s="135">
        <f t="shared" si="38"/>
        <v>0</v>
      </c>
      <c r="AY9" s="135">
        <f t="shared" si="38"/>
        <v>0</v>
      </c>
      <c r="AZ9" s="135">
        <f t="shared" si="38"/>
        <v>0</v>
      </c>
      <c r="BA9" s="135">
        <f t="shared" si="38"/>
        <v>0</v>
      </c>
      <c r="BB9" s="135">
        <f t="shared" si="38"/>
        <v>0</v>
      </c>
      <c r="BC9" s="135">
        <f t="shared" si="38"/>
        <v>0</v>
      </c>
      <c r="BD9" s="135">
        <f t="shared" si="38"/>
        <v>0</v>
      </c>
      <c r="BE9" s="135">
        <f t="shared" si="38"/>
        <v>0</v>
      </c>
      <c r="BF9" s="135">
        <f t="shared" si="38"/>
        <v>0</v>
      </c>
      <c r="BG9" s="135">
        <f t="shared" si="38"/>
        <v>0</v>
      </c>
      <c r="BH9" s="135">
        <f t="shared" si="38"/>
        <v>0</v>
      </c>
      <c r="BI9" s="135">
        <f t="shared" si="38"/>
        <v>0</v>
      </c>
      <c r="BJ9" s="135">
        <f t="shared" si="38"/>
        <v>0</v>
      </c>
      <c r="BK9" s="135">
        <f t="shared" si="38"/>
        <v>0</v>
      </c>
      <c r="BL9" s="135">
        <f t="shared" si="38"/>
        <v>0</v>
      </c>
      <c r="BM9" s="135">
        <f t="shared" si="38"/>
        <v>0</v>
      </c>
      <c r="BN9" s="135">
        <f t="shared" si="38"/>
        <v>0</v>
      </c>
      <c r="BO9" s="135">
        <f t="shared" si="38"/>
        <v>0</v>
      </c>
      <c r="BP9" s="135">
        <f t="shared" si="38"/>
        <v>0</v>
      </c>
      <c r="BQ9" s="135">
        <f t="shared" si="38"/>
        <v>0</v>
      </c>
      <c r="BR9" s="135">
        <f t="shared" si="38"/>
        <v>0</v>
      </c>
      <c r="BS9" s="135">
        <f t="shared" si="38"/>
        <v>0</v>
      </c>
      <c r="BT9" s="135">
        <f t="shared" si="38"/>
        <v>0</v>
      </c>
      <c r="BU9" s="135">
        <f t="shared" si="38"/>
        <v>0</v>
      </c>
      <c r="BV9" s="135">
        <f t="shared" si="38"/>
        <v>0</v>
      </c>
      <c r="BW9" s="135">
        <f t="shared" si="36"/>
        <v>0</v>
      </c>
      <c r="BX9" s="135">
        <f t="shared" si="36"/>
        <v>0</v>
      </c>
      <c r="BY9" s="135">
        <f t="shared" si="36"/>
        <v>0</v>
      </c>
      <c r="BZ9" s="135">
        <f t="shared" si="36"/>
        <v>0</v>
      </c>
      <c r="CA9" s="135">
        <f t="shared" si="36"/>
        <v>0</v>
      </c>
      <c r="CB9" s="135">
        <f t="shared" si="36"/>
        <v>0</v>
      </c>
      <c r="CC9" s="135">
        <f t="shared" si="36"/>
        <v>0</v>
      </c>
      <c r="CD9" s="135">
        <f t="shared" si="36"/>
        <v>0</v>
      </c>
      <c r="CE9" s="135">
        <f t="shared" si="36"/>
        <v>0</v>
      </c>
      <c r="CF9" s="135">
        <f t="shared" si="36"/>
        <v>0</v>
      </c>
      <c r="CG9" s="135">
        <f t="shared" si="36"/>
        <v>0</v>
      </c>
      <c r="CH9" s="135">
        <f t="shared" si="36"/>
        <v>0</v>
      </c>
      <c r="CI9" s="135">
        <f t="shared" si="36"/>
        <v>0</v>
      </c>
      <c r="CJ9" s="135">
        <f t="shared" si="36"/>
        <v>0</v>
      </c>
      <c r="CK9" s="135">
        <f t="shared" si="36"/>
        <v>0</v>
      </c>
      <c r="CL9" s="135">
        <f t="shared" si="36"/>
        <v>0</v>
      </c>
      <c r="CM9" s="135">
        <f t="shared" si="36"/>
        <v>0</v>
      </c>
      <c r="CN9" s="135">
        <f t="shared" si="36"/>
        <v>0</v>
      </c>
      <c r="CO9" s="135">
        <f t="shared" si="36"/>
        <v>0</v>
      </c>
      <c r="CP9" s="135">
        <f t="shared" si="36"/>
        <v>0</v>
      </c>
      <c r="CQ9" s="135">
        <f t="shared" si="36"/>
        <v>0</v>
      </c>
      <c r="CR9" s="135">
        <f t="shared" si="36"/>
        <v>0</v>
      </c>
      <c r="CS9" s="135">
        <f t="shared" si="36"/>
        <v>0</v>
      </c>
      <c r="CT9" s="135">
        <f t="shared" si="36"/>
        <v>0</v>
      </c>
      <c r="CU9" s="135">
        <f t="shared" si="36"/>
        <v>0</v>
      </c>
      <c r="CV9" s="135">
        <f t="shared" si="36"/>
        <v>0</v>
      </c>
      <c r="CW9" s="135">
        <f t="shared" si="36"/>
        <v>0</v>
      </c>
      <c r="CX9" s="135">
        <f t="shared" si="36"/>
        <v>0</v>
      </c>
      <c r="CY9" s="135">
        <f t="shared" si="36"/>
        <v>0</v>
      </c>
      <c r="CZ9" s="135">
        <f t="shared" si="36"/>
        <v>0</v>
      </c>
      <c r="DA9" s="135">
        <f t="shared" si="36"/>
        <v>0</v>
      </c>
      <c r="DB9" s="135">
        <f t="shared" si="36"/>
        <v>0</v>
      </c>
      <c r="DC9" s="135">
        <f t="shared" si="36"/>
        <v>0</v>
      </c>
      <c r="DD9" s="135">
        <f t="shared" si="36"/>
        <v>0</v>
      </c>
      <c r="DE9" s="135">
        <f t="shared" si="36"/>
        <v>0</v>
      </c>
      <c r="DF9" s="135">
        <f t="shared" si="36"/>
        <v>0</v>
      </c>
      <c r="DG9" s="135">
        <f t="shared" si="36"/>
        <v>0</v>
      </c>
      <c r="DH9" s="135">
        <f t="shared" si="36"/>
        <v>0</v>
      </c>
      <c r="DI9" s="135">
        <f t="shared" si="36"/>
        <v>0</v>
      </c>
      <c r="DJ9" s="135">
        <f t="shared" si="36"/>
        <v>0</v>
      </c>
      <c r="DK9" s="135">
        <f t="shared" si="36"/>
        <v>0</v>
      </c>
      <c r="DL9" s="135">
        <f t="shared" si="36"/>
        <v>0</v>
      </c>
      <c r="DM9" s="135">
        <f t="shared" si="36"/>
        <v>0</v>
      </c>
      <c r="DN9" s="135">
        <f t="shared" si="36"/>
        <v>0</v>
      </c>
      <c r="DO9" s="135">
        <f t="shared" si="36"/>
        <v>0</v>
      </c>
      <c r="DP9" s="135">
        <f t="shared" si="36"/>
        <v>0</v>
      </c>
      <c r="DQ9" s="135">
        <f t="shared" si="36"/>
        <v>0</v>
      </c>
      <c r="DR9" s="135">
        <f t="shared" si="36"/>
        <v>0</v>
      </c>
      <c r="DS9" s="135">
        <f t="shared" si="36"/>
        <v>0</v>
      </c>
      <c r="DT9" s="135">
        <f t="shared" si="36"/>
        <v>0</v>
      </c>
      <c r="DU9" s="135">
        <f t="shared" si="36"/>
        <v>0</v>
      </c>
      <c r="DV9" s="135">
        <f t="shared" si="36"/>
        <v>0</v>
      </c>
      <c r="DW9" s="135">
        <f t="shared" si="36"/>
        <v>0</v>
      </c>
      <c r="DX9" s="135">
        <f t="shared" si="36"/>
        <v>0</v>
      </c>
      <c r="DY9" s="135">
        <f t="shared" si="36"/>
        <v>0</v>
      </c>
      <c r="DZ9" s="135">
        <f t="shared" si="36"/>
        <v>0</v>
      </c>
      <c r="EA9" s="135">
        <f t="shared" si="36"/>
        <v>0</v>
      </c>
      <c r="EB9" s="135">
        <f t="shared" si="36"/>
        <v>0</v>
      </c>
      <c r="EC9" s="135">
        <f t="shared" si="36"/>
        <v>0</v>
      </c>
      <c r="ED9" s="135">
        <f t="shared" si="36"/>
        <v>0</v>
      </c>
      <c r="EE9" s="135">
        <f t="shared" si="36"/>
        <v>0</v>
      </c>
      <c r="EF9" s="135">
        <f t="shared" si="36"/>
        <v>0</v>
      </c>
      <c r="EG9" s="135">
        <f t="shared" si="36"/>
        <v>0</v>
      </c>
      <c r="EH9" s="135">
        <f t="shared" si="37"/>
        <v>0</v>
      </c>
      <c r="EI9" s="135">
        <f t="shared" si="27"/>
        <v>0</v>
      </c>
      <c r="EJ9" s="135">
        <f t="shared" si="27"/>
        <v>0</v>
      </c>
      <c r="EK9" s="135">
        <f t="shared" ref="EK9:FP9" si="39">IFERROR(IF(EK$1=EOMONTH($G9,0),(-$E9+($E9*(DAY($G9)/DAY(EOMONTH(EK$1,0)))*$F9/12*(1-0.269))),IF(EK$1=$G9,($E9+($E9*(DAY($I9)/DAY(EOMONTH(EK$1,0)))*$F9/12*(1-0.269))),IFERROR(IF($I9&lt;EK$1,0,IF(EK$1&gt;$I9,(($F9/12)*$E9)*(DAY($I9)/DAY(EOMONTH(EK$1,0)))*(1-26.9/100)+$E9,IF(AND(EK$1&gt;=$G9,EK$1&lt;$I9),(($F9/12)*$E9)*(1-26.9/100),""))-IF(EK$1=EOMONTH($G9,0),$E9,"0")),0)+IF(EK$1=EOMONTH($I9,0),($E9+($E9*(DAY($I9)/DAY(EOMONTH(EK$1,0)))*$F9/12*(1-0.269))),"0"))),0)</f>
        <v>0</v>
      </c>
      <c r="EL9" s="135">
        <f t="shared" si="39"/>
        <v>0</v>
      </c>
      <c r="EM9" s="135">
        <f t="shared" si="39"/>
        <v>0</v>
      </c>
      <c r="EN9" s="135">
        <f t="shared" si="39"/>
        <v>0</v>
      </c>
      <c r="EO9" s="135">
        <f t="shared" si="39"/>
        <v>0</v>
      </c>
      <c r="EP9" s="135">
        <f t="shared" si="39"/>
        <v>0</v>
      </c>
      <c r="EQ9" s="135">
        <f t="shared" si="39"/>
        <v>0</v>
      </c>
      <c r="ER9" s="135">
        <f t="shared" si="39"/>
        <v>0</v>
      </c>
      <c r="ES9" s="135">
        <f t="shared" si="39"/>
        <v>0</v>
      </c>
      <c r="ET9" s="135">
        <f t="shared" si="39"/>
        <v>0</v>
      </c>
      <c r="EU9" s="135">
        <f t="shared" si="39"/>
        <v>0</v>
      </c>
      <c r="EV9" s="135">
        <f t="shared" si="39"/>
        <v>0</v>
      </c>
      <c r="EW9" s="135">
        <f t="shared" si="39"/>
        <v>0</v>
      </c>
      <c r="EX9" s="135">
        <f t="shared" si="39"/>
        <v>0</v>
      </c>
      <c r="EY9" s="135">
        <f t="shared" si="39"/>
        <v>0</v>
      </c>
      <c r="EZ9" s="135">
        <f t="shared" si="39"/>
        <v>0</v>
      </c>
      <c r="FA9" s="135">
        <f t="shared" si="39"/>
        <v>0</v>
      </c>
      <c r="FB9" s="135">
        <f t="shared" si="39"/>
        <v>0</v>
      </c>
      <c r="FC9" s="135">
        <f t="shared" si="39"/>
        <v>0</v>
      </c>
      <c r="FD9" s="135">
        <f t="shared" si="39"/>
        <v>0</v>
      </c>
      <c r="FE9" s="135">
        <f t="shared" si="39"/>
        <v>0</v>
      </c>
      <c r="FF9" s="135">
        <f t="shared" si="39"/>
        <v>0</v>
      </c>
      <c r="FG9" s="135">
        <f t="shared" si="39"/>
        <v>0</v>
      </c>
      <c r="FH9" s="135">
        <f t="shared" si="39"/>
        <v>0</v>
      </c>
      <c r="FI9" s="135">
        <f t="shared" si="39"/>
        <v>0</v>
      </c>
      <c r="FJ9" s="135">
        <f t="shared" si="39"/>
        <v>0</v>
      </c>
      <c r="FK9" s="135">
        <f t="shared" si="39"/>
        <v>0</v>
      </c>
      <c r="FL9" s="135">
        <f t="shared" si="39"/>
        <v>0</v>
      </c>
      <c r="FM9" s="135">
        <f t="shared" si="39"/>
        <v>0</v>
      </c>
      <c r="FN9" s="135">
        <f t="shared" si="39"/>
        <v>0</v>
      </c>
      <c r="FO9" s="135">
        <f t="shared" si="39"/>
        <v>0</v>
      </c>
      <c r="FP9" s="135">
        <f t="shared" si="39"/>
        <v>0</v>
      </c>
      <c r="FQ9" s="135">
        <f t="shared" ref="FQ9:GS9" si="40">IFERROR(IF(FQ$1=EOMONTH($G9,0),(-$E9+($E9*(DAY($G9)/DAY(EOMONTH(FQ$1,0)))*$F9/12*(1-0.269))),IF(FQ$1=$G9,($E9+($E9*(DAY($I9)/DAY(EOMONTH(FQ$1,0)))*$F9/12*(1-0.269))),IFERROR(IF($I9&lt;FQ$1,0,IF(FQ$1&gt;$I9,(($F9/12)*$E9)*(DAY($I9)/DAY(EOMONTH(FQ$1,0)))*(1-26.9/100)+$E9,IF(AND(FQ$1&gt;=$G9,FQ$1&lt;$I9),(($F9/12)*$E9)*(1-26.9/100),""))-IF(FQ$1=EOMONTH($G9,0),$E9,"0")),0)+IF(FQ$1=EOMONTH($I9,0),($E9+($E9*(DAY($I9)/DAY(EOMONTH(FQ$1,0)))*$F9/12*(1-0.269))),"0"))),0)</f>
        <v>0</v>
      </c>
      <c r="FR9" s="135">
        <f t="shared" si="40"/>
        <v>0</v>
      </c>
      <c r="FS9" s="135">
        <f t="shared" si="40"/>
        <v>0</v>
      </c>
      <c r="FT9" s="135">
        <f t="shared" si="40"/>
        <v>0</v>
      </c>
      <c r="FU9" s="135">
        <f t="shared" si="40"/>
        <v>0</v>
      </c>
      <c r="FV9" s="135">
        <f t="shared" si="40"/>
        <v>0</v>
      </c>
      <c r="FW9" s="135">
        <f t="shared" si="40"/>
        <v>0</v>
      </c>
      <c r="FX9" s="135">
        <f t="shared" si="40"/>
        <v>0</v>
      </c>
      <c r="FY9" s="135">
        <f t="shared" si="40"/>
        <v>0</v>
      </c>
      <c r="FZ9" s="135">
        <f t="shared" si="40"/>
        <v>0</v>
      </c>
      <c r="GA9" s="135">
        <f t="shared" si="40"/>
        <v>0</v>
      </c>
      <c r="GB9" s="135">
        <f t="shared" si="40"/>
        <v>0</v>
      </c>
      <c r="GC9" s="135">
        <f t="shared" si="40"/>
        <v>0</v>
      </c>
      <c r="GD9" s="135">
        <f t="shared" si="40"/>
        <v>0</v>
      </c>
      <c r="GE9" s="135">
        <f t="shared" si="40"/>
        <v>0</v>
      </c>
      <c r="GF9" s="135">
        <f t="shared" si="40"/>
        <v>0</v>
      </c>
      <c r="GG9" s="135">
        <f t="shared" si="40"/>
        <v>0</v>
      </c>
      <c r="GH9" s="135">
        <f t="shared" si="40"/>
        <v>0</v>
      </c>
      <c r="GI9" s="135">
        <f t="shared" si="40"/>
        <v>0</v>
      </c>
      <c r="GJ9" s="135">
        <f t="shared" si="40"/>
        <v>0</v>
      </c>
      <c r="GK9" s="135">
        <f t="shared" si="40"/>
        <v>0</v>
      </c>
      <c r="GL9" s="135">
        <f t="shared" si="40"/>
        <v>0</v>
      </c>
      <c r="GM9" s="135">
        <f t="shared" si="40"/>
        <v>0</v>
      </c>
      <c r="GN9" s="135">
        <f t="shared" si="40"/>
        <v>0</v>
      </c>
      <c r="GO9" s="135">
        <f t="shared" si="40"/>
        <v>0</v>
      </c>
      <c r="GP9" s="135">
        <f t="shared" si="40"/>
        <v>0</v>
      </c>
      <c r="GQ9" s="135">
        <f t="shared" si="40"/>
        <v>0</v>
      </c>
      <c r="GR9" s="135">
        <f t="shared" si="40"/>
        <v>0</v>
      </c>
      <c r="GS9" s="135">
        <f t="shared" si="40"/>
        <v>0</v>
      </c>
      <c r="GT9" s="135">
        <f>IFERROR(IF(GT$1=EOMONTH($G9,0),(-$E9+($E9*(DAY($G9)/DAY(EOMONTH(GT$1,0)))*$F9/12*(1-0.269))),IF(GT$1=$G9,($E9+($E9*(DAY($I9)/DAY(EOMONTH(GT$1,0)))*$F9/12*(1-0.269))),IFERROR(IF($I9&lt;GT$1,0,IF(GT$1&gt;$I9,(($F9/12)*$E9)*(DAY($I9)/DAY(EOMONTH(GT$1,0)))*(1-26.9/100)+$E9,IF(AND(GT$1&gt;=$G9,GT$1&lt;$I9),(($F9/12)*$E9)*(1-26.9/100),""))-IF(GT$1=EOMONTH($G9,0),$E9,"0")),0)+IF(GT$1=EOMONTH($I9,0),($E9+($E9*(DAY($I9)/DAY(EOMONTH(GT$1,0)))*$F9/12*(1-0.269))),"0"))),0)</f>
        <v>0</v>
      </c>
      <c r="GU9" s="135">
        <f t="shared" ref="GU9:GV12" si="41">IFERROR(IF(GU$1=EOMONTH($G9,0),(-$E9+($E9*(DAY($G9)/DAY(EOMONTH(GU$1,0)))*$F9/12*(1-0.269))),IF(GU$1=$G9,($E9+($E9*(DAY($I9)/DAY(EOMONTH(GU$1,0)))*$F9/12*(1-0.269))),IFERROR(IF($I9&lt;GU$1,0,IF(GU$1&gt;$I9,(($F9/12)*$E9)*(DAY($I9)/DAY(EOMONTH(GU$1,0)))*(1-26.9/100)+$E9,IF(AND(GU$1&gt;=$G9,GU$1&lt;$I9),(($F9/12)*$E9)*(1-26.9/100),""))-IF(GU$1=EOMONTH($G9,0),$E9,"0")),0)+IF(GU$1=EOMONTH($I9,0),($E9+($E9*(DAY($I9)/DAY(EOMONTH(GU$1,0)))*$F9/12*(1-0.269))),"0"))),0)</f>
        <v>0</v>
      </c>
      <c r="GV9" s="135">
        <f t="shared" si="41"/>
        <v>0</v>
      </c>
      <c r="GW9" s="135">
        <f t="shared" si="33"/>
        <v>0</v>
      </c>
      <c r="GX9" s="135">
        <f t="shared" si="33"/>
        <v>0</v>
      </c>
      <c r="GY9" s="135">
        <f t="shared" si="33"/>
        <v>0</v>
      </c>
      <c r="GZ9" s="135">
        <f t="shared" si="33"/>
        <v>0</v>
      </c>
      <c r="HA9" s="135">
        <f t="shared" si="33"/>
        <v>0</v>
      </c>
      <c r="HB9" s="135">
        <f t="shared" si="33"/>
        <v>0</v>
      </c>
      <c r="HC9" s="135">
        <f t="shared" si="33"/>
        <v>0</v>
      </c>
      <c r="HD9" s="135">
        <f t="shared" si="33"/>
        <v>0</v>
      </c>
      <c r="HE9" s="135">
        <f t="shared" si="33"/>
        <v>0</v>
      </c>
      <c r="HF9" s="135">
        <f t="shared" si="33"/>
        <v>0</v>
      </c>
      <c r="HG9" s="135">
        <f t="shared" si="33"/>
        <v>0</v>
      </c>
      <c r="HH9" s="135">
        <f t="shared" si="33"/>
        <v>0</v>
      </c>
      <c r="HI9" s="135">
        <f t="shared" si="33"/>
        <v>0</v>
      </c>
      <c r="HJ9" s="135">
        <f t="shared" si="33"/>
        <v>0</v>
      </c>
      <c r="HK9" s="135">
        <f t="shared" si="33"/>
        <v>0</v>
      </c>
      <c r="HL9" s="135">
        <f t="shared" si="33"/>
        <v>0</v>
      </c>
      <c r="HM9" s="135">
        <f t="shared" si="33"/>
        <v>0</v>
      </c>
      <c r="HN9" s="135">
        <f t="shared" si="33"/>
        <v>0</v>
      </c>
      <c r="HO9" s="135">
        <f t="shared" si="33"/>
        <v>0</v>
      </c>
      <c r="HP9" s="135">
        <f t="shared" si="33"/>
        <v>0</v>
      </c>
      <c r="HQ9" s="135">
        <f t="shared" si="33"/>
        <v>0</v>
      </c>
      <c r="HR9" s="135">
        <f t="shared" si="33"/>
        <v>0</v>
      </c>
      <c r="HS9" s="135">
        <f t="shared" si="33"/>
        <v>0</v>
      </c>
      <c r="HT9" s="135">
        <f t="shared" si="33"/>
        <v>0</v>
      </c>
      <c r="HU9" s="135">
        <f t="shared" si="33"/>
        <v>0</v>
      </c>
      <c r="HV9" s="135">
        <f t="shared" si="33"/>
        <v>0</v>
      </c>
      <c r="HW9" s="135">
        <f t="shared" si="33"/>
        <v>0</v>
      </c>
      <c r="HX9" s="135">
        <f t="shared" si="33"/>
        <v>0</v>
      </c>
      <c r="HY9" s="135">
        <f t="shared" si="33"/>
        <v>0</v>
      </c>
      <c r="HZ9" s="135">
        <f t="shared" si="33"/>
        <v>0</v>
      </c>
      <c r="IA9" s="135">
        <f t="shared" si="33"/>
        <v>0</v>
      </c>
      <c r="IB9" s="135">
        <f t="shared" si="33"/>
        <v>0</v>
      </c>
      <c r="IC9" s="135">
        <f t="shared" si="33"/>
        <v>0</v>
      </c>
      <c r="ID9" s="135">
        <f t="shared" si="33"/>
        <v>0</v>
      </c>
      <c r="IE9" s="135">
        <f t="shared" si="33"/>
        <v>0</v>
      </c>
      <c r="IF9" s="135">
        <f t="shared" si="33"/>
        <v>0</v>
      </c>
      <c r="IG9" s="135">
        <f t="shared" si="33"/>
        <v>0</v>
      </c>
      <c r="IH9" s="135">
        <f t="shared" si="33"/>
        <v>0</v>
      </c>
      <c r="II9" s="135">
        <f t="shared" si="33"/>
        <v>0</v>
      </c>
      <c r="IJ9" s="135">
        <f t="shared" si="33"/>
        <v>0</v>
      </c>
      <c r="IK9" s="135">
        <f t="shared" si="33"/>
        <v>0</v>
      </c>
      <c r="IL9" s="135">
        <f t="shared" si="33"/>
        <v>0</v>
      </c>
      <c r="IM9" s="135">
        <f t="shared" si="33"/>
        <v>0</v>
      </c>
      <c r="IN9" s="135">
        <f t="shared" si="33"/>
        <v>0</v>
      </c>
      <c r="IO9" s="135">
        <f t="shared" si="33"/>
        <v>0</v>
      </c>
      <c r="IP9" s="135">
        <f t="shared" si="33"/>
        <v>0</v>
      </c>
      <c r="IQ9" s="135">
        <f t="shared" si="33"/>
        <v>0</v>
      </c>
      <c r="IR9" s="135">
        <f t="shared" si="33"/>
        <v>0</v>
      </c>
      <c r="IS9" s="135">
        <f t="shared" si="33"/>
        <v>0</v>
      </c>
      <c r="IT9" s="135">
        <f t="shared" si="33"/>
        <v>0</v>
      </c>
      <c r="IU9" s="135">
        <f t="shared" si="33"/>
        <v>0</v>
      </c>
      <c r="IV9" s="135">
        <f t="shared" si="33"/>
        <v>0</v>
      </c>
      <c r="IW9" s="135">
        <f t="shared" si="33"/>
        <v>0</v>
      </c>
      <c r="IX9" s="135">
        <f t="shared" si="33"/>
        <v>0</v>
      </c>
      <c r="IY9" s="135">
        <f t="shared" si="33"/>
        <v>0</v>
      </c>
      <c r="IZ9" s="135">
        <f t="shared" si="33"/>
        <v>0</v>
      </c>
      <c r="JA9" s="135">
        <f t="shared" si="33"/>
        <v>0</v>
      </c>
      <c r="JB9" s="135">
        <f t="shared" si="33"/>
        <v>0</v>
      </c>
      <c r="JC9" s="135">
        <f t="shared" si="33"/>
        <v>0</v>
      </c>
      <c r="JD9" s="135">
        <f t="shared" si="33"/>
        <v>0</v>
      </c>
      <c r="JE9" s="135">
        <f t="shared" si="33"/>
        <v>0</v>
      </c>
      <c r="JF9" s="135">
        <f t="shared" si="33"/>
        <v>0</v>
      </c>
      <c r="JG9" s="135">
        <f t="shared" si="28"/>
        <v>0</v>
      </c>
      <c r="JH9" s="135">
        <f t="shared" si="28"/>
        <v>0</v>
      </c>
      <c r="JI9" s="135">
        <f t="shared" ref="JI9:LT13" si="42">IFERROR(IF(JI$1=EOMONTH($G9,0),(-$E9+($E9*(DAY($G9)/DAY(EOMONTH(JI$1,0)))*$F9/12*(1-0.269))),IF(JI$1=$G9,($E9+($E9*(DAY($I9)/DAY(EOMONTH(JI$1,0)))*$F9/12*(1-0.269))),IFERROR(IF($I9&lt;JI$1,0,IF(JI$1&gt;$I9,(($F9/12)*$E9)*(DAY($I9)/DAY(EOMONTH(JI$1,0)))*(1-26.9/100)+$E9,IF(AND(JI$1&gt;=$G9,JI$1&lt;$I9),(($F9/12)*$E9)*(1-26.9/100),""))-IF(JI$1=EOMONTH($G9,0),$E9,"0")),0)+IF(JI$1=EOMONTH($I9,0),($E9+($E9*(DAY($I9)/DAY(EOMONTH(JI$1,0)))*$F9/12*(1-0.269))),"0"))),0)</f>
        <v>0</v>
      </c>
      <c r="JJ9" s="135">
        <f t="shared" si="42"/>
        <v>0</v>
      </c>
      <c r="JK9" s="135">
        <f t="shared" si="42"/>
        <v>0</v>
      </c>
      <c r="JL9" s="135">
        <f t="shared" si="42"/>
        <v>0</v>
      </c>
      <c r="JM9" s="135">
        <f t="shared" si="42"/>
        <v>0</v>
      </c>
      <c r="JN9" s="135">
        <f t="shared" si="42"/>
        <v>0</v>
      </c>
      <c r="JO9" s="135">
        <f t="shared" si="42"/>
        <v>0</v>
      </c>
      <c r="JP9" s="135">
        <f t="shared" si="42"/>
        <v>0</v>
      </c>
      <c r="JQ9" s="135">
        <f t="shared" si="42"/>
        <v>0</v>
      </c>
      <c r="JR9" s="135">
        <f t="shared" si="42"/>
        <v>0</v>
      </c>
      <c r="JS9" s="135">
        <f t="shared" si="42"/>
        <v>0</v>
      </c>
      <c r="JT9" s="135">
        <f t="shared" si="42"/>
        <v>0</v>
      </c>
      <c r="JU9" s="135">
        <f t="shared" si="42"/>
        <v>0</v>
      </c>
      <c r="JV9" s="135">
        <f t="shared" si="42"/>
        <v>0</v>
      </c>
      <c r="JW9" s="135">
        <f t="shared" si="42"/>
        <v>0</v>
      </c>
      <c r="JX9" s="135">
        <f t="shared" si="42"/>
        <v>0</v>
      </c>
      <c r="JY9" s="135">
        <f t="shared" si="42"/>
        <v>0</v>
      </c>
      <c r="JZ9" s="135">
        <f t="shared" si="42"/>
        <v>0</v>
      </c>
      <c r="KA9" s="135">
        <f t="shared" si="42"/>
        <v>0</v>
      </c>
      <c r="KB9" s="135">
        <f t="shared" si="42"/>
        <v>0</v>
      </c>
      <c r="KC9" s="135">
        <f t="shared" si="42"/>
        <v>0</v>
      </c>
      <c r="KD9" s="135">
        <f t="shared" si="42"/>
        <v>0</v>
      </c>
      <c r="KE9" s="135">
        <f t="shared" si="42"/>
        <v>0</v>
      </c>
      <c r="KF9" s="135">
        <f t="shared" si="42"/>
        <v>0</v>
      </c>
      <c r="KG9" s="135">
        <f t="shared" si="42"/>
        <v>0</v>
      </c>
      <c r="KH9" s="135">
        <f t="shared" si="42"/>
        <v>0</v>
      </c>
      <c r="KI9" s="135">
        <f t="shared" si="42"/>
        <v>0</v>
      </c>
      <c r="KJ9" s="135">
        <f t="shared" si="42"/>
        <v>0</v>
      </c>
      <c r="KK9" s="135">
        <f t="shared" si="42"/>
        <v>0</v>
      </c>
      <c r="KL9" s="135">
        <f t="shared" si="42"/>
        <v>0</v>
      </c>
      <c r="KM9" s="135">
        <f t="shared" si="42"/>
        <v>0</v>
      </c>
      <c r="KN9" s="135">
        <f t="shared" si="42"/>
        <v>0</v>
      </c>
      <c r="KO9" s="135">
        <f t="shared" si="42"/>
        <v>0</v>
      </c>
      <c r="KP9" s="135">
        <f t="shared" si="42"/>
        <v>0</v>
      </c>
      <c r="KQ9" s="135">
        <f t="shared" si="42"/>
        <v>0</v>
      </c>
      <c r="KR9" s="135">
        <f t="shared" si="42"/>
        <v>0</v>
      </c>
      <c r="KS9" s="135">
        <f t="shared" si="42"/>
        <v>0</v>
      </c>
      <c r="KT9" s="135">
        <f t="shared" si="42"/>
        <v>0</v>
      </c>
      <c r="KU9" s="135">
        <f t="shared" si="42"/>
        <v>0</v>
      </c>
      <c r="KV9" s="135">
        <f t="shared" si="42"/>
        <v>0</v>
      </c>
      <c r="KW9" s="135">
        <f t="shared" si="42"/>
        <v>0</v>
      </c>
      <c r="KX9" s="135">
        <f t="shared" si="42"/>
        <v>0</v>
      </c>
      <c r="KY9" s="135">
        <f t="shared" si="42"/>
        <v>0</v>
      </c>
      <c r="KZ9" s="135">
        <f t="shared" si="42"/>
        <v>0</v>
      </c>
      <c r="LA9" s="135">
        <f t="shared" si="42"/>
        <v>0</v>
      </c>
      <c r="LB9" s="135">
        <f t="shared" si="42"/>
        <v>0</v>
      </c>
      <c r="LC9" s="135">
        <f t="shared" si="42"/>
        <v>0</v>
      </c>
      <c r="LD9" s="135">
        <f t="shared" si="42"/>
        <v>0</v>
      </c>
      <c r="LE9" s="135">
        <f t="shared" si="42"/>
        <v>0</v>
      </c>
      <c r="LF9" s="135">
        <f t="shared" si="42"/>
        <v>0</v>
      </c>
      <c r="LG9" s="135">
        <f t="shared" si="42"/>
        <v>0</v>
      </c>
      <c r="LH9" s="135">
        <f t="shared" si="42"/>
        <v>0</v>
      </c>
      <c r="LI9" s="135">
        <f t="shared" si="42"/>
        <v>0</v>
      </c>
      <c r="LJ9" s="135">
        <f t="shared" si="42"/>
        <v>0</v>
      </c>
      <c r="LK9" s="135">
        <f t="shared" si="42"/>
        <v>0</v>
      </c>
      <c r="LL9" s="135">
        <f t="shared" si="42"/>
        <v>0</v>
      </c>
      <c r="LM9" s="135">
        <f t="shared" si="42"/>
        <v>0</v>
      </c>
      <c r="LN9" s="135">
        <f t="shared" si="42"/>
        <v>0</v>
      </c>
      <c r="LO9" s="135">
        <f t="shared" si="42"/>
        <v>0</v>
      </c>
      <c r="LP9" s="135">
        <f t="shared" si="42"/>
        <v>0</v>
      </c>
      <c r="LQ9" s="135">
        <f t="shared" si="42"/>
        <v>0</v>
      </c>
      <c r="LR9" s="135">
        <f t="shared" si="42"/>
        <v>0</v>
      </c>
      <c r="LS9" s="135">
        <f t="shared" si="42"/>
        <v>0</v>
      </c>
      <c r="LT9" s="135">
        <f t="shared" si="42"/>
        <v>0</v>
      </c>
      <c r="LU9" s="135">
        <f t="shared" si="34"/>
        <v>0</v>
      </c>
      <c r="LV9" s="135">
        <f t="shared" si="34"/>
        <v>0</v>
      </c>
      <c r="LW9" s="135">
        <f t="shared" si="34"/>
        <v>0</v>
      </c>
      <c r="LX9" s="135">
        <f t="shared" si="34"/>
        <v>0</v>
      </c>
      <c r="LY9" s="135">
        <f t="shared" si="34"/>
        <v>0</v>
      </c>
      <c r="LZ9" s="135">
        <f t="shared" si="34"/>
        <v>0</v>
      </c>
      <c r="MA9" s="135">
        <f t="shared" si="34"/>
        <v>0</v>
      </c>
      <c r="MB9" s="135">
        <f t="shared" si="34"/>
        <v>0</v>
      </c>
      <c r="MC9" s="135">
        <f t="shared" si="34"/>
        <v>0</v>
      </c>
      <c r="MD9" s="135">
        <f t="shared" si="34"/>
        <v>0</v>
      </c>
      <c r="ME9" s="135">
        <f t="shared" si="34"/>
        <v>0</v>
      </c>
      <c r="MF9" s="135">
        <f t="shared" si="34"/>
        <v>0</v>
      </c>
      <c r="MG9" s="135">
        <f t="shared" si="34"/>
        <v>0</v>
      </c>
      <c r="MH9" s="135">
        <f t="shared" si="34"/>
        <v>0</v>
      </c>
      <c r="MI9" s="135">
        <f t="shared" si="34"/>
        <v>0</v>
      </c>
      <c r="MJ9" s="135">
        <f t="shared" si="34"/>
        <v>0</v>
      </c>
      <c r="MK9" s="135">
        <f t="shared" si="34"/>
        <v>0</v>
      </c>
      <c r="ML9" s="135">
        <f t="shared" si="34"/>
        <v>0</v>
      </c>
      <c r="MM9" s="135">
        <f t="shared" si="34"/>
        <v>0</v>
      </c>
      <c r="MN9" s="135">
        <f t="shared" si="34"/>
        <v>0</v>
      </c>
      <c r="MO9" s="135">
        <f t="shared" si="34"/>
        <v>0</v>
      </c>
      <c r="MP9" s="135">
        <f t="shared" si="34"/>
        <v>0</v>
      </c>
      <c r="MQ9" s="135">
        <f t="shared" si="34"/>
        <v>0</v>
      </c>
      <c r="MR9" s="135">
        <f t="shared" si="34"/>
        <v>0</v>
      </c>
      <c r="MS9" s="135">
        <f t="shared" si="34"/>
        <v>0</v>
      </c>
      <c r="MT9" s="135">
        <f t="shared" si="34"/>
        <v>0</v>
      </c>
      <c r="MU9" s="135">
        <f t="shared" si="34"/>
        <v>0</v>
      </c>
      <c r="MV9" s="135">
        <f t="shared" si="34"/>
        <v>0</v>
      </c>
      <c r="MW9" s="135">
        <f t="shared" si="34"/>
        <v>0</v>
      </c>
      <c r="MX9" s="135">
        <f t="shared" si="34"/>
        <v>0</v>
      </c>
      <c r="MY9" s="135">
        <f t="shared" si="34"/>
        <v>0</v>
      </c>
      <c r="MZ9" s="135">
        <f t="shared" si="34"/>
        <v>0</v>
      </c>
      <c r="NA9" s="135">
        <f t="shared" si="34"/>
        <v>0</v>
      </c>
      <c r="NB9" s="135">
        <f t="shared" si="34"/>
        <v>0</v>
      </c>
      <c r="NC9" s="135">
        <f t="shared" si="34"/>
        <v>0</v>
      </c>
      <c r="ND9" s="135">
        <f t="shared" si="34"/>
        <v>0</v>
      </c>
      <c r="NE9" s="135">
        <f t="shared" si="34"/>
        <v>0</v>
      </c>
      <c r="NF9" s="135">
        <f t="shared" si="34"/>
        <v>0</v>
      </c>
      <c r="NG9" s="135">
        <f t="shared" si="34"/>
        <v>0</v>
      </c>
      <c r="NH9" s="135">
        <f t="shared" si="34"/>
        <v>0</v>
      </c>
      <c r="NI9" s="135">
        <f t="shared" si="34"/>
        <v>0</v>
      </c>
      <c r="NJ9" s="135">
        <f t="shared" si="34"/>
        <v>0</v>
      </c>
      <c r="NK9" s="135">
        <f t="shared" si="34"/>
        <v>0</v>
      </c>
      <c r="NL9" s="135">
        <f t="shared" si="34"/>
        <v>0</v>
      </c>
      <c r="NM9" s="135">
        <f t="shared" si="34"/>
        <v>0</v>
      </c>
      <c r="NN9" s="135">
        <f t="shared" si="34"/>
        <v>0</v>
      </c>
      <c r="NO9" s="135">
        <f t="shared" si="34"/>
        <v>0</v>
      </c>
      <c r="NP9" s="135">
        <f t="shared" si="34"/>
        <v>0</v>
      </c>
      <c r="NQ9" s="135">
        <f t="shared" si="34"/>
        <v>0</v>
      </c>
      <c r="NR9" s="135">
        <f t="shared" si="34"/>
        <v>0</v>
      </c>
      <c r="NS9" s="135">
        <f t="shared" si="34"/>
        <v>0</v>
      </c>
      <c r="NT9" s="135">
        <f t="shared" si="34"/>
        <v>0</v>
      </c>
      <c r="NU9" s="135">
        <f t="shared" si="34"/>
        <v>0</v>
      </c>
      <c r="NV9" s="135">
        <f t="shared" si="34"/>
        <v>0</v>
      </c>
      <c r="NW9" s="135">
        <f t="shared" si="34"/>
        <v>0</v>
      </c>
      <c r="NX9" s="135">
        <f t="shared" si="34"/>
        <v>0</v>
      </c>
      <c r="NY9" s="135">
        <f t="shared" si="34"/>
        <v>0</v>
      </c>
      <c r="NZ9" s="135">
        <f t="shared" si="34"/>
        <v>0</v>
      </c>
      <c r="OA9" s="135">
        <f t="shared" si="34"/>
        <v>0</v>
      </c>
      <c r="OB9" s="135">
        <f t="shared" si="34"/>
        <v>0</v>
      </c>
      <c r="OC9" s="135">
        <f t="shared" si="34"/>
        <v>0</v>
      </c>
      <c r="OD9" s="135">
        <f t="shared" si="34"/>
        <v>0</v>
      </c>
      <c r="OE9" s="135">
        <f t="shared" si="29"/>
        <v>0</v>
      </c>
      <c r="OF9" s="135">
        <f t="shared" si="29"/>
        <v>0</v>
      </c>
      <c r="OG9" s="135">
        <f t="shared" ref="OG9:QR13" si="43">IFERROR(IF(OG$1=EOMONTH($G9,0),(-$E9+($E9*(DAY($G9)/DAY(EOMONTH(OG$1,0)))*$F9/12*(1-0.269))),IF(OG$1=$G9,($E9+($E9*(DAY($I9)/DAY(EOMONTH(OG$1,0)))*$F9/12*(1-0.269))),IFERROR(IF($I9&lt;OG$1,0,IF(OG$1&gt;$I9,(($F9/12)*$E9)*(DAY($I9)/DAY(EOMONTH(OG$1,0)))*(1-26.9/100)+$E9,IF(AND(OG$1&gt;=$G9,OG$1&lt;$I9),(($F9/12)*$E9)*(1-26.9/100),""))-IF(OG$1=EOMONTH($G9,0),$E9,"0")),0)+IF(OG$1=EOMONTH($I9,0),($E9+($E9*(DAY($I9)/DAY(EOMONTH(OG$1,0)))*$F9/12*(1-0.269))),"0"))),0)</f>
        <v>0</v>
      </c>
      <c r="OH9" s="135">
        <f t="shared" si="43"/>
        <v>0</v>
      </c>
      <c r="OI9" s="135">
        <f t="shared" si="43"/>
        <v>0</v>
      </c>
      <c r="OJ9" s="135">
        <f t="shared" si="43"/>
        <v>0</v>
      </c>
      <c r="OK9" s="135">
        <f t="shared" si="43"/>
        <v>0</v>
      </c>
      <c r="OL9" s="135">
        <f t="shared" si="43"/>
        <v>0</v>
      </c>
      <c r="OM9" s="135">
        <f t="shared" si="43"/>
        <v>0</v>
      </c>
      <c r="ON9" s="135">
        <f t="shared" si="43"/>
        <v>0</v>
      </c>
      <c r="OO9" s="135">
        <f t="shared" si="43"/>
        <v>0</v>
      </c>
      <c r="OP9" s="135">
        <f t="shared" si="43"/>
        <v>0</v>
      </c>
      <c r="OQ9" s="135">
        <f t="shared" si="43"/>
        <v>0</v>
      </c>
      <c r="OR9" s="135">
        <f t="shared" si="43"/>
        <v>0</v>
      </c>
      <c r="OS9" s="135">
        <f t="shared" si="43"/>
        <v>0</v>
      </c>
      <c r="OT9" s="135">
        <f t="shared" si="43"/>
        <v>0</v>
      </c>
      <c r="OU9" s="135">
        <f t="shared" si="43"/>
        <v>0</v>
      </c>
      <c r="OV9" s="135">
        <f t="shared" si="43"/>
        <v>0</v>
      </c>
      <c r="OW9" s="135">
        <f t="shared" si="43"/>
        <v>0</v>
      </c>
      <c r="OX9" s="135">
        <f t="shared" si="43"/>
        <v>0</v>
      </c>
      <c r="OY9" s="135">
        <f t="shared" si="43"/>
        <v>0</v>
      </c>
      <c r="OZ9" s="135">
        <f t="shared" si="43"/>
        <v>0</v>
      </c>
      <c r="PA9" s="135">
        <f t="shared" si="43"/>
        <v>0</v>
      </c>
      <c r="PB9" s="135">
        <f t="shared" si="43"/>
        <v>0</v>
      </c>
      <c r="PC9" s="135">
        <f t="shared" si="43"/>
        <v>0</v>
      </c>
      <c r="PD9" s="135">
        <f t="shared" si="43"/>
        <v>0</v>
      </c>
      <c r="PE9" s="135">
        <f t="shared" si="43"/>
        <v>0</v>
      </c>
      <c r="PF9" s="135">
        <f t="shared" si="43"/>
        <v>0</v>
      </c>
      <c r="PG9" s="135">
        <f t="shared" si="43"/>
        <v>0</v>
      </c>
      <c r="PH9" s="135">
        <f t="shared" si="43"/>
        <v>0</v>
      </c>
      <c r="PI9" s="135">
        <f t="shared" si="43"/>
        <v>0</v>
      </c>
      <c r="PJ9" s="135">
        <f t="shared" si="43"/>
        <v>0</v>
      </c>
      <c r="PK9" s="135">
        <f t="shared" si="43"/>
        <v>0</v>
      </c>
      <c r="PL9" s="135">
        <f t="shared" si="43"/>
        <v>0</v>
      </c>
      <c r="PM9" s="135">
        <f t="shared" si="43"/>
        <v>0</v>
      </c>
      <c r="PN9" s="135">
        <f t="shared" si="43"/>
        <v>0</v>
      </c>
      <c r="PO9" s="135">
        <f t="shared" si="43"/>
        <v>0</v>
      </c>
      <c r="PP9" s="135">
        <f t="shared" si="43"/>
        <v>0</v>
      </c>
      <c r="PQ9" s="135">
        <f t="shared" si="43"/>
        <v>0</v>
      </c>
      <c r="PR9" s="135">
        <f t="shared" si="43"/>
        <v>0</v>
      </c>
      <c r="PS9" s="135">
        <f t="shared" si="43"/>
        <v>0</v>
      </c>
      <c r="PT9" s="135">
        <f t="shared" si="43"/>
        <v>0</v>
      </c>
      <c r="PU9" s="135">
        <f t="shared" si="43"/>
        <v>0</v>
      </c>
      <c r="PV9" s="135">
        <f t="shared" si="43"/>
        <v>0</v>
      </c>
      <c r="PW9" s="135">
        <f t="shared" si="43"/>
        <v>0</v>
      </c>
      <c r="PX9" s="135">
        <f t="shared" si="43"/>
        <v>0</v>
      </c>
      <c r="PY9" s="135">
        <f t="shared" si="43"/>
        <v>0</v>
      </c>
      <c r="PZ9" s="135">
        <f t="shared" si="43"/>
        <v>0</v>
      </c>
      <c r="QA9" s="135">
        <f t="shared" si="43"/>
        <v>0</v>
      </c>
      <c r="QB9" s="135">
        <f t="shared" si="43"/>
        <v>0</v>
      </c>
      <c r="QC9" s="135">
        <f t="shared" si="43"/>
        <v>0</v>
      </c>
      <c r="QD9" s="135">
        <f t="shared" si="43"/>
        <v>0</v>
      </c>
      <c r="QE9" s="135">
        <f t="shared" si="43"/>
        <v>0</v>
      </c>
      <c r="QF9" s="135">
        <f t="shared" si="43"/>
        <v>0</v>
      </c>
      <c r="QG9" s="135">
        <f t="shared" si="43"/>
        <v>0</v>
      </c>
      <c r="QH9" s="135">
        <f t="shared" si="43"/>
        <v>0</v>
      </c>
      <c r="QI9" s="135">
        <f t="shared" si="43"/>
        <v>0</v>
      </c>
      <c r="QJ9" s="135">
        <f t="shared" si="43"/>
        <v>0</v>
      </c>
      <c r="QK9" s="135">
        <f t="shared" si="43"/>
        <v>0</v>
      </c>
      <c r="QL9" s="135">
        <f t="shared" si="43"/>
        <v>0</v>
      </c>
      <c r="QM9" s="135">
        <f t="shared" si="43"/>
        <v>0</v>
      </c>
      <c r="QN9" s="135">
        <f t="shared" si="43"/>
        <v>0</v>
      </c>
      <c r="QO9" s="135">
        <f t="shared" si="43"/>
        <v>0</v>
      </c>
      <c r="QP9" s="135">
        <f t="shared" si="43"/>
        <v>0</v>
      </c>
      <c r="QQ9" s="135">
        <f t="shared" si="43"/>
        <v>0</v>
      </c>
      <c r="QR9" s="135">
        <f t="shared" si="43"/>
        <v>0</v>
      </c>
      <c r="QS9" s="135">
        <f t="shared" si="35"/>
        <v>0</v>
      </c>
      <c r="QT9" s="135">
        <f t="shared" si="35"/>
        <v>0</v>
      </c>
      <c r="QU9" s="135">
        <f t="shared" si="35"/>
        <v>0</v>
      </c>
      <c r="QV9" s="135">
        <f t="shared" si="35"/>
        <v>0</v>
      </c>
      <c r="QW9" s="135">
        <f t="shared" si="35"/>
        <v>0</v>
      </c>
      <c r="QX9" s="135">
        <f t="shared" si="35"/>
        <v>0</v>
      </c>
      <c r="QY9" s="135">
        <f t="shared" si="35"/>
        <v>0</v>
      </c>
      <c r="QZ9" s="135">
        <f t="shared" si="35"/>
        <v>0</v>
      </c>
      <c r="RA9" s="135">
        <f t="shared" si="35"/>
        <v>0</v>
      </c>
      <c r="RB9" s="135">
        <f t="shared" si="35"/>
        <v>0</v>
      </c>
      <c r="RC9" s="135">
        <f t="shared" si="35"/>
        <v>0</v>
      </c>
      <c r="RD9" s="135">
        <f t="shared" si="35"/>
        <v>0</v>
      </c>
      <c r="RE9" s="135">
        <f t="shared" si="35"/>
        <v>0</v>
      </c>
      <c r="RF9" s="135">
        <f t="shared" si="35"/>
        <v>0</v>
      </c>
      <c r="RG9" s="135">
        <f t="shared" si="35"/>
        <v>0</v>
      </c>
      <c r="RH9" s="135">
        <f t="shared" si="35"/>
        <v>0</v>
      </c>
      <c r="RI9" s="135">
        <f t="shared" si="35"/>
        <v>0</v>
      </c>
      <c r="RJ9" s="135">
        <f t="shared" si="35"/>
        <v>0</v>
      </c>
      <c r="RK9" s="135">
        <f t="shared" si="35"/>
        <v>0</v>
      </c>
      <c r="RL9" s="135">
        <f t="shared" si="35"/>
        <v>0</v>
      </c>
      <c r="RM9" s="135">
        <f t="shared" si="35"/>
        <v>0</v>
      </c>
      <c r="RN9" s="135">
        <f t="shared" si="35"/>
        <v>0</v>
      </c>
      <c r="RO9" s="135">
        <f t="shared" si="35"/>
        <v>0</v>
      </c>
      <c r="RP9" s="135">
        <f t="shared" si="35"/>
        <v>0</v>
      </c>
      <c r="RQ9" s="135">
        <f t="shared" si="35"/>
        <v>0</v>
      </c>
      <c r="RR9" s="135">
        <f t="shared" si="35"/>
        <v>0</v>
      </c>
      <c r="RS9" s="135">
        <f t="shared" si="35"/>
        <v>0</v>
      </c>
      <c r="RT9" s="135">
        <f t="shared" si="35"/>
        <v>0</v>
      </c>
      <c r="RU9" s="135">
        <f t="shared" si="35"/>
        <v>0</v>
      </c>
      <c r="RV9" s="135">
        <f t="shared" si="35"/>
        <v>0</v>
      </c>
      <c r="RW9" s="135">
        <f t="shared" si="35"/>
        <v>0</v>
      </c>
      <c r="RX9" s="135">
        <f t="shared" si="35"/>
        <v>0</v>
      </c>
      <c r="RY9" s="135">
        <f t="shared" si="35"/>
        <v>0</v>
      </c>
      <c r="RZ9" s="135">
        <f t="shared" si="35"/>
        <v>0</v>
      </c>
      <c r="SA9" s="135">
        <f t="shared" si="35"/>
        <v>0</v>
      </c>
      <c r="SB9" s="135">
        <f t="shared" si="35"/>
        <v>0</v>
      </c>
      <c r="SC9" s="135">
        <f t="shared" si="35"/>
        <v>0</v>
      </c>
      <c r="SD9" s="135">
        <f t="shared" si="35"/>
        <v>0</v>
      </c>
      <c r="SE9" s="135">
        <f t="shared" si="35"/>
        <v>0</v>
      </c>
      <c r="SF9" s="135">
        <f t="shared" si="35"/>
        <v>0</v>
      </c>
      <c r="SG9" s="135">
        <f t="shared" si="35"/>
        <v>0</v>
      </c>
      <c r="SH9" s="135">
        <f t="shared" si="35"/>
        <v>0</v>
      </c>
      <c r="SI9" s="135">
        <f t="shared" si="35"/>
        <v>0</v>
      </c>
      <c r="SJ9" s="135">
        <f t="shared" si="35"/>
        <v>0</v>
      </c>
      <c r="SK9" s="135">
        <f t="shared" si="35"/>
        <v>0</v>
      </c>
      <c r="SL9" s="135">
        <f t="shared" si="35"/>
        <v>0</v>
      </c>
      <c r="SM9" s="135">
        <f t="shared" si="35"/>
        <v>0</v>
      </c>
      <c r="SN9" s="135">
        <f t="shared" si="35"/>
        <v>0</v>
      </c>
      <c r="SO9" s="135">
        <f t="shared" si="35"/>
        <v>0</v>
      </c>
      <c r="SP9" s="135">
        <f t="shared" si="35"/>
        <v>0</v>
      </c>
      <c r="SQ9" s="135">
        <f t="shared" si="35"/>
        <v>0</v>
      </c>
      <c r="SR9" s="135">
        <f t="shared" si="35"/>
        <v>0</v>
      </c>
      <c r="SS9" s="135">
        <f t="shared" si="35"/>
        <v>0</v>
      </c>
      <c r="ST9" s="135">
        <f t="shared" si="35"/>
        <v>0</v>
      </c>
      <c r="SU9" s="135">
        <f t="shared" si="35"/>
        <v>0</v>
      </c>
      <c r="SV9" s="135">
        <f t="shared" si="35"/>
        <v>0</v>
      </c>
      <c r="SW9" s="135">
        <f t="shared" si="35"/>
        <v>0</v>
      </c>
      <c r="SX9" s="135">
        <f t="shared" si="35"/>
        <v>0</v>
      </c>
      <c r="SY9" s="135">
        <f t="shared" si="35"/>
        <v>0</v>
      </c>
      <c r="SZ9" s="135">
        <f t="shared" si="35"/>
        <v>0</v>
      </c>
      <c r="TA9" s="135">
        <f t="shared" si="35"/>
        <v>0</v>
      </c>
      <c r="TB9" s="135">
        <f t="shared" si="35"/>
        <v>0</v>
      </c>
      <c r="TC9" s="135">
        <f t="shared" si="30"/>
        <v>0</v>
      </c>
      <c r="TD9" s="135">
        <f t="shared" si="30"/>
        <v>0</v>
      </c>
      <c r="TE9" s="135">
        <f t="shared" si="30"/>
        <v>0</v>
      </c>
      <c r="TF9" s="135">
        <f t="shared" si="30"/>
        <v>0</v>
      </c>
      <c r="TG9" s="135">
        <f t="shared" si="30"/>
        <v>0</v>
      </c>
      <c r="TH9" s="135">
        <f t="shared" si="30"/>
        <v>0</v>
      </c>
      <c r="TI9" s="135">
        <f t="shared" si="30"/>
        <v>0</v>
      </c>
      <c r="TJ9" s="135">
        <f t="shared" si="30"/>
        <v>0</v>
      </c>
      <c r="TK9" s="135">
        <f t="shared" si="30"/>
        <v>0</v>
      </c>
      <c r="TL9" s="135">
        <f t="shared" si="30"/>
        <v>0</v>
      </c>
      <c r="TM9" s="135">
        <f t="shared" si="30"/>
        <v>0</v>
      </c>
      <c r="TN9" s="135">
        <f t="shared" si="30"/>
        <v>0</v>
      </c>
      <c r="TO9" s="135">
        <f t="shared" si="30"/>
        <v>0</v>
      </c>
      <c r="TP9" s="135">
        <f t="shared" si="30"/>
        <v>0</v>
      </c>
      <c r="TQ9" s="135">
        <f t="shared" si="30"/>
        <v>0</v>
      </c>
      <c r="TR9" s="135">
        <f t="shared" si="30"/>
        <v>0</v>
      </c>
      <c r="TS9" s="135">
        <f t="shared" si="30"/>
        <v>0</v>
      </c>
      <c r="TT9" s="135">
        <f t="shared" si="30"/>
        <v>0</v>
      </c>
      <c r="TU9" s="135">
        <f t="shared" si="30"/>
        <v>0</v>
      </c>
      <c r="TV9" s="135">
        <f t="shared" si="30"/>
        <v>0</v>
      </c>
      <c r="TW9" s="135">
        <f t="shared" si="30"/>
        <v>0</v>
      </c>
      <c r="TX9" s="135">
        <f t="shared" si="30"/>
        <v>0</v>
      </c>
      <c r="TY9" s="135">
        <f t="shared" si="30"/>
        <v>0</v>
      </c>
      <c r="TZ9" s="135">
        <f t="shared" si="30"/>
        <v>0</v>
      </c>
      <c r="UA9" s="135">
        <f t="shared" si="30"/>
        <v>0</v>
      </c>
      <c r="UB9" s="135">
        <f t="shared" si="30"/>
        <v>0</v>
      </c>
      <c r="UC9" s="135">
        <f t="shared" si="30"/>
        <v>0</v>
      </c>
      <c r="UD9" s="135">
        <f t="shared" si="30"/>
        <v>0</v>
      </c>
      <c r="UE9" s="135">
        <f t="shared" si="30"/>
        <v>0</v>
      </c>
      <c r="UF9" s="135">
        <f t="shared" si="30"/>
        <v>0</v>
      </c>
      <c r="UG9" s="135">
        <f t="shared" si="30"/>
        <v>0</v>
      </c>
      <c r="UH9" s="135">
        <f t="shared" si="30"/>
        <v>0</v>
      </c>
      <c r="UI9" s="135">
        <f t="shared" si="30"/>
        <v>0</v>
      </c>
      <c r="UJ9" s="135">
        <f t="shared" si="30"/>
        <v>0</v>
      </c>
      <c r="UK9" s="135">
        <f t="shared" si="30"/>
        <v>0</v>
      </c>
    </row>
    <row r="10" spans="2:557">
      <c r="B10" t="str">
        <f>IF(Samenvatting!$F111&lt;&gt;0,Samenvatting!C111,"")</f>
        <v/>
      </c>
      <c r="C10" t="str">
        <f>IF(Samenvatting!$F111&lt;&gt;0,Samenvatting!D111,"")</f>
        <v/>
      </c>
      <c r="D10" t="str">
        <f>IF(Samenvatting!$F111&lt;&gt;0,Samenvatting!E111,"")</f>
        <v/>
      </c>
      <c r="E10" t="str">
        <f>IF(Samenvatting!$F111&lt;&gt;0,Samenvatting!F111,"")</f>
        <v/>
      </c>
      <c r="F10" t="str">
        <f>IF(Samenvatting!$F111&lt;&gt;0,Samenvatting!H111,"")</f>
        <v/>
      </c>
      <c r="G10" s="134" t="str">
        <f>IF(Samenvatting!$F111&lt;&gt;0,Samenvatting!I111,"")</f>
        <v/>
      </c>
      <c r="H10" t="str">
        <f>IF(Samenvatting!$F111&lt;&gt;0,Samenvatting!J111,"")</f>
        <v/>
      </c>
      <c r="I10" s="134" t="str">
        <f>IF(Samenvatting!$F111&lt;&gt;0,Samenvatting!K111,"")</f>
        <v/>
      </c>
      <c r="J10" s="135">
        <f t="shared" si="0"/>
        <v>0</v>
      </c>
      <c r="K10" s="135">
        <f t="shared" si="38"/>
        <v>0</v>
      </c>
      <c r="L10" s="135">
        <f t="shared" si="38"/>
        <v>0</v>
      </c>
      <c r="M10" s="135">
        <f t="shared" si="38"/>
        <v>0</v>
      </c>
      <c r="N10" s="135">
        <f t="shared" si="38"/>
        <v>0</v>
      </c>
      <c r="O10" s="135">
        <f t="shared" si="38"/>
        <v>0</v>
      </c>
      <c r="P10" s="135">
        <f t="shared" si="38"/>
        <v>0</v>
      </c>
      <c r="Q10" s="135">
        <f t="shared" si="38"/>
        <v>0</v>
      </c>
      <c r="R10" s="135">
        <f t="shared" si="38"/>
        <v>0</v>
      </c>
      <c r="S10" s="135">
        <f t="shared" si="38"/>
        <v>0</v>
      </c>
      <c r="T10" s="135">
        <f t="shared" si="38"/>
        <v>0</v>
      </c>
      <c r="U10" s="135">
        <f t="shared" si="38"/>
        <v>0</v>
      </c>
      <c r="V10" s="135">
        <f t="shared" si="38"/>
        <v>0</v>
      </c>
      <c r="W10" s="135">
        <f t="shared" si="38"/>
        <v>0</v>
      </c>
      <c r="X10" s="135">
        <f t="shared" si="38"/>
        <v>0</v>
      </c>
      <c r="Y10" s="135">
        <f t="shared" si="38"/>
        <v>0</v>
      </c>
      <c r="Z10" s="135">
        <f t="shared" si="38"/>
        <v>0</v>
      </c>
      <c r="AA10" s="135">
        <f t="shared" si="38"/>
        <v>0</v>
      </c>
      <c r="AB10" s="135">
        <f t="shared" si="38"/>
        <v>0</v>
      </c>
      <c r="AC10" s="135">
        <f t="shared" si="38"/>
        <v>0</v>
      </c>
      <c r="AD10" s="135">
        <f t="shared" si="38"/>
        <v>0</v>
      </c>
      <c r="AE10" s="135">
        <f t="shared" si="38"/>
        <v>0</v>
      </c>
      <c r="AF10" s="135">
        <f t="shared" si="38"/>
        <v>0</v>
      </c>
      <c r="AG10" s="135">
        <f t="shared" si="38"/>
        <v>0</v>
      </c>
      <c r="AH10" s="135">
        <f t="shared" si="38"/>
        <v>0</v>
      </c>
      <c r="AI10" s="135">
        <f t="shared" si="38"/>
        <v>0</v>
      </c>
      <c r="AJ10" s="135">
        <f t="shared" si="38"/>
        <v>0</v>
      </c>
      <c r="AK10" s="135">
        <f t="shared" si="38"/>
        <v>0</v>
      </c>
      <c r="AL10" s="135">
        <f t="shared" si="38"/>
        <v>0</v>
      </c>
      <c r="AM10" s="135">
        <f t="shared" si="38"/>
        <v>0</v>
      </c>
      <c r="AN10" s="135">
        <f t="shared" si="38"/>
        <v>0</v>
      </c>
      <c r="AO10" s="135">
        <f t="shared" si="38"/>
        <v>0</v>
      </c>
      <c r="AP10" s="135">
        <f t="shared" si="38"/>
        <v>0</v>
      </c>
      <c r="AQ10" s="135">
        <f t="shared" si="38"/>
        <v>0</v>
      </c>
      <c r="AR10" s="135">
        <f t="shared" si="38"/>
        <v>0</v>
      </c>
      <c r="AS10" s="135">
        <f t="shared" si="38"/>
        <v>0</v>
      </c>
      <c r="AT10" s="135">
        <f t="shared" si="38"/>
        <v>0</v>
      </c>
      <c r="AU10" s="135">
        <f t="shared" si="38"/>
        <v>0</v>
      </c>
      <c r="AV10" s="135">
        <f t="shared" si="38"/>
        <v>0</v>
      </c>
      <c r="AW10" s="135">
        <f t="shared" si="38"/>
        <v>0</v>
      </c>
      <c r="AX10" s="135">
        <f t="shared" si="38"/>
        <v>0</v>
      </c>
      <c r="AY10" s="135">
        <f t="shared" si="38"/>
        <v>0</v>
      </c>
      <c r="AZ10" s="135">
        <f t="shared" si="38"/>
        <v>0</v>
      </c>
      <c r="BA10" s="135">
        <f t="shared" si="38"/>
        <v>0</v>
      </c>
      <c r="BB10" s="135">
        <f t="shared" si="38"/>
        <v>0</v>
      </c>
      <c r="BC10" s="135">
        <f t="shared" si="38"/>
        <v>0</v>
      </c>
      <c r="BD10" s="135">
        <f t="shared" si="38"/>
        <v>0</v>
      </c>
      <c r="BE10" s="135">
        <f t="shared" si="38"/>
        <v>0</v>
      </c>
      <c r="BF10" s="135">
        <f t="shared" si="38"/>
        <v>0</v>
      </c>
      <c r="BG10" s="135">
        <f t="shared" si="38"/>
        <v>0</v>
      </c>
      <c r="BH10" s="135">
        <f t="shared" si="38"/>
        <v>0</v>
      </c>
      <c r="BI10" s="135">
        <f t="shared" si="38"/>
        <v>0</v>
      </c>
      <c r="BJ10" s="135">
        <f t="shared" si="38"/>
        <v>0</v>
      </c>
      <c r="BK10" s="135">
        <f t="shared" si="38"/>
        <v>0</v>
      </c>
      <c r="BL10" s="135">
        <f t="shared" si="38"/>
        <v>0</v>
      </c>
      <c r="BM10" s="135">
        <f t="shared" si="38"/>
        <v>0</v>
      </c>
      <c r="BN10" s="135">
        <f t="shared" si="38"/>
        <v>0</v>
      </c>
      <c r="BO10" s="135">
        <f t="shared" si="38"/>
        <v>0</v>
      </c>
      <c r="BP10" s="135">
        <f t="shared" si="38"/>
        <v>0</v>
      </c>
      <c r="BQ10" s="135">
        <f t="shared" si="38"/>
        <v>0</v>
      </c>
      <c r="BR10" s="135">
        <f t="shared" si="38"/>
        <v>0</v>
      </c>
      <c r="BS10" s="135">
        <f t="shared" si="38"/>
        <v>0</v>
      </c>
      <c r="BT10" s="135">
        <f t="shared" si="38"/>
        <v>0</v>
      </c>
      <c r="BU10" s="135">
        <f t="shared" si="38"/>
        <v>0</v>
      </c>
      <c r="BV10" s="135">
        <f t="shared" si="38"/>
        <v>0</v>
      </c>
      <c r="BW10" s="135">
        <f t="shared" si="36"/>
        <v>0</v>
      </c>
      <c r="BX10" s="135">
        <f t="shared" si="36"/>
        <v>0</v>
      </c>
      <c r="BY10" s="135">
        <f t="shared" si="36"/>
        <v>0</v>
      </c>
      <c r="BZ10" s="135">
        <f t="shared" si="36"/>
        <v>0</v>
      </c>
      <c r="CA10" s="135">
        <f t="shared" si="36"/>
        <v>0</v>
      </c>
      <c r="CB10" s="135">
        <f t="shared" si="36"/>
        <v>0</v>
      </c>
      <c r="CC10" s="135">
        <f t="shared" si="36"/>
        <v>0</v>
      </c>
      <c r="CD10" s="135">
        <f t="shared" si="36"/>
        <v>0</v>
      </c>
      <c r="CE10" s="135">
        <f t="shared" si="36"/>
        <v>0</v>
      </c>
      <c r="CF10" s="135">
        <f t="shared" si="36"/>
        <v>0</v>
      </c>
      <c r="CG10" s="135">
        <f t="shared" si="36"/>
        <v>0</v>
      </c>
      <c r="CH10" s="135">
        <f t="shared" si="36"/>
        <v>0</v>
      </c>
      <c r="CI10" s="135">
        <f t="shared" si="36"/>
        <v>0</v>
      </c>
      <c r="CJ10" s="135">
        <f t="shared" si="36"/>
        <v>0</v>
      </c>
      <c r="CK10" s="135">
        <f t="shared" si="36"/>
        <v>0</v>
      </c>
      <c r="CL10" s="135">
        <f t="shared" si="36"/>
        <v>0</v>
      </c>
      <c r="CM10" s="135">
        <f t="shared" si="36"/>
        <v>0</v>
      </c>
      <c r="CN10" s="135">
        <f t="shared" si="36"/>
        <v>0</v>
      </c>
      <c r="CO10" s="135">
        <f t="shared" si="36"/>
        <v>0</v>
      </c>
      <c r="CP10" s="135">
        <f t="shared" si="36"/>
        <v>0</v>
      </c>
      <c r="CQ10" s="135">
        <f t="shared" si="36"/>
        <v>0</v>
      </c>
      <c r="CR10" s="135">
        <f t="shared" si="36"/>
        <v>0</v>
      </c>
      <c r="CS10" s="135">
        <f t="shared" si="36"/>
        <v>0</v>
      </c>
      <c r="CT10" s="135">
        <f t="shared" si="36"/>
        <v>0</v>
      </c>
      <c r="CU10" s="135">
        <f t="shared" si="36"/>
        <v>0</v>
      </c>
      <c r="CV10" s="135">
        <f t="shared" si="36"/>
        <v>0</v>
      </c>
      <c r="CW10" s="135">
        <f t="shared" si="36"/>
        <v>0</v>
      </c>
      <c r="CX10" s="135">
        <f t="shared" si="36"/>
        <v>0</v>
      </c>
      <c r="CY10" s="135">
        <f t="shared" si="36"/>
        <v>0</v>
      </c>
      <c r="CZ10" s="135">
        <f t="shared" si="36"/>
        <v>0</v>
      </c>
      <c r="DA10" s="135">
        <f t="shared" si="36"/>
        <v>0</v>
      </c>
      <c r="DB10" s="135">
        <f t="shared" si="36"/>
        <v>0</v>
      </c>
      <c r="DC10" s="135">
        <f t="shared" si="36"/>
        <v>0</v>
      </c>
      <c r="DD10" s="135">
        <f t="shared" si="36"/>
        <v>0</v>
      </c>
      <c r="DE10" s="135">
        <f t="shared" si="36"/>
        <v>0</v>
      </c>
      <c r="DF10" s="135">
        <f t="shared" si="36"/>
        <v>0</v>
      </c>
      <c r="DG10" s="135">
        <f t="shared" si="36"/>
        <v>0</v>
      </c>
      <c r="DH10" s="135">
        <f t="shared" si="36"/>
        <v>0</v>
      </c>
      <c r="DI10" s="135">
        <f t="shared" si="36"/>
        <v>0</v>
      </c>
      <c r="DJ10" s="135">
        <f t="shared" si="36"/>
        <v>0</v>
      </c>
      <c r="DK10" s="135">
        <f t="shared" si="36"/>
        <v>0</v>
      </c>
      <c r="DL10" s="135">
        <f t="shared" si="36"/>
        <v>0</v>
      </c>
      <c r="DM10" s="135">
        <f t="shared" si="36"/>
        <v>0</v>
      </c>
      <c r="DN10" s="135">
        <f t="shared" si="36"/>
        <v>0</v>
      </c>
      <c r="DO10" s="135">
        <f t="shared" si="36"/>
        <v>0</v>
      </c>
      <c r="DP10" s="135">
        <f t="shared" si="36"/>
        <v>0</v>
      </c>
      <c r="DQ10" s="135">
        <f t="shared" si="36"/>
        <v>0</v>
      </c>
      <c r="DR10" s="135">
        <f t="shared" si="36"/>
        <v>0</v>
      </c>
      <c r="DS10" s="135">
        <f t="shared" si="36"/>
        <v>0</v>
      </c>
      <c r="DT10" s="135">
        <f t="shared" si="36"/>
        <v>0</v>
      </c>
      <c r="DU10" s="135">
        <f t="shared" si="36"/>
        <v>0</v>
      </c>
      <c r="DV10" s="135">
        <f t="shared" si="36"/>
        <v>0</v>
      </c>
      <c r="DW10" s="135">
        <f t="shared" si="36"/>
        <v>0</v>
      </c>
      <c r="DX10" s="135">
        <f t="shared" si="36"/>
        <v>0</v>
      </c>
      <c r="DY10" s="135">
        <f t="shared" si="36"/>
        <v>0</v>
      </c>
      <c r="DZ10" s="135">
        <f t="shared" si="36"/>
        <v>0</v>
      </c>
      <c r="EA10" s="135">
        <f t="shared" si="36"/>
        <v>0</v>
      </c>
      <c r="EB10" s="135">
        <f t="shared" si="36"/>
        <v>0</v>
      </c>
      <c r="EC10" s="135">
        <f t="shared" si="36"/>
        <v>0</v>
      </c>
      <c r="ED10" s="135">
        <f t="shared" si="36"/>
        <v>0</v>
      </c>
      <c r="EE10" s="135">
        <f t="shared" si="36"/>
        <v>0</v>
      </c>
      <c r="EF10" s="135">
        <f t="shared" si="36"/>
        <v>0</v>
      </c>
      <c r="EG10" s="135">
        <f t="shared" si="36"/>
        <v>0</v>
      </c>
      <c r="EH10" s="135">
        <f t="shared" si="37"/>
        <v>0</v>
      </c>
      <c r="EI10" s="135">
        <f t="shared" ref="EI10:GT13" si="44">IFERROR(IF(EI$1=EOMONTH($G10,0),(-$E10+($E10*(DAY($G10)/DAY(EOMONTH(EI$1,0)))*$F10/12*(1-0.269))),IF(EI$1=$G10,($E10+($E10*(DAY($I10)/DAY(EOMONTH(EI$1,0)))*$F10/12*(1-0.269))),IFERROR(IF($I10&lt;EI$1,0,IF(EI$1&gt;$I10,(($F10/12)*$E10)*(DAY($I10)/DAY(EOMONTH(EI$1,0)))*(1-26.9/100)+$E10,IF(AND(EI$1&gt;=$G10,EI$1&lt;$I10),(($F10/12)*$E10)*(1-26.9/100),""))-IF(EI$1=EOMONTH($G10,0),$E10,"0")),0)+IF(EI$1=EOMONTH($I10,0),($E10+($E10*(DAY($I10)/DAY(EOMONTH(EI$1,0)))*$F10/12*(1-0.269))),"0"))),0)</f>
        <v>0</v>
      </c>
      <c r="EJ10" s="135">
        <f t="shared" si="44"/>
        <v>0</v>
      </c>
      <c r="EK10" s="135">
        <f t="shared" si="44"/>
        <v>0</v>
      </c>
      <c r="EL10" s="135">
        <f t="shared" si="44"/>
        <v>0</v>
      </c>
      <c r="EM10" s="135">
        <f t="shared" si="44"/>
        <v>0</v>
      </c>
      <c r="EN10" s="135">
        <f t="shared" si="44"/>
        <v>0</v>
      </c>
      <c r="EO10" s="135">
        <f t="shared" si="44"/>
        <v>0</v>
      </c>
      <c r="EP10" s="135">
        <f t="shared" si="44"/>
        <v>0</v>
      </c>
      <c r="EQ10" s="135">
        <f t="shared" si="44"/>
        <v>0</v>
      </c>
      <c r="ER10" s="135">
        <f t="shared" si="44"/>
        <v>0</v>
      </c>
      <c r="ES10" s="135">
        <f t="shared" si="44"/>
        <v>0</v>
      </c>
      <c r="ET10" s="135">
        <f t="shared" si="44"/>
        <v>0</v>
      </c>
      <c r="EU10" s="135">
        <f t="shared" si="44"/>
        <v>0</v>
      </c>
      <c r="EV10" s="135">
        <f t="shared" si="44"/>
        <v>0</v>
      </c>
      <c r="EW10" s="135">
        <f t="shared" si="44"/>
        <v>0</v>
      </c>
      <c r="EX10" s="135">
        <f t="shared" si="44"/>
        <v>0</v>
      </c>
      <c r="EY10" s="135">
        <f t="shared" si="44"/>
        <v>0</v>
      </c>
      <c r="EZ10" s="135">
        <f t="shared" si="44"/>
        <v>0</v>
      </c>
      <c r="FA10" s="135">
        <f t="shared" si="44"/>
        <v>0</v>
      </c>
      <c r="FB10" s="135">
        <f t="shared" si="44"/>
        <v>0</v>
      </c>
      <c r="FC10" s="135">
        <f t="shared" si="44"/>
        <v>0</v>
      </c>
      <c r="FD10" s="135">
        <f t="shared" si="44"/>
        <v>0</v>
      </c>
      <c r="FE10" s="135">
        <f t="shared" si="44"/>
        <v>0</v>
      </c>
      <c r="FF10" s="135">
        <f t="shared" si="44"/>
        <v>0</v>
      </c>
      <c r="FG10" s="135">
        <f t="shared" si="44"/>
        <v>0</v>
      </c>
      <c r="FH10" s="135">
        <f t="shared" si="44"/>
        <v>0</v>
      </c>
      <c r="FI10" s="135">
        <f t="shared" si="44"/>
        <v>0</v>
      </c>
      <c r="FJ10" s="135">
        <f t="shared" si="44"/>
        <v>0</v>
      </c>
      <c r="FK10" s="135">
        <f t="shared" si="44"/>
        <v>0</v>
      </c>
      <c r="FL10" s="135">
        <f t="shared" si="44"/>
        <v>0</v>
      </c>
      <c r="FM10" s="135">
        <f t="shared" si="44"/>
        <v>0</v>
      </c>
      <c r="FN10" s="135">
        <f t="shared" si="44"/>
        <v>0</v>
      </c>
      <c r="FO10" s="135">
        <f t="shared" si="44"/>
        <v>0</v>
      </c>
      <c r="FP10" s="135">
        <f t="shared" si="44"/>
        <v>0</v>
      </c>
      <c r="FQ10" s="135">
        <f t="shared" si="44"/>
        <v>0</v>
      </c>
      <c r="FR10" s="135">
        <f t="shared" si="44"/>
        <v>0</v>
      </c>
      <c r="FS10" s="135">
        <f t="shared" si="44"/>
        <v>0</v>
      </c>
      <c r="FT10" s="135">
        <f t="shared" si="44"/>
        <v>0</v>
      </c>
      <c r="FU10" s="135">
        <f t="shared" si="44"/>
        <v>0</v>
      </c>
      <c r="FV10" s="135">
        <f t="shared" si="44"/>
        <v>0</v>
      </c>
      <c r="FW10" s="135">
        <f t="shared" si="44"/>
        <v>0</v>
      </c>
      <c r="FX10" s="135">
        <f t="shared" si="44"/>
        <v>0</v>
      </c>
      <c r="FY10" s="135">
        <f t="shared" si="44"/>
        <v>0</v>
      </c>
      <c r="FZ10" s="135">
        <f t="shared" si="44"/>
        <v>0</v>
      </c>
      <c r="GA10" s="135">
        <f t="shared" si="44"/>
        <v>0</v>
      </c>
      <c r="GB10" s="135">
        <f t="shared" si="44"/>
        <v>0</v>
      </c>
      <c r="GC10" s="135">
        <f t="shared" si="44"/>
        <v>0</v>
      </c>
      <c r="GD10" s="135">
        <f t="shared" si="44"/>
        <v>0</v>
      </c>
      <c r="GE10" s="135">
        <f t="shared" si="44"/>
        <v>0</v>
      </c>
      <c r="GF10" s="135">
        <f t="shared" si="44"/>
        <v>0</v>
      </c>
      <c r="GG10" s="135">
        <f t="shared" si="44"/>
        <v>0</v>
      </c>
      <c r="GH10" s="135">
        <f t="shared" si="44"/>
        <v>0</v>
      </c>
      <c r="GI10" s="135">
        <f t="shared" si="44"/>
        <v>0</v>
      </c>
      <c r="GJ10" s="135">
        <f t="shared" si="44"/>
        <v>0</v>
      </c>
      <c r="GK10" s="135">
        <f t="shared" si="44"/>
        <v>0</v>
      </c>
      <c r="GL10" s="135">
        <f t="shared" si="44"/>
        <v>0</v>
      </c>
      <c r="GM10" s="135">
        <f t="shared" si="44"/>
        <v>0</v>
      </c>
      <c r="GN10" s="135">
        <f t="shared" si="44"/>
        <v>0</v>
      </c>
      <c r="GO10" s="135">
        <f t="shared" si="44"/>
        <v>0</v>
      </c>
      <c r="GP10" s="135">
        <f t="shared" si="44"/>
        <v>0</v>
      </c>
      <c r="GQ10" s="135">
        <f t="shared" si="44"/>
        <v>0</v>
      </c>
      <c r="GR10" s="135">
        <f t="shared" si="44"/>
        <v>0</v>
      </c>
      <c r="GS10" s="135">
        <f t="shared" si="44"/>
        <v>0</v>
      </c>
      <c r="GT10" s="135">
        <f t="shared" si="44"/>
        <v>0</v>
      </c>
      <c r="GU10" s="135">
        <f t="shared" si="41"/>
        <v>0</v>
      </c>
      <c r="GV10" s="135">
        <f t="shared" si="41"/>
        <v>0</v>
      </c>
      <c r="GW10" s="135">
        <f t="shared" si="33"/>
        <v>0</v>
      </c>
      <c r="GX10" s="135">
        <f t="shared" ref="GX10:HG12" si="45">IFERROR(IF(GX$1=EOMONTH($G10,0),(-$E10+($E10*(DAY($G10)/DAY(EOMONTH(GX$1,0)))*$F10/12*(1-0.269))),IF(GX$1=$G10,($E10+($E10*(DAY($I10)/DAY(EOMONTH(GX$1,0)))*$F10/12*(1-0.269))),IFERROR(IF($I10&lt;GX$1,0,IF(GX$1&gt;$I10,(($F10/12)*$E10)*(DAY($I10)/DAY(EOMONTH(GX$1,0)))*(1-26.9/100)+$E10,IF(AND(GX$1&gt;=$G10,GX$1&lt;$I10),(($F10/12)*$E10)*(1-26.9/100),""))-IF(GX$1=EOMONTH($G10,0),$E10,"0")),0)+IF(GX$1=EOMONTH($I10,0),($E10+($E10*(DAY($I10)/DAY(EOMONTH(GX$1,0)))*$F10/12*(1-0.269))),"0"))),0)</f>
        <v>0</v>
      </c>
      <c r="GY10" s="135">
        <f t="shared" si="45"/>
        <v>0</v>
      </c>
      <c r="GZ10" s="135">
        <f t="shared" si="45"/>
        <v>0</v>
      </c>
      <c r="HA10" s="135">
        <f t="shared" si="45"/>
        <v>0</v>
      </c>
      <c r="HB10" s="135">
        <f t="shared" si="45"/>
        <v>0</v>
      </c>
      <c r="HC10" s="135">
        <f t="shared" si="45"/>
        <v>0</v>
      </c>
      <c r="HD10" s="135">
        <f t="shared" si="45"/>
        <v>0</v>
      </c>
      <c r="HE10" s="135">
        <f t="shared" si="45"/>
        <v>0</v>
      </c>
      <c r="HF10" s="135">
        <f t="shared" si="45"/>
        <v>0</v>
      </c>
      <c r="HG10" s="135">
        <f t="shared" si="45"/>
        <v>0</v>
      </c>
      <c r="HH10" s="135">
        <f t="shared" ref="HH10:HQ12" si="46">IFERROR(IF(HH$1=EOMONTH($G10,0),(-$E10+($E10*(DAY($G10)/DAY(EOMONTH(HH$1,0)))*$F10/12*(1-0.269))),IF(HH$1=$G10,($E10+($E10*(DAY($I10)/DAY(EOMONTH(HH$1,0)))*$F10/12*(1-0.269))),IFERROR(IF($I10&lt;HH$1,0,IF(HH$1&gt;$I10,(($F10/12)*$E10)*(DAY($I10)/DAY(EOMONTH(HH$1,0)))*(1-26.9/100)+$E10,IF(AND(HH$1&gt;=$G10,HH$1&lt;$I10),(($F10/12)*$E10)*(1-26.9/100),""))-IF(HH$1=EOMONTH($G10,0),$E10,"0")),0)+IF(HH$1=EOMONTH($I10,0),($E10+($E10*(DAY($I10)/DAY(EOMONTH(HH$1,0)))*$F10/12*(1-0.269))),"0"))),0)</f>
        <v>0</v>
      </c>
      <c r="HI10" s="135">
        <f t="shared" si="46"/>
        <v>0</v>
      </c>
      <c r="HJ10" s="135">
        <f t="shared" si="46"/>
        <v>0</v>
      </c>
      <c r="HK10" s="135">
        <f t="shared" si="46"/>
        <v>0</v>
      </c>
      <c r="HL10" s="135">
        <f t="shared" si="46"/>
        <v>0</v>
      </c>
      <c r="HM10" s="135">
        <f t="shared" si="46"/>
        <v>0</v>
      </c>
      <c r="HN10" s="135">
        <f t="shared" si="46"/>
        <v>0</v>
      </c>
      <c r="HO10" s="135">
        <f t="shared" si="46"/>
        <v>0</v>
      </c>
      <c r="HP10" s="135">
        <f t="shared" si="46"/>
        <v>0</v>
      </c>
      <c r="HQ10" s="135">
        <f t="shared" si="46"/>
        <v>0</v>
      </c>
      <c r="HR10" s="135">
        <f t="shared" ref="HR10:IA12" si="47">IFERROR(IF(HR$1=EOMONTH($G10,0),(-$E10+($E10*(DAY($G10)/DAY(EOMONTH(HR$1,0)))*$F10/12*(1-0.269))),IF(HR$1=$G10,($E10+($E10*(DAY($I10)/DAY(EOMONTH(HR$1,0)))*$F10/12*(1-0.269))),IFERROR(IF($I10&lt;HR$1,0,IF(HR$1&gt;$I10,(($F10/12)*$E10)*(DAY($I10)/DAY(EOMONTH(HR$1,0)))*(1-26.9/100)+$E10,IF(AND(HR$1&gt;=$G10,HR$1&lt;$I10),(($F10/12)*$E10)*(1-26.9/100),""))-IF(HR$1=EOMONTH($G10,0),$E10,"0")),0)+IF(HR$1=EOMONTH($I10,0),($E10+($E10*(DAY($I10)/DAY(EOMONTH(HR$1,0)))*$F10/12*(1-0.269))),"0"))),0)</f>
        <v>0</v>
      </c>
      <c r="HS10" s="135">
        <f t="shared" si="47"/>
        <v>0</v>
      </c>
      <c r="HT10" s="135">
        <f t="shared" si="47"/>
        <v>0</v>
      </c>
      <c r="HU10" s="135">
        <f t="shared" si="47"/>
        <v>0</v>
      </c>
      <c r="HV10" s="135">
        <f t="shared" si="47"/>
        <v>0</v>
      </c>
      <c r="HW10" s="135">
        <f t="shared" si="47"/>
        <v>0</v>
      </c>
      <c r="HX10" s="135">
        <f t="shared" si="47"/>
        <v>0</v>
      </c>
      <c r="HY10" s="135">
        <f t="shared" si="47"/>
        <v>0</v>
      </c>
      <c r="HZ10" s="135">
        <f t="shared" si="47"/>
        <v>0</v>
      </c>
      <c r="IA10" s="135">
        <f t="shared" si="47"/>
        <v>0</v>
      </c>
      <c r="IB10" s="135">
        <f t="shared" ref="IB10:IK12" si="48">IFERROR(IF(IB$1=EOMONTH($G10,0),(-$E10+($E10*(DAY($G10)/DAY(EOMONTH(IB$1,0)))*$F10/12*(1-0.269))),IF(IB$1=$G10,($E10+($E10*(DAY($I10)/DAY(EOMONTH(IB$1,0)))*$F10/12*(1-0.269))),IFERROR(IF($I10&lt;IB$1,0,IF(IB$1&gt;$I10,(($F10/12)*$E10)*(DAY($I10)/DAY(EOMONTH(IB$1,0)))*(1-26.9/100)+$E10,IF(AND(IB$1&gt;=$G10,IB$1&lt;$I10),(($F10/12)*$E10)*(1-26.9/100),""))-IF(IB$1=EOMONTH($G10,0),$E10,"0")),0)+IF(IB$1=EOMONTH($I10,0),($E10+($E10*(DAY($I10)/DAY(EOMONTH(IB$1,0)))*$F10/12*(1-0.269))),"0"))),0)</f>
        <v>0</v>
      </c>
      <c r="IC10" s="135">
        <f t="shared" si="48"/>
        <v>0</v>
      </c>
      <c r="ID10" s="135">
        <f t="shared" si="48"/>
        <v>0</v>
      </c>
      <c r="IE10" s="135">
        <f t="shared" si="48"/>
        <v>0</v>
      </c>
      <c r="IF10" s="135">
        <f t="shared" si="48"/>
        <v>0</v>
      </c>
      <c r="IG10" s="135">
        <f t="shared" si="48"/>
        <v>0</v>
      </c>
      <c r="IH10" s="135">
        <f t="shared" si="48"/>
        <v>0</v>
      </c>
      <c r="II10" s="135">
        <f t="shared" si="48"/>
        <v>0</v>
      </c>
      <c r="IJ10" s="135">
        <f t="shared" si="48"/>
        <v>0</v>
      </c>
      <c r="IK10" s="135">
        <f t="shared" si="48"/>
        <v>0</v>
      </c>
      <c r="IL10" s="135">
        <f t="shared" ref="IL10:IU12" si="49">IFERROR(IF(IL$1=EOMONTH($G10,0),(-$E10+($E10*(DAY($G10)/DAY(EOMONTH(IL$1,0)))*$F10/12*(1-0.269))),IF(IL$1=$G10,($E10+($E10*(DAY($I10)/DAY(EOMONTH(IL$1,0)))*$F10/12*(1-0.269))),IFERROR(IF($I10&lt;IL$1,0,IF(IL$1&gt;$I10,(($F10/12)*$E10)*(DAY($I10)/DAY(EOMONTH(IL$1,0)))*(1-26.9/100)+$E10,IF(AND(IL$1&gt;=$G10,IL$1&lt;$I10),(($F10/12)*$E10)*(1-26.9/100),""))-IF(IL$1=EOMONTH($G10,0),$E10,"0")),0)+IF(IL$1=EOMONTH($I10,0),($E10+($E10*(DAY($I10)/DAY(EOMONTH(IL$1,0)))*$F10/12*(1-0.269))),"0"))),0)</f>
        <v>0</v>
      </c>
      <c r="IM10" s="135">
        <f t="shared" si="49"/>
        <v>0</v>
      </c>
      <c r="IN10" s="135">
        <f t="shared" si="49"/>
        <v>0</v>
      </c>
      <c r="IO10" s="135">
        <f t="shared" si="49"/>
        <v>0</v>
      </c>
      <c r="IP10" s="135">
        <f t="shared" si="49"/>
        <v>0</v>
      </c>
      <c r="IQ10" s="135">
        <f t="shared" si="49"/>
        <v>0</v>
      </c>
      <c r="IR10" s="135">
        <f t="shared" si="49"/>
        <v>0</v>
      </c>
      <c r="IS10" s="135">
        <f t="shared" si="49"/>
        <v>0</v>
      </c>
      <c r="IT10" s="135">
        <f t="shared" si="49"/>
        <v>0</v>
      </c>
      <c r="IU10" s="135">
        <f t="shared" si="49"/>
        <v>0</v>
      </c>
      <c r="IV10" s="135">
        <f t="shared" ref="IV10:JI12" si="50">IFERROR(IF(IV$1=EOMONTH($G10,0),(-$E10+($E10*(DAY($G10)/DAY(EOMONTH(IV$1,0)))*$F10/12*(1-0.269))),IF(IV$1=$G10,($E10+($E10*(DAY($I10)/DAY(EOMONTH(IV$1,0)))*$F10/12*(1-0.269))),IFERROR(IF($I10&lt;IV$1,0,IF(IV$1&gt;$I10,(($F10/12)*$E10)*(DAY($I10)/DAY(EOMONTH(IV$1,0)))*(1-26.9/100)+$E10,IF(AND(IV$1&gt;=$G10,IV$1&lt;$I10),(($F10/12)*$E10)*(1-26.9/100),""))-IF(IV$1=EOMONTH($G10,0),$E10,"0")),0)+IF(IV$1=EOMONTH($I10,0),($E10+($E10*(DAY($I10)/DAY(EOMONTH(IV$1,0)))*$F10/12*(1-0.269))),"0"))),0)</f>
        <v>0</v>
      </c>
      <c r="IW10" s="135">
        <f t="shared" si="50"/>
        <v>0</v>
      </c>
      <c r="IX10" s="135">
        <f t="shared" si="50"/>
        <v>0</v>
      </c>
      <c r="IY10" s="135">
        <f t="shared" si="50"/>
        <v>0</v>
      </c>
      <c r="IZ10" s="135">
        <f t="shared" si="50"/>
        <v>0</v>
      </c>
      <c r="JA10" s="135">
        <f t="shared" si="50"/>
        <v>0</v>
      </c>
      <c r="JB10" s="135">
        <f t="shared" si="50"/>
        <v>0</v>
      </c>
      <c r="JC10" s="135">
        <f t="shared" si="50"/>
        <v>0</v>
      </c>
      <c r="JD10" s="135">
        <f t="shared" si="50"/>
        <v>0</v>
      </c>
      <c r="JE10" s="135">
        <f t="shared" si="50"/>
        <v>0</v>
      </c>
      <c r="JF10" s="135">
        <f t="shared" si="50"/>
        <v>0</v>
      </c>
      <c r="JG10" s="135">
        <f t="shared" si="50"/>
        <v>0</v>
      </c>
      <c r="JH10" s="135">
        <f t="shared" si="50"/>
        <v>0</v>
      </c>
      <c r="JI10" s="135">
        <f t="shared" si="50"/>
        <v>0</v>
      </c>
      <c r="JJ10" s="135">
        <f t="shared" si="42"/>
        <v>0</v>
      </c>
      <c r="JK10" s="135">
        <f t="shared" si="42"/>
        <v>0</v>
      </c>
      <c r="JL10" s="135">
        <f t="shared" si="42"/>
        <v>0</v>
      </c>
      <c r="JM10" s="135">
        <f t="shared" si="42"/>
        <v>0</v>
      </c>
      <c r="JN10" s="135">
        <f t="shared" si="42"/>
        <v>0</v>
      </c>
      <c r="JO10" s="135">
        <f t="shared" si="42"/>
        <v>0</v>
      </c>
      <c r="JP10" s="135">
        <f t="shared" si="42"/>
        <v>0</v>
      </c>
      <c r="JQ10" s="135">
        <f t="shared" si="42"/>
        <v>0</v>
      </c>
      <c r="JR10" s="135">
        <f t="shared" si="42"/>
        <v>0</v>
      </c>
      <c r="JS10" s="135">
        <f t="shared" si="42"/>
        <v>0</v>
      </c>
      <c r="JT10" s="135">
        <f t="shared" si="42"/>
        <v>0</v>
      </c>
      <c r="JU10" s="135">
        <f t="shared" si="42"/>
        <v>0</v>
      </c>
      <c r="JV10" s="135">
        <f t="shared" si="42"/>
        <v>0</v>
      </c>
      <c r="JW10" s="135">
        <f t="shared" si="42"/>
        <v>0</v>
      </c>
      <c r="JX10" s="135">
        <f t="shared" si="42"/>
        <v>0</v>
      </c>
      <c r="JY10" s="135">
        <f t="shared" si="42"/>
        <v>0</v>
      </c>
      <c r="JZ10" s="135">
        <f t="shared" si="42"/>
        <v>0</v>
      </c>
      <c r="KA10" s="135">
        <f t="shared" si="42"/>
        <v>0</v>
      </c>
      <c r="KB10" s="135">
        <f t="shared" si="42"/>
        <v>0</v>
      </c>
      <c r="KC10" s="135">
        <f t="shared" si="42"/>
        <v>0</v>
      </c>
      <c r="KD10" s="135">
        <f t="shared" si="42"/>
        <v>0</v>
      </c>
      <c r="KE10" s="135">
        <f t="shared" si="42"/>
        <v>0</v>
      </c>
      <c r="KF10" s="135">
        <f t="shared" si="42"/>
        <v>0</v>
      </c>
      <c r="KG10" s="135">
        <f t="shared" si="42"/>
        <v>0</v>
      </c>
      <c r="KH10" s="135">
        <f t="shared" si="42"/>
        <v>0</v>
      </c>
      <c r="KI10" s="135">
        <f t="shared" si="42"/>
        <v>0</v>
      </c>
      <c r="KJ10" s="135">
        <f t="shared" si="42"/>
        <v>0</v>
      </c>
      <c r="KK10" s="135">
        <f t="shared" si="42"/>
        <v>0</v>
      </c>
      <c r="KL10" s="135">
        <f t="shared" si="42"/>
        <v>0</v>
      </c>
      <c r="KM10" s="135">
        <f t="shared" si="42"/>
        <v>0</v>
      </c>
      <c r="KN10" s="135">
        <f t="shared" si="42"/>
        <v>0</v>
      </c>
      <c r="KO10" s="135">
        <f t="shared" si="42"/>
        <v>0</v>
      </c>
      <c r="KP10" s="135">
        <f t="shared" si="42"/>
        <v>0</v>
      </c>
      <c r="KQ10" s="135">
        <f t="shared" si="42"/>
        <v>0</v>
      </c>
      <c r="KR10" s="135">
        <f t="shared" si="42"/>
        <v>0</v>
      </c>
      <c r="KS10" s="135">
        <f t="shared" si="42"/>
        <v>0</v>
      </c>
      <c r="KT10" s="135">
        <f t="shared" si="42"/>
        <v>0</v>
      </c>
      <c r="KU10" s="135">
        <f t="shared" si="42"/>
        <v>0</v>
      </c>
      <c r="KV10" s="135">
        <f t="shared" si="42"/>
        <v>0</v>
      </c>
      <c r="KW10" s="135">
        <f t="shared" si="42"/>
        <v>0</v>
      </c>
      <c r="KX10" s="135">
        <f t="shared" si="42"/>
        <v>0</v>
      </c>
      <c r="KY10" s="135">
        <f t="shared" si="42"/>
        <v>0</v>
      </c>
      <c r="KZ10" s="135">
        <f t="shared" si="42"/>
        <v>0</v>
      </c>
      <c r="LA10" s="135">
        <f t="shared" si="42"/>
        <v>0</v>
      </c>
      <c r="LB10" s="135">
        <f t="shared" si="42"/>
        <v>0</v>
      </c>
      <c r="LC10" s="135">
        <f t="shared" si="42"/>
        <v>0</v>
      </c>
      <c r="LD10" s="135">
        <f t="shared" si="42"/>
        <v>0</v>
      </c>
      <c r="LE10" s="135">
        <f t="shared" si="42"/>
        <v>0</v>
      </c>
      <c r="LF10" s="135">
        <f t="shared" si="42"/>
        <v>0</v>
      </c>
      <c r="LG10" s="135">
        <f t="shared" si="42"/>
        <v>0</v>
      </c>
      <c r="LH10" s="135">
        <f t="shared" si="42"/>
        <v>0</v>
      </c>
      <c r="LI10" s="135">
        <f t="shared" si="42"/>
        <v>0</v>
      </c>
      <c r="LJ10" s="135">
        <f t="shared" si="42"/>
        <v>0</v>
      </c>
      <c r="LK10" s="135">
        <f t="shared" si="42"/>
        <v>0</v>
      </c>
      <c r="LL10" s="135">
        <f t="shared" si="42"/>
        <v>0</v>
      </c>
      <c r="LM10" s="135">
        <f t="shared" si="42"/>
        <v>0</v>
      </c>
      <c r="LN10" s="135">
        <f t="shared" si="42"/>
        <v>0</v>
      </c>
      <c r="LO10" s="135">
        <f t="shared" si="42"/>
        <v>0</v>
      </c>
      <c r="LP10" s="135">
        <f t="shared" si="42"/>
        <v>0</v>
      </c>
      <c r="LQ10" s="135">
        <f t="shared" si="42"/>
        <v>0</v>
      </c>
      <c r="LR10" s="135">
        <f t="shared" si="42"/>
        <v>0</v>
      </c>
      <c r="LS10" s="135">
        <f t="shared" si="42"/>
        <v>0</v>
      </c>
      <c r="LT10" s="135">
        <f t="shared" si="42"/>
        <v>0</v>
      </c>
      <c r="LU10" s="135">
        <f t="shared" si="34"/>
        <v>0</v>
      </c>
      <c r="LV10" s="135">
        <f t="shared" ref="LV10:NA10" si="51">IFERROR(IF(LV$1=EOMONTH($G10,0),(-$E10+($E10*(DAY($G10)/DAY(EOMONTH(LV$1,0)))*$F10/12*(1-0.269))),IF(LV$1=$G10,($E10+($E10*(DAY($I10)/DAY(EOMONTH(LV$1,0)))*$F10/12*(1-0.269))),IFERROR(IF($I10&lt;LV$1,0,IF(LV$1&gt;$I10,(($F10/12)*$E10)*(DAY($I10)/DAY(EOMONTH(LV$1,0)))*(1-26.9/100)+$E10,IF(AND(LV$1&gt;=$G10,LV$1&lt;$I10),(($F10/12)*$E10)*(1-26.9/100),""))-IF(LV$1=EOMONTH($G10,0),$E10,"0")),0)+IF(LV$1=EOMONTH($I10,0),($E10+($E10*(DAY($I10)/DAY(EOMONTH(LV$1,0)))*$F10/12*(1-0.269))),"0"))),0)</f>
        <v>0</v>
      </c>
      <c r="LW10" s="135">
        <f t="shared" si="51"/>
        <v>0</v>
      </c>
      <c r="LX10" s="135">
        <f t="shared" si="51"/>
        <v>0</v>
      </c>
      <c r="LY10" s="135">
        <f t="shared" si="51"/>
        <v>0</v>
      </c>
      <c r="LZ10" s="135">
        <f t="shared" si="51"/>
        <v>0</v>
      </c>
      <c r="MA10" s="135">
        <f t="shared" si="51"/>
        <v>0</v>
      </c>
      <c r="MB10" s="135">
        <f t="shared" si="51"/>
        <v>0</v>
      </c>
      <c r="MC10" s="135">
        <f t="shared" si="51"/>
        <v>0</v>
      </c>
      <c r="MD10" s="135">
        <f t="shared" si="51"/>
        <v>0</v>
      </c>
      <c r="ME10" s="135">
        <f t="shared" si="51"/>
        <v>0</v>
      </c>
      <c r="MF10" s="135">
        <f t="shared" si="51"/>
        <v>0</v>
      </c>
      <c r="MG10" s="135">
        <f t="shared" si="51"/>
        <v>0</v>
      </c>
      <c r="MH10" s="135">
        <f t="shared" si="51"/>
        <v>0</v>
      </c>
      <c r="MI10" s="135">
        <f t="shared" si="51"/>
        <v>0</v>
      </c>
      <c r="MJ10" s="135">
        <f t="shared" si="51"/>
        <v>0</v>
      </c>
      <c r="MK10" s="135">
        <f t="shared" si="51"/>
        <v>0</v>
      </c>
      <c r="ML10" s="135">
        <f t="shared" si="51"/>
        <v>0</v>
      </c>
      <c r="MM10" s="135">
        <f t="shared" si="51"/>
        <v>0</v>
      </c>
      <c r="MN10" s="135">
        <f t="shared" si="51"/>
        <v>0</v>
      </c>
      <c r="MO10" s="135">
        <f t="shared" si="51"/>
        <v>0</v>
      </c>
      <c r="MP10" s="135">
        <f t="shared" si="51"/>
        <v>0</v>
      </c>
      <c r="MQ10" s="135">
        <f t="shared" si="51"/>
        <v>0</v>
      </c>
      <c r="MR10" s="135">
        <f t="shared" si="51"/>
        <v>0</v>
      </c>
      <c r="MS10" s="135">
        <f t="shared" si="51"/>
        <v>0</v>
      </c>
      <c r="MT10" s="135">
        <f t="shared" si="51"/>
        <v>0</v>
      </c>
      <c r="MU10" s="135">
        <f t="shared" si="51"/>
        <v>0</v>
      </c>
      <c r="MV10" s="135">
        <f t="shared" si="51"/>
        <v>0</v>
      </c>
      <c r="MW10" s="135">
        <f t="shared" si="51"/>
        <v>0</v>
      </c>
      <c r="MX10" s="135">
        <f t="shared" si="51"/>
        <v>0</v>
      </c>
      <c r="MY10" s="135">
        <f t="shared" si="51"/>
        <v>0</v>
      </c>
      <c r="MZ10" s="135">
        <f t="shared" si="51"/>
        <v>0</v>
      </c>
      <c r="NA10" s="135">
        <f t="shared" si="51"/>
        <v>0</v>
      </c>
      <c r="NB10" s="135">
        <f t="shared" ref="NB10:OG10" si="52">IFERROR(IF(NB$1=EOMONTH($G10,0),(-$E10+($E10*(DAY($G10)/DAY(EOMONTH(NB$1,0)))*$F10/12*(1-0.269))),IF(NB$1=$G10,($E10+($E10*(DAY($I10)/DAY(EOMONTH(NB$1,0)))*$F10/12*(1-0.269))),IFERROR(IF($I10&lt;NB$1,0,IF(NB$1&gt;$I10,(($F10/12)*$E10)*(DAY($I10)/DAY(EOMONTH(NB$1,0)))*(1-26.9/100)+$E10,IF(AND(NB$1&gt;=$G10,NB$1&lt;$I10),(($F10/12)*$E10)*(1-26.9/100),""))-IF(NB$1=EOMONTH($G10,0),$E10,"0")),0)+IF(NB$1=EOMONTH($I10,0),($E10+($E10*(DAY($I10)/DAY(EOMONTH(NB$1,0)))*$F10/12*(1-0.269))),"0"))),0)</f>
        <v>0</v>
      </c>
      <c r="NC10" s="135">
        <f t="shared" si="52"/>
        <v>0</v>
      </c>
      <c r="ND10" s="135">
        <f t="shared" si="52"/>
        <v>0</v>
      </c>
      <c r="NE10" s="135">
        <f t="shared" si="52"/>
        <v>0</v>
      </c>
      <c r="NF10" s="135">
        <f t="shared" si="52"/>
        <v>0</v>
      </c>
      <c r="NG10" s="135">
        <f t="shared" si="52"/>
        <v>0</v>
      </c>
      <c r="NH10" s="135">
        <f t="shared" si="52"/>
        <v>0</v>
      </c>
      <c r="NI10" s="135">
        <f t="shared" si="52"/>
        <v>0</v>
      </c>
      <c r="NJ10" s="135">
        <f t="shared" si="52"/>
        <v>0</v>
      </c>
      <c r="NK10" s="135">
        <f t="shared" si="52"/>
        <v>0</v>
      </c>
      <c r="NL10" s="135">
        <f t="shared" si="52"/>
        <v>0</v>
      </c>
      <c r="NM10" s="135">
        <f t="shared" si="52"/>
        <v>0</v>
      </c>
      <c r="NN10" s="135">
        <f t="shared" si="52"/>
        <v>0</v>
      </c>
      <c r="NO10" s="135">
        <f t="shared" si="52"/>
        <v>0</v>
      </c>
      <c r="NP10" s="135">
        <f t="shared" si="52"/>
        <v>0</v>
      </c>
      <c r="NQ10" s="135">
        <f t="shared" si="52"/>
        <v>0</v>
      </c>
      <c r="NR10" s="135">
        <f t="shared" si="52"/>
        <v>0</v>
      </c>
      <c r="NS10" s="135">
        <f t="shared" si="52"/>
        <v>0</v>
      </c>
      <c r="NT10" s="135">
        <f t="shared" si="52"/>
        <v>0</v>
      </c>
      <c r="NU10" s="135">
        <f t="shared" si="52"/>
        <v>0</v>
      </c>
      <c r="NV10" s="135">
        <f t="shared" si="52"/>
        <v>0</v>
      </c>
      <c r="NW10" s="135">
        <f t="shared" si="52"/>
        <v>0</v>
      </c>
      <c r="NX10" s="135">
        <f t="shared" si="52"/>
        <v>0</v>
      </c>
      <c r="NY10" s="135">
        <f t="shared" si="52"/>
        <v>0</v>
      </c>
      <c r="NZ10" s="135">
        <f t="shared" si="52"/>
        <v>0</v>
      </c>
      <c r="OA10" s="135">
        <f t="shared" si="52"/>
        <v>0</v>
      </c>
      <c r="OB10" s="135">
        <f t="shared" si="52"/>
        <v>0</v>
      </c>
      <c r="OC10" s="135">
        <f t="shared" si="52"/>
        <v>0</v>
      </c>
      <c r="OD10" s="135">
        <f t="shared" si="52"/>
        <v>0</v>
      </c>
      <c r="OE10" s="135">
        <f t="shared" si="52"/>
        <v>0</v>
      </c>
      <c r="OF10" s="135">
        <f t="shared" si="52"/>
        <v>0</v>
      </c>
      <c r="OG10" s="135">
        <f t="shared" si="52"/>
        <v>0</v>
      </c>
      <c r="OH10" s="135">
        <f t="shared" si="43"/>
        <v>0</v>
      </c>
      <c r="OI10" s="135">
        <f t="shared" si="43"/>
        <v>0</v>
      </c>
      <c r="OJ10" s="135">
        <f t="shared" si="43"/>
        <v>0</v>
      </c>
      <c r="OK10" s="135">
        <f t="shared" si="43"/>
        <v>0</v>
      </c>
      <c r="OL10" s="135">
        <f t="shared" si="43"/>
        <v>0</v>
      </c>
      <c r="OM10" s="135">
        <f t="shared" si="43"/>
        <v>0</v>
      </c>
      <c r="ON10" s="135">
        <f t="shared" si="43"/>
        <v>0</v>
      </c>
      <c r="OO10" s="135">
        <f t="shared" si="43"/>
        <v>0</v>
      </c>
      <c r="OP10" s="135">
        <f t="shared" si="43"/>
        <v>0</v>
      </c>
      <c r="OQ10" s="135">
        <f t="shared" si="43"/>
        <v>0</v>
      </c>
      <c r="OR10" s="135">
        <f t="shared" si="43"/>
        <v>0</v>
      </c>
      <c r="OS10" s="135">
        <f t="shared" si="43"/>
        <v>0</v>
      </c>
      <c r="OT10" s="135">
        <f t="shared" si="43"/>
        <v>0</v>
      </c>
      <c r="OU10" s="135">
        <f t="shared" si="43"/>
        <v>0</v>
      </c>
      <c r="OV10" s="135">
        <f t="shared" si="43"/>
        <v>0</v>
      </c>
      <c r="OW10" s="135">
        <f t="shared" si="43"/>
        <v>0</v>
      </c>
      <c r="OX10" s="135">
        <f t="shared" si="43"/>
        <v>0</v>
      </c>
      <c r="OY10" s="135">
        <f t="shared" si="43"/>
        <v>0</v>
      </c>
      <c r="OZ10" s="135">
        <f t="shared" si="43"/>
        <v>0</v>
      </c>
      <c r="PA10" s="135">
        <f t="shared" si="43"/>
        <v>0</v>
      </c>
      <c r="PB10" s="135">
        <f t="shared" si="43"/>
        <v>0</v>
      </c>
      <c r="PC10" s="135">
        <f t="shared" si="43"/>
        <v>0</v>
      </c>
      <c r="PD10" s="135">
        <f t="shared" si="43"/>
        <v>0</v>
      </c>
      <c r="PE10" s="135">
        <f t="shared" si="43"/>
        <v>0</v>
      </c>
      <c r="PF10" s="135">
        <f t="shared" si="43"/>
        <v>0</v>
      </c>
      <c r="PG10" s="135">
        <f t="shared" si="43"/>
        <v>0</v>
      </c>
      <c r="PH10" s="135">
        <f t="shared" si="43"/>
        <v>0</v>
      </c>
      <c r="PI10" s="135">
        <f t="shared" si="43"/>
        <v>0</v>
      </c>
      <c r="PJ10" s="135">
        <f t="shared" si="43"/>
        <v>0</v>
      </c>
      <c r="PK10" s="135">
        <f t="shared" si="43"/>
        <v>0</v>
      </c>
      <c r="PL10" s="135">
        <f t="shared" si="43"/>
        <v>0</v>
      </c>
      <c r="PM10" s="135">
        <f t="shared" si="43"/>
        <v>0</v>
      </c>
      <c r="PN10" s="135">
        <f t="shared" si="43"/>
        <v>0</v>
      </c>
      <c r="PO10" s="135">
        <f t="shared" si="43"/>
        <v>0</v>
      </c>
      <c r="PP10" s="135">
        <f t="shared" si="43"/>
        <v>0</v>
      </c>
      <c r="PQ10" s="135">
        <f t="shared" si="43"/>
        <v>0</v>
      </c>
      <c r="PR10" s="135">
        <f t="shared" si="43"/>
        <v>0</v>
      </c>
      <c r="PS10" s="135">
        <f t="shared" si="43"/>
        <v>0</v>
      </c>
      <c r="PT10" s="135">
        <f t="shared" si="43"/>
        <v>0</v>
      </c>
      <c r="PU10" s="135">
        <f t="shared" si="43"/>
        <v>0</v>
      </c>
      <c r="PV10" s="135">
        <f t="shared" si="43"/>
        <v>0</v>
      </c>
      <c r="PW10" s="135">
        <f t="shared" si="43"/>
        <v>0</v>
      </c>
      <c r="PX10" s="135">
        <f t="shared" si="43"/>
        <v>0</v>
      </c>
      <c r="PY10" s="135">
        <f t="shared" si="43"/>
        <v>0</v>
      </c>
      <c r="PZ10" s="135">
        <f t="shared" si="43"/>
        <v>0</v>
      </c>
      <c r="QA10" s="135">
        <f t="shared" si="43"/>
        <v>0</v>
      </c>
      <c r="QB10" s="135">
        <f t="shared" si="43"/>
        <v>0</v>
      </c>
      <c r="QC10" s="135">
        <f t="shared" si="43"/>
        <v>0</v>
      </c>
      <c r="QD10" s="135">
        <f t="shared" si="43"/>
        <v>0</v>
      </c>
      <c r="QE10" s="135">
        <f t="shared" si="43"/>
        <v>0</v>
      </c>
      <c r="QF10" s="135">
        <f t="shared" si="43"/>
        <v>0</v>
      </c>
      <c r="QG10" s="135">
        <f t="shared" si="43"/>
        <v>0</v>
      </c>
      <c r="QH10" s="135">
        <f t="shared" si="43"/>
        <v>0</v>
      </c>
      <c r="QI10" s="135">
        <f t="shared" si="43"/>
        <v>0</v>
      </c>
      <c r="QJ10" s="135">
        <f t="shared" si="43"/>
        <v>0</v>
      </c>
      <c r="QK10" s="135">
        <f t="shared" si="43"/>
        <v>0</v>
      </c>
      <c r="QL10" s="135">
        <f t="shared" si="43"/>
        <v>0</v>
      </c>
      <c r="QM10" s="135">
        <f t="shared" si="43"/>
        <v>0</v>
      </c>
      <c r="QN10" s="135">
        <f t="shared" si="43"/>
        <v>0</v>
      </c>
      <c r="QO10" s="135">
        <f t="shared" si="43"/>
        <v>0</v>
      </c>
      <c r="QP10" s="135">
        <f t="shared" si="43"/>
        <v>0</v>
      </c>
      <c r="QQ10" s="135">
        <f t="shared" si="43"/>
        <v>0</v>
      </c>
      <c r="QR10" s="135">
        <f t="shared" si="43"/>
        <v>0</v>
      </c>
      <c r="QS10" s="135">
        <f t="shared" si="35"/>
        <v>0</v>
      </c>
      <c r="QT10" s="135">
        <f t="shared" ref="QT10:RY10" si="53">IFERROR(IF(QT$1=EOMONTH($G10,0),(-$E10+($E10*(DAY($G10)/DAY(EOMONTH(QT$1,0)))*$F10/12*(1-0.269))),IF(QT$1=$G10,($E10+($E10*(DAY($I10)/DAY(EOMONTH(QT$1,0)))*$F10/12*(1-0.269))),IFERROR(IF($I10&lt;QT$1,0,IF(QT$1&gt;$I10,(($F10/12)*$E10)*(DAY($I10)/DAY(EOMONTH(QT$1,0)))*(1-26.9/100)+$E10,IF(AND(QT$1&gt;=$G10,QT$1&lt;$I10),(($F10/12)*$E10)*(1-26.9/100),""))-IF(QT$1=EOMONTH($G10,0),$E10,"0")),0)+IF(QT$1=EOMONTH($I10,0),($E10+($E10*(DAY($I10)/DAY(EOMONTH(QT$1,0)))*$F10/12*(1-0.269))),"0"))),0)</f>
        <v>0</v>
      </c>
      <c r="QU10" s="135">
        <f t="shared" si="53"/>
        <v>0</v>
      </c>
      <c r="QV10" s="135">
        <f t="shared" si="53"/>
        <v>0</v>
      </c>
      <c r="QW10" s="135">
        <f t="shared" si="53"/>
        <v>0</v>
      </c>
      <c r="QX10" s="135">
        <f t="shared" si="53"/>
        <v>0</v>
      </c>
      <c r="QY10" s="135">
        <f t="shared" si="53"/>
        <v>0</v>
      </c>
      <c r="QZ10" s="135">
        <f t="shared" si="53"/>
        <v>0</v>
      </c>
      <c r="RA10" s="135">
        <f t="shared" si="53"/>
        <v>0</v>
      </c>
      <c r="RB10" s="135">
        <f t="shared" si="53"/>
        <v>0</v>
      </c>
      <c r="RC10" s="135">
        <f t="shared" si="53"/>
        <v>0</v>
      </c>
      <c r="RD10" s="135">
        <f t="shared" si="53"/>
        <v>0</v>
      </c>
      <c r="RE10" s="135">
        <f t="shared" si="53"/>
        <v>0</v>
      </c>
      <c r="RF10" s="135">
        <f t="shared" si="53"/>
        <v>0</v>
      </c>
      <c r="RG10" s="135">
        <f t="shared" si="53"/>
        <v>0</v>
      </c>
      <c r="RH10" s="135">
        <f t="shared" si="53"/>
        <v>0</v>
      </c>
      <c r="RI10" s="135">
        <f t="shared" si="53"/>
        <v>0</v>
      </c>
      <c r="RJ10" s="135">
        <f t="shared" si="53"/>
        <v>0</v>
      </c>
      <c r="RK10" s="135">
        <f t="shared" si="53"/>
        <v>0</v>
      </c>
      <c r="RL10" s="135">
        <f t="shared" si="53"/>
        <v>0</v>
      </c>
      <c r="RM10" s="135">
        <f t="shared" si="53"/>
        <v>0</v>
      </c>
      <c r="RN10" s="135">
        <f t="shared" si="53"/>
        <v>0</v>
      </c>
      <c r="RO10" s="135">
        <f t="shared" si="53"/>
        <v>0</v>
      </c>
      <c r="RP10" s="135">
        <f t="shared" si="53"/>
        <v>0</v>
      </c>
      <c r="RQ10" s="135">
        <f t="shared" si="53"/>
        <v>0</v>
      </c>
      <c r="RR10" s="135">
        <f t="shared" si="53"/>
        <v>0</v>
      </c>
      <c r="RS10" s="135">
        <f t="shared" si="53"/>
        <v>0</v>
      </c>
      <c r="RT10" s="135">
        <f t="shared" si="53"/>
        <v>0</v>
      </c>
      <c r="RU10" s="135">
        <f t="shared" si="53"/>
        <v>0</v>
      </c>
      <c r="RV10" s="135">
        <f t="shared" si="53"/>
        <v>0</v>
      </c>
      <c r="RW10" s="135">
        <f t="shared" si="53"/>
        <v>0</v>
      </c>
      <c r="RX10" s="135">
        <f t="shared" si="53"/>
        <v>0</v>
      </c>
      <c r="RY10" s="135">
        <f t="shared" si="53"/>
        <v>0</v>
      </c>
      <c r="RZ10" s="135">
        <f t="shared" ref="RZ10:TE10" si="54">IFERROR(IF(RZ$1=EOMONTH($G10,0),(-$E10+($E10*(DAY($G10)/DAY(EOMONTH(RZ$1,0)))*$F10/12*(1-0.269))),IF(RZ$1=$G10,($E10+($E10*(DAY($I10)/DAY(EOMONTH(RZ$1,0)))*$F10/12*(1-0.269))),IFERROR(IF($I10&lt;RZ$1,0,IF(RZ$1&gt;$I10,(($F10/12)*$E10)*(DAY($I10)/DAY(EOMONTH(RZ$1,0)))*(1-26.9/100)+$E10,IF(AND(RZ$1&gt;=$G10,RZ$1&lt;$I10),(($F10/12)*$E10)*(1-26.9/100),""))-IF(RZ$1=EOMONTH($G10,0),$E10,"0")),0)+IF(RZ$1=EOMONTH($I10,0),($E10+($E10*(DAY($I10)/DAY(EOMONTH(RZ$1,0)))*$F10/12*(1-0.269))),"0"))),0)</f>
        <v>0</v>
      </c>
      <c r="SA10" s="135">
        <f t="shared" si="54"/>
        <v>0</v>
      </c>
      <c r="SB10" s="135">
        <f t="shared" si="54"/>
        <v>0</v>
      </c>
      <c r="SC10" s="135">
        <f t="shared" si="54"/>
        <v>0</v>
      </c>
      <c r="SD10" s="135">
        <f t="shared" si="54"/>
        <v>0</v>
      </c>
      <c r="SE10" s="135">
        <f t="shared" si="54"/>
        <v>0</v>
      </c>
      <c r="SF10" s="135">
        <f t="shared" si="54"/>
        <v>0</v>
      </c>
      <c r="SG10" s="135">
        <f t="shared" si="54"/>
        <v>0</v>
      </c>
      <c r="SH10" s="135">
        <f t="shared" si="54"/>
        <v>0</v>
      </c>
      <c r="SI10" s="135">
        <f t="shared" si="54"/>
        <v>0</v>
      </c>
      <c r="SJ10" s="135">
        <f t="shared" si="54"/>
        <v>0</v>
      </c>
      <c r="SK10" s="135">
        <f t="shared" si="54"/>
        <v>0</v>
      </c>
      <c r="SL10" s="135">
        <f t="shared" si="54"/>
        <v>0</v>
      </c>
      <c r="SM10" s="135">
        <f t="shared" si="54"/>
        <v>0</v>
      </c>
      <c r="SN10" s="135">
        <f t="shared" si="54"/>
        <v>0</v>
      </c>
      <c r="SO10" s="135">
        <f t="shared" si="54"/>
        <v>0</v>
      </c>
      <c r="SP10" s="135">
        <f t="shared" si="54"/>
        <v>0</v>
      </c>
      <c r="SQ10" s="135">
        <f t="shared" si="54"/>
        <v>0</v>
      </c>
      <c r="SR10" s="135">
        <f t="shared" si="54"/>
        <v>0</v>
      </c>
      <c r="SS10" s="135">
        <f t="shared" si="54"/>
        <v>0</v>
      </c>
      <c r="ST10" s="135">
        <f t="shared" si="54"/>
        <v>0</v>
      </c>
      <c r="SU10" s="135">
        <f t="shared" si="54"/>
        <v>0</v>
      </c>
      <c r="SV10" s="135">
        <f t="shared" si="54"/>
        <v>0</v>
      </c>
      <c r="SW10" s="135">
        <f t="shared" si="54"/>
        <v>0</v>
      </c>
      <c r="SX10" s="135">
        <f t="shared" si="54"/>
        <v>0</v>
      </c>
      <c r="SY10" s="135">
        <f t="shared" si="54"/>
        <v>0</v>
      </c>
      <c r="SZ10" s="135">
        <f t="shared" si="54"/>
        <v>0</v>
      </c>
      <c r="TA10" s="135">
        <f t="shared" si="54"/>
        <v>0</v>
      </c>
      <c r="TB10" s="135">
        <f t="shared" si="54"/>
        <v>0</v>
      </c>
      <c r="TC10" s="135">
        <f t="shared" si="54"/>
        <v>0</v>
      </c>
      <c r="TD10" s="135">
        <f t="shared" si="54"/>
        <v>0</v>
      </c>
      <c r="TE10" s="135">
        <f t="shared" si="54"/>
        <v>0</v>
      </c>
      <c r="TF10" s="135">
        <f t="shared" si="30"/>
        <v>0</v>
      </c>
      <c r="TG10" s="135">
        <f t="shared" si="30"/>
        <v>0</v>
      </c>
      <c r="TH10" s="135">
        <f t="shared" si="30"/>
        <v>0</v>
      </c>
      <c r="TI10" s="135">
        <f t="shared" si="30"/>
        <v>0</v>
      </c>
      <c r="TJ10" s="135">
        <f t="shared" si="30"/>
        <v>0</v>
      </c>
      <c r="TK10" s="135">
        <f t="shared" si="30"/>
        <v>0</v>
      </c>
      <c r="TL10" s="135">
        <f t="shared" si="30"/>
        <v>0</v>
      </c>
      <c r="TM10" s="135">
        <f t="shared" si="30"/>
        <v>0</v>
      </c>
      <c r="TN10" s="135">
        <f t="shared" si="30"/>
        <v>0</v>
      </c>
      <c r="TO10" s="135">
        <f t="shared" si="30"/>
        <v>0</v>
      </c>
      <c r="TP10" s="135">
        <f t="shared" si="30"/>
        <v>0</v>
      </c>
      <c r="TQ10" s="135">
        <f t="shared" si="30"/>
        <v>0</v>
      </c>
      <c r="TR10" s="135">
        <f t="shared" si="30"/>
        <v>0</v>
      </c>
      <c r="TS10" s="135">
        <f t="shared" si="30"/>
        <v>0</v>
      </c>
      <c r="TT10" s="135">
        <f t="shared" si="30"/>
        <v>0</v>
      </c>
      <c r="TU10" s="135">
        <f t="shared" si="30"/>
        <v>0</v>
      </c>
      <c r="TV10" s="135">
        <f t="shared" si="30"/>
        <v>0</v>
      </c>
      <c r="TW10" s="135">
        <f t="shared" si="30"/>
        <v>0</v>
      </c>
      <c r="TX10" s="135">
        <f t="shared" si="30"/>
        <v>0</v>
      </c>
      <c r="TY10" s="135">
        <f t="shared" si="30"/>
        <v>0</v>
      </c>
      <c r="TZ10" s="135">
        <f t="shared" si="30"/>
        <v>0</v>
      </c>
      <c r="UA10" s="135">
        <f t="shared" si="30"/>
        <v>0</v>
      </c>
      <c r="UB10" s="135">
        <f t="shared" si="30"/>
        <v>0</v>
      </c>
      <c r="UC10" s="135">
        <f t="shared" si="30"/>
        <v>0</v>
      </c>
      <c r="UD10" s="135">
        <f t="shared" si="30"/>
        <v>0</v>
      </c>
      <c r="UE10" s="135">
        <f t="shared" si="30"/>
        <v>0</v>
      </c>
      <c r="UF10" s="135">
        <f t="shared" si="30"/>
        <v>0</v>
      </c>
      <c r="UG10" s="135">
        <f t="shared" si="30"/>
        <v>0</v>
      </c>
      <c r="UH10" s="135">
        <f t="shared" si="30"/>
        <v>0</v>
      </c>
      <c r="UI10" s="135">
        <f t="shared" si="30"/>
        <v>0</v>
      </c>
      <c r="UJ10" s="135">
        <f t="shared" si="30"/>
        <v>0</v>
      </c>
      <c r="UK10" s="135">
        <f t="shared" si="30"/>
        <v>0</v>
      </c>
    </row>
    <row r="11" spans="2:557">
      <c r="B11" t="str">
        <f>IF(Samenvatting!$F112&lt;&gt;0,Samenvatting!C112,"")</f>
        <v/>
      </c>
      <c r="C11" t="str">
        <f>IF(Samenvatting!$F112&lt;&gt;0,Samenvatting!D112,"")</f>
        <v/>
      </c>
      <c r="D11" t="str">
        <f>IF(Samenvatting!$F112&lt;&gt;0,Samenvatting!E112,"")</f>
        <v/>
      </c>
      <c r="E11" t="str">
        <f>IF(Samenvatting!$F112&lt;&gt;0,Samenvatting!F112,"")</f>
        <v/>
      </c>
      <c r="F11" t="str">
        <f>IF(Samenvatting!$F112&lt;&gt;0,Samenvatting!H112,"")</f>
        <v/>
      </c>
      <c r="G11" s="134" t="str">
        <f>IF(Samenvatting!$F112&lt;&gt;0,Samenvatting!I112,"")</f>
        <v/>
      </c>
      <c r="H11" t="str">
        <f>IF(Samenvatting!$F112&lt;&gt;0,Samenvatting!J112,"")</f>
        <v/>
      </c>
      <c r="I11" s="134" t="str">
        <f>IF(Samenvatting!$F112&lt;&gt;0,Samenvatting!K112,"")</f>
        <v/>
      </c>
      <c r="J11" s="135">
        <f t="shared" si="0"/>
        <v>0</v>
      </c>
      <c r="K11" s="135">
        <f t="shared" si="38"/>
        <v>0</v>
      </c>
      <c r="L11" s="135">
        <f t="shared" si="38"/>
        <v>0</v>
      </c>
      <c r="M11" s="135">
        <f t="shared" si="38"/>
        <v>0</v>
      </c>
      <c r="N11" s="135">
        <f t="shared" si="38"/>
        <v>0</v>
      </c>
      <c r="O11" s="135">
        <f t="shared" si="38"/>
        <v>0</v>
      </c>
      <c r="P11" s="135">
        <f t="shared" si="38"/>
        <v>0</v>
      </c>
      <c r="Q11" s="135">
        <f t="shared" si="38"/>
        <v>0</v>
      </c>
      <c r="R11" s="135">
        <f t="shared" si="38"/>
        <v>0</v>
      </c>
      <c r="S11" s="135">
        <f t="shared" si="38"/>
        <v>0</v>
      </c>
      <c r="T11" s="135">
        <f t="shared" si="38"/>
        <v>0</v>
      </c>
      <c r="U11" s="135">
        <f t="shared" si="38"/>
        <v>0</v>
      </c>
      <c r="V11" s="135">
        <f t="shared" si="38"/>
        <v>0</v>
      </c>
      <c r="W11" s="135">
        <f t="shared" si="38"/>
        <v>0</v>
      </c>
      <c r="X11" s="135">
        <f t="shared" si="38"/>
        <v>0</v>
      </c>
      <c r="Y11" s="135">
        <f t="shared" si="38"/>
        <v>0</v>
      </c>
      <c r="Z11" s="135">
        <f t="shared" si="38"/>
        <v>0</v>
      </c>
      <c r="AA11" s="135">
        <f t="shared" si="38"/>
        <v>0</v>
      </c>
      <c r="AB11" s="135">
        <f t="shared" si="38"/>
        <v>0</v>
      </c>
      <c r="AC11" s="135">
        <f t="shared" si="38"/>
        <v>0</v>
      </c>
      <c r="AD11" s="135">
        <f t="shared" si="38"/>
        <v>0</v>
      </c>
      <c r="AE11" s="135">
        <f t="shared" si="38"/>
        <v>0</v>
      </c>
      <c r="AF11" s="135">
        <f t="shared" si="38"/>
        <v>0</v>
      </c>
      <c r="AG11" s="135">
        <f t="shared" si="38"/>
        <v>0</v>
      </c>
      <c r="AH11" s="135">
        <f t="shared" si="38"/>
        <v>0</v>
      </c>
      <c r="AI11" s="135">
        <f t="shared" si="38"/>
        <v>0</v>
      </c>
      <c r="AJ11" s="135">
        <f t="shared" si="38"/>
        <v>0</v>
      </c>
      <c r="AK11" s="135">
        <f t="shared" si="38"/>
        <v>0</v>
      </c>
      <c r="AL11" s="135">
        <f t="shared" si="38"/>
        <v>0</v>
      </c>
      <c r="AM11" s="135">
        <f t="shared" si="38"/>
        <v>0</v>
      </c>
      <c r="AN11" s="135">
        <f t="shared" si="38"/>
        <v>0</v>
      </c>
      <c r="AO11" s="135">
        <f t="shared" si="38"/>
        <v>0</v>
      </c>
      <c r="AP11" s="135">
        <f t="shared" si="38"/>
        <v>0</v>
      </c>
      <c r="AQ11" s="135">
        <f t="shared" si="38"/>
        <v>0</v>
      </c>
      <c r="AR11" s="135">
        <f t="shared" si="38"/>
        <v>0</v>
      </c>
      <c r="AS11" s="135">
        <f t="shared" si="38"/>
        <v>0</v>
      </c>
      <c r="AT11" s="135">
        <f t="shared" si="38"/>
        <v>0</v>
      </c>
      <c r="AU11" s="135">
        <f t="shared" si="38"/>
        <v>0</v>
      </c>
      <c r="AV11" s="135">
        <f t="shared" si="38"/>
        <v>0</v>
      </c>
      <c r="AW11" s="135">
        <f t="shared" si="38"/>
        <v>0</v>
      </c>
      <c r="AX11" s="135">
        <f t="shared" si="38"/>
        <v>0</v>
      </c>
      <c r="AY11" s="135">
        <f t="shared" si="38"/>
        <v>0</v>
      </c>
      <c r="AZ11" s="135">
        <f t="shared" si="38"/>
        <v>0</v>
      </c>
      <c r="BA11" s="135">
        <f t="shared" si="38"/>
        <v>0</v>
      </c>
      <c r="BB11" s="135">
        <f t="shared" si="38"/>
        <v>0</v>
      </c>
      <c r="BC11" s="135">
        <f t="shared" si="38"/>
        <v>0</v>
      </c>
      <c r="BD11" s="135">
        <f t="shared" si="38"/>
        <v>0</v>
      </c>
      <c r="BE11" s="135">
        <f t="shared" si="38"/>
        <v>0</v>
      </c>
      <c r="BF11" s="135">
        <f t="shared" si="38"/>
        <v>0</v>
      </c>
      <c r="BG11" s="135">
        <f t="shared" si="38"/>
        <v>0</v>
      </c>
      <c r="BH11" s="135">
        <f t="shared" si="38"/>
        <v>0</v>
      </c>
      <c r="BI11" s="135">
        <f t="shared" si="38"/>
        <v>0</v>
      </c>
      <c r="BJ11" s="135">
        <f t="shared" si="38"/>
        <v>0</v>
      </c>
      <c r="BK11" s="135">
        <f t="shared" si="38"/>
        <v>0</v>
      </c>
      <c r="BL11" s="135">
        <f t="shared" si="38"/>
        <v>0</v>
      </c>
      <c r="BM11" s="135">
        <f t="shared" si="38"/>
        <v>0</v>
      </c>
      <c r="BN11" s="135">
        <f t="shared" si="38"/>
        <v>0</v>
      </c>
      <c r="BO11" s="135">
        <f t="shared" si="38"/>
        <v>0</v>
      </c>
      <c r="BP11" s="135">
        <f t="shared" si="38"/>
        <v>0</v>
      </c>
      <c r="BQ11" s="135">
        <f t="shared" si="38"/>
        <v>0</v>
      </c>
      <c r="BR11" s="135">
        <f t="shared" si="38"/>
        <v>0</v>
      </c>
      <c r="BS11" s="135">
        <f t="shared" si="38"/>
        <v>0</v>
      </c>
      <c r="BT11" s="135">
        <f t="shared" si="38"/>
        <v>0</v>
      </c>
      <c r="BU11" s="135">
        <f t="shared" si="38"/>
        <v>0</v>
      </c>
      <c r="BV11" s="135">
        <f t="shared" ref="BV11:EG14" si="55">IFERROR(IF(BV$1=EOMONTH($G11,0),(-$E11+($E11*(DAY($G11)/DAY(EOMONTH(BV$1,0)))*$F11/12*(1-0.269))),IF(BV$1=$G11,($E11+($E11*(DAY($I11)/DAY(EOMONTH(BV$1,0)))*$F11/12*(1-0.269))),IFERROR(IF($I11&lt;BV$1,0,IF(BV$1&gt;$I11,(($F11/12)*$E11)*(DAY($I11)/DAY(EOMONTH(BV$1,0)))*(1-26.9/100)+$E11,IF(AND(BV$1&gt;=$G11,BV$1&lt;$I11),(($F11/12)*$E11)*(1-26.9/100),""))-IF(BV$1=EOMONTH($G11,0),$E11,"0")),0)+IF(BV$1=EOMONTH($I11,0),($E11+($E11*(DAY($I11)/DAY(EOMONTH(BV$1,0)))*$F11/12*(1-0.269))),"0"))),0)</f>
        <v>0</v>
      </c>
      <c r="BW11" s="135">
        <f t="shared" si="55"/>
        <v>0</v>
      </c>
      <c r="BX11" s="135">
        <f t="shared" si="55"/>
        <v>0</v>
      </c>
      <c r="BY11" s="135">
        <f t="shared" si="55"/>
        <v>0</v>
      </c>
      <c r="BZ11" s="135">
        <f t="shared" si="55"/>
        <v>0</v>
      </c>
      <c r="CA11" s="135">
        <f t="shared" si="55"/>
        <v>0</v>
      </c>
      <c r="CB11" s="135">
        <f t="shared" si="55"/>
        <v>0</v>
      </c>
      <c r="CC11" s="135">
        <f t="shared" si="55"/>
        <v>0</v>
      </c>
      <c r="CD11" s="135">
        <f t="shared" si="55"/>
        <v>0</v>
      </c>
      <c r="CE11" s="135">
        <f t="shared" si="55"/>
        <v>0</v>
      </c>
      <c r="CF11" s="135">
        <f t="shared" si="55"/>
        <v>0</v>
      </c>
      <c r="CG11" s="135">
        <f t="shared" si="55"/>
        <v>0</v>
      </c>
      <c r="CH11" s="135">
        <f t="shared" si="55"/>
        <v>0</v>
      </c>
      <c r="CI11" s="135">
        <f t="shared" si="55"/>
        <v>0</v>
      </c>
      <c r="CJ11" s="135">
        <f t="shared" si="55"/>
        <v>0</v>
      </c>
      <c r="CK11" s="135">
        <f t="shared" si="55"/>
        <v>0</v>
      </c>
      <c r="CL11" s="135">
        <f t="shared" si="55"/>
        <v>0</v>
      </c>
      <c r="CM11" s="135">
        <f t="shared" si="55"/>
        <v>0</v>
      </c>
      <c r="CN11" s="135">
        <f t="shared" si="55"/>
        <v>0</v>
      </c>
      <c r="CO11" s="135">
        <f t="shared" si="55"/>
        <v>0</v>
      </c>
      <c r="CP11" s="135">
        <f t="shared" si="55"/>
        <v>0</v>
      </c>
      <c r="CQ11" s="135">
        <f t="shared" si="55"/>
        <v>0</v>
      </c>
      <c r="CR11" s="135">
        <f t="shared" si="55"/>
        <v>0</v>
      </c>
      <c r="CS11" s="135">
        <f t="shared" si="55"/>
        <v>0</v>
      </c>
      <c r="CT11" s="135">
        <f t="shared" si="55"/>
        <v>0</v>
      </c>
      <c r="CU11" s="135">
        <f t="shared" si="55"/>
        <v>0</v>
      </c>
      <c r="CV11" s="135">
        <f t="shared" si="55"/>
        <v>0</v>
      </c>
      <c r="CW11" s="135">
        <f t="shared" si="55"/>
        <v>0</v>
      </c>
      <c r="CX11" s="135">
        <f t="shared" si="55"/>
        <v>0</v>
      </c>
      <c r="CY11" s="135">
        <f t="shared" si="55"/>
        <v>0</v>
      </c>
      <c r="CZ11" s="135">
        <f t="shared" si="55"/>
        <v>0</v>
      </c>
      <c r="DA11" s="135">
        <f t="shared" si="55"/>
        <v>0</v>
      </c>
      <c r="DB11" s="135">
        <f t="shared" si="55"/>
        <v>0</v>
      </c>
      <c r="DC11" s="135">
        <f t="shared" si="55"/>
        <v>0</v>
      </c>
      <c r="DD11" s="135">
        <f t="shared" si="55"/>
        <v>0</v>
      </c>
      <c r="DE11" s="135">
        <f t="shared" si="55"/>
        <v>0</v>
      </c>
      <c r="DF11" s="135">
        <f t="shared" si="55"/>
        <v>0</v>
      </c>
      <c r="DG11" s="135">
        <f t="shared" si="55"/>
        <v>0</v>
      </c>
      <c r="DH11" s="135">
        <f t="shared" si="55"/>
        <v>0</v>
      </c>
      <c r="DI11" s="135">
        <f t="shared" si="55"/>
        <v>0</v>
      </c>
      <c r="DJ11" s="135">
        <f t="shared" si="55"/>
        <v>0</v>
      </c>
      <c r="DK11" s="135">
        <f t="shared" si="55"/>
        <v>0</v>
      </c>
      <c r="DL11" s="135">
        <f t="shared" si="55"/>
        <v>0</v>
      </c>
      <c r="DM11" s="135">
        <f t="shared" si="55"/>
        <v>0</v>
      </c>
      <c r="DN11" s="135">
        <f t="shared" si="55"/>
        <v>0</v>
      </c>
      <c r="DO11" s="135">
        <f t="shared" si="55"/>
        <v>0</v>
      </c>
      <c r="DP11" s="135">
        <f t="shared" si="55"/>
        <v>0</v>
      </c>
      <c r="DQ11" s="135">
        <f t="shared" si="55"/>
        <v>0</v>
      </c>
      <c r="DR11" s="135">
        <f t="shared" si="55"/>
        <v>0</v>
      </c>
      <c r="DS11" s="135">
        <f t="shared" si="55"/>
        <v>0</v>
      </c>
      <c r="DT11" s="135">
        <f t="shared" si="55"/>
        <v>0</v>
      </c>
      <c r="DU11" s="135">
        <f t="shared" si="55"/>
        <v>0</v>
      </c>
      <c r="DV11" s="135">
        <f t="shared" si="55"/>
        <v>0</v>
      </c>
      <c r="DW11" s="135">
        <f t="shared" si="55"/>
        <v>0</v>
      </c>
      <c r="DX11" s="135">
        <f t="shared" si="55"/>
        <v>0</v>
      </c>
      <c r="DY11" s="135">
        <f t="shared" si="55"/>
        <v>0</v>
      </c>
      <c r="DZ11" s="135">
        <f t="shared" si="55"/>
        <v>0</v>
      </c>
      <c r="EA11" s="135">
        <f t="shared" si="55"/>
        <v>0</v>
      </c>
      <c r="EB11" s="135">
        <f t="shared" si="55"/>
        <v>0</v>
      </c>
      <c r="EC11" s="135">
        <f t="shared" si="55"/>
        <v>0</v>
      </c>
      <c r="ED11" s="135">
        <f t="shared" si="55"/>
        <v>0</v>
      </c>
      <c r="EE11" s="135">
        <f t="shared" si="55"/>
        <v>0</v>
      </c>
      <c r="EF11" s="135">
        <f t="shared" si="55"/>
        <v>0</v>
      </c>
      <c r="EG11" s="135">
        <f t="shared" si="55"/>
        <v>0</v>
      </c>
      <c r="EH11" s="135">
        <f t="shared" si="37"/>
        <v>0</v>
      </c>
      <c r="EI11" s="135">
        <f t="shared" si="44"/>
        <v>0</v>
      </c>
      <c r="EJ11" s="135">
        <f t="shared" si="44"/>
        <v>0</v>
      </c>
      <c r="EK11" s="135">
        <f t="shared" si="44"/>
        <v>0</v>
      </c>
      <c r="EL11" s="135">
        <f t="shared" si="44"/>
        <v>0</v>
      </c>
      <c r="EM11" s="135">
        <f t="shared" si="44"/>
        <v>0</v>
      </c>
      <c r="EN11" s="135">
        <f t="shared" si="44"/>
        <v>0</v>
      </c>
      <c r="EO11" s="135">
        <f t="shared" si="44"/>
        <v>0</v>
      </c>
      <c r="EP11" s="135">
        <f t="shared" si="44"/>
        <v>0</v>
      </c>
      <c r="EQ11" s="135">
        <f t="shared" si="44"/>
        <v>0</v>
      </c>
      <c r="ER11" s="135">
        <f t="shared" si="44"/>
        <v>0</v>
      </c>
      <c r="ES11" s="135">
        <f t="shared" si="44"/>
        <v>0</v>
      </c>
      <c r="ET11" s="135">
        <f t="shared" si="44"/>
        <v>0</v>
      </c>
      <c r="EU11" s="135">
        <f t="shared" si="44"/>
        <v>0</v>
      </c>
      <c r="EV11" s="135">
        <f t="shared" si="44"/>
        <v>0</v>
      </c>
      <c r="EW11" s="135">
        <f t="shared" si="44"/>
        <v>0</v>
      </c>
      <c r="EX11" s="135">
        <f t="shared" si="44"/>
        <v>0</v>
      </c>
      <c r="EY11" s="135">
        <f t="shared" si="44"/>
        <v>0</v>
      </c>
      <c r="EZ11" s="135">
        <f t="shared" si="44"/>
        <v>0</v>
      </c>
      <c r="FA11" s="135">
        <f t="shared" si="44"/>
        <v>0</v>
      </c>
      <c r="FB11" s="135">
        <f t="shared" si="44"/>
        <v>0</v>
      </c>
      <c r="FC11" s="135">
        <f t="shared" si="44"/>
        <v>0</v>
      </c>
      <c r="FD11" s="135">
        <f t="shared" si="44"/>
        <v>0</v>
      </c>
      <c r="FE11" s="135">
        <f t="shared" si="44"/>
        <v>0</v>
      </c>
      <c r="FF11" s="135">
        <f t="shared" si="44"/>
        <v>0</v>
      </c>
      <c r="FG11" s="135">
        <f t="shared" si="44"/>
        <v>0</v>
      </c>
      <c r="FH11" s="135">
        <f t="shared" si="44"/>
        <v>0</v>
      </c>
      <c r="FI11" s="135">
        <f t="shared" si="44"/>
        <v>0</v>
      </c>
      <c r="FJ11" s="135">
        <f t="shared" si="44"/>
        <v>0</v>
      </c>
      <c r="FK11" s="135">
        <f t="shared" si="44"/>
        <v>0</v>
      </c>
      <c r="FL11" s="135">
        <f t="shared" si="44"/>
        <v>0</v>
      </c>
      <c r="FM11" s="135">
        <f t="shared" si="44"/>
        <v>0</v>
      </c>
      <c r="FN11" s="135">
        <f t="shared" si="44"/>
        <v>0</v>
      </c>
      <c r="FO11" s="135">
        <f t="shared" si="44"/>
        <v>0</v>
      </c>
      <c r="FP11" s="135">
        <f t="shared" si="44"/>
        <v>0</v>
      </c>
      <c r="FQ11" s="135">
        <f t="shared" si="44"/>
        <v>0</v>
      </c>
      <c r="FR11" s="135">
        <f t="shared" si="44"/>
        <v>0</v>
      </c>
      <c r="FS11" s="135">
        <f t="shared" si="44"/>
        <v>0</v>
      </c>
      <c r="FT11" s="135">
        <f t="shared" si="44"/>
        <v>0</v>
      </c>
      <c r="FU11" s="135">
        <f t="shared" si="44"/>
        <v>0</v>
      </c>
      <c r="FV11" s="135">
        <f t="shared" si="44"/>
        <v>0</v>
      </c>
      <c r="FW11" s="135">
        <f t="shared" si="44"/>
        <v>0</v>
      </c>
      <c r="FX11" s="135">
        <f t="shared" si="44"/>
        <v>0</v>
      </c>
      <c r="FY11" s="135">
        <f t="shared" si="44"/>
        <v>0</v>
      </c>
      <c r="FZ11" s="135">
        <f t="shared" si="44"/>
        <v>0</v>
      </c>
      <c r="GA11" s="135">
        <f t="shared" si="44"/>
        <v>0</v>
      </c>
      <c r="GB11" s="135">
        <f t="shared" si="44"/>
        <v>0</v>
      </c>
      <c r="GC11" s="135">
        <f t="shared" si="44"/>
        <v>0</v>
      </c>
      <c r="GD11" s="135">
        <f t="shared" si="44"/>
        <v>0</v>
      </c>
      <c r="GE11" s="135">
        <f t="shared" si="44"/>
        <v>0</v>
      </c>
      <c r="GF11" s="135">
        <f t="shared" si="44"/>
        <v>0</v>
      </c>
      <c r="GG11" s="135">
        <f t="shared" si="44"/>
        <v>0</v>
      </c>
      <c r="GH11" s="135">
        <f t="shared" si="44"/>
        <v>0</v>
      </c>
      <c r="GI11" s="135">
        <f t="shared" si="44"/>
        <v>0</v>
      </c>
      <c r="GJ11" s="135">
        <f t="shared" si="44"/>
        <v>0</v>
      </c>
      <c r="GK11" s="135">
        <f t="shared" si="44"/>
        <v>0</v>
      </c>
      <c r="GL11" s="135">
        <f t="shared" si="44"/>
        <v>0</v>
      </c>
      <c r="GM11" s="135">
        <f t="shared" si="44"/>
        <v>0</v>
      </c>
      <c r="GN11" s="135">
        <f t="shared" si="44"/>
        <v>0</v>
      </c>
      <c r="GO11" s="135">
        <f t="shared" si="44"/>
        <v>0</v>
      </c>
      <c r="GP11" s="135">
        <f t="shared" si="44"/>
        <v>0</v>
      </c>
      <c r="GQ11" s="135">
        <f t="shared" si="44"/>
        <v>0</v>
      </c>
      <c r="GR11" s="135">
        <f t="shared" si="44"/>
        <v>0</v>
      </c>
      <c r="GS11" s="135">
        <f t="shared" si="44"/>
        <v>0</v>
      </c>
      <c r="GT11" s="135">
        <f t="shared" si="44"/>
        <v>0</v>
      </c>
      <c r="GU11" s="135">
        <f t="shared" si="41"/>
        <v>0</v>
      </c>
      <c r="GV11" s="135">
        <f t="shared" si="41"/>
        <v>0</v>
      </c>
      <c r="GW11" s="135">
        <f>IFERROR(IF(GW$1=EOMONTH($G11,0),(-$E11+($E11*(DAY($G11)/DAY(EOMONTH(GW$1,0)))*$F11/12*(1-0.269))),IF(GW$1=$G11,($E11+($E11*(DAY($I11)/DAY(EOMONTH(GW$1,0)))*$F11/12*(1-0.269))),IFERROR(IF($I11&lt;GW$1,0,IF(GW$1&gt;$I11,(($F11/12)*$E11)*(DAY($I11)/DAY(EOMONTH(GW$1,0)))*(1-26.9/100)+$E11,IF(AND(GW$1&gt;=$G11,GW$1&lt;$I11),(($F11/12)*$E11)*(1-26.9/100),""))-IF(GW$1=EOMONTH($G11,0),$E11,"0")),0)+IF(GW$1=EOMONTH($I11,0),($E11+($E11*(DAY($I11)/DAY(EOMONTH(GW$1,0)))*$F11/12*(1-0.269))),"0"))),0)</f>
        <v>0</v>
      </c>
      <c r="GX11" s="135">
        <f t="shared" si="45"/>
        <v>0</v>
      </c>
      <c r="GY11" s="135">
        <f t="shared" si="45"/>
        <v>0</v>
      </c>
      <c r="GZ11" s="135">
        <f t="shared" si="45"/>
        <v>0</v>
      </c>
      <c r="HA11" s="135">
        <f t="shared" si="45"/>
        <v>0</v>
      </c>
      <c r="HB11" s="135">
        <f t="shared" si="45"/>
        <v>0</v>
      </c>
      <c r="HC11" s="135">
        <f t="shared" si="45"/>
        <v>0</v>
      </c>
      <c r="HD11" s="135">
        <f t="shared" si="45"/>
        <v>0</v>
      </c>
      <c r="HE11" s="135">
        <f t="shared" si="45"/>
        <v>0</v>
      </c>
      <c r="HF11" s="135">
        <f t="shared" si="45"/>
        <v>0</v>
      </c>
      <c r="HG11" s="135">
        <f t="shared" si="45"/>
        <v>0</v>
      </c>
      <c r="HH11" s="135">
        <f t="shared" si="46"/>
        <v>0</v>
      </c>
      <c r="HI11" s="135">
        <f t="shared" si="46"/>
        <v>0</v>
      </c>
      <c r="HJ11" s="135">
        <f t="shared" si="46"/>
        <v>0</v>
      </c>
      <c r="HK11" s="135">
        <f t="shared" si="46"/>
        <v>0</v>
      </c>
      <c r="HL11" s="135">
        <f t="shared" si="46"/>
        <v>0</v>
      </c>
      <c r="HM11" s="135">
        <f t="shared" si="46"/>
        <v>0</v>
      </c>
      <c r="HN11" s="135">
        <f t="shared" si="46"/>
        <v>0</v>
      </c>
      <c r="HO11" s="135">
        <f t="shared" si="46"/>
        <v>0</v>
      </c>
      <c r="HP11" s="135">
        <f t="shared" si="46"/>
        <v>0</v>
      </c>
      <c r="HQ11" s="135">
        <f t="shared" si="46"/>
        <v>0</v>
      </c>
      <c r="HR11" s="135">
        <f t="shared" si="47"/>
        <v>0</v>
      </c>
      <c r="HS11" s="135">
        <f t="shared" si="47"/>
        <v>0</v>
      </c>
      <c r="HT11" s="135">
        <f t="shared" si="47"/>
        <v>0</v>
      </c>
      <c r="HU11" s="135">
        <f t="shared" si="47"/>
        <v>0</v>
      </c>
      <c r="HV11" s="135">
        <f t="shared" si="47"/>
        <v>0</v>
      </c>
      <c r="HW11" s="135">
        <f t="shared" si="47"/>
        <v>0</v>
      </c>
      <c r="HX11" s="135">
        <f t="shared" si="47"/>
        <v>0</v>
      </c>
      <c r="HY11" s="135">
        <f t="shared" si="47"/>
        <v>0</v>
      </c>
      <c r="HZ11" s="135">
        <f t="shared" si="47"/>
        <v>0</v>
      </c>
      <c r="IA11" s="135">
        <f t="shared" si="47"/>
        <v>0</v>
      </c>
      <c r="IB11" s="135">
        <f t="shared" si="48"/>
        <v>0</v>
      </c>
      <c r="IC11" s="135">
        <f t="shared" si="48"/>
        <v>0</v>
      </c>
      <c r="ID11" s="135">
        <f t="shared" si="48"/>
        <v>0</v>
      </c>
      <c r="IE11" s="135">
        <f t="shared" si="48"/>
        <v>0</v>
      </c>
      <c r="IF11" s="135">
        <f t="shared" si="48"/>
        <v>0</v>
      </c>
      <c r="IG11" s="135">
        <f t="shared" si="48"/>
        <v>0</v>
      </c>
      <c r="IH11" s="135">
        <f t="shared" si="48"/>
        <v>0</v>
      </c>
      <c r="II11" s="135">
        <f t="shared" si="48"/>
        <v>0</v>
      </c>
      <c r="IJ11" s="135">
        <f t="shared" si="48"/>
        <v>0</v>
      </c>
      <c r="IK11" s="135">
        <f t="shared" si="48"/>
        <v>0</v>
      </c>
      <c r="IL11" s="135">
        <f t="shared" si="49"/>
        <v>0</v>
      </c>
      <c r="IM11" s="135">
        <f t="shared" si="49"/>
        <v>0</v>
      </c>
      <c r="IN11" s="135">
        <f t="shared" si="49"/>
        <v>0</v>
      </c>
      <c r="IO11" s="135">
        <f t="shared" si="49"/>
        <v>0</v>
      </c>
      <c r="IP11" s="135">
        <f t="shared" si="49"/>
        <v>0</v>
      </c>
      <c r="IQ11" s="135">
        <f t="shared" si="49"/>
        <v>0</v>
      </c>
      <c r="IR11" s="135">
        <f t="shared" si="49"/>
        <v>0</v>
      </c>
      <c r="IS11" s="135">
        <f t="shared" si="49"/>
        <v>0</v>
      </c>
      <c r="IT11" s="135">
        <f t="shared" si="49"/>
        <v>0</v>
      </c>
      <c r="IU11" s="135">
        <f t="shared" si="49"/>
        <v>0</v>
      </c>
      <c r="IV11" s="135">
        <f t="shared" si="50"/>
        <v>0</v>
      </c>
      <c r="IW11" s="135">
        <f t="shared" si="50"/>
        <v>0</v>
      </c>
      <c r="IX11" s="135">
        <f t="shared" si="50"/>
        <v>0</v>
      </c>
      <c r="IY11" s="135">
        <f t="shared" si="50"/>
        <v>0</v>
      </c>
      <c r="IZ11" s="135">
        <f t="shared" si="50"/>
        <v>0</v>
      </c>
      <c r="JA11" s="135">
        <f t="shared" si="50"/>
        <v>0</v>
      </c>
      <c r="JB11" s="135">
        <f t="shared" si="50"/>
        <v>0</v>
      </c>
      <c r="JC11" s="135">
        <f t="shared" si="50"/>
        <v>0</v>
      </c>
      <c r="JD11" s="135">
        <f t="shared" si="50"/>
        <v>0</v>
      </c>
      <c r="JE11" s="135">
        <f t="shared" si="50"/>
        <v>0</v>
      </c>
      <c r="JF11" s="135">
        <f t="shared" si="50"/>
        <v>0</v>
      </c>
      <c r="JG11" s="135">
        <f t="shared" si="50"/>
        <v>0</v>
      </c>
      <c r="JH11" s="135">
        <f t="shared" si="50"/>
        <v>0</v>
      </c>
      <c r="JI11" s="135">
        <f t="shared" si="50"/>
        <v>0</v>
      </c>
      <c r="JJ11" s="135">
        <f t="shared" si="42"/>
        <v>0</v>
      </c>
      <c r="JK11" s="135">
        <f t="shared" si="42"/>
        <v>0</v>
      </c>
      <c r="JL11" s="135">
        <f t="shared" si="42"/>
        <v>0</v>
      </c>
      <c r="JM11" s="135">
        <f t="shared" si="42"/>
        <v>0</v>
      </c>
      <c r="JN11" s="135">
        <f t="shared" si="42"/>
        <v>0</v>
      </c>
      <c r="JO11" s="135">
        <f t="shared" si="42"/>
        <v>0</v>
      </c>
      <c r="JP11" s="135">
        <f t="shared" si="42"/>
        <v>0</v>
      </c>
      <c r="JQ11" s="135">
        <f t="shared" si="42"/>
        <v>0</v>
      </c>
      <c r="JR11" s="135">
        <f t="shared" si="42"/>
        <v>0</v>
      </c>
      <c r="JS11" s="135">
        <f t="shared" si="42"/>
        <v>0</v>
      </c>
      <c r="JT11" s="135">
        <f t="shared" si="42"/>
        <v>0</v>
      </c>
      <c r="JU11" s="135">
        <f t="shared" si="42"/>
        <v>0</v>
      </c>
      <c r="JV11" s="135">
        <f t="shared" si="42"/>
        <v>0</v>
      </c>
      <c r="JW11" s="135">
        <f t="shared" si="42"/>
        <v>0</v>
      </c>
      <c r="JX11" s="135">
        <f t="shared" si="42"/>
        <v>0</v>
      </c>
      <c r="JY11" s="135">
        <f t="shared" si="42"/>
        <v>0</v>
      </c>
      <c r="JZ11" s="135">
        <f t="shared" si="42"/>
        <v>0</v>
      </c>
      <c r="KA11" s="135">
        <f t="shared" si="42"/>
        <v>0</v>
      </c>
      <c r="KB11" s="135">
        <f t="shared" si="42"/>
        <v>0</v>
      </c>
      <c r="KC11" s="135">
        <f t="shared" si="42"/>
        <v>0</v>
      </c>
      <c r="KD11" s="135">
        <f t="shared" si="42"/>
        <v>0</v>
      </c>
      <c r="KE11" s="135">
        <f t="shared" si="42"/>
        <v>0</v>
      </c>
      <c r="KF11" s="135">
        <f t="shared" si="42"/>
        <v>0</v>
      </c>
      <c r="KG11" s="135">
        <f t="shared" si="42"/>
        <v>0</v>
      </c>
      <c r="KH11" s="135">
        <f t="shared" si="42"/>
        <v>0</v>
      </c>
      <c r="KI11" s="135">
        <f t="shared" si="42"/>
        <v>0</v>
      </c>
      <c r="KJ11" s="135">
        <f t="shared" si="42"/>
        <v>0</v>
      </c>
      <c r="KK11" s="135">
        <f t="shared" si="42"/>
        <v>0</v>
      </c>
      <c r="KL11" s="135">
        <f t="shared" si="42"/>
        <v>0</v>
      </c>
      <c r="KM11" s="135">
        <f t="shared" si="42"/>
        <v>0</v>
      </c>
      <c r="KN11" s="135">
        <f t="shared" si="42"/>
        <v>0</v>
      </c>
      <c r="KO11" s="135">
        <f t="shared" si="42"/>
        <v>0</v>
      </c>
      <c r="KP11" s="135">
        <f t="shared" si="42"/>
        <v>0</v>
      </c>
      <c r="KQ11" s="135">
        <f t="shared" si="42"/>
        <v>0</v>
      </c>
      <c r="KR11" s="135">
        <f t="shared" si="42"/>
        <v>0</v>
      </c>
      <c r="KS11" s="135">
        <f t="shared" si="42"/>
        <v>0</v>
      </c>
      <c r="KT11" s="135">
        <f t="shared" si="42"/>
        <v>0</v>
      </c>
      <c r="KU11" s="135">
        <f t="shared" si="42"/>
        <v>0</v>
      </c>
      <c r="KV11" s="135">
        <f t="shared" si="42"/>
        <v>0</v>
      </c>
      <c r="KW11" s="135">
        <f t="shared" si="42"/>
        <v>0</v>
      </c>
      <c r="KX11" s="135">
        <f t="shared" si="42"/>
        <v>0</v>
      </c>
      <c r="KY11" s="135">
        <f t="shared" si="42"/>
        <v>0</v>
      </c>
      <c r="KZ11" s="135">
        <f t="shared" si="42"/>
        <v>0</v>
      </c>
      <c r="LA11" s="135">
        <f t="shared" si="42"/>
        <v>0</v>
      </c>
      <c r="LB11" s="135">
        <f t="shared" si="42"/>
        <v>0</v>
      </c>
      <c r="LC11" s="135">
        <f t="shared" si="42"/>
        <v>0</v>
      </c>
      <c r="LD11" s="135">
        <f t="shared" si="42"/>
        <v>0</v>
      </c>
      <c r="LE11" s="135">
        <f t="shared" si="42"/>
        <v>0</v>
      </c>
      <c r="LF11" s="135">
        <f t="shared" si="42"/>
        <v>0</v>
      </c>
      <c r="LG11" s="135">
        <f t="shared" si="42"/>
        <v>0</v>
      </c>
      <c r="LH11" s="135">
        <f t="shared" si="42"/>
        <v>0</v>
      </c>
      <c r="LI11" s="135">
        <f t="shared" si="42"/>
        <v>0</v>
      </c>
      <c r="LJ11" s="135">
        <f t="shared" si="42"/>
        <v>0</v>
      </c>
      <c r="LK11" s="135">
        <f t="shared" si="42"/>
        <v>0</v>
      </c>
      <c r="LL11" s="135">
        <f t="shared" si="42"/>
        <v>0</v>
      </c>
      <c r="LM11" s="135">
        <f t="shared" si="42"/>
        <v>0</v>
      </c>
      <c r="LN11" s="135">
        <f t="shared" si="42"/>
        <v>0</v>
      </c>
      <c r="LO11" s="135">
        <f t="shared" si="42"/>
        <v>0</v>
      </c>
      <c r="LP11" s="135">
        <f t="shared" si="42"/>
        <v>0</v>
      </c>
      <c r="LQ11" s="135">
        <f t="shared" si="42"/>
        <v>0</v>
      </c>
      <c r="LR11" s="135">
        <f t="shared" si="42"/>
        <v>0</v>
      </c>
      <c r="LS11" s="135">
        <f t="shared" si="42"/>
        <v>0</v>
      </c>
      <c r="LT11" s="135">
        <f t="shared" si="42"/>
        <v>0</v>
      </c>
      <c r="LU11" s="135">
        <f t="shared" ref="LU11:OF15" si="56">IFERROR(IF(LU$1=EOMONTH($G11,0),(-$E11+($E11*(DAY($G11)/DAY(EOMONTH(LU$1,0)))*$F11/12*(1-0.269))),IF(LU$1=$G11,($E11+($E11*(DAY($I11)/DAY(EOMONTH(LU$1,0)))*$F11/12*(1-0.269))),IFERROR(IF($I11&lt;LU$1,0,IF(LU$1&gt;$I11,(($F11/12)*$E11)*(DAY($I11)/DAY(EOMONTH(LU$1,0)))*(1-26.9/100)+$E11,IF(AND(LU$1&gt;=$G11,LU$1&lt;$I11),(($F11/12)*$E11)*(1-26.9/100),""))-IF(LU$1=EOMONTH($G11,0),$E11,"0")),0)+IF(LU$1=EOMONTH($I11,0),($E11+($E11*(DAY($I11)/DAY(EOMONTH(LU$1,0)))*$F11/12*(1-0.269))),"0"))),0)</f>
        <v>0</v>
      </c>
      <c r="LV11" s="135">
        <f t="shared" si="56"/>
        <v>0</v>
      </c>
      <c r="LW11" s="135">
        <f t="shared" si="56"/>
        <v>0</v>
      </c>
      <c r="LX11" s="135">
        <f t="shared" si="56"/>
        <v>0</v>
      </c>
      <c r="LY11" s="135">
        <f t="shared" si="56"/>
        <v>0</v>
      </c>
      <c r="LZ11" s="135">
        <f t="shared" si="56"/>
        <v>0</v>
      </c>
      <c r="MA11" s="135">
        <f t="shared" si="56"/>
        <v>0</v>
      </c>
      <c r="MB11" s="135">
        <f t="shared" si="56"/>
        <v>0</v>
      </c>
      <c r="MC11" s="135">
        <f t="shared" si="56"/>
        <v>0</v>
      </c>
      <c r="MD11" s="135">
        <f t="shared" si="56"/>
        <v>0</v>
      </c>
      <c r="ME11" s="135">
        <f t="shared" si="56"/>
        <v>0</v>
      </c>
      <c r="MF11" s="135">
        <f t="shared" si="56"/>
        <v>0</v>
      </c>
      <c r="MG11" s="135">
        <f t="shared" si="56"/>
        <v>0</v>
      </c>
      <c r="MH11" s="135">
        <f t="shared" si="56"/>
        <v>0</v>
      </c>
      <c r="MI11" s="135">
        <f t="shared" si="56"/>
        <v>0</v>
      </c>
      <c r="MJ11" s="135">
        <f t="shared" si="56"/>
        <v>0</v>
      </c>
      <c r="MK11" s="135">
        <f t="shared" si="56"/>
        <v>0</v>
      </c>
      <c r="ML11" s="135">
        <f t="shared" si="56"/>
        <v>0</v>
      </c>
      <c r="MM11" s="135">
        <f t="shared" si="56"/>
        <v>0</v>
      </c>
      <c r="MN11" s="135">
        <f t="shared" si="56"/>
        <v>0</v>
      </c>
      <c r="MO11" s="135">
        <f t="shared" si="56"/>
        <v>0</v>
      </c>
      <c r="MP11" s="135">
        <f t="shared" si="56"/>
        <v>0</v>
      </c>
      <c r="MQ11" s="135">
        <f t="shared" si="56"/>
        <v>0</v>
      </c>
      <c r="MR11" s="135">
        <f t="shared" si="56"/>
        <v>0</v>
      </c>
      <c r="MS11" s="135">
        <f t="shared" si="56"/>
        <v>0</v>
      </c>
      <c r="MT11" s="135">
        <f t="shared" si="56"/>
        <v>0</v>
      </c>
      <c r="MU11" s="135">
        <f t="shared" si="56"/>
        <v>0</v>
      </c>
      <c r="MV11" s="135">
        <f t="shared" si="56"/>
        <v>0</v>
      </c>
      <c r="MW11" s="135">
        <f t="shared" si="56"/>
        <v>0</v>
      </c>
      <c r="MX11" s="135">
        <f t="shared" si="56"/>
        <v>0</v>
      </c>
      <c r="MY11" s="135">
        <f t="shared" si="56"/>
        <v>0</v>
      </c>
      <c r="MZ11" s="135">
        <f t="shared" si="56"/>
        <v>0</v>
      </c>
      <c r="NA11" s="135">
        <f t="shared" si="56"/>
        <v>0</v>
      </c>
      <c r="NB11" s="135">
        <f t="shared" si="56"/>
        <v>0</v>
      </c>
      <c r="NC11" s="135">
        <f t="shared" si="56"/>
        <v>0</v>
      </c>
      <c r="ND11" s="135">
        <f t="shared" si="56"/>
        <v>0</v>
      </c>
      <c r="NE11" s="135">
        <f t="shared" si="56"/>
        <v>0</v>
      </c>
      <c r="NF11" s="135">
        <f t="shared" si="56"/>
        <v>0</v>
      </c>
      <c r="NG11" s="135">
        <f t="shared" si="56"/>
        <v>0</v>
      </c>
      <c r="NH11" s="135">
        <f t="shared" si="56"/>
        <v>0</v>
      </c>
      <c r="NI11" s="135">
        <f t="shared" si="56"/>
        <v>0</v>
      </c>
      <c r="NJ11" s="135">
        <f t="shared" si="56"/>
        <v>0</v>
      </c>
      <c r="NK11" s="135">
        <f t="shared" si="56"/>
        <v>0</v>
      </c>
      <c r="NL11" s="135">
        <f t="shared" si="56"/>
        <v>0</v>
      </c>
      <c r="NM11" s="135">
        <f t="shared" si="56"/>
        <v>0</v>
      </c>
      <c r="NN11" s="135">
        <f t="shared" si="56"/>
        <v>0</v>
      </c>
      <c r="NO11" s="135">
        <f t="shared" si="56"/>
        <v>0</v>
      </c>
      <c r="NP11" s="135">
        <f t="shared" si="56"/>
        <v>0</v>
      </c>
      <c r="NQ11" s="135">
        <f t="shared" si="56"/>
        <v>0</v>
      </c>
      <c r="NR11" s="135">
        <f t="shared" si="56"/>
        <v>0</v>
      </c>
      <c r="NS11" s="135">
        <f t="shared" si="56"/>
        <v>0</v>
      </c>
      <c r="NT11" s="135">
        <f t="shared" si="56"/>
        <v>0</v>
      </c>
      <c r="NU11" s="135">
        <f t="shared" si="56"/>
        <v>0</v>
      </c>
      <c r="NV11" s="135">
        <f t="shared" si="56"/>
        <v>0</v>
      </c>
      <c r="NW11" s="135">
        <f t="shared" si="56"/>
        <v>0</v>
      </c>
      <c r="NX11" s="135">
        <f t="shared" si="56"/>
        <v>0</v>
      </c>
      <c r="NY11" s="135">
        <f t="shared" si="56"/>
        <v>0</v>
      </c>
      <c r="NZ11" s="135">
        <f t="shared" si="56"/>
        <v>0</v>
      </c>
      <c r="OA11" s="135">
        <f t="shared" si="56"/>
        <v>0</v>
      </c>
      <c r="OB11" s="135">
        <f t="shared" si="56"/>
        <v>0</v>
      </c>
      <c r="OC11" s="135">
        <f t="shared" si="56"/>
        <v>0</v>
      </c>
      <c r="OD11" s="135">
        <f t="shared" si="56"/>
        <v>0</v>
      </c>
      <c r="OE11" s="135">
        <f t="shared" si="56"/>
        <v>0</v>
      </c>
      <c r="OF11" s="135">
        <f t="shared" si="56"/>
        <v>0</v>
      </c>
      <c r="OG11" s="135">
        <f t="shared" ref="OG11:OG29" si="57">IFERROR(IF(OG$1=EOMONTH($G11,0),(-$E11+($E11*(DAY($G11)/DAY(EOMONTH(OG$1,0)))*$F11/12*(1-0.269))),IF(OG$1=$G11,($E11+($E11*(DAY($I11)/DAY(EOMONTH(OG$1,0)))*$F11/12*(1-0.269))),IFERROR(IF($I11&lt;OG$1,0,IF(OG$1&gt;$I11,(($F11/12)*$E11)*(DAY($I11)/DAY(EOMONTH(OG$1,0)))*(1-26.9/100)+$E11,IF(AND(OG$1&gt;=$G11,OG$1&lt;$I11),(($F11/12)*$E11)*(1-26.9/100),""))-IF(OG$1=EOMONTH($G11,0),$E11,"0")),0)+IF(OG$1=EOMONTH($I11,0),($E11+($E11*(DAY($I11)/DAY(EOMONTH(OG$1,0)))*$F11/12*(1-0.269))),"0"))),0)</f>
        <v>0</v>
      </c>
      <c r="OH11" s="135">
        <f t="shared" si="43"/>
        <v>0</v>
      </c>
      <c r="OI11" s="135">
        <f t="shared" si="43"/>
        <v>0</v>
      </c>
      <c r="OJ11" s="135">
        <f t="shared" si="43"/>
        <v>0</v>
      </c>
      <c r="OK11" s="135">
        <f t="shared" si="43"/>
        <v>0</v>
      </c>
      <c r="OL11" s="135">
        <f t="shared" si="43"/>
        <v>0</v>
      </c>
      <c r="OM11" s="135">
        <f t="shared" si="43"/>
        <v>0</v>
      </c>
      <c r="ON11" s="135">
        <f t="shared" si="43"/>
        <v>0</v>
      </c>
      <c r="OO11" s="135">
        <f t="shared" si="43"/>
        <v>0</v>
      </c>
      <c r="OP11" s="135">
        <f t="shared" si="43"/>
        <v>0</v>
      </c>
      <c r="OQ11" s="135">
        <f t="shared" si="43"/>
        <v>0</v>
      </c>
      <c r="OR11" s="135">
        <f t="shared" si="43"/>
        <v>0</v>
      </c>
      <c r="OS11" s="135">
        <f t="shared" si="43"/>
        <v>0</v>
      </c>
      <c r="OT11" s="135">
        <f t="shared" si="43"/>
        <v>0</v>
      </c>
      <c r="OU11" s="135">
        <f t="shared" si="43"/>
        <v>0</v>
      </c>
      <c r="OV11" s="135">
        <f t="shared" si="43"/>
        <v>0</v>
      </c>
      <c r="OW11" s="135">
        <f t="shared" si="43"/>
        <v>0</v>
      </c>
      <c r="OX11" s="135">
        <f t="shared" si="43"/>
        <v>0</v>
      </c>
      <c r="OY11" s="135">
        <f t="shared" si="43"/>
        <v>0</v>
      </c>
      <c r="OZ11" s="135">
        <f t="shared" si="43"/>
        <v>0</v>
      </c>
      <c r="PA11" s="135">
        <f t="shared" si="43"/>
        <v>0</v>
      </c>
      <c r="PB11" s="135">
        <f t="shared" si="43"/>
        <v>0</v>
      </c>
      <c r="PC11" s="135">
        <f t="shared" si="43"/>
        <v>0</v>
      </c>
      <c r="PD11" s="135">
        <f t="shared" si="43"/>
        <v>0</v>
      </c>
      <c r="PE11" s="135">
        <f t="shared" si="43"/>
        <v>0</v>
      </c>
      <c r="PF11" s="135">
        <f t="shared" si="43"/>
        <v>0</v>
      </c>
      <c r="PG11" s="135">
        <f t="shared" si="43"/>
        <v>0</v>
      </c>
      <c r="PH11" s="135">
        <f t="shared" si="43"/>
        <v>0</v>
      </c>
      <c r="PI11" s="135">
        <f t="shared" si="43"/>
        <v>0</v>
      </c>
      <c r="PJ11" s="135">
        <f t="shared" si="43"/>
        <v>0</v>
      </c>
      <c r="PK11" s="135">
        <f t="shared" si="43"/>
        <v>0</v>
      </c>
      <c r="PL11" s="135">
        <f t="shared" si="43"/>
        <v>0</v>
      </c>
      <c r="PM11" s="135">
        <f t="shared" si="43"/>
        <v>0</v>
      </c>
      <c r="PN11" s="135">
        <f t="shared" si="43"/>
        <v>0</v>
      </c>
      <c r="PO11" s="135">
        <f t="shared" si="43"/>
        <v>0</v>
      </c>
      <c r="PP11" s="135">
        <f t="shared" si="43"/>
        <v>0</v>
      </c>
      <c r="PQ11" s="135">
        <f t="shared" si="43"/>
        <v>0</v>
      </c>
      <c r="PR11" s="135">
        <f t="shared" si="43"/>
        <v>0</v>
      </c>
      <c r="PS11" s="135">
        <f t="shared" si="43"/>
        <v>0</v>
      </c>
      <c r="PT11" s="135">
        <f t="shared" si="43"/>
        <v>0</v>
      </c>
      <c r="PU11" s="135">
        <f t="shared" si="43"/>
        <v>0</v>
      </c>
      <c r="PV11" s="135">
        <f t="shared" si="43"/>
        <v>0</v>
      </c>
      <c r="PW11" s="135">
        <f t="shared" si="43"/>
        <v>0</v>
      </c>
      <c r="PX11" s="135">
        <f t="shared" si="43"/>
        <v>0</v>
      </c>
      <c r="PY11" s="135">
        <f t="shared" si="43"/>
        <v>0</v>
      </c>
      <c r="PZ11" s="135">
        <f t="shared" si="43"/>
        <v>0</v>
      </c>
      <c r="QA11" s="135">
        <f t="shared" si="43"/>
        <v>0</v>
      </c>
      <c r="QB11" s="135">
        <f t="shared" si="43"/>
        <v>0</v>
      </c>
      <c r="QC11" s="135">
        <f t="shared" si="43"/>
        <v>0</v>
      </c>
      <c r="QD11" s="135">
        <f t="shared" si="43"/>
        <v>0</v>
      </c>
      <c r="QE11" s="135">
        <f t="shared" si="43"/>
        <v>0</v>
      </c>
      <c r="QF11" s="135">
        <f t="shared" si="43"/>
        <v>0</v>
      </c>
      <c r="QG11" s="135">
        <f t="shared" si="43"/>
        <v>0</v>
      </c>
      <c r="QH11" s="135">
        <f t="shared" si="43"/>
        <v>0</v>
      </c>
      <c r="QI11" s="135">
        <f t="shared" si="43"/>
        <v>0</v>
      </c>
      <c r="QJ11" s="135">
        <f t="shared" si="43"/>
        <v>0</v>
      </c>
      <c r="QK11" s="135">
        <f t="shared" si="43"/>
        <v>0</v>
      </c>
      <c r="QL11" s="135">
        <f t="shared" si="43"/>
        <v>0</v>
      </c>
      <c r="QM11" s="135">
        <f t="shared" si="43"/>
        <v>0</v>
      </c>
      <c r="QN11" s="135">
        <f t="shared" si="43"/>
        <v>0</v>
      </c>
      <c r="QO11" s="135">
        <f t="shared" si="43"/>
        <v>0</v>
      </c>
      <c r="QP11" s="135">
        <f t="shared" si="43"/>
        <v>0</v>
      </c>
      <c r="QQ11" s="135">
        <f t="shared" si="43"/>
        <v>0</v>
      </c>
      <c r="QR11" s="135">
        <f t="shared" si="43"/>
        <v>0</v>
      </c>
      <c r="QS11" s="135">
        <f t="shared" ref="QS11:TD15" si="58">IFERROR(IF(QS$1=EOMONTH($G11,0),(-$E11+($E11*(DAY($G11)/DAY(EOMONTH(QS$1,0)))*$F11/12*(1-0.269))),IF(QS$1=$G11,($E11+($E11*(DAY($I11)/DAY(EOMONTH(QS$1,0)))*$F11/12*(1-0.269))),IFERROR(IF($I11&lt;QS$1,0,IF(QS$1&gt;$I11,(($F11/12)*$E11)*(DAY($I11)/DAY(EOMONTH(QS$1,0)))*(1-26.9/100)+$E11,IF(AND(QS$1&gt;=$G11,QS$1&lt;$I11),(($F11/12)*$E11)*(1-26.9/100),""))-IF(QS$1=EOMONTH($G11,0),$E11,"0")),0)+IF(QS$1=EOMONTH($I11,0),($E11+($E11*(DAY($I11)/DAY(EOMONTH(QS$1,0)))*$F11/12*(1-0.269))),"0"))),0)</f>
        <v>0</v>
      </c>
      <c r="QT11" s="135">
        <f t="shared" si="58"/>
        <v>0</v>
      </c>
      <c r="QU11" s="135">
        <f t="shared" si="58"/>
        <v>0</v>
      </c>
      <c r="QV11" s="135">
        <f t="shared" si="58"/>
        <v>0</v>
      </c>
      <c r="QW11" s="135">
        <f t="shared" si="58"/>
        <v>0</v>
      </c>
      <c r="QX11" s="135">
        <f t="shared" si="58"/>
        <v>0</v>
      </c>
      <c r="QY11" s="135">
        <f t="shared" si="58"/>
        <v>0</v>
      </c>
      <c r="QZ11" s="135">
        <f t="shared" si="58"/>
        <v>0</v>
      </c>
      <c r="RA11" s="135">
        <f t="shared" si="58"/>
        <v>0</v>
      </c>
      <c r="RB11" s="135">
        <f t="shared" si="58"/>
        <v>0</v>
      </c>
      <c r="RC11" s="135">
        <f t="shared" si="58"/>
        <v>0</v>
      </c>
      <c r="RD11" s="135">
        <f t="shared" si="58"/>
        <v>0</v>
      </c>
      <c r="RE11" s="135">
        <f t="shared" si="58"/>
        <v>0</v>
      </c>
      <c r="RF11" s="135">
        <f t="shared" si="58"/>
        <v>0</v>
      </c>
      <c r="RG11" s="135">
        <f t="shared" si="58"/>
        <v>0</v>
      </c>
      <c r="RH11" s="135">
        <f t="shared" si="58"/>
        <v>0</v>
      </c>
      <c r="RI11" s="135">
        <f t="shared" si="58"/>
        <v>0</v>
      </c>
      <c r="RJ11" s="135">
        <f t="shared" si="58"/>
        <v>0</v>
      </c>
      <c r="RK11" s="135">
        <f t="shared" si="58"/>
        <v>0</v>
      </c>
      <c r="RL11" s="135">
        <f t="shared" si="58"/>
        <v>0</v>
      </c>
      <c r="RM11" s="135">
        <f t="shared" si="58"/>
        <v>0</v>
      </c>
      <c r="RN11" s="135">
        <f t="shared" si="58"/>
        <v>0</v>
      </c>
      <c r="RO11" s="135">
        <f t="shared" si="58"/>
        <v>0</v>
      </c>
      <c r="RP11" s="135">
        <f t="shared" si="58"/>
        <v>0</v>
      </c>
      <c r="RQ11" s="135">
        <f t="shared" si="58"/>
        <v>0</v>
      </c>
      <c r="RR11" s="135">
        <f t="shared" si="58"/>
        <v>0</v>
      </c>
      <c r="RS11" s="135">
        <f t="shared" si="58"/>
        <v>0</v>
      </c>
      <c r="RT11" s="135">
        <f t="shared" si="58"/>
        <v>0</v>
      </c>
      <c r="RU11" s="135">
        <f t="shared" si="58"/>
        <v>0</v>
      </c>
      <c r="RV11" s="135">
        <f t="shared" si="58"/>
        <v>0</v>
      </c>
      <c r="RW11" s="135">
        <f t="shared" si="58"/>
        <v>0</v>
      </c>
      <c r="RX11" s="135">
        <f t="shared" si="58"/>
        <v>0</v>
      </c>
      <c r="RY11" s="135">
        <f t="shared" si="58"/>
        <v>0</v>
      </c>
      <c r="RZ11" s="135">
        <f t="shared" si="58"/>
        <v>0</v>
      </c>
      <c r="SA11" s="135">
        <f t="shared" si="58"/>
        <v>0</v>
      </c>
      <c r="SB11" s="135">
        <f t="shared" si="58"/>
        <v>0</v>
      </c>
      <c r="SC11" s="135">
        <f t="shared" si="58"/>
        <v>0</v>
      </c>
      <c r="SD11" s="135">
        <f t="shared" si="58"/>
        <v>0</v>
      </c>
      <c r="SE11" s="135">
        <f t="shared" si="58"/>
        <v>0</v>
      </c>
      <c r="SF11" s="135">
        <f t="shared" si="58"/>
        <v>0</v>
      </c>
      <c r="SG11" s="135">
        <f t="shared" si="58"/>
        <v>0</v>
      </c>
      <c r="SH11" s="135">
        <f t="shared" si="58"/>
        <v>0</v>
      </c>
      <c r="SI11" s="135">
        <f t="shared" si="58"/>
        <v>0</v>
      </c>
      <c r="SJ11" s="135">
        <f t="shared" si="58"/>
        <v>0</v>
      </c>
      <c r="SK11" s="135">
        <f t="shared" si="58"/>
        <v>0</v>
      </c>
      <c r="SL11" s="135">
        <f t="shared" si="58"/>
        <v>0</v>
      </c>
      <c r="SM11" s="135">
        <f t="shared" si="58"/>
        <v>0</v>
      </c>
      <c r="SN11" s="135">
        <f t="shared" si="58"/>
        <v>0</v>
      </c>
      <c r="SO11" s="135">
        <f t="shared" si="58"/>
        <v>0</v>
      </c>
      <c r="SP11" s="135">
        <f t="shared" si="58"/>
        <v>0</v>
      </c>
      <c r="SQ11" s="135">
        <f t="shared" si="58"/>
        <v>0</v>
      </c>
      <c r="SR11" s="135">
        <f t="shared" si="58"/>
        <v>0</v>
      </c>
      <c r="SS11" s="135">
        <f t="shared" si="58"/>
        <v>0</v>
      </c>
      <c r="ST11" s="135">
        <f t="shared" si="58"/>
        <v>0</v>
      </c>
      <c r="SU11" s="135">
        <f t="shared" si="58"/>
        <v>0</v>
      </c>
      <c r="SV11" s="135">
        <f t="shared" si="58"/>
        <v>0</v>
      </c>
      <c r="SW11" s="135">
        <f t="shared" si="58"/>
        <v>0</v>
      </c>
      <c r="SX11" s="135">
        <f t="shared" si="58"/>
        <v>0</v>
      </c>
      <c r="SY11" s="135">
        <f t="shared" si="58"/>
        <v>0</v>
      </c>
      <c r="SZ11" s="135">
        <f t="shared" si="58"/>
        <v>0</v>
      </c>
      <c r="TA11" s="135">
        <f t="shared" si="58"/>
        <v>0</v>
      </c>
      <c r="TB11" s="135">
        <f t="shared" si="58"/>
        <v>0</v>
      </c>
      <c r="TC11" s="135">
        <f t="shared" si="58"/>
        <v>0</v>
      </c>
      <c r="TD11" s="135">
        <f t="shared" si="58"/>
        <v>0</v>
      </c>
      <c r="TE11" s="135">
        <f>IFERROR(IF(TE$1=EOMONTH($G11,0),(-$E11+($E11*(DAY($G11)/DAY(EOMONTH(TE$1,0)))*$F11/12*(1-0.269))),IF(TE$1=$G11,($E11+($E11*(DAY($I11)/DAY(EOMONTH(TE$1,0)))*$F11/12*(1-0.269))),IFERROR(IF($I11&lt;TE$1,0,IF(TE$1&gt;$I11,(($F11/12)*$E11)*(DAY($I11)/DAY(EOMONTH(TE$1,0)))*(1-26.9/100)+$E11,IF(AND(TE$1&gt;=$G11,TE$1&lt;$I11),(($F11/12)*$E11)*(1-26.9/100),""))-IF(TE$1=EOMONTH($G11,0),$E11,"0")),0)+IF(TE$1=EOMONTH($I11,0),($E11+($E11*(DAY($I11)/DAY(EOMONTH(TE$1,0)))*$F11/12*(1-0.269))),"0"))),0)</f>
        <v>0</v>
      </c>
      <c r="TF11" s="135">
        <f t="shared" si="30"/>
        <v>0</v>
      </c>
      <c r="TG11" s="135">
        <f t="shared" si="30"/>
        <v>0</v>
      </c>
      <c r="TH11" s="135">
        <f t="shared" si="30"/>
        <v>0</v>
      </c>
      <c r="TI11" s="135">
        <f t="shared" si="30"/>
        <v>0</v>
      </c>
      <c r="TJ11" s="135">
        <f t="shared" si="30"/>
        <v>0</v>
      </c>
      <c r="TK11" s="135">
        <f t="shared" si="30"/>
        <v>0</v>
      </c>
      <c r="TL11" s="135">
        <f t="shared" si="30"/>
        <v>0</v>
      </c>
      <c r="TM11" s="135">
        <f t="shared" si="30"/>
        <v>0</v>
      </c>
      <c r="TN11" s="135">
        <f t="shared" si="30"/>
        <v>0</v>
      </c>
      <c r="TO11" s="135">
        <f t="shared" si="30"/>
        <v>0</v>
      </c>
      <c r="TP11" s="135">
        <f t="shared" si="30"/>
        <v>0</v>
      </c>
      <c r="TQ11" s="135">
        <f t="shared" si="30"/>
        <v>0</v>
      </c>
      <c r="TR11" s="135">
        <f t="shared" si="30"/>
        <v>0</v>
      </c>
      <c r="TS11" s="135">
        <f t="shared" si="30"/>
        <v>0</v>
      </c>
      <c r="TT11" s="135">
        <f t="shared" si="30"/>
        <v>0</v>
      </c>
      <c r="TU11" s="135">
        <f t="shared" si="30"/>
        <v>0</v>
      </c>
      <c r="TV11" s="135">
        <f t="shared" si="30"/>
        <v>0</v>
      </c>
      <c r="TW11" s="135">
        <f t="shared" si="30"/>
        <v>0</v>
      </c>
      <c r="TX11" s="135">
        <f t="shared" si="30"/>
        <v>0</v>
      </c>
      <c r="TY11" s="135">
        <f t="shared" si="30"/>
        <v>0</v>
      </c>
      <c r="TZ11" s="135">
        <f t="shared" si="30"/>
        <v>0</v>
      </c>
      <c r="UA11" s="135">
        <f t="shared" si="30"/>
        <v>0</v>
      </c>
      <c r="UB11" s="135">
        <f t="shared" si="30"/>
        <v>0</v>
      </c>
      <c r="UC11" s="135">
        <f t="shared" si="30"/>
        <v>0</v>
      </c>
      <c r="UD11" s="135">
        <f t="shared" si="30"/>
        <v>0</v>
      </c>
      <c r="UE11" s="135">
        <f t="shared" si="30"/>
        <v>0</v>
      </c>
      <c r="UF11" s="135">
        <f t="shared" si="30"/>
        <v>0</v>
      </c>
      <c r="UG11" s="135">
        <f t="shared" si="30"/>
        <v>0</v>
      </c>
      <c r="UH11" s="135">
        <f t="shared" si="30"/>
        <v>0</v>
      </c>
      <c r="UI11" s="135">
        <f t="shared" si="30"/>
        <v>0</v>
      </c>
      <c r="UJ11" s="135">
        <f t="shared" si="30"/>
        <v>0</v>
      </c>
      <c r="UK11" s="135">
        <f t="shared" si="30"/>
        <v>0</v>
      </c>
    </row>
    <row r="12" spans="2:557">
      <c r="B12" t="str">
        <f>IF(Samenvatting!$F113&lt;&gt;0,Samenvatting!C113,"")</f>
        <v/>
      </c>
      <c r="C12" t="str">
        <f>IF(Samenvatting!$F113&lt;&gt;0,Samenvatting!D113,"")</f>
        <v/>
      </c>
      <c r="D12" t="str">
        <f>IF(Samenvatting!$F113&lt;&gt;0,Samenvatting!E113,"")</f>
        <v/>
      </c>
      <c r="E12" t="str">
        <f>IF(Samenvatting!$F113&lt;&gt;0,Samenvatting!F113,"")</f>
        <v/>
      </c>
      <c r="F12" t="str">
        <f>IF(Samenvatting!$F113&lt;&gt;0,Samenvatting!H113,"")</f>
        <v/>
      </c>
      <c r="G12" s="134" t="str">
        <f>IF(Samenvatting!$F113&lt;&gt;0,Samenvatting!I113,"")</f>
        <v/>
      </c>
      <c r="H12" t="str">
        <f>IF(Samenvatting!$F113&lt;&gt;0,Samenvatting!J113,"")</f>
        <v/>
      </c>
      <c r="I12" s="134" t="str">
        <f>IF(Samenvatting!$F113&lt;&gt;0,Samenvatting!K113,"")</f>
        <v/>
      </c>
      <c r="J12" s="135">
        <f t="shared" si="0"/>
        <v>0</v>
      </c>
      <c r="K12" s="135">
        <f t="shared" ref="K12:BV15" si="59">IFERROR(IF(K$1=EOMONTH($G12,0),(-$E12+($E12*(DAY($G12)/DAY(EOMONTH(K$1,0)))*$F12/12*(1-0.269))),IF(K$1=$G12,($E12+($E12*(DAY($I12)/DAY(EOMONTH(K$1,0)))*$F12/12*(1-0.269))),IFERROR(IF($I12&lt;K$1,0,IF(K$1&gt;$I12,(($F12/12)*$E12)*(DAY($I12)/DAY(EOMONTH(K$1,0)))*(1-26.9/100)+$E12,IF(AND(K$1&gt;=$G12,K$1&lt;$I12),(($F12/12)*$E12)*(1-26.9/100),""))-IF(K$1=EOMONTH($G12,0),$E12,"0")),0)+IF(K$1=EOMONTH($I12,0),($E12+($E12*(DAY($I12)/DAY(EOMONTH(K$1,0)))*$F12/12*(1-0.269))),"0"))),0)</f>
        <v>0</v>
      </c>
      <c r="L12" s="135">
        <f t="shared" si="59"/>
        <v>0</v>
      </c>
      <c r="M12" s="135">
        <f t="shared" si="59"/>
        <v>0</v>
      </c>
      <c r="N12" s="135">
        <f t="shared" si="59"/>
        <v>0</v>
      </c>
      <c r="O12" s="135">
        <f t="shared" si="59"/>
        <v>0</v>
      </c>
      <c r="P12" s="135">
        <f t="shared" si="59"/>
        <v>0</v>
      </c>
      <c r="Q12" s="135">
        <f t="shared" si="59"/>
        <v>0</v>
      </c>
      <c r="R12" s="135">
        <f t="shared" si="59"/>
        <v>0</v>
      </c>
      <c r="S12" s="135">
        <f t="shared" si="59"/>
        <v>0</v>
      </c>
      <c r="T12" s="135">
        <f t="shared" si="59"/>
        <v>0</v>
      </c>
      <c r="U12" s="135">
        <f t="shared" si="59"/>
        <v>0</v>
      </c>
      <c r="V12" s="135">
        <f t="shared" si="59"/>
        <v>0</v>
      </c>
      <c r="W12" s="135">
        <f t="shared" si="59"/>
        <v>0</v>
      </c>
      <c r="X12" s="135">
        <f t="shared" si="59"/>
        <v>0</v>
      </c>
      <c r="Y12" s="135">
        <f t="shared" si="59"/>
        <v>0</v>
      </c>
      <c r="Z12" s="135">
        <f t="shared" si="59"/>
        <v>0</v>
      </c>
      <c r="AA12" s="135">
        <f t="shared" si="59"/>
        <v>0</v>
      </c>
      <c r="AB12" s="135">
        <f t="shared" si="59"/>
        <v>0</v>
      </c>
      <c r="AC12" s="135">
        <f t="shared" si="59"/>
        <v>0</v>
      </c>
      <c r="AD12" s="135">
        <f t="shared" si="59"/>
        <v>0</v>
      </c>
      <c r="AE12" s="135">
        <f t="shared" si="59"/>
        <v>0</v>
      </c>
      <c r="AF12" s="135">
        <f t="shared" si="59"/>
        <v>0</v>
      </c>
      <c r="AG12" s="135">
        <f t="shared" si="59"/>
        <v>0</v>
      </c>
      <c r="AH12" s="135">
        <f t="shared" si="59"/>
        <v>0</v>
      </c>
      <c r="AI12" s="135">
        <f t="shared" si="59"/>
        <v>0</v>
      </c>
      <c r="AJ12" s="135">
        <f t="shared" si="59"/>
        <v>0</v>
      </c>
      <c r="AK12" s="135">
        <f t="shared" si="59"/>
        <v>0</v>
      </c>
      <c r="AL12" s="135">
        <f t="shared" si="59"/>
        <v>0</v>
      </c>
      <c r="AM12" s="135">
        <f t="shared" si="59"/>
        <v>0</v>
      </c>
      <c r="AN12" s="135">
        <f t="shared" si="59"/>
        <v>0</v>
      </c>
      <c r="AO12" s="135">
        <f t="shared" si="59"/>
        <v>0</v>
      </c>
      <c r="AP12" s="135">
        <f t="shared" si="59"/>
        <v>0</v>
      </c>
      <c r="AQ12" s="135">
        <f t="shared" si="59"/>
        <v>0</v>
      </c>
      <c r="AR12" s="135">
        <f t="shared" si="59"/>
        <v>0</v>
      </c>
      <c r="AS12" s="135">
        <f t="shared" si="59"/>
        <v>0</v>
      </c>
      <c r="AT12" s="135">
        <f t="shared" si="59"/>
        <v>0</v>
      </c>
      <c r="AU12" s="135">
        <f t="shared" si="59"/>
        <v>0</v>
      </c>
      <c r="AV12" s="135">
        <f t="shared" si="59"/>
        <v>0</v>
      </c>
      <c r="AW12" s="135">
        <f t="shared" si="59"/>
        <v>0</v>
      </c>
      <c r="AX12" s="135">
        <f t="shared" si="59"/>
        <v>0</v>
      </c>
      <c r="AY12" s="135">
        <f t="shared" si="59"/>
        <v>0</v>
      </c>
      <c r="AZ12" s="135">
        <f t="shared" si="59"/>
        <v>0</v>
      </c>
      <c r="BA12" s="135">
        <f t="shared" si="59"/>
        <v>0</v>
      </c>
      <c r="BB12" s="135">
        <f t="shared" si="59"/>
        <v>0</v>
      </c>
      <c r="BC12" s="135">
        <f t="shared" si="59"/>
        <v>0</v>
      </c>
      <c r="BD12" s="135">
        <f t="shared" si="59"/>
        <v>0</v>
      </c>
      <c r="BE12" s="135">
        <f t="shared" si="59"/>
        <v>0</v>
      </c>
      <c r="BF12" s="135">
        <f t="shared" si="59"/>
        <v>0</v>
      </c>
      <c r="BG12" s="135">
        <f t="shared" si="59"/>
        <v>0</v>
      </c>
      <c r="BH12" s="135">
        <f t="shared" si="59"/>
        <v>0</v>
      </c>
      <c r="BI12" s="135">
        <f t="shared" si="59"/>
        <v>0</v>
      </c>
      <c r="BJ12" s="135">
        <f t="shared" si="59"/>
        <v>0</v>
      </c>
      <c r="BK12" s="135">
        <f t="shared" si="59"/>
        <v>0</v>
      </c>
      <c r="BL12" s="135">
        <f t="shared" si="59"/>
        <v>0</v>
      </c>
      <c r="BM12" s="135">
        <f t="shared" si="59"/>
        <v>0</v>
      </c>
      <c r="BN12" s="135">
        <f t="shared" si="59"/>
        <v>0</v>
      </c>
      <c r="BO12" s="135">
        <f t="shared" si="59"/>
        <v>0</v>
      </c>
      <c r="BP12" s="135">
        <f t="shared" si="59"/>
        <v>0</v>
      </c>
      <c r="BQ12" s="135">
        <f t="shared" si="59"/>
        <v>0</v>
      </c>
      <c r="BR12" s="135">
        <f t="shared" si="59"/>
        <v>0</v>
      </c>
      <c r="BS12" s="135">
        <f t="shared" si="59"/>
        <v>0</v>
      </c>
      <c r="BT12" s="135">
        <f t="shared" si="59"/>
        <v>0</v>
      </c>
      <c r="BU12" s="135">
        <f t="shared" si="59"/>
        <v>0</v>
      </c>
      <c r="BV12" s="135">
        <f t="shared" si="59"/>
        <v>0</v>
      </c>
      <c r="BW12" s="135">
        <f t="shared" si="55"/>
        <v>0</v>
      </c>
      <c r="BX12" s="135">
        <f t="shared" si="55"/>
        <v>0</v>
      </c>
      <c r="BY12" s="135">
        <f t="shared" si="55"/>
        <v>0</v>
      </c>
      <c r="BZ12" s="135">
        <f t="shared" si="55"/>
        <v>0</v>
      </c>
      <c r="CA12" s="135">
        <f t="shared" si="55"/>
        <v>0</v>
      </c>
      <c r="CB12" s="135">
        <f t="shared" si="55"/>
        <v>0</v>
      </c>
      <c r="CC12" s="135">
        <f t="shared" si="55"/>
        <v>0</v>
      </c>
      <c r="CD12" s="135">
        <f t="shared" si="55"/>
        <v>0</v>
      </c>
      <c r="CE12" s="135">
        <f t="shared" si="55"/>
        <v>0</v>
      </c>
      <c r="CF12" s="135">
        <f t="shared" si="55"/>
        <v>0</v>
      </c>
      <c r="CG12" s="135">
        <f t="shared" si="55"/>
        <v>0</v>
      </c>
      <c r="CH12" s="135">
        <f t="shared" si="55"/>
        <v>0</v>
      </c>
      <c r="CI12" s="135">
        <f t="shared" si="55"/>
        <v>0</v>
      </c>
      <c r="CJ12" s="135">
        <f t="shared" si="55"/>
        <v>0</v>
      </c>
      <c r="CK12" s="135">
        <f t="shared" si="55"/>
        <v>0</v>
      </c>
      <c r="CL12" s="135">
        <f t="shared" si="55"/>
        <v>0</v>
      </c>
      <c r="CM12" s="135">
        <f t="shared" si="55"/>
        <v>0</v>
      </c>
      <c r="CN12" s="135">
        <f t="shared" si="55"/>
        <v>0</v>
      </c>
      <c r="CO12" s="135">
        <f t="shared" si="55"/>
        <v>0</v>
      </c>
      <c r="CP12" s="135">
        <f t="shared" si="55"/>
        <v>0</v>
      </c>
      <c r="CQ12" s="135">
        <f t="shared" si="55"/>
        <v>0</v>
      </c>
      <c r="CR12" s="135">
        <f t="shared" si="55"/>
        <v>0</v>
      </c>
      <c r="CS12" s="135">
        <f t="shared" si="55"/>
        <v>0</v>
      </c>
      <c r="CT12" s="135">
        <f t="shared" si="55"/>
        <v>0</v>
      </c>
      <c r="CU12" s="135">
        <f t="shared" si="55"/>
        <v>0</v>
      </c>
      <c r="CV12" s="135">
        <f t="shared" si="55"/>
        <v>0</v>
      </c>
      <c r="CW12" s="135">
        <f t="shared" si="55"/>
        <v>0</v>
      </c>
      <c r="CX12" s="135">
        <f t="shared" si="55"/>
        <v>0</v>
      </c>
      <c r="CY12" s="135">
        <f t="shared" si="55"/>
        <v>0</v>
      </c>
      <c r="CZ12" s="135">
        <f t="shared" si="55"/>
        <v>0</v>
      </c>
      <c r="DA12" s="135">
        <f t="shared" si="55"/>
        <v>0</v>
      </c>
      <c r="DB12" s="135">
        <f t="shared" si="55"/>
        <v>0</v>
      </c>
      <c r="DC12" s="135">
        <f t="shared" si="55"/>
        <v>0</v>
      </c>
      <c r="DD12" s="135">
        <f t="shared" si="55"/>
        <v>0</v>
      </c>
      <c r="DE12" s="135">
        <f t="shared" si="55"/>
        <v>0</v>
      </c>
      <c r="DF12" s="135">
        <f t="shared" si="55"/>
        <v>0</v>
      </c>
      <c r="DG12" s="135">
        <f t="shared" si="55"/>
        <v>0</v>
      </c>
      <c r="DH12" s="135">
        <f t="shared" si="55"/>
        <v>0</v>
      </c>
      <c r="DI12" s="135">
        <f t="shared" si="55"/>
        <v>0</v>
      </c>
      <c r="DJ12" s="135">
        <f t="shared" si="55"/>
        <v>0</v>
      </c>
      <c r="DK12" s="135">
        <f t="shared" si="55"/>
        <v>0</v>
      </c>
      <c r="DL12" s="135">
        <f t="shared" si="55"/>
        <v>0</v>
      </c>
      <c r="DM12" s="135">
        <f t="shared" si="55"/>
        <v>0</v>
      </c>
      <c r="DN12" s="135">
        <f t="shared" si="55"/>
        <v>0</v>
      </c>
      <c r="DO12" s="135">
        <f t="shared" si="55"/>
        <v>0</v>
      </c>
      <c r="DP12" s="135">
        <f t="shared" si="55"/>
        <v>0</v>
      </c>
      <c r="DQ12" s="135">
        <f t="shared" si="55"/>
        <v>0</v>
      </c>
      <c r="DR12" s="135">
        <f t="shared" si="55"/>
        <v>0</v>
      </c>
      <c r="DS12" s="135">
        <f t="shared" si="55"/>
        <v>0</v>
      </c>
      <c r="DT12" s="135">
        <f t="shared" si="55"/>
        <v>0</v>
      </c>
      <c r="DU12" s="135">
        <f t="shared" si="55"/>
        <v>0</v>
      </c>
      <c r="DV12" s="135">
        <f t="shared" si="55"/>
        <v>0</v>
      </c>
      <c r="DW12" s="135">
        <f t="shared" si="55"/>
        <v>0</v>
      </c>
      <c r="DX12" s="135">
        <f t="shared" si="55"/>
        <v>0</v>
      </c>
      <c r="DY12" s="135">
        <f t="shared" si="55"/>
        <v>0</v>
      </c>
      <c r="DZ12" s="135">
        <f t="shared" si="55"/>
        <v>0</v>
      </c>
      <c r="EA12" s="135">
        <f t="shared" si="55"/>
        <v>0</v>
      </c>
      <c r="EB12" s="135">
        <f t="shared" si="55"/>
        <v>0</v>
      </c>
      <c r="EC12" s="135">
        <f t="shared" si="55"/>
        <v>0</v>
      </c>
      <c r="ED12" s="135">
        <f t="shared" si="55"/>
        <v>0</v>
      </c>
      <c r="EE12" s="135">
        <f t="shared" si="55"/>
        <v>0</v>
      </c>
      <c r="EF12" s="135">
        <f t="shared" si="55"/>
        <v>0</v>
      </c>
      <c r="EG12" s="135">
        <f t="shared" si="55"/>
        <v>0</v>
      </c>
      <c r="EH12" s="135">
        <f t="shared" si="37"/>
        <v>0</v>
      </c>
      <c r="EI12" s="135">
        <f t="shared" si="44"/>
        <v>0</v>
      </c>
      <c r="EJ12" s="135">
        <f t="shared" si="44"/>
        <v>0</v>
      </c>
      <c r="EK12" s="135">
        <f t="shared" si="44"/>
        <v>0</v>
      </c>
      <c r="EL12" s="135">
        <f t="shared" si="44"/>
        <v>0</v>
      </c>
      <c r="EM12" s="135">
        <f t="shared" si="44"/>
        <v>0</v>
      </c>
      <c r="EN12" s="135">
        <f t="shared" si="44"/>
        <v>0</v>
      </c>
      <c r="EO12" s="135">
        <f t="shared" si="44"/>
        <v>0</v>
      </c>
      <c r="EP12" s="135">
        <f t="shared" si="44"/>
        <v>0</v>
      </c>
      <c r="EQ12" s="135">
        <f t="shared" si="44"/>
        <v>0</v>
      </c>
      <c r="ER12" s="135">
        <f t="shared" si="44"/>
        <v>0</v>
      </c>
      <c r="ES12" s="135">
        <f t="shared" si="44"/>
        <v>0</v>
      </c>
      <c r="ET12" s="135">
        <f t="shared" si="44"/>
        <v>0</v>
      </c>
      <c r="EU12" s="135">
        <f t="shared" si="44"/>
        <v>0</v>
      </c>
      <c r="EV12" s="135">
        <f t="shared" si="44"/>
        <v>0</v>
      </c>
      <c r="EW12" s="135">
        <f t="shared" si="44"/>
        <v>0</v>
      </c>
      <c r="EX12" s="135">
        <f t="shared" si="44"/>
        <v>0</v>
      </c>
      <c r="EY12" s="135">
        <f t="shared" si="44"/>
        <v>0</v>
      </c>
      <c r="EZ12" s="135">
        <f t="shared" si="44"/>
        <v>0</v>
      </c>
      <c r="FA12" s="135">
        <f t="shared" si="44"/>
        <v>0</v>
      </c>
      <c r="FB12" s="135">
        <f t="shared" si="44"/>
        <v>0</v>
      </c>
      <c r="FC12" s="135">
        <f t="shared" si="44"/>
        <v>0</v>
      </c>
      <c r="FD12" s="135">
        <f t="shared" si="44"/>
        <v>0</v>
      </c>
      <c r="FE12" s="135">
        <f t="shared" si="44"/>
        <v>0</v>
      </c>
      <c r="FF12" s="135">
        <f t="shared" si="44"/>
        <v>0</v>
      </c>
      <c r="FG12" s="135">
        <f t="shared" si="44"/>
        <v>0</v>
      </c>
      <c r="FH12" s="135">
        <f t="shared" si="44"/>
        <v>0</v>
      </c>
      <c r="FI12" s="135">
        <f t="shared" si="44"/>
        <v>0</v>
      </c>
      <c r="FJ12" s="135">
        <f t="shared" si="44"/>
        <v>0</v>
      </c>
      <c r="FK12" s="135">
        <f t="shared" si="44"/>
        <v>0</v>
      </c>
      <c r="FL12" s="135">
        <f t="shared" si="44"/>
        <v>0</v>
      </c>
      <c r="FM12" s="135">
        <f t="shared" si="44"/>
        <v>0</v>
      </c>
      <c r="FN12" s="135">
        <f t="shared" si="44"/>
        <v>0</v>
      </c>
      <c r="FO12" s="135">
        <f t="shared" si="44"/>
        <v>0</v>
      </c>
      <c r="FP12" s="135">
        <f t="shared" si="44"/>
        <v>0</v>
      </c>
      <c r="FQ12" s="135">
        <f t="shared" si="44"/>
        <v>0</v>
      </c>
      <c r="FR12" s="135">
        <f t="shared" si="44"/>
        <v>0</v>
      </c>
      <c r="FS12" s="135">
        <f t="shared" si="44"/>
        <v>0</v>
      </c>
      <c r="FT12" s="135">
        <f t="shared" si="44"/>
        <v>0</v>
      </c>
      <c r="FU12" s="135">
        <f t="shared" si="44"/>
        <v>0</v>
      </c>
      <c r="FV12" s="135">
        <f t="shared" si="44"/>
        <v>0</v>
      </c>
      <c r="FW12" s="135">
        <f t="shared" si="44"/>
        <v>0</v>
      </c>
      <c r="FX12" s="135">
        <f t="shared" si="44"/>
        <v>0</v>
      </c>
      <c r="FY12" s="135">
        <f t="shared" si="44"/>
        <v>0</v>
      </c>
      <c r="FZ12" s="135">
        <f t="shared" si="44"/>
        <v>0</v>
      </c>
      <c r="GA12" s="135">
        <f t="shared" si="44"/>
        <v>0</v>
      </c>
      <c r="GB12" s="135">
        <f t="shared" si="44"/>
        <v>0</v>
      </c>
      <c r="GC12" s="135">
        <f t="shared" si="44"/>
        <v>0</v>
      </c>
      <c r="GD12" s="135">
        <f t="shared" si="44"/>
        <v>0</v>
      </c>
      <c r="GE12" s="135">
        <f t="shared" si="44"/>
        <v>0</v>
      </c>
      <c r="GF12" s="135">
        <f t="shared" si="44"/>
        <v>0</v>
      </c>
      <c r="GG12" s="135">
        <f t="shared" si="44"/>
        <v>0</v>
      </c>
      <c r="GH12" s="135">
        <f t="shared" si="44"/>
        <v>0</v>
      </c>
      <c r="GI12" s="135">
        <f t="shared" si="44"/>
        <v>0</v>
      </c>
      <c r="GJ12" s="135">
        <f t="shared" si="44"/>
        <v>0</v>
      </c>
      <c r="GK12" s="135">
        <f t="shared" si="44"/>
        <v>0</v>
      </c>
      <c r="GL12" s="135">
        <f t="shared" si="44"/>
        <v>0</v>
      </c>
      <c r="GM12" s="135">
        <f t="shared" si="44"/>
        <v>0</v>
      </c>
      <c r="GN12" s="135">
        <f t="shared" si="44"/>
        <v>0</v>
      </c>
      <c r="GO12" s="135">
        <f t="shared" si="44"/>
        <v>0</v>
      </c>
      <c r="GP12" s="135">
        <f t="shared" si="44"/>
        <v>0</v>
      </c>
      <c r="GQ12" s="135">
        <f t="shared" si="44"/>
        <v>0</v>
      </c>
      <c r="GR12" s="135">
        <f t="shared" si="44"/>
        <v>0</v>
      </c>
      <c r="GS12" s="135">
        <f t="shared" si="44"/>
        <v>0</v>
      </c>
      <c r="GT12" s="135">
        <f t="shared" si="44"/>
        <v>0</v>
      </c>
      <c r="GU12" s="135">
        <f t="shared" si="41"/>
        <v>0</v>
      </c>
      <c r="GV12" s="135">
        <f t="shared" si="41"/>
        <v>0</v>
      </c>
      <c r="GW12" s="135">
        <f>IFERROR(IF(GW$1=EOMONTH($G12,0),(-$E12+($E12*(DAY($G12)/DAY(EOMONTH(GW$1,0)))*$F12/12*(1-0.269))),IF(GW$1=$G12,($E12+($E12*(DAY($I12)/DAY(EOMONTH(GW$1,0)))*$F12/12*(1-0.269))),IFERROR(IF($I12&lt;GW$1,0,IF(GW$1&gt;$I12,(($F12/12)*$E12)*(DAY($I12)/DAY(EOMONTH(GW$1,0)))*(1-26.9/100)+$E12,IF(AND(GW$1&gt;=$G12,GW$1&lt;$I12),(($F12/12)*$E12)*(1-26.9/100),""))-IF(GW$1=EOMONTH($G12,0),$E12,"0")),0)+IF(GW$1=EOMONTH($I12,0),($E12+($E12*(DAY($I12)/DAY(EOMONTH(GW$1,0)))*$F12/12*(1-0.269))),"0"))),0)</f>
        <v>0</v>
      </c>
      <c r="GX12" s="135">
        <f t="shared" si="45"/>
        <v>0</v>
      </c>
      <c r="GY12" s="135">
        <f t="shared" si="45"/>
        <v>0</v>
      </c>
      <c r="GZ12" s="135">
        <f t="shared" si="45"/>
        <v>0</v>
      </c>
      <c r="HA12" s="135">
        <f t="shared" si="45"/>
        <v>0</v>
      </c>
      <c r="HB12" s="135">
        <f t="shared" si="45"/>
        <v>0</v>
      </c>
      <c r="HC12" s="135">
        <f t="shared" si="45"/>
        <v>0</v>
      </c>
      <c r="HD12" s="135">
        <f t="shared" si="45"/>
        <v>0</v>
      </c>
      <c r="HE12" s="135">
        <f t="shared" si="45"/>
        <v>0</v>
      </c>
      <c r="HF12" s="135">
        <f t="shared" si="45"/>
        <v>0</v>
      </c>
      <c r="HG12" s="135">
        <f t="shared" si="45"/>
        <v>0</v>
      </c>
      <c r="HH12" s="135">
        <f t="shared" si="46"/>
        <v>0</v>
      </c>
      <c r="HI12" s="135">
        <f t="shared" si="46"/>
        <v>0</v>
      </c>
      <c r="HJ12" s="135">
        <f t="shared" si="46"/>
        <v>0</v>
      </c>
      <c r="HK12" s="135">
        <f t="shared" si="46"/>
        <v>0</v>
      </c>
      <c r="HL12" s="135">
        <f t="shared" si="46"/>
        <v>0</v>
      </c>
      <c r="HM12" s="135">
        <f t="shared" si="46"/>
        <v>0</v>
      </c>
      <c r="HN12" s="135">
        <f t="shared" si="46"/>
        <v>0</v>
      </c>
      <c r="HO12" s="135">
        <f t="shared" si="46"/>
        <v>0</v>
      </c>
      <c r="HP12" s="135">
        <f t="shared" si="46"/>
        <v>0</v>
      </c>
      <c r="HQ12" s="135">
        <f t="shared" si="46"/>
        <v>0</v>
      </c>
      <c r="HR12" s="135">
        <f t="shared" si="47"/>
        <v>0</v>
      </c>
      <c r="HS12" s="135">
        <f t="shared" si="47"/>
        <v>0</v>
      </c>
      <c r="HT12" s="135">
        <f t="shared" si="47"/>
        <v>0</v>
      </c>
      <c r="HU12" s="135">
        <f t="shared" si="47"/>
        <v>0</v>
      </c>
      <c r="HV12" s="135">
        <f t="shared" si="47"/>
        <v>0</v>
      </c>
      <c r="HW12" s="135">
        <f t="shared" si="47"/>
        <v>0</v>
      </c>
      <c r="HX12" s="135">
        <f t="shared" si="47"/>
        <v>0</v>
      </c>
      <c r="HY12" s="135">
        <f t="shared" si="47"/>
        <v>0</v>
      </c>
      <c r="HZ12" s="135">
        <f t="shared" si="47"/>
        <v>0</v>
      </c>
      <c r="IA12" s="135">
        <f t="shared" si="47"/>
        <v>0</v>
      </c>
      <c r="IB12" s="135">
        <f t="shared" si="48"/>
        <v>0</v>
      </c>
      <c r="IC12" s="135">
        <f t="shared" si="48"/>
        <v>0</v>
      </c>
      <c r="ID12" s="135">
        <f t="shared" si="48"/>
        <v>0</v>
      </c>
      <c r="IE12" s="135">
        <f t="shared" si="48"/>
        <v>0</v>
      </c>
      <c r="IF12" s="135">
        <f t="shared" si="48"/>
        <v>0</v>
      </c>
      <c r="IG12" s="135">
        <f t="shared" si="48"/>
        <v>0</v>
      </c>
      <c r="IH12" s="135">
        <f t="shared" si="48"/>
        <v>0</v>
      </c>
      <c r="II12" s="135">
        <f t="shared" si="48"/>
        <v>0</v>
      </c>
      <c r="IJ12" s="135">
        <f t="shared" si="48"/>
        <v>0</v>
      </c>
      <c r="IK12" s="135">
        <f t="shared" si="48"/>
        <v>0</v>
      </c>
      <c r="IL12" s="135">
        <f t="shared" si="49"/>
        <v>0</v>
      </c>
      <c r="IM12" s="135">
        <f t="shared" si="49"/>
        <v>0</v>
      </c>
      <c r="IN12" s="135">
        <f t="shared" si="49"/>
        <v>0</v>
      </c>
      <c r="IO12" s="135">
        <f t="shared" si="49"/>
        <v>0</v>
      </c>
      <c r="IP12" s="135">
        <f t="shared" si="49"/>
        <v>0</v>
      </c>
      <c r="IQ12" s="135">
        <f t="shared" si="49"/>
        <v>0</v>
      </c>
      <c r="IR12" s="135">
        <f t="shared" si="49"/>
        <v>0</v>
      </c>
      <c r="IS12" s="135">
        <f t="shared" si="49"/>
        <v>0</v>
      </c>
      <c r="IT12" s="135">
        <f t="shared" si="49"/>
        <v>0</v>
      </c>
      <c r="IU12" s="135">
        <f t="shared" si="49"/>
        <v>0</v>
      </c>
      <c r="IV12" s="135">
        <f t="shared" si="50"/>
        <v>0</v>
      </c>
      <c r="IW12" s="135">
        <f t="shared" si="50"/>
        <v>0</v>
      </c>
      <c r="IX12" s="135">
        <f t="shared" si="50"/>
        <v>0</v>
      </c>
      <c r="IY12" s="135">
        <f t="shared" si="50"/>
        <v>0</v>
      </c>
      <c r="IZ12" s="135">
        <f t="shared" si="50"/>
        <v>0</v>
      </c>
      <c r="JA12" s="135">
        <f t="shared" si="50"/>
        <v>0</v>
      </c>
      <c r="JB12" s="135">
        <f t="shared" si="50"/>
        <v>0</v>
      </c>
      <c r="JC12" s="135">
        <f t="shared" si="50"/>
        <v>0</v>
      </c>
      <c r="JD12" s="135">
        <f t="shared" si="50"/>
        <v>0</v>
      </c>
      <c r="JE12" s="135">
        <f t="shared" si="50"/>
        <v>0</v>
      </c>
      <c r="JF12" s="135">
        <f t="shared" si="50"/>
        <v>0</v>
      </c>
      <c r="JG12" s="135">
        <f t="shared" si="50"/>
        <v>0</v>
      </c>
      <c r="JH12" s="135">
        <f t="shared" si="50"/>
        <v>0</v>
      </c>
      <c r="JI12" s="135">
        <f t="shared" si="50"/>
        <v>0</v>
      </c>
      <c r="JJ12" s="135">
        <f t="shared" si="42"/>
        <v>0</v>
      </c>
      <c r="JK12" s="135">
        <f t="shared" si="42"/>
        <v>0</v>
      </c>
      <c r="JL12" s="135">
        <f t="shared" si="42"/>
        <v>0</v>
      </c>
      <c r="JM12" s="135">
        <f t="shared" si="42"/>
        <v>0</v>
      </c>
      <c r="JN12" s="135">
        <f t="shared" si="42"/>
        <v>0</v>
      </c>
      <c r="JO12" s="135">
        <f t="shared" si="42"/>
        <v>0</v>
      </c>
      <c r="JP12" s="135">
        <f t="shared" si="42"/>
        <v>0</v>
      </c>
      <c r="JQ12" s="135">
        <f t="shared" si="42"/>
        <v>0</v>
      </c>
      <c r="JR12" s="135">
        <f t="shared" si="42"/>
        <v>0</v>
      </c>
      <c r="JS12" s="135">
        <f t="shared" si="42"/>
        <v>0</v>
      </c>
      <c r="JT12" s="135">
        <f t="shared" si="42"/>
        <v>0</v>
      </c>
      <c r="JU12" s="135">
        <f t="shared" si="42"/>
        <v>0</v>
      </c>
      <c r="JV12" s="135">
        <f t="shared" si="42"/>
        <v>0</v>
      </c>
      <c r="JW12" s="135">
        <f t="shared" si="42"/>
        <v>0</v>
      </c>
      <c r="JX12" s="135">
        <f t="shared" si="42"/>
        <v>0</v>
      </c>
      <c r="JY12" s="135">
        <f t="shared" si="42"/>
        <v>0</v>
      </c>
      <c r="JZ12" s="135">
        <f t="shared" si="42"/>
        <v>0</v>
      </c>
      <c r="KA12" s="135">
        <f t="shared" si="42"/>
        <v>0</v>
      </c>
      <c r="KB12" s="135">
        <f t="shared" si="42"/>
        <v>0</v>
      </c>
      <c r="KC12" s="135">
        <f t="shared" si="42"/>
        <v>0</v>
      </c>
      <c r="KD12" s="135">
        <f t="shared" si="42"/>
        <v>0</v>
      </c>
      <c r="KE12" s="135">
        <f t="shared" si="42"/>
        <v>0</v>
      </c>
      <c r="KF12" s="135">
        <f t="shared" si="42"/>
        <v>0</v>
      </c>
      <c r="KG12" s="135">
        <f t="shared" si="42"/>
        <v>0</v>
      </c>
      <c r="KH12" s="135">
        <f t="shared" si="42"/>
        <v>0</v>
      </c>
      <c r="KI12" s="135">
        <f t="shared" si="42"/>
        <v>0</v>
      </c>
      <c r="KJ12" s="135">
        <f t="shared" si="42"/>
        <v>0</v>
      </c>
      <c r="KK12" s="135">
        <f t="shared" si="42"/>
        <v>0</v>
      </c>
      <c r="KL12" s="135">
        <f t="shared" si="42"/>
        <v>0</v>
      </c>
      <c r="KM12" s="135">
        <f t="shared" si="42"/>
        <v>0</v>
      </c>
      <c r="KN12" s="135">
        <f t="shared" si="42"/>
        <v>0</v>
      </c>
      <c r="KO12" s="135">
        <f t="shared" si="42"/>
        <v>0</v>
      </c>
      <c r="KP12" s="135">
        <f t="shared" si="42"/>
        <v>0</v>
      </c>
      <c r="KQ12" s="135">
        <f t="shared" si="42"/>
        <v>0</v>
      </c>
      <c r="KR12" s="135">
        <f t="shared" si="42"/>
        <v>0</v>
      </c>
      <c r="KS12" s="135">
        <f t="shared" si="42"/>
        <v>0</v>
      </c>
      <c r="KT12" s="135">
        <f t="shared" si="42"/>
        <v>0</v>
      </c>
      <c r="KU12" s="135">
        <f t="shared" si="42"/>
        <v>0</v>
      </c>
      <c r="KV12" s="135">
        <f t="shared" si="42"/>
        <v>0</v>
      </c>
      <c r="KW12" s="135">
        <f t="shared" si="42"/>
        <v>0</v>
      </c>
      <c r="KX12" s="135">
        <f t="shared" si="42"/>
        <v>0</v>
      </c>
      <c r="KY12" s="135">
        <f t="shared" si="42"/>
        <v>0</v>
      </c>
      <c r="KZ12" s="135">
        <f t="shared" si="42"/>
        <v>0</v>
      </c>
      <c r="LA12" s="135">
        <f t="shared" si="42"/>
        <v>0</v>
      </c>
      <c r="LB12" s="135">
        <f t="shared" si="42"/>
        <v>0</v>
      </c>
      <c r="LC12" s="135">
        <f t="shared" si="42"/>
        <v>0</v>
      </c>
      <c r="LD12" s="135">
        <f t="shared" si="42"/>
        <v>0</v>
      </c>
      <c r="LE12" s="135">
        <f t="shared" si="42"/>
        <v>0</v>
      </c>
      <c r="LF12" s="135">
        <f t="shared" si="42"/>
        <v>0</v>
      </c>
      <c r="LG12" s="135">
        <f t="shared" si="42"/>
        <v>0</v>
      </c>
      <c r="LH12" s="135">
        <f t="shared" si="42"/>
        <v>0</v>
      </c>
      <c r="LI12" s="135">
        <f t="shared" si="42"/>
        <v>0</v>
      </c>
      <c r="LJ12" s="135">
        <f t="shared" si="42"/>
        <v>0</v>
      </c>
      <c r="LK12" s="135">
        <f t="shared" si="42"/>
        <v>0</v>
      </c>
      <c r="LL12" s="135">
        <f t="shared" si="42"/>
        <v>0</v>
      </c>
      <c r="LM12" s="135">
        <f t="shared" si="42"/>
        <v>0</v>
      </c>
      <c r="LN12" s="135">
        <f t="shared" si="42"/>
        <v>0</v>
      </c>
      <c r="LO12" s="135">
        <f t="shared" si="42"/>
        <v>0</v>
      </c>
      <c r="LP12" s="135">
        <f t="shared" si="42"/>
        <v>0</v>
      </c>
      <c r="LQ12" s="135">
        <f t="shared" si="42"/>
        <v>0</v>
      </c>
      <c r="LR12" s="135">
        <f t="shared" si="42"/>
        <v>0</v>
      </c>
      <c r="LS12" s="135">
        <f t="shared" si="42"/>
        <v>0</v>
      </c>
      <c r="LT12" s="135">
        <f t="shared" si="42"/>
        <v>0</v>
      </c>
      <c r="LU12" s="135">
        <f t="shared" si="56"/>
        <v>0</v>
      </c>
      <c r="LV12" s="135">
        <f t="shared" si="56"/>
        <v>0</v>
      </c>
      <c r="LW12" s="135">
        <f t="shared" si="56"/>
        <v>0</v>
      </c>
      <c r="LX12" s="135">
        <f t="shared" si="56"/>
        <v>0</v>
      </c>
      <c r="LY12" s="135">
        <f t="shared" si="56"/>
        <v>0</v>
      </c>
      <c r="LZ12" s="135">
        <f t="shared" si="56"/>
        <v>0</v>
      </c>
      <c r="MA12" s="135">
        <f t="shared" si="56"/>
        <v>0</v>
      </c>
      <c r="MB12" s="135">
        <f t="shared" si="56"/>
        <v>0</v>
      </c>
      <c r="MC12" s="135">
        <f t="shared" si="56"/>
        <v>0</v>
      </c>
      <c r="MD12" s="135">
        <f t="shared" si="56"/>
        <v>0</v>
      </c>
      <c r="ME12" s="135">
        <f t="shared" si="56"/>
        <v>0</v>
      </c>
      <c r="MF12" s="135">
        <f t="shared" si="56"/>
        <v>0</v>
      </c>
      <c r="MG12" s="135">
        <f t="shared" si="56"/>
        <v>0</v>
      </c>
      <c r="MH12" s="135">
        <f t="shared" si="56"/>
        <v>0</v>
      </c>
      <c r="MI12" s="135">
        <f t="shared" si="56"/>
        <v>0</v>
      </c>
      <c r="MJ12" s="135">
        <f t="shared" si="56"/>
        <v>0</v>
      </c>
      <c r="MK12" s="135">
        <f t="shared" si="56"/>
        <v>0</v>
      </c>
      <c r="ML12" s="135">
        <f t="shared" si="56"/>
        <v>0</v>
      </c>
      <c r="MM12" s="135">
        <f t="shared" si="56"/>
        <v>0</v>
      </c>
      <c r="MN12" s="135">
        <f t="shared" si="56"/>
        <v>0</v>
      </c>
      <c r="MO12" s="135">
        <f t="shared" si="56"/>
        <v>0</v>
      </c>
      <c r="MP12" s="135">
        <f t="shared" si="56"/>
        <v>0</v>
      </c>
      <c r="MQ12" s="135">
        <f t="shared" si="56"/>
        <v>0</v>
      </c>
      <c r="MR12" s="135">
        <f t="shared" si="56"/>
        <v>0</v>
      </c>
      <c r="MS12" s="135">
        <f t="shared" si="56"/>
        <v>0</v>
      </c>
      <c r="MT12" s="135">
        <f t="shared" si="56"/>
        <v>0</v>
      </c>
      <c r="MU12" s="135">
        <f t="shared" si="56"/>
        <v>0</v>
      </c>
      <c r="MV12" s="135">
        <f t="shared" si="56"/>
        <v>0</v>
      </c>
      <c r="MW12" s="135">
        <f t="shared" si="56"/>
        <v>0</v>
      </c>
      <c r="MX12" s="135">
        <f t="shared" si="56"/>
        <v>0</v>
      </c>
      <c r="MY12" s="135">
        <f t="shared" si="56"/>
        <v>0</v>
      </c>
      <c r="MZ12" s="135">
        <f t="shared" si="56"/>
        <v>0</v>
      </c>
      <c r="NA12" s="135">
        <f t="shared" si="56"/>
        <v>0</v>
      </c>
      <c r="NB12" s="135">
        <f t="shared" si="56"/>
        <v>0</v>
      </c>
      <c r="NC12" s="135">
        <f t="shared" si="56"/>
        <v>0</v>
      </c>
      <c r="ND12" s="135">
        <f t="shared" si="56"/>
        <v>0</v>
      </c>
      <c r="NE12" s="135">
        <f t="shared" si="56"/>
        <v>0</v>
      </c>
      <c r="NF12" s="135">
        <f t="shared" si="56"/>
        <v>0</v>
      </c>
      <c r="NG12" s="135">
        <f t="shared" si="56"/>
        <v>0</v>
      </c>
      <c r="NH12" s="135">
        <f t="shared" si="56"/>
        <v>0</v>
      </c>
      <c r="NI12" s="135">
        <f t="shared" si="56"/>
        <v>0</v>
      </c>
      <c r="NJ12" s="135">
        <f t="shared" si="56"/>
        <v>0</v>
      </c>
      <c r="NK12" s="135">
        <f t="shared" si="56"/>
        <v>0</v>
      </c>
      <c r="NL12" s="135">
        <f t="shared" si="56"/>
        <v>0</v>
      </c>
      <c r="NM12" s="135">
        <f t="shared" si="56"/>
        <v>0</v>
      </c>
      <c r="NN12" s="135">
        <f t="shared" si="56"/>
        <v>0</v>
      </c>
      <c r="NO12" s="135">
        <f t="shared" si="56"/>
        <v>0</v>
      </c>
      <c r="NP12" s="135">
        <f t="shared" si="56"/>
        <v>0</v>
      </c>
      <c r="NQ12" s="135">
        <f t="shared" si="56"/>
        <v>0</v>
      </c>
      <c r="NR12" s="135">
        <f t="shared" si="56"/>
        <v>0</v>
      </c>
      <c r="NS12" s="135">
        <f t="shared" si="56"/>
        <v>0</v>
      </c>
      <c r="NT12" s="135">
        <f t="shared" si="56"/>
        <v>0</v>
      </c>
      <c r="NU12" s="135">
        <f t="shared" si="56"/>
        <v>0</v>
      </c>
      <c r="NV12" s="135">
        <f t="shared" si="56"/>
        <v>0</v>
      </c>
      <c r="NW12" s="135">
        <f t="shared" si="56"/>
        <v>0</v>
      </c>
      <c r="NX12" s="135">
        <f t="shared" si="56"/>
        <v>0</v>
      </c>
      <c r="NY12" s="135">
        <f t="shared" si="56"/>
        <v>0</v>
      </c>
      <c r="NZ12" s="135">
        <f t="shared" si="56"/>
        <v>0</v>
      </c>
      <c r="OA12" s="135">
        <f t="shared" si="56"/>
        <v>0</v>
      </c>
      <c r="OB12" s="135">
        <f t="shared" si="56"/>
        <v>0</v>
      </c>
      <c r="OC12" s="135">
        <f t="shared" si="56"/>
        <v>0</v>
      </c>
      <c r="OD12" s="135">
        <f t="shared" si="56"/>
        <v>0</v>
      </c>
      <c r="OE12" s="135">
        <f t="shared" si="56"/>
        <v>0</v>
      </c>
      <c r="OF12" s="135">
        <f t="shared" si="56"/>
        <v>0</v>
      </c>
      <c r="OG12" s="135">
        <f t="shared" si="57"/>
        <v>0</v>
      </c>
      <c r="OH12" s="135">
        <f t="shared" si="43"/>
        <v>0</v>
      </c>
      <c r="OI12" s="135">
        <f t="shared" si="43"/>
        <v>0</v>
      </c>
      <c r="OJ12" s="135">
        <f t="shared" si="43"/>
        <v>0</v>
      </c>
      <c r="OK12" s="135">
        <f t="shared" si="43"/>
        <v>0</v>
      </c>
      <c r="OL12" s="135">
        <f t="shared" si="43"/>
        <v>0</v>
      </c>
      <c r="OM12" s="135">
        <f t="shared" si="43"/>
        <v>0</v>
      </c>
      <c r="ON12" s="135">
        <f t="shared" si="43"/>
        <v>0</v>
      </c>
      <c r="OO12" s="135">
        <f t="shared" si="43"/>
        <v>0</v>
      </c>
      <c r="OP12" s="135">
        <f t="shared" si="43"/>
        <v>0</v>
      </c>
      <c r="OQ12" s="135">
        <f t="shared" si="43"/>
        <v>0</v>
      </c>
      <c r="OR12" s="135">
        <f t="shared" si="43"/>
        <v>0</v>
      </c>
      <c r="OS12" s="135">
        <f t="shared" si="43"/>
        <v>0</v>
      </c>
      <c r="OT12" s="135">
        <f t="shared" si="43"/>
        <v>0</v>
      </c>
      <c r="OU12" s="135">
        <f t="shared" si="43"/>
        <v>0</v>
      </c>
      <c r="OV12" s="135">
        <f t="shared" si="43"/>
        <v>0</v>
      </c>
      <c r="OW12" s="135">
        <f t="shared" si="43"/>
        <v>0</v>
      </c>
      <c r="OX12" s="135">
        <f t="shared" si="43"/>
        <v>0</v>
      </c>
      <c r="OY12" s="135">
        <f t="shared" si="43"/>
        <v>0</v>
      </c>
      <c r="OZ12" s="135">
        <f t="shared" si="43"/>
        <v>0</v>
      </c>
      <c r="PA12" s="135">
        <f t="shared" si="43"/>
        <v>0</v>
      </c>
      <c r="PB12" s="135">
        <f t="shared" si="43"/>
        <v>0</v>
      </c>
      <c r="PC12" s="135">
        <f t="shared" si="43"/>
        <v>0</v>
      </c>
      <c r="PD12" s="135">
        <f t="shared" si="43"/>
        <v>0</v>
      </c>
      <c r="PE12" s="135">
        <f t="shared" si="43"/>
        <v>0</v>
      </c>
      <c r="PF12" s="135">
        <f t="shared" si="43"/>
        <v>0</v>
      </c>
      <c r="PG12" s="135">
        <f t="shared" si="43"/>
        <v>0</v>
      </c>
      <c r="PH12" s="135">
        <f t="shared" si="43"/>
        <v>0</v>
      </c>
      <c r="PI12" s="135">
        <f t="shared" si="43"/>
        <v>0</v>
      </c>
      <c r="PJ12" s="135">
        <f t="shared" si="43"/>
        <v>0</v>
      </c>
      <c r="PK12" s="135">
        <f t="shared" si="43"/>
        <v>0</v>
      </c>
      <c r="PL12" s="135">
        <f t="shared" si="43"/>
        <v>0</v>
      </c>
      <c r="PM12" s="135">
        <f t="shared" si="43"/>
        <v>0</v>
      </c>
      <c r="PN12" s="135">
        <f t="shared" si="43"/>
        <v>0</v>
      </c>
      <c r="PO12" s="135">
        <f t="shared" si="43"/>
        <v>0</v>
      </c>
      <c r="PP12" s="135">
        <f t="shared" si="43"/>
        <v>0</v>
      </c>
      <c r="PQ12" s="135">
        <f t="shared" si="43"/>
        <v>0</v>
      </c>
      <c r="PR12" s="135">
        <f t="shared" si="43"/>
        <v>0</v>
      </c>
      <c r="PS12" s="135">
        <f t="shared" si="43"/>
        <v>0</v>
      </c>
      <c r="PT12" s="135">
        <f t="shared" si="43"/>
        <v>0</v>
      </c>
      <c r="PU12" s="135">
        <f t="shared" si="43"/>
        <v>0</v>
      </c>
      <c r="PV12" s="135">
        <f t="shared" si="43"/>
        <v>0</v>
      </c>
      <c r="PW12" s="135">
        <f t="shared" si="43"/>
        <v>0</v>
      </c>
      <c r="PX12" s="135">
        <f t="shared" si="43"/>
        <v>0</v>
      </c>
      <c r="PY12" s="135">
        <f t="shared" si="43"/>
        <v>0</v>
      </c>
      <c r="PZ12" s="135">
        <f t="shared" si="43"/>
        <v>0</v>
      </c>
      <c r="QA12" s="135">
        <f t="shared" si="43"/>
        <v>0</v>
      </c>
      <c r="QB12" s="135">
        <f t="shared" si="43"/>
        <v>0</v>
      </c>
      <c r="QC12" s="135">
        <f t="shared" si="43"/>
        <v>0</v>
      </c>
      <c r="QD12" s="135">
        <f t="shared" si="43"/>
        <v>0</v>
      </c>
      <c r="QE12" s="135">
        <f t="shared" si="43"/>
        <v>0</v>
      </c>
      <c r="QF12" s="135">
        <f t="shared" si="43"/>
        <v>0</v>
      </c>
      <c r="QG12" s="135">
        <f t="shared" si="43"/>
        <v>0</v>
      </c>
      <c r="QH12" s="135">
        <f t="shared" si="43"/>
        <v>0</v>
      </c>
      <c r="QI12" s="135">
        <f t="shared" si="43"/>
        <v>0</v>
      </c>
      <c r="QJ12" s="135">
        <f t="shared" si="43"/>
        <v>0</v>
      </c>
      <c r="QK12" s="135">
        <f t="shared" si="43"/>
        <v>0</v>
      </c>
      <c r="QL12" s="135">
        <f t="shared" si="43"/>
        <v>0</v>
      </c>
      <c r="QM12" s="135">
        <f t="shared" si="43"/>
        <v>0</v>
      </c>
      <c r="QN12" s="135">
        <f t="shared" si="43"/>
        <v>0</v>
      </c>
      <c r="QO12" s="135">
        <f t="shared" si="43"/>
        <v>0</v>
      </c>
      <c r="QP12" s="135">
        <f t="shared" si="43"/>
        <v>0</v>
      </c>
      <c r="QQ12" s="135">
        <f t="shared" si="43"/>
        <v>0</v>
      </c>
      <c r="QR12" s="135">
        <f t="shared" si="43"/>
        <v>0</v>
      </c>
      <c r="QS12" s="135">
        <f t="shared" si="58"/>
        <v>0</v>
      </c>
      <c r="QT12" s="135">
        <f t="shared" si="58"/>
        <v>0</v>
      </c>
      <c r="QU12" s="135">
        <f t="shared" si="58"/>
        <v>0</v>
      </c>
      <c r="QV12" s="135">
        <f t="shared" si="58"/>
        <v>0</v>
      </c>
      <c r="QW12" s="135">
        <f t="shared" si="58"/>
        <v>0</v>
      </c>
      <c r="QX12" s="135">
        <f t="shared" si="58"/>
        <v>0</v>
      </c>
      <c r="QY12" s="135">
        <f t="shared" si="58"/>
        <v>0</v>
      </c>
      <c r="QZ12" s="135">
        <f t="shared" si="58"/>
        <v>0</v>
      </c>
      <c r="RA12" s="135">
        <f t="shared" si="58"/>
        <v>0</v>
      </c>
      <c r="RB12" s="135">
        <f t="shared" si="58"/>
        <v>0</v>
      </c>
      <c r="RC12" s="135">
        <f t="shared" si="58"/>
        <v>0</v>
      </c>
      <c r="RD12" s="135">
        <f t="shared" si="58"/>
        <v>0</v>
      </c>
      <c r="RE12" s="135">
        <f t="shared" si="58"/>
        <v>0</v>
      </c>
      <c r="RF12" s="135">
        <f t="shared" si="58"/>
        <v>0</v>
      </c>
      <c r="RG12" s="135">
        <f t="shared" si="58"/>
        <v>0</v>
      </c>
      <c r="RH12" s="135">
        <f t="shared" si="58"/>
        <v>0</v>
      </c>
      <c r="RI12" s="135">
        <f t="shared" si="58"/>
        <v>0</v>
      </c>
      <c r="RJ12" s="135">
        <f t="shared" si="58"/>
        <v>0</v>
      </c>
      <c r="RK12" s="135">
        <f t="shared" si="58"/>
        <v>0</v>
      </c>
      <c r="RL12" s="135">
        <f t="shared" si="58"/>
        <v>0</v>
      </c>
      <c r="RM12" s="135">
        <f t="shared" si="58"/>
        <v>0</v>
      </c>
      <c r="RN12" s="135">
        <f t="shared" si="58"/>
        <v>0</v>
      </c>
      <c r="RO12" s="135">
        <f t="shared" si="58"/>
        <v>0</v>
      </c>
      <c r="RP12" s="135">
        <f t="shared" si="58"/>
        <v>0</v>
      </c>
      <c r="RQ12" s="135">
        <f t="shared" si="58"/>
        <v>0</v>
      </c>
      <c r="RR12" s="135">
        <f t="shared" si="58"/>
        <v>0</v>
      </c>
      <c r="RS12" s="135">
        <f t="shared" si="58"/>
        <v>0</v>
      </c>
      <c r="RT12" s="135">
        <f t="shared" si="58"/>
        <v>0</v>
      </c>
      <c r="RU12" s="135">
        <f t="shared" si="58"/>
        <v>0</v>
      </c>
      <c r="RV12" s="135">
        <f t="shared" si="58"/>
        <v>0</v>
      </c>
      <c r="RW12" s="135">
        <f t="shared" si="58"/>
        <v>0</v>
      </c>
      <c r="RX12" s="135">
        <f t="shared" si="58"/>
        <v>0</v>
      </c>
      <c r="RY12" s="135">
        <f t="shared" si="58"/>
        <v>0</v>
      </c>
      <c r="RZ12" s="135">
        <f t="shared" si="58"/>
        <v>0</v>
      </c>
      <c r="SA12" s="135">
        <f t="shared" si="58"/>
        <v>0</v>
      </c>
      <c r="SB12" s="135">
        <f t="shared" si="58"/>
        <v>0</v>
      </c>
      <c r="SC12" s="135">
        <f t="shared" si="58"/>
        <v>0</v>
      </c>
      <c r="SD12" s="135">
        <f t="shared" si="58"/>
        <v>0</v>
      </c>
      <c r="SE12" s="135">
        <f t="shared" si="58"/>
        <v>0</v>
      </c>
      <c r="SF12" s="135">
        <f t="shared" si="58"/>
        <v>0</v>
      </c>
      <c r="SG12" s="135">
        <f t="shared" si="58"/>
        <v>0</v>
      </c>
      <c r="SH12" s="135">
        <f t="shared" si="58"/>
        <v>0</v>
      </c>
      <c r="SI12" s="135">
        <f t="shared" si="58"/>
        <v>0</v>
      </c>
      <c r="SJ12" s="135">
        <f t="shared" si="58"/>
        <v>0</v>
      </c>
      <c r="SK12" s="135">
        <f t="shared" si="58"/>
        <v>0</v>
      </c>
      <c r="SL12" s="135">
        <f t="shared" si="58"/>
        <v>0</v>
      </c>
      <c r="SM12" s="135">
        <f t="shared" si="58"/>
        <v>0</v>
      </c>
      <c r="SN12" s="135">
        <f t="shared" si="58"/>
        <v>0</v>
      </c>
      <c r="SO12" s="135">
        <f t="shared" si="58"/>
        <v>0</v>
      </c>
      <c r="SP12" s="135">
        <f t="shared" si="58"/>
        <v>0</v>
      </c>
      <c r="SQ12" s="135">
        <f t="shared" si="58"/>
        <v>0</v>
      </c>
      <c r="SR12" s="135">
        <f t="shared" si="58"/>
        <v>0</v>
      </c>
      <c r="SS12" s="135">
        <f t="shared" si="58"/>
        <v>0</v>
      </c>
      <c r="ST12" s="135">
        <f t="shared" si="58"/>
        <v>0</v>
      </c>
      <c r="SU12" s="135">
        <f t="shared" si="58"/>
        <v>0</v>
      </c>
      <c r="SV12" s="135">
        <f t="shared" si="58"/>
        <v>0</v>
      </c>
      <c r="SW12" s="135">
        <f t="shared" si="58"/>
        <v>0</v>
      </c>
      <c r="SX12" s="135">
        <f t="shared" si="58"/>
        <v>0</v>
      </c>
      <c r="SY12" s="135">
        <f t="shared" si="58"/>
        <v>0</v>
      </c>
      <c r="SZ12" s="135">
        <f t="shared" si="58"/>
        <v>0</v>
      </c>
      <c r="TA12" s="135">
        <f t="shared" si="58"/>
        <v>0</v>
      </c>
      <c r="TB12" s="135">
        <f t="shared" si="58"/>
        <v>0</v>
      </c>
      <c r="TC12" s="135">
        <f t="shared" si="58"/>
        <v>0</v>
      </c>
      <c r="TD12" s="135">
        <f t="shared" si="58"/>
        <v>0</v>
      </c>
      <c r="TE12" s="135">
        <f>IFERROR(IF(TE$1=EOMONTH($G12,0),(-$E12+($E12*(DAY($G12)/DAY(EOMONTH(TE$1,0)))*$F12/12*(1-0.269))),IF(TE$1=$G12,($E12+($E12*(DAY($I12)/DAY(EOMONTH(TE$1,0)))*$F12/12*(1-0.269))),IFERROR(IF($I12&lt;TE$1,0,IF(TE$1&gt;$I12,(($F12/12)*$E12)*(DAY($I12)/DAY(EOMONTH(TE$1,0)))*(1-26.9/100)+$E12,IF(AND(TE$1&gt;=$G12,TE$1&lt;$I12),(($F12/12)*$E12)*(1-26.9/100),""))-IF(TE$1=EOMONTH($G12,0),$E12,"0")),0)+IF(TE$1=EOMONTH($I12,0),($E12+($E12*(DAY($I12)/DAY(EOMONTH(TE$1,0)))*$F12/12*(1-0.269))),"0"))),0)</f>
        <v>0</v>
      </c>
      <c r="TF12" s="135">
        <f t="shared" si="30"/>
        <v>0</v>
      </c>
      <c r="TG12" s="135">
        <f t="shared" si="30"/>
        <v>0</v>
      </c>
      <c r="TH12" s="135">
        <f t="shared" si="30"/>
        <v>0</v>
      </c>
      <c r="TI12" s="135">
        <f t="shared" si="30"/>
        <v>0</v>
      </c>
      <c r="TJ12" s="135">
        <f t="shared" si="30"/>
        <v>0</v>
      </c>
      <c r="TK12" s="135">
        <f t="shared" si="30"/>
        <v>0</v>
      </c>
      <c r="TL12" s="135">
        <f t="shared" si="30"/>
        <v>0</v>
      </c>
      <c r="TM12" s="135">
        <f t="shared" si="30"/>
        <v>0</v>
      </c>
      <c r="TN12" s="135">
        <f t="shared" si="30"/>
        <v>0</v>
      </c>
      <c r="TO12" s="135">
        <f t="shared" si="30"/>
        <v>0</v>
      </c>
      <c r="TP12" s="135">
        <f t="shared" si="30"/>
        <v>0</v>
      </c>
      <c r="TQ12" s="135">
        <f t="shared" si="30"/>
        <v>0</v>
      </c>
      <c r="TR12" s="135">
        <f t="shared" si="30"/>
        <v>0</v>
      </c>
      <c r="TS12" s="135">
        <f t="shared" si="30"/>
        <v>0</v>
      </c>
      <c r="TT12" s="135">
        <f t="shared" si="30"/>
        <v>0</v>
      </c>
      <c r="TU12" s="135">
        <f t="shared" ref="TU12:UK12" si="60">IFERROR(IF(TU$1=EOMONTH($G12,0),(-$E12+($E12*(DAY($G12)/DAY(EOMONTH(TU$1,0)))*$F12/12*(1-0.269))),IF(TU$1=$G12,($E12+($E12*(DAY($I12)/DAY(EOMONTH(TU$1,0)))*$F12/12*(1-0.269))),IFERROR(IF($I12&lt;TU$1,0,IF(TU$1&gt;$I12,(($F12/12)*$E12)*(DAY($I12)/DAY(EOMONTH(TU$1,0)))*(1-26.9/100)+$E12,IF(AND(TU$1&gt;=$G12,TU$1&lt;$I12),(($F12/12)*$E12)*(1-26.9/100),""))-IF(TU$1=EOMONTH($G12,0),$E12,"0")),0)+IF(TU$1=EOMONTH($I12,0),($E12+($E12*(DAY($I12)/DAY(EOMONTH(TU$1,0)))*$F12/12*(1-0.269))),"0"))),0)</f>
        <v>0</v>
      </c>
      <c r="TV12" s="135">
        <f t="shared" si="60"/>
        <v>0</v>
      </c>
      <c r="TW12" s="135">
        <f t="shared" si="60"/>
        <v>0</v>
      </c>
      <c r="TX12" s="135">
        <f t="shared" si="60"/>
        <v>0</v>
      </c>
      <c r="TY12" s="135">
        <f t="shared" si="60"/>
        <v>0</v>
      </c>
      <c r="TZ12" s="135">
        <f t="shared" si="60"/>
        <v>0</v>
      </c>
      <c r="UA12" s="135">
        <f t="shared" si="60"/>
        <v>0</v>
      </c>
      <c r="UB12" s="135">
        <f t="shared" si="60"/>
        <v>0</v>
      </c>
      <c r="UC12" s="135">
        <f t="shared" si="60"/>
        <v>0</v>
      </c>
      <c r="UD12" s="135">
        <f t="shared" si="60"/>
        <v>0</v>
      </c>
      <c r="UE12" s="135">
        <f t="shared" si="60"/>
        <v>0</v>
      </c>
      <c r="UF12" s="135">
        <f t="shared" si="60"/>
        <v>0</v>
      </c>
      <c r="UG12" s="135">
        <f t="shared" si="60"/>
        <v>0</v>
      </c>
      <c r="UH12" s="135">
        <f t="shared" si="60"/>
        <v>0</v>
      </c>
      <c r="UI12" s="135">
        <f t="shared" si="60"/>
        <v>0</v>
      </c>
      <c r="UJ12" s="135">
        <f t="shared" si="60"/>
        <v>0</v>
      </c>
      <c r="UK12" s="135">
        <f t="shared" si="60"/>
        <v>0</v>
      </c>
    </row>
    <row r="13" spans="2:557">
      <c r="B13" t="str">
        <f>IF(Samenvatting!$F114&lt;&gt;0,Samenvatting!C114,"")</f>
        <v/>
      </c>
      <c r="C13" t="str">
        <f>IF(Samenvatting!$F114&lt;&gt;0,Samenvatting!D114,"")</f>
        <v/>
      </c>
      <c r="D13" t="str">
        <f>IF(Samenvatting!$F114&lt;&gt;0,Samenvatting!E114,"")</f>
        <v/>
      </c>
      <c r="E13" t="str">
        <f>IF(Samenvatting!$F114&lt;&gt;0,Samenvatting!F114,"")</f>
        <v/>
      </c>
      <c r="F13" t="str">
        <f>IF(Samenvatting!$F114&lt;&gt;0,Samenvatting!H114,"")</f>
        <v/>
      </c>
      <c r="G13" s="134" t="str">
        <f>IF(Samenvatting!$F114&lt;&gt;0,Samenvatting!I114,"")</f>
        <v/>
      </c>
      <c r="H13" t="str">
        <f>IF(Samenvatting!$F114&lt;&gt;0,Samenvatting!J114,"")</f>
        <v/>
      </c>
      <c r="I13" s="134" t="str">
        <f>IF(Samenvatting!$F114&lt;&gt;0,Samenvatting!K114,"")</f>
        <v/>
      </c>
      <c r="J13" s="135">
        <f t="shared" si="0"/>
        <v>0</v>
      </c>
      <c r="K13" s="135">
        <f t="shared" si="59"/>
        <v>0</v>
      </c>
      <c r="L13" s="135">
        <f t="shared" si="59"/>
        <v>0</v>
      </c>
      <c r="M13" s="135">
        <f t="shared" si="59"/>
        <v>0</v>
      </c>
      <c r="N13" s="135">
        <f t="shared" si="59"/>
        <v>0</v>
      </c>
      <c r="O13" s="135">
        <f t="shared" si="59"/>
        <v>0</v>
      </c>
      <c r="P13" s="135">
        <f t="shared" si="59"/>
        <v>0</v>
      </c>
      <c r="Q13" s="135">
        <f t="shared" si="59"/>
        <v>0</v>
      </c>
      <c r="R13" s="135">
        <f t="shared" si="59"/>
        <v>0</v>
      </c>
      <c r="S13" s="135">
        <f t="shared" si="59"/>
        <v>0</v>
      </c>
      <c r="T13" s="135">
        <f t="shared" si="59"/>
        <v>0</v>
      </c>
      <c r="U13" s="135">
        <f t="shared" si="59"/>
        <v>0</v>
      </c>
      <c r="V13" s="135">
        <f t="shared" si="59"/>
        <v>0</v>
      </c>
      <c r="W13" s="135">
        <f t="shared" si="59"/>
        <v>0</v>
      </c>
      <c r="X13" s="135">
        <f t="shared" si="59"/>
        <v>0</v>
      </c>
      <c r="Y13" s="135">
        <f t="shared" si="59"/>
        <v>0</v>
      </c>
      <c r="Z13" s="135">
        <f t="shared" si="59"/>
        <v>0</v>
      </c>
      <c r="AA13" s="135">
        <f t="shared" si="59"/>
        <v>0</v>
      </c>
      <c r="AB13" s="135">
        <f t="shared" si="59"/>
        <v>0</v>
      </c>
      <c r="AC13" s="135">
        <f t="shared" si="59"/>
        <v>0</v>
      </c>
      <c r="AD13" s="135">
        <f t="shared" si="59"/>
        <v>0</v>
      </c>
      <c r="AE13" s="135">
        <f t="shared" si="59"/>
        <v>0</v>
      </c>
      <c r="AF13" s="135">
        <f t="shared" si="59"/>
        <v>0</v>
      </c>
      <c r="AG13" s="135">
        <f t="shared" si="59"/>
        <v>0</v>
      </c>
      <c r="AH13" s="135">
        <f t="shared" si="59"/>
        <v>0</v>
      </c>
      <c r="AI13" s="135">
        <f t="shared" si="59"/>
        <v>0</v>
      </c>
      <c r="AJ13" s="135">
        <f t="shared" si="59"/>
        <v>0</v>
      </c>
      <c r="AK13" s="135">
        <f t="shared" si="59"/>
        <v>0</v>
      </c>
      <c r="AL13" s="135">
        <f t="shared" si="59"/>
        <v>0</v>
      </c>
      <c r="AM13" s="135">
        <f t="shared" si="59"/>
        <v>0</v>
      </c>
      <c r="AN13" s="135">
        <f t="shared" si="59"/>
        <v>0</v>
      </c>
      <c r="AO13" s="135">
        <f t="shared" si="59"/>
        <v>0</v>
      </c>
      <c r="AP13" s="135">
        <f t="shared" si="59"/>
        <v>0</v>
      </c>
      <c r="AQ13" s="135">
        <f t="shared" si="59"/>
        <v>0</v>
      </c>
      <c r="AR13" s="135">
        <f t="shared" si="59"/>
        <v>0</v>
      </c>
      <c r="AS13" s="135">
        <f t="shared" si="59"/>
        <v>0</v>
      </c>
      <c r="AT13" s="135">
        <f t="shared" si="59"/>
        <v>0</v>
      </c>
      <c r="AU13" s="135">
        <f t="shared" si="59"/>
        <v>0</v>
      </c>
      <c r="AV13" s="135">
        <f t="shared" si="59"/>
        <v>0</v>
      </c>
      <c r="AW13" s="135">
        <f t="shared" si="59"/>
        <v>0</v>
      </c>
      <c r="AX13" s="135">
        <f t="shared" si="59"/>
        <v>0</v>
      </c>
      <c r="AY13" s="135">
        <f t="shared" si="59"/>
        <v>0</v>
      </c>
      <c r="AZ13" s="135">
        <f t="shared" si="59"/>
        <v>0</v>
      </c>
      <c r="BA13" s="135">
        <f t="shared" si="59"/>
        <v>0</v>
      </c>
      <c r="BB13" s="135">
        <f t="shared" si="59"/>
        <v>0</v>
      </c>
      <c r="BC13" s="135">
        <f t="shared" si="59"/>
        <v>0</v>
      </c>
      <c r="BD13" s="135">
        <f t="shared" si="59"/>
        <v>0</v>
      </c>
      <c r="BE13" s="135">
        <f t="shared" si="59"/>
        <v>0</v>
      </c>
      <c r="BF13" s="135">
        <f t="shared" si="59"/>
        <v>0</v>
      </c>
      <c r="BG13" s="135">
        <f t="shared" si="59"/>
        <v>0</v>
      </c>
      <c r="BH13" s="135">
        <f t="shared" si="59"/>
        <v>0</v>
      </c>
      <c r="BI13" s="135">
        <f t="shared" si="59"/>
        <v>0</v>
      </c>
      <c r="BJ13" s="135">
        <f t="shared" si="59"/>
        <v>0</v>
      </c>
      <c r="BK13" s="135">
        <f t="shared" si="59"/>
        <v>0</v>
      </c>
      <c r="BL13" s="135">
        <f t="shared" si="59"/>
        <v>0</v>
      </c>
      <c r="BM13" s="135">
        <f t="shared" si="59"/>
        <v>0</v>
      </c>
      <c r="BN13" s="135">
        <f t="shared" si="59"/>
        <v>0</v>
      </c>
      <c r="BO13" s="135">
        <f t="shared" si="59"/>
        <v>0</v>
      </c>
      <c r="BP13" s="135">
        <f t="shared" si="59"/>
        <v>0</v>
      </c>
      <c r="BQ13" s="135">
        <f t="shared" si="59"/>
        <v>0</v>
      </c>
      <c r="BR13" s="135">
        <f t="shared" si="59"/>
        <v>0</v>
      </c>
      <c r="BS13" s="135">
        <f t="shared" si="59"/>
        <v>0</v>
      </c>
      <c r="BT13" s="135">
        <f t="shared" si="59"/>
        <v>0</v>
      </c>
      <c r="BU13" s="135">
        <f t="shared" si="59"/>
        <v>0</v>
      </c>
      <c r="BV13" s="135">
        <f t="shared" si="59"/>
        <v>0</v>
      </c>
      <c r="BW13" s="135">
        <f t="shared" si="55"/>
        <v>0</v>
      </c>
      <c r="BX13" s="135">
        <f t="shared" si="55"/>
        <v>0</v>
      </c>
      <c r="BY13" s="135">
        <f t="shared" si="55"/>
        <v>0</v>
      </c>
      <c r="BZ13" s="135">
        <f t="shared" si="55"/>
        <v>0</v>
      </c>
      <c r="CA13" s="135">
        <f t="shared" si="55"/>
        <v>0</v>
      </c>
      <c r="CB13" s="135">
        <f t="shared" si="55"/>
        <v>0</v>
      </c>
      <c r="CC13" s="135">
        <f t="shared" si="55"/>
        <v>0</v>
      </c>
      <c r="CD13" s="135">
        <f t="shared" si="55"/>
        <v>0</v>
      </c>
      <c r="CE13" s="135">
        <f t="shared" si="55"/>
        <v>0</v>
      </c>
      <c r="CF13" s="135">
        <f t="shared" si="55"/>
        <v>0</v>
      </c>
      <c r="CG13" s="135">
        <f t="shared" si="55"/>
        <v>0</v>
      </c>
      <c r="CH13" s="135">
        <f t="shared" si="55"/>
        <v>0</v>
      </c>
      <c r="CI13" s="135">
        <f t="shared" si="55"/>
        <v>0</v>
      </c>
      <c r="CJ13" s="135">
        <f t="shared" si="55"/>
        <v>0</v>
      </c>
      <c r="CK13" s="135">
        <f t="shared" si="55"/>
        <v>0</v>
      </c>
      <c r="CL13" s="135">
        <f t="shared" si="55"/>
        <v>0</v>
      </c>
      <c r="CM13" s="135">
        <f t="shared" si="55"/>
        <v>0</v>
      </c>
      <c r="CN13" s="135">
        <f t="shared" si="55"/>
        <v>0</v>
      </c>
      <c r="CO13" s="135">
        <f t="shared" si="55"/>
        <v>0</v>
      </c>
      <c r="CP13" s="135">
        <f t="shared" si="55"/>
        <v>0</v>
      </c>
      <c r="CQ13" s="135">
        <f t="shared" si="55"/>
        <v>0</v>
      </c>
      <c r="CR13" s="135">
        <f t="shared" si="55"/>
        <v>0</v>
      </c>
      <c r="CS13" s="135">
        <f t="shared" si="55"/>
        <v>0</v>
      </c>
      <c r="CT13" s="135">
        <f t="shared" si="55"/>
        <v>0</v>
      </c>
      <c r="CU13" s="135">
        <f t="shared" si="55"/>
        <v>0</v>
      </c>
      <c r="CV13" s="135">
        <f t="shared" si="55"/>
        <v>0</v>
      </c>
      <c r="CW13" s="135">
        <f t="shared" si="55"/>
        <v>0</v>
      </c>
      <c r="CX13" s="135">
        <f t="shared" si="55"/>
        <v>0</v>
      </c>
      <c r="CY13" s="135">
        <f t="shared" si="55"/>
        <v>0</v>
      </c>
      <c r="CZ13" s="135">
        <f t="shared" si="55"/>
        <v>0</v>
      </c>
      <c r="DA13" s="135">
        <f t="shared" si="55"/>
        <v>0</v>
      </c>
      <c r="DB13" s="135">
        <f t="shared" si="55"/>
        <v>0</v>
      </c>
      <c r="DC13" s="135">
        <f t="shared" si="55"/>
        <v>0</v>
      </c>
      <c r="DD13" s="135">
        <f t="shared" si="55"/>
        <v>0</v>
      </c>
      <c r="DE13" s="135">
        <f t="shared" si="55"/>
        <v>0</v>
      </c>
      <c r="DF13" s="135">
        <f t="shared" si="55"/>
        <v>0</v>
      </c>
      <c r="DG13" s="135">
        <f t="shared" si="55"/>
        <v>0</v>
      </c>
      <c r="DH13" s="135">
        <f t="shared" si="55"/>
        <v>0</v>
      </c>
      <c r="DI13" s="135">
        <f t="shared" si="55"/>
        <v>0</v>
      </c>
      <c r="DJ13" s="135">
        <f t="shared" si="55"/>
        <v>0</v>
      </c>
      <c r="DK13" s="135">
        <f t="shared" si="55"/>
        <v>0</v>
      </c>
      <c r="DL13" s="135">
        <f t="shared" si="55"/>
        <v>0</v>
      </c>
      <c r="DM13" s="135">
        <f t="shared" si="55"/>
        <v>0</v>
      </c>
      <c r="DN13" s="135">
        <f t="shared" si="55"/>
        <v>0</v>
      </c>
      <c r="DO13" s="135">
        <f t="shared" si="55"/>
        <v>0</v>
      </c>
      <c r="DP13" s="135">
        <f t="shared" si="55"/>
        <v>0</v>
      </c>
      <c r="DQ13" s="135">
        <f t="shared" si="55"/>
        <v>0</v>
      </c>
      <c r="DR13" s="135">
        <f t="shared" si="55"/>
        <v>0</v>
      </c>
      <c r="DS13" s="135">
        <f t="shared" si="55"/>
        <v>0</v>
      </c>
      <c r="DT13" s="135">
        <f t="shared" si="55"/>
        <v>0</v>
      </c>
      <c r="DU13" s="135">
        <f t="shared" si="55"/>
        <v>0</v>
      </c>
      <c r="DV13" s="135">
        <f t="shared" si="55"/>
        <v>0</v>
      </c>
      <c r="DW13" s="135">
        <f t="shared" si="55"/>
        <v>0</v>
      </c>
      <c r="DX13" s="135">
        <f t="shared" si="55"/>
        <v>0</v>
      </c>
      <c r="DY13" s="135">
        <f t="shared" si="55"/>
        <v>0</v>
      </c>
      <c r="DZ13" s="135">
        <f t="shared" si="55"/>
        <v>0</v>
      </c>
      <c r="EA13" s="135">
        <f t="shared" si="55"/>
        <v>0</v>
      </c>
      <c r="EB13" s="135">
        <f t="shared" si="55"/>
        <v>0</v>
      </c>
      <c r="EC13" s="135">
        <f t="shared" si="55"/>
        <v>0</v>
      </c>
      <c r="ED13" s="135">
        <f t="shared" si="55"/>
        <v>0</v>
      </c>
      <c r="EE13" s="135">
        <f t="shared" si="55"/>
        <v>0</v>
      </c>
      <c r="EF13" s="135">
        <f t="shared" si="55"/>
        <v>0</v>
      </c>
      <c r="EG13" s="135">
        <f t="shared" si="55"/>
        <v>0</v>
      </c>
      <c r="EH13" s="135">
        <f t="shared" si="37"/>
        <v>0</v>
      </c>
      <c r="EI13" s="135">
        <f t="shared" si="44"/>
        <v>0</v>
      </c>
      <c r="EJ13" s="135">
        <f t="shared" si="44"/>
        <v>0</v>
      </c>
      <c r="EK13" s="135">
        <f t="shared" si="44"/>
        <v>0</v>
      </c>
      <c r="EL13" s="135">
        <f t="shared" si="44"/>
        <v>0</v>
      </c>
      <c r="EM13" s="135">
        <f t="shared" si="44"/>
        <v>0</v>
      </c>
      <c r="EN13" s="135">
        <f t="shared" si="44"/>
        <v>0</v>
      </c>
      <c r="EO13" s="135">
        <f t="shared" si="44"/>
        <v>0</v>
      </c>
      <c r="EP13" s="135">
        <f t="shared" si="44"/>
        <v>0</v>
      </c>
      <c r="EQ13" s="135">
        <f t="shared" si="44"/>
        <v>0</v>
      </c>
      <c r="ER13" s="135">
        <f t="shared" si="44"/>
        <v>0</v>
      </c>
      <c r="ES13" s="135">
        <f t="shared" si="44"/>
        <v>0</v>
      </c>
      <c r="ET13" s="135">
        <f t="shared" si="44"/>
        <v>0</v>
      </c>
      <c r="EU13" s="135">
        <f t="shared" si="44"/>
        <v>0</v>
      </c>
      <c r="EV13" s="135">
        <f t="shared" si="44"/>
        <v>0</v>
      </c>
      <c r="EW13" s="135">
        <f t="shared" si="44"/>
        <v>0</v>
      </c>
      <c r="EX13" s="135">
        <f t="shared" si="44"/>
        <v>0</v>
      </c>
      <c r="EY13" s="135">
        <f t="shared" si="44"/>
        <v>0</v>
      </c>
      <c r="EZ13" s="135">
        <f t="shared" si="44"/>
        <v>0</v>
      </c>
      <c r="FA13" s="135">
        <f t="shared" si="44"/>
        <v>0</v>
      </c>
      <c r="FB13" s="135">
        <f t="shared" si="44"/>
        <v>0</v>
      </c>
      <c r="FC13" s="135">
        <f t="shared" si="44"/>
        <v>0</v>
      </c>
      <c r="FD13" s="135">
        <f t="shared" si="44"/>
        <v>0</v>
      </c>
      <c r="FE13" s="135">
        <f t="shared" si="44"/>
        <v>0</v>
      </c>
      <c r="FF13" s="135">
        <f t="shared" si="44"/>
        <v>0</v>
      </c>
      <c r="FG13" s="135">
        <f t="shared" si="44"/>
        <v>0</v>
      </c>
      <c r="FH13" s="135">
        <f t="shared" si="44"/>
        <v>0</v>
      </c>
      <c r="FI13" s="135">
        <f t="shared" si="44"/>
        <v>0</v>
      </c>
      <c r="FJ13" s="135">
        <f t="shared" si="44"/>
        <v>0</v>
      </c>
      <c r="FK13" s="135">
        <f t="shared" si="44"/>
        <v>0</v>
      </c>
      <c r="FL13" s="135">
        <f t="shared" si="44"/>
        <v>0</v>
      </c>
      <c r="FM13" s="135">
        <f t="shared" si="44"/>
        <v>0</v>
      </c>
      <c r="FN13" s="135">
        <f t="shared" si="44"/>
        <v>0</v>
      </c>
      <c r="FO13" s="135">
        <f t="shared" si="44"/>
        <v>0</v>
      </c>
      <c r="FP13" s="135">
        <f t="shared" si="44"/>
        <v>0</v>
      </c>
      <c r="FQ13" s="135">
        <f t="shared" si="44"/>
        <v>0</v>
      </c>
      <c r="FR13" s="135">
        <f t="shared" si="44"/>
        <v>0</v>
      </c>
      <c r="FS13" s="135">
        <f t="shared" si="44"/>
        <v>0</v>
      </c>
      <c r="FT13" s="135">
        <f t="shared" si="44"/>
        <v>0</v>
      </c>
      <c r="FU13" s="135">
        <f t="shared" si="44"/>
        <v>0</v>
      </c>
      <c r="FV13" s="135">
        <f t="shared" si="44"/>
        <v>0</v>
      </c>
      <c r="FW13" s="135">
        <f t="shared" si="44"/>
        <v>0</v>
      </c>
      <c r="FX13" s="135">
        <f t="shared" si="44"/>
        <v>0</v>
      </c>
      <c r="FY13" s="135">
        <f t="shared" si="44"/>
        <v>0</v>
      </c>
      <c r="FZ13" s="135">
        <f t="shared" si="44"/>
        <v>0</v>
      </c>
      <c r="GA13" s="135">
        <f t="shared" si="44"/>
        <v>0</v>
      </c>
      <c r="GB13" s="135">
        <f t="shared" si="44"/>
        <v>0</v>
      </c>
      <c r="GC13" s="135">
        <f t="shared" si="44"/>
        <v>0</v>
      </c>
      <c r="GD13" s="135">
        <f t="shared" si="44"/>
        <v>0</v>
      </c>
      <c r="GE13" s="135">
        <f t="shared" si="44"/>
        <v>0</v>
      </c>
      <c r="GF13" s="135">
        <f t="shared" si="44"/>
        <v>0</v>
      </c>
      <c r="GG13" s="135">
        <f t="shared" si="44"/>
        <v>0</v>
      </c>
      <c r="GH13" s="135">
        <f t="shared" si="44"/>
        <v>0</v>
      </c>
      <c r="GI13" s="135">
        <f t="shared" si="44"/>
        <v>0</v>
      </c>
      <c r="GJ13" s="135">
        <f t="shared" si="44"/>
        <v>0</v>
      </c>
      <c r="GK13" s="135">
        <f t="shared" si="44"/>
        <v>0</v>
      </c>
      <c r="GL13" s="135">
        <f t="shared" si="44"/>
        <v>0</v>
      </c>
      <c r="GM13" s="135">
        <f t="shared" si="44"/>
        <v>0</v>
      </c>
      <c r="GN13" s="135">
        <f t="shared" si="44"/>
        <v>0</v>
      </c>
      <c r="GO13" s="135">
        <f t="shared" si="44"/>
        <v>0</v>
      </c>
      <c r="GP13" s="135">
        <f t="shared" si="44"/>
        <v>0</v>
      </c>
      <c r="GQ13" s="135">
        <f t="shared" si="44"/>
        <v>0</v>
      </c>
      <c r="GR13" s="135">
        <f t="shared" si="44"/>
        <v>0</v>
      </c>
      <c r="GS13" s="135">
        <f t="shared" si="44"/>
        <v>0</v>
      </c>
      <c r="GT13" s="135">
        <f t="shared" ref="GT13:JE16" si="61">IFERROR(IF(GT$1=EOMONTH($G13,0),(-$E13+($E13*(DAY($G13)/DAY(EOMONTH(GT$1,0)))*$F13/12*(1-0.269))),IF(GT$1=$G13,($E13+($E13*(DAY($I13)/DAY(EOMONTH(GT$1,0)))*$F13/12*(1-0.269))),IFERROR(IF($I13&lt;GT$1,0,IF(GT$1&gt;$I13,(($F13/12)*$E13)*(DAY($I13)/DAY(EOMONTH(GT$1,0)))*(1-26.9/100)+$E13,IF(AND(GT$1&gt;=$G13,GT$1&lt;$I13),(($F13/12)*$E13)*(1-26.9/100),""))-IF(GT$1=EOMONTH($G13,0),$E13,"0")),0)+IF(GT$1=EOMONTH($I13,0),($E13+($E13*(DAY($I13)/DAY(EOMONTH(GT$1,0)))*$F13/12*(1-0.269))),"0"))),0)</f>
        <v>0</v>
      </c>
      <c r="GU13" s="135">
        <f t="shared" si="61"/>
        <v>0</v>
      </c>
      <c r="GV13" s="135">
        <f t="shared" si="61"/>
        <v>0</v>
      </c>
      <c r="GW13" s="135">
        <f t="shared" si="61"/>
        <v>0</v>
      </c>
      <c r="GX13" s="135">
        <f t="shared" si="61"/>
        <v>0</v>
      </c>
      <c r="GY13" s="135">
        <f t="shared" si="61"/>
        <v>0</v>
      </c>
      <c r="GZ13" s="135">
        <f t="shared" si="61"/>
        <v>0</v>
      </c>
      <c r="HA13" s="135">
        <f t="shared" si="61"/>
        <v>0</v>
      </c>
      <c r="HB13" s="135">
        <f t="shared" si="61"/>
        <v>0</v>
      </c>
      <c r="HC13" s="135">
        <f t="shared" si="61"/>
        <v>0</v>
      </c>
      <c r="HD13" s="135">
        <f t="shared" si="61"/>
        <v>0</v>
      </c>
      <c r="HE13" s="135">
        <f t="shared" si="61"/>
        <v>0</v>
      </c>
      <c r="HF13" s="135">
        <f t="shared" si="61"/>
        <v>0</v>
      </c>
      <c r="HG13" s="135">
        <f t="shared" si="61"/>
        <v>0</v>
      </c>
      <c r="HH13" s="135">
        <f t="shared" si="61"/>
        <v>0</v>
      </c>
      <c r="HI13" s="135">
        <f t="shared" si="61"/>
        <v>0</v>
      </c>
      <c r="HJ13" s="135">
        <f t="shared" si="61"/>
        <v>0</v>
      </c>
      <c r="HK13" s="135">
        <f t="shared" si="61"/>
        <v>0</v>
      </c>
      <c r="HL13" s="135">
        <f t="shared" si="61"/>
        <v>0</v>
      </c>
      <c r="HM13" s="135">
        <f t="shared" si="61"/>
        <v>0</v>
      </c>
      <c r="HN13" s="135">
        <f t="shared" si="61"/>
        <v>0</v>
      </c>
      <c r="HO13" s="135">
        <f t="shared" si="61"/>
        <v>0</v>
      </c>
      <c r="HP13" s="135">
        <f t="shared" si="61"/>
        <v>0</v>
      </c>
      <c r="HQ13" s="135">
        <f t="shared" si="61"/>
        <v>0</v>
      </c>
      <c r="HR13" s="135">
        <f t="shared" si="61"/>
        <v>0</v>
      </c>
      <c r="HS13" s="135">
        <f t="shared" si="61"/>
        <v>0</v>
      </c>
      <c r="HT13" s="135">
        <f t="shared" si="61"/>
        <v>0</v>
      </c>
      <c r="HU13" s="135">
        <f t="shared" si="61"/>
        <v>0</v>
      </c>
      <c r="HV13" s="135">
        <f t="shared" si="61"/>
        <v>0</v>
      </c>
      <c r="HW13" s="135">
        <f t="shared" si="61"/>
        <v>0</v>
      </c>
      <c r="HX13" s="135">
        <f t="shared" si="61"/>
        <v>0</v>
      </c>
      <c r="HY13" s="135">
        <f t="shared" si="61"/>
        <v>0</v>
      </c>
      <c r="HZ13" s="135">
        <f t="shared" si="61"/>
        <v>0</v>
      </c>
      <c r="IA13" s="135">
        <f t="shared" si="61"/>
        <v>0</v>
      </c>
      <c r="IB13" s="135">
        <f t="shared" si="61"/>
        <v>0</v>
      </c>
      <c r="IC13" s="135">
        <f t="shared" si="61"/>
        <v>0</v>
      </c>
      <c r="ID13" s="135">
        <f t="shared" si="61"/>
        <v>0</v>
      </c>
      <c r="IE13" s="135">
        <f t="shared" si="61"/>
        <v>0</v>
      </c>
      <c r="IF13" s="135">
        <f t="shared" si="61"/>
        <v>0</v>
      </c>
      <c r="IG13" s="135">
        <f t="shared" si="61"/>
        <v>0</v>
      </c>
      <c r="IH13" s="135">
        <f t="shared" si="61"/>
        <v>0</v>
      </c>
      <c r="II13" s="135">
        <f t="shared" si="61"/>
        <v>0</v>
      </c>
      <c r="IJ13" s="135">
        <f t="shared" si="61"/>
        <v>0</v>
      </c>
      <c r="IK13" s="135">
        <f t="shared" si="61"/>
        <v>0</v>
      </c>
      <c r="IL13" s="135">
        <f t="shared" si="61"/>
        <v>0</v>
      </c>
      <c r="IM13" s="135">
        <f t="shared" si="61"/>
        <v>0</v>
      </c>
      <c r="IN13" s="135">
        <f t="shared" si="61"/>
        <v>0</v>
      </c>
      <c r="IO13" s="135">
        <f t="shared" si="61"/>
        <v>0</v>
      </c>
      <c r="IP13" s="135">
        <f t="shared" si="61"/>
        <v>0</v>
      </c>
      <c r="IQ13" s="135">
        <f t="shared" si="61"/>
        <v>0</v>
      </c>
      <c r="IR13" s="135">
        <f t="shared" si="61"/>
        <v>0</v>
      </c>
      <c r="IS13" s="135">
        <f t="shared" si="61"/>
        <v>0</v>
      </c>
      <c r="IT13" s="135">
        <f t="shared" si="61"/>
        <v>0</v>
      </c>
      <c r="IU13" s="135">
        <f t="shared" si="61"/>
        <v>0</v>
      </c>
      <c r="IV13" s="135">
        <f t="shared" si="61"/>
        <v>0</v>
      </c>
      <c r="IW13" s="135">
        <f t="shared" si="61"/>
        <v>0</v>
      </c>
      <c r="IX13" s="135">
        <f t="shared" si="61"/>
        <v>0</v>
      </c>
      <c r="IY13" s="135">
        <f t="shared" si="61"/>
        <v>0</v>
      </c>
      <c r="IZ13" s="135">
        <f t="shared" si="61"/>
        <v>0</v>
      </c>
      <c r="JA13" s="135">
        <f t="shared" si="61"/>
        <v>0</v>
      </c>
      <c r="JB13" s="135">
        <f t="shared" si="61"/>
        <v>0</v>
      </c>
      <c r="JC13" s="135">
        <f t="shared" si="61"/>
        <v>0</v>
      </c>
      <c r="JD13" s="135">
        <f t="shared" si="61"/>
        <v>0</v>
      </c>
      <c r="JE13" s="135">
        <f t="shared" si="61"/>
        <v>0</v>
      </c>
      <c r="JF13" s="135">
        <f t="shared" ref="JF13:JI23" si="62">IFERROR(IF(JF$1=EOMONTH($G13,0),(-$E13+($E13*(DAY($G13)/DAY(EOMONTH(JF$1,0)))*$F13/12*(1-0.269))),IF(JF$1=$G13,($E13+($E13*(DAY($I13)/DAY(EOMONTH(JF$1,0)))*$F13/12*(1-0.269))),IFERROR(IF($I13&lt;JF$1,0,IF(JF$1&gt;$I13,(($F13/12)*$E13)*(DAY($I13)/DAY(EOMONTH(JF$1,0)))*(1-26.9/100)+$E13,IF(AND(JF$1&gt;=$G13,JF$1&lt;$I13),(($F13/12)*$E13)*(1-26.9/100),""))-IF(JF$1=EOMONTH($G13,0),$E13,"0")),0)+IF(JF$1=EOMONTH($I13,0),($E13+($E13*(DAY($I13)/DAY(EOMONTH(JF$1,0)))*$F13/12*(1-0.269))),"0"))),0)</f>
        <v>0</v>
      </c>
      <c r="JG13" s="135">
        <f t="shared" si="62"/>
        <v>0</v>
      </c>
      <c r="JH13" s="135">
        <f t="shared" si="62"/>
        <v>0</v>
      </c>
      <c r="JI13" s="135">
        <f t="shared" si="62"/>
        <v>0</v>
      </c>
      <c r="JJ13" s="135">
        <f t="shared" si="42"/>
        <v>0</v>
      </c>
      <c r="JK13" s="135">
        <f t="shared" si="42"/>
        <v>0</v>
      </c>
      <c r="JL13" s="135">
        <f t="shared" ref="JL13:KQ13" si="63">IFERROR(IF(JL$1=EOMONTH($G13,0),(-$E13+($E13*(DAY($G13)/DAY(EOMONTH(JL$1,0)))*$F13/12*(1-0.269))),IF(JL$1=$G13,($E13+($E13*(DAY($I13)/DAY(EOMONTH(JL$1,0)))*$F13/12*(1-0.269))),IFERROR(IF($I13&lt;JL$1,0,IF(JL$1&gt;$I13,(($F13/12)*$E13)*(DAY($I13)/DAY(EOMONTH(JL$1,0)))*(1-26.9/100)+$E13,IF(AND(JL$1&gt;=$G13,JL$1&lt;$I13),(($F13/12)*$E13)*(1-26.9/100),""))-IF(JL$1=EOMONTH($G13,0),$E13,"0")),0)+IF(JL$1=EOMONTH($I13,0),($E13+($E13*(DAY($I13)/DAY(EOMONTH(JL$1,0)))*$F13/12*(1-0.269))),"0"))),0)</f>
        <v>0</v>
      </c>
      <c r="JM13" s="135">
        <f t="shared" si="63"/>
        <v>0</v>
      </c>
      <c r="JN13" s="135">
        <f t="shared" si="63"/>
        <v>0</v>
      </c>
      <c r="JO13" s="135">
        <f t="shared" si="63"/>
        <v>0</v>
      </c>
      <c r="JP13" s="135">
        <f t="shared" si="63"/>
        <v>0</v>
      </c>
      <c r="JQ13" s="135">
        <f t="shared" si="63"/>
        <v>0</v>
      </c>
      <c r="JR13" s="135">
        <f t="shared" si="63"/>
        <v>0</v>
      </c>
      <c r="JS13" s="135">
        <f t="shared" si="63"/>
        <v>0</v>
      </c>
      <c r="JT13" s="135">
        <f t="shared" si="63"/>
        <v>0</v>
      </c>
      <c r="JU13" s="135">
        <f t="shared" si="63"/>
        <v>0</v>
      </c>
      <c r="JV13" s="135">
        <f t="shared" si="63"/>
        <v>0</v>
      </c>
      <c r="JW13" s="135">
        <f t="shared" si="63"/>
        <v>0</v>
      </c>
      <c r="JX13" s="135">
        <f t="shared" si="63"/>
        <v>0</v>
      </c>
      <c r="JY13" s="135">
        <f t="shared" si="63"/>
        <v>0</v>
      </c>
      <c r="JZ13" s="135">
        <f t="shared" si="63"/>
        <v>0</v>
      </c>
      <c r="KA13" s="135">
        <f t="shared" si="63"/>
        <v>0</v>
      </c>
      <c r="KB13" s="135">
        <f t="shared" si="63"/>
        <v>0</v>
      </c>
      <c r="KC13" s="135">
        <f t="shared" si="63"/>
        <v>0</v>
      </c>
      <c r="KD13" s="135">
        <f t="shared" si="63"/>
        <v>0</v>
      </c>
      <c r="KE13" s="135">
        <f t="shared" si="63"/>
        <v>0</v>
      </c>
      <c r="KF13" s="135">
        <f t="shared" si="63"/>
        <v>0</v>
      </c>
      <c r="KG13" s="135">
        <f t="shared" si="63"/>
        <v>0</v>
      </c>
      <c r="KH13" s="135">
        <f t="shared" si="63"/>
        <v>0</v>
      </c>
      <c r="KI13" s="135">
        <f t="shared" si="63"/>
        <v>0</v>
      </c>
      <c r="KJ13" s="135">
        <f t="shared" si="63"/>
        <v>0</v>
      </c>
      <c r="KK13" s="135">
        <f t="shared" si="63"/>
        <v>0</v>
      </c>
      <c r="KL13" s="135">
        <f t="shared" si="63"/>
        <v>0</v>
      </c>
      <c r="KM13" s="135">
        <f t="shared" si="63"/>
        <v>0</v>
      </c>
      <c r="KN13" s="135">
        <f t="shared" si="63"/>
        <v>0</v>
      </c>
      <c r="KO13" s="135">
        <f t="shared" si="63"/>
        <v>0</v>
      </c>
      <c r="KP13" s="135">
        <f t="shared" si="63"/>
        <v>0</v>
      </c>
      <c r="KQ13" s="135">
        <f t="shared" si="63"/>
        <v>0</v>
      </c>
      <c r="KR13" s="135">
        <f t="shared" ref="KR13:LW13" si="64">IFERROR(IF(KR$1=EOMONTH($G13,0),(-$E13+($E13*(DAY($G13)/DAY(EOMONTH(KR$1,0)))*$F13/12*(1-0.269))),IF(KR$1=$G13,($E13+($E13*(DAY($I13)/DAY(EOMONTH(KR$1,0)))*$F13/12*(1-0.269))),IFERROR(IF($I13&lt;KR$1,0,IF(KR$1&gt;$I13,(($F13/12)*$E13)*(DAY($I13)/DAY(EOMONTH(KR$1,0)))*(1-26.9/100)+$E13,IF(AND(KR$1&gt;=$G13,KR$1&lt;$I13),(($F13/12)*$E13)*(1-26.9/100),""))-IF(KR$1=EOMONTH($G13,0),$E13,"0")),0)+IF(KR$1=EOMONTH($I13,0),($E13+($E13*(DAY($I13)/DAY(EOMONTH(KR$1,0)))*$F13/12*(1-0.269))),"0"))),0)</f>
        <v>0</v>
      </c>
      <c r="KS13" s="135">
        <f t="shared" si="64"/>
        <v>0</v>
      </c>
      <c r="KT13" s="135">
        <f t="shared" si="64"/>
        <v>0</v>
      </c>
      <c r="KU13" s="135">
        <f t="shared" si="64"/>
        <v>0</v>
      </c>
      <c r="KV13" s="135">
        <f t="shared" si="64"/>
        <v>0</v>
      </c>
      <c r="KW13" s="135">
        <f t="shared" si="64"/>
        <v>0</v>
      </c>
      <c r="KX13" s="135">
        <f t="shared" si="64"/>
        <v>0</v>
      </c>
      <c r="KY13" s="135">
        <f t="shared" si="64"/>
        <v>0</v>
      </c>
      <c r="KZ13" s="135">
        <f t="shared" si="64"/>
        <v>0</v>
      </c>
      <c r="LA13" s="135">
        <f t="shared" si="64"/>
        <v>0</v>
      </c>
      <c r="LB13" s="135">
        <f t="shared" si="64"/>
        <v>0</v>
      </c>
      <c r="LC13" s="135">
        <f t="shared" si="64"/>
        <v>0</v>
      </c>
      <c r="LD13" s="135">
        <f t="shared" si="64"/>
        <v>0</v>
      </c>
      <c r="LE13" s="135">
        <f t="shared" si="64"/>
        <v>0</v>
      </c>
      <c r="LF13" s="135">
        <f t="shared" si="64"/>
        <v>0</v>
      </c>
      <c r="LG13" s="135">
        <f t="shared" si="64"/>
        <v>0</v>
      </c>
      <c r="LH13" s="135">
        <f t="shared" si="64"/>
        <v>0</v>
      </c>
      <c r="LI13" s="135">
        <f t="shared" si="64"/>
        <v>0</v>
      </c>
      <c r="LJ13" s="135">
        <f t="shared" si="64"/>
        <v>0</v>
      </c>
      <c r="LK13" s="135">
        <f t="shared" si="64"/>
        <v>0</v>
      </c>
      <c r="LL13" s="135">
        <f t="shared" si="64"/>
        <v>0</v>
      </c>
      <c r="LM13" s="135">
        <f t="shared" si="64"/>
        <v>0</v>
      </c>
      <c r="LN13" s="135">
        <f t="shared" si="64"/>
        <v>0</v>
      </c>
      <c r="LO13" s="135">
        <f t="shared" si="64"/>
        <v>0</v>
      </c>
      <c r="LP13" s="135">
        <f t="shared" si="64"/>
        <v>0</v>
      </c>
      <c r="LQ13" s="135">
        <f t="shared" si="64"/>
        <v>0</v>
      </c>
      <c r="LR13" s="135">
        <f t="shared" si="64"/>
        <v>0</v>
      </c>
      <c r="LS13" s="135">
        <f t="shared" si="64"/>
        <v>0</v>
      </c>
      <c r="LT13" s="135">
        <f t="shared" si="64"/>
        <v>0</v>
      </c>
      <c r="LU13" s="135">
        <f t="shared" si="64"/>
        <v>0</v>
      </c>
      <c r="LV13" s="135">
        <f t="shared" si="64"/>
        <v>0</v>
      </c>
      <c r="LW13" s="135">
        <f t="shared" si="64"/>
        <v>0</v>
      </c>
      <c r="LX13" s="135">
        <f t="shared" si="56"/>
        <v>0</v>
      </c>
      <c r="LY13" s="135">
        <f t="shared" si="56"/>
        <v>0</v>
      </c>
      <c r="LZ13" s="135">
        <f t="shared" si="56"/>
        <v>0</v>
      </c>
      <c r="MA13" s="135">
        <f t="shared" si="56"/>
        <v>0</v>
      </c>
      <c r="MB13" s="135">
        <f t="shared" si="56"/>
        <v>0</v>
      </c>
      <c r="MC13" s="135">
        <f t="shared" si="56"/>
        <v>0</v>
      </c>
      <c r="MD13" s="135">
        <f t="shared" si="56"/>
        <v>0</v>
      </c>
      <c r="ME13" s="135">
        <f t="shared" si="56"/>
        <v>0</v>
      </c>
      <c r="MF13" s="135">
        <f t="shared" si="56"/>
        <v>0</v>
      </c>
      <c r="MG13" s="135">
        <f t="shared" si="56"/>
        <v>0</v>
      </c>
      <c r="MH13" s="135">
        <f t="shared" si="56"/>
        <v>0</v>
      </c>
      <c r="MI13" s="135">
        <f t="shared" si="56"/>
        <v>0</v>
      </c>
      <c r="MJ13" s="135">
        <f t="shared" si="56"/>
        <v>0</v>
      </c>
      <c r="MK13" s="135">
        <f t="shared" si="56"/>
        <v>0</v>
      </c>
      <c r="ML13" s="135">
        <f t="shared" si="56"/>
        <v>0</v>
      </c>
      <c r="MM13" s="135">
        <f t="shared" si="56"/>
        <v>0</v>
      </c>
      <c r="MN13" s="135">
        <f t="shared" si="56"/>
        <v>0</v>
      </c>
      <c r="MO13" s="135">
        <f t="shared" si="56"/>
        <v>0</v>
      </c>
      <c r="MP13" s="135">
        <f t="shared" si="56"/>
        <v>0</v>
      </c>
      <c r="MQ13" s="135">
        <f t="shared" si="56"/>
        <v>0</v>
      </c>
      <c r="MR13" s="135">
        <f t="shared" si="56"/>
        <v>0</v>
      </c>
      <c r="MS13" s="135">
        <f t="shared" si="56"/>
        <v>0</v>
      </c>
      <c r="MT13" s="135">
        <f t="shared" si="56"/>
        <v>0</v>
      </c>
      <c r="MU13" s="135">
        <f t="shared" si="56"/>
        <v>0</v>
      </c>
      <c r="MV13" s="135">
        <f t="shared" si="56"/>
        <v>0</v>
      </c>
      <c r="MW13" s="135">
        <f t="shared" si="56"/>
        <v>0</v>
      </c>
      <c r="MX13" s="135">
        <f t="shared" si="56"/>
        <v>0</v>
      </c>
      <c r="MY13" s="135">
        <f t="shared" si="56"/>
        <v>0</v>
      </c>
      <c r="MZ13" s="135">
        <f t="shared" si="56"/>
        <v>0</v>
      </c>
      <c r="NA13" s="135">
        <f t="shared" si="56"/>
        <v>0</v>
      </c>
      <c r="NB13" s="135">
        <f t="shared" si="56"/>
        <v>0</v>
      </c>
      <c r="NC13" s="135">
        <f t="shared" si="56"/>
        <v>0</v>
      </c>
      <c r="ND13" s="135">
        <f t="shared" si="56"/>
        <v>0</v>
      </c>
      <c r="NE13" s="135">
        <f t="shared" si="56"/>
        <v>0</v>
      </c>
      <c r="NF13" s="135">
        <f t="shared" si="56"/>
        <v>0</v>
      </c>
      <c r="NG13" s="135">
        <f t="shared" si="56"/>
        <v>0</v>
      </c>
      <c r="NH13" s="135">
        <f t="shared" si="56"/>
        <v>0</v>
      </c>
      <c r="NI13" s="135">
        <f t="shared" si="56"/>
        <v>0</v>
      </c>
      <c r="NJ13" s="135">
        <f t="shared" si="56"/>
        <v>0</v>
      </c>
      <c r="NK13" s="135">
        <f t="shared" si="56"/>
        <v>0</v>
      </c>
      <c r="NL13" s="135">
        <f t="shared" si="56"/>
        <v>0</v>
      </c>
      <c r="NM13" s="135">
        <f t="shared" si="56"/>
        <v>0</v>
      </c>
      <c r="NN13" s="135">
        <f t="shared" si="56"/>
        <v>0</v>
      </c>
      <c r="NO13" s="135">
        <f t="shared" si="56"/>
        <v>0</v>
      </c>
      <c r="NP13" s="135">
        <f t="shared" si="56"/>
        <v>0</v>
      </c>
      <c r="NQ13" s="135">
        <f t="shared" si="56"/>
        <v>0</v>
      </c>
      <c r="NR13" s="135">
        <f t="shared" si="56"/>
        <v>0</v>
      </c>
      <c r="NS13" s="135">
        <f t="shared" si="56"/>
        <v>0</v>
      </c>
      <c r="NT13" s="135">
        <f t="shared" si="56"/>
        <v>0</v>
      </c>
      <c r="NU13" s="135">
        <f t="shared" si="56"/>
        <v>0</v>
      </c>
      <c r="NV13" s="135">
        <f t="shared" si="56"/>
        <v>0</v>
      </c>
      <c r="NW13" s="135">
        <f t="shared" si="56"/>
        <v>0</v>
      </c>
      <c r="NX13" s="135">
        <f t="shared" si="56"/>
        <v>0</v>
      </c>
      <c r="NY13" s="135">
        <f t="shared" si="56"/>
        <v>0</v>
      </c>
      <c r="NZ13" s="135">
        <f t="shared" si="56"/>
        <v>0</v>
      </c>
      <c r="OA13" s="135">
        <f t="shared" si="56"/>
        <v>0</v>
      </c>
      <c r="OB13" s="135">
        <f t="shared" si="56"/>
        <v>0</v>
      </c>
      <c r="OC13" s="135">
        <f t="shared" si="56"/>
        <v>0</v>
      </c>
      <c r="OD13" s="135">
        <f t="shared" si="56"/>
        <v>0</v>
      </c>
      <c r="OE13" s="135">
        <f t="shared" si="56"/>
        <v>0</v>
      </c>
      <c r="OF13" s="135">
        <f t="shared" si="56"/>
        <v>0</v>
      </c>
      <c r="OG13" s="135">
        <f t="shared" si="57"/>
        <v>0</v>
      </c>
      <c r="OH13" s="135">
        <f t="shared" si="43"/>
        <v>0</v>
      </c>
      <c r="OI13" s="135">
        <f t="shared" si="43"/>
        <v>0</v>
      </c>
      <c r="OJ13" s="135">
        <f t="shared" ref="OJ13:PO13" si="65">IFERROR(IF(OJ$1=EOMONTH($G13,0),(-$E13+($E13*(DAY($G13)/DAY(EOMONTH(OJ$1,0)))*$F13/12*(1-0.269))),IF(OJ$1=$G13,($E13+($E13*(DAY($I13)/DAY(EOMONTH(OJ$1,0)))*$F13/12*(1-0.269))),IFERROR(IF($I13&lt;OJ$1,0,IF(OJ$1&gt;$I13,(($F13/12)*$E13)*(DAY($I13)/DAY(EOMONTH(OJ$1,0)))*(1-26.9/100)+$E13,IF(AND(OJ$1&gt;=$G13,OJ$1&lt;$I13),(($F13/12)*$E13)*(1-26.9/100),""))-IF(OJ$1=EOMONTH($G13,0),$E13,"0")),0)+IF(OJ$1=EOMONTH($I13,0),($E13+($E13*(DAY($I13)/DAY(EOMONTH(OJ$1,0)))*$F13/12*(1-0.269))),"0"))),0)</f>
        <v>0</v>
      </c>
      <c r="OK13" s="135">
        <f t="shared" si="65"/>
        <v>0</v>
      </c>
      <c r="OL13" s="135">
        <f t="shared" si="65"/>
        <v>0</v>
      </c>
      <c r="OM13" s="135">
        <f t="shared" si="65"/>
        <v>0</v>
      </c>
      <c r="ON13" s="135">
        <f t="shared" si="65"/>
        <v>0</v>
      </c>
      <c r="OO13" s="135">
        <f t="shared" si="65"/>
        <v>0</v>
      </c>
      <c r="OP13" s="135">
        <f t="shared" si="65"/>
        <v>0</v>
      </c>
      <c r="OQ13" s="135">
        <f t="shared" si="65"/>
        <v>0</v>
      </c>
      <c r="OR13" s="135">
        <f t="shared" si="65"/>
        <v>0</v>
      </c>
      <c r="OS13" s="135">
        <f t="shared" si="65"/>
        <v>0</v>
      </c>
      <c r="OT13" s="135">
        <f t="shared" si="65"/>
        <v>0</v>
      </c>
      <c r="OU13" s="135">
        <f t="shared" si="65"/>
        <v>0</v>
      </c>
      <c r="OV13" s="135">
        <f t="shared" si="65"/>
        <v>0</v>
      </c>
      <c r="OW13" s="135">
        <f t="shared" si="65"/>
        <v>0</v>
      </c>
      <c r="OX13" s="135">
        <f t="shared" si="65"/>
        <v>0</v>
      </c>
      <c r="OY13" s="135">
        <f t="shared" si="65"/>
        <v>0</v>
      </c>
      <c r="OZ13" s="135">
        <f t="shared" si="65"/>
        <v>0</v>
      </c>
      <c r="PA13" s="135">
        <f t="shared" si="65"/>
        <v>0</v>
      </c>
      <c r="PB13" s="135">
        <f t="shared" si="65"/>
        <v>0</v>
      </c>
      <c r="PC13" s="135">
        <f t="shared" si="65"/>
        <v>0</v>
      </c>
      <c r="PD13" s="135">
        <f t="shared" si="65"/>
        <v>0</v>
      </c>
      <c r="PE13" s="135">
        <f t="shared" si="65"/>
        <v>0</v>
      </c>
      <c r="PF13" s="135">
        <f t="shared" si="65"/>
        <v>0</v>
      </c>
      <c r="PG13" s="135">
        <f t="shared" si="65"/>
        <v>0</v>
      </c>
      <c r="PH13" s="135">
        <f t="shared" si="65"/>
        <v>0</v>
      </c>
      <c r="PI13" s="135">
        <f t="shared" si="65"/>
        <v>0</v>
      </c>
      <c r="PJ13" s="135">
        <f t="shared" si="65"/>
        <v>0</v>
      </c>
      <c r="PK13" s="135">
        <f t="shared" si="65"/>
        <v>0</v>
      </c>
      <c r="PL13" s="135">
        <f t="shared" si="65"/>
        <v>0</v>
      </c>
      <c r="PM13" s="135">
        <f t="shared" si="65"/>
        <v>0</v>
      </c>
      <c r="PN13" s="135">
        <f t="shared" si="65"/>
        <v>0</v>
      </c>
      <c r="PO13" s="135">
        <f t="shared" si="65"/>
        <v>0</v>
      </c>
      <c r="PP13" s="135">
        <f t="shared" ref="PP13:QU13" si="66">IFERROR(IF(PP$1=EOMONTH($G13,0),(-$E13+($E13*(DAY($G13)/DAY(EOMONTH(PP$1,0)))*$F13/12*(1-0.269))),IF(PP$1=$G13,($E13+($E13*(DAY($I13)/DAY(EOMONTH(PP$1,0)))*$F13/12*(1-0.269))),IFERROR(IF($I13&lt;PP$1,0,IF(PP$1&gt;$I13,(($F13/12)*$E13)*(DAY($I13)/DAY(EOMONTH(PP$1,0)))*(1-26.9/100)+$E13,IF(AND(PP$1&gt;=$G13,PP$1&lt;$I13),(($F13/12)*$E13)*(1-26.9/100),""))-IF(PP$1=EOMONTH($G13,0),$E13,"0")),0)+IF(PP$1=EOMONTH($I13,0),($E13+($E13*(DAY($I13)/DAY(EOMONTH(PP$1,0)))*$F13/12*(1-0.269))),"0"))),0)</f>
        <v>0</v>
      </c>
      <c r="PQ13" s="135">
        <f t="shared" si="66"/>
        <v>0</v>
      </c>
      <c r="PR13" s="135">
        <f t="shared" si="66"/>
        <v>0</v>
      </c>
      <c r="PS13" s="135">
        <f t="shared" si="66"/>
        <v>0</v>
      </c>
      <c r="PT13" s="135">
        <f t="shared" si="66"/>
        <v>0</v>
      </c>
      <c r="PU13" s="135">
        <f t="shared" si="66"/>
        <v>0</v>
      </c>
      <c r="PV13" s="135">
        <f t="shared" si="66"/>
        <v>0</v>
      </c>
      <c r="PW13" s="135">
        <f t="shared" si="66"/>
        <v>0</v>
      </c>
      <c r="PX13" s="135">
        <f t="shared" si="66"/>
        <v>0</v>
      </c>
      <c r="PY13" s="135">
        <f t="shared" si="66"/>
        <v>0</v>
      </c>
      <c r="PZ13" s="135">
        <f t="shared" si="66"/>
        <v>0</v>
      </c>
      <c r="QA13" s="135">
        <f t="shared" si="66"/>
        <v>0</v>
      </c>
      <c r="QB13" s="135">
        <f t="shared" si="66"/>
        <v>0</v>
      </c>
      <c r="QC13" s="135">
        <f t="shared" si="66"/>
        <v>0</v>
      </c>
      <c r="QD13" s="135">
        <f t="shared" si="66"/>
        <v>0</v>
      </c>
      <c r="QE13" s="135">
        <f t="shared" si="66"/>
        <v>0</v>
      </c>
      <c r="QF13" s="135">
        <f t="shared" si="66"/>
        <v>0</v>
      </c>
      <c r="QG13" s="135">
        <f t="shared" si="66"/>
        <v>0</v>
      </c>
      <c r="QH13" s="135">
        <f t="shared" si="66"/>
        <v>0</v>
      </c>
      <c r="QI13" s="135">
        <f t="shared" si="66"/>
        <v>0</v>
      </c>
      <c r="QJ13" s="135">
        <f t="shared" si="66"/>
        <v>0</v>
      </c>
      <c r="QK13" s="135">
        <f t="shared" si="66"/>
        <v>0</v>
      </c>
      <c r="QL13" s="135">
        <f t="shared" si="66"/>
        <v>0</v>
      </c>
      <c r="QM13" s="135">
        <f t="shared" si="66"/>
        <v>0</v>
      </c>
      <c r="QN13" s="135">
        <f t="shared" si="66"/>
        <v>0</v>
      </c>
      <c r="QO13" s="135">
        <f t="shared" si="66"/>
        <v>0</v>
      </c>
      <c r="QP13" s="135">
        <f t="shared" si="66"/>
        <v>0</v>
      </c>
      <c r="QQ13" s="135">
        <f t="shared" si="66"/>
        <v>0</v>
      </c>
      <c r="QR13" s="135">
        <f t="shared" si="66"/>
        <v>0</v>
      </c>
      <c r="QS13" s="135">
        <f t="shared" si="66"/>
        <v>0</v>
      </c>
      <c r="QT13" s="135">
        <f t="shared" si="66"/>
        <v>0</v>
      </c>
      <c r="QU13" s="135">
        <f t="shared" si="66"/>
        <v>0</v>
      </c>
      <c r="QV13" s="135">
        <f t="shared" si="58"/>
        <v>0</v>
      </c>
      <c r="QW13" s="135">
        <f t="shared" si="58"/>
        <v>0</v>
      </c>
      <c r="QX13" s="135">
        <f t="shared" si="58"/>
        <v>0</v>
      </c>
      <c r="QY13" s="135">
        <f t="shared" si="58"/>
        <v>0</v>
      </c>
      <c r="QZ13" s="135">
        <f t="shared" si="58"/>
        <v>0</v>
      </c>
      <c r="RA13" s="135">
        <f t="shared" si="58"/>
        <v>0</v>
      </c>
      <c r="RB13" s="135">
        <f t="shared" si="58"/>
        <v>0</v>
      </c>
      <c r="RC13" s="135">
        <f t="shared" si="58"/>
        <v>0</v>
      </c>
      <c r="RD13" s="135">
        <f t="shared" si="58"/>
        <v>0</v>
      </c>
      <c r="RE13" s="135">
        <f t="shared" si="58"/>
        <v>0</v>
      </c>
      <c r="RF13" s="135">
        <f t="shared" si="58"/>
        <v>0</v>
      </c>
      <c r="RG13" s="135">
        <f t="shared" si="58"/>
        <v>0</v>
      </c>
      <c r="RH13" s="135">
        <f t="shared" si="58"/>
        <v>0</v>
      </c>
      <c r="RI13" s="135">
        <f t="shared" si="58"/>
        <v>0</v>
      </c>
      <c r="RJ13" s="135">
        <f t="shared" si="58"/>
        <v>0</v>
      </c>
      <c r="RK13" s="135">
        <f t="shared" si="58"/>
        <v>0</v>
      </c>
      <c r="RL13" s="135">
        <f t="shared" si="58"/>
        <v>0</v>
      </c>
      <c r="RM13" s="135">
        <f t="shared" si="58"/>
        <v>0</v>
      </c>
      <c r="RN13" s="135">
        <f t="shared" si="58"/>
        <v>0</v>
      </c>
      <c r="RO13" s="135">
        <f t="shared" si="58"/>
        <v>0</v>
      </c>
      <c r="RP13" s="135">
        <f t="shared" si="58"/>
        <v>0</v>
      </c>
      <c r="RQ13" s="135">
        <f t="shared" si="58"/>
        <v>0</v>
      </c>
      <c r="RR13" s="135">
        <f t="shared" si="58"/>
        <v>0</v>
      </c>
      <c r="RS13" s="135">
        <f t="shared" si="58"/>
        <v>0</v>
      </c>
      <c r="RT13" s="135">
        <f t="shared" si="58"/>
        <v>0</v>
      </c>
      <c r="RU13" s="135">
        <f t="shared" si="58"/>
        <v>0</v>
      </c>
      <c r="RV13" s="135">
        <f t="shared" si="58"/>
        <v>0</v>
      </c>
      <c r="RW13" s="135">
        <f t="shared" si="58"/>
        <v>0</v>
      </c>
      <c r="RX13" s="135">
        <f t="shared" si="58"/>
        <v>0</v>
      </c>
      <c r="RY13" s="135">
        <f t="shared" si="58"/>
        <v>0</v>
      </c>
      <c r="RZ13" s="135">
        <f t="shared" si="58"/>
        <v>0</v>
      </c>
      <c r="SA13" s="135">
        <f t="shared" si="58"/>
        <v>0</v>
      </c>
      <c r="SB13" s="135">
        <f t="shared" si="58"/>
        <v>0</v>
      </c>
      <c r="SC13" s="135">
        <f t="shared" si="58"/>
        <v>0</v>
      </c>
      <c r="SD13" s="135">
        <f t="shared" si="58"/>
        <v>0</v>
      </c>
      <c r="SE13" s="135">
        <f t="shared" si="58"/>
        <v>0</v>
      </c>
      <c r="SF13" s="135">
        <f t="shared" si="58"/>
        <v>0</v>
      </c>
      <c r="SG13" s="135">
        <f t="shared" si="58"/>
        <v>0</v>
      </c>
      <c r="SH13" s="135">
        <f t="shared" si="58"/>
        <v>0</v>
      </c>
      <c r="SI13" s="135">
        <f t="shared" si="58"/>
        <v>0</v>
      </c>
      <c r="SJ13" s="135">
        <f t="shared" si="58"/>
        <v>0</v>
      </c>
      <c r="SK13" s="135">
        <f t="shared" si="58"/>
        <v>0</v>
      </c>
      <c r="SL13" s="135">
        <f t="shared" si="58"/>
        <v>0</v>
      </c>
      <c r="SM13" s="135">
        <f t="shared" si="58"/>
        <v>0</v>
      </c>
      <c r="SN13" s="135">
        <f t="shared" si="58"/>
        <v>0</v>
      </c>
      <c r="SO13" s="135">
        <f t="shared" si="58"/>
        <v>0</v>
      </c>
      <c r="SP13" s="135">
        <f t="shared" si="58"/>
        <v>0</v>
      </c>
      <c r="SQ13" s="135">
        <f t="shared" si="58"/>
        <v>0</v>
      </c>
      <c r="SR13" s="135">
        <f t="shared" si="58"/>
        <v>0</v>
      </c>
      <c r="SS13" s="135">
        <f t="shared" si="58"/>
        <v>0</v>
      </c>
      <c r="ST13" s="135">
        <f t="shared" si="58"/>
        <v>0</v>
      </c>
      <c r="SU13" s="135">
        <f t="shared" si="58"/>
        <v>0</v>
      </c>
      <c r="SV13" s="135">
        <f t="shared" si="58"/>
        <v>0</v>
      </c>
      <c r="SW13" s="135">
        <f t="shared" si="58"/>
        <v>0</v>
      </c>
      <c r="SX13" s="135">
        <f t="shared" si="58"/>
        <v>0</v>
      </c>
      <c r="SY13" s="135">
        <f t="shared" si="58"/>
        <v>0</v>
      </c>
      <c r="SZ13" s="135">
        <f t="shared" si="58"/>
        <v>0</v>
      </c>
      <c r="TA13" s="135">
        <f t="shared" si="58"/>
        <v>0</v>
      </c>
      <c r="TB13" s="135">
        <f t="shared" si="58"/>
        <v>0</v>
      </c>
      <c r="TC13" s="135">
        <f t="shared" si="58"/>
        <v>0</v>
      </c>
      <c r="TD13" s="135">
        <f t="shared" si="58"/>
        <v>0</v>
      </c>
      <c r="TE13" s="135">
        <f>IFERROR(IF(TE$1=EOMONTH($G13,0),(-$E13+($E13*(DAY($G13)/DAY(EOMONTH(TE$1,0)))*$F13/12*(1-0.269))),IF(TE$1=$G13,($E13+($E13*(DAY($I13)/DAY(EOMONTH(TE$1,0)))*$F13/12*(1-0.269))),IFERROR(IF($I13&lt;TE$1,0,IF(TE$1&gt;$I13,(($F13/12)*$E13)*(DAY($I13)/DAY(EOMONTH(TE$1,0)))*(1-26.9/100)+$E13,IF(AND(TE$1&gt;=$G13,TE$1&lt;$I13),(($F13/12)*$E13)*(1-26.9/100),""))-IF(TE$1=EOMONTH($G13,0),$E13,"0")),0)+IF(TE$1=EOMONTH($I13,0),($E13+($E13*(DAY($I13)/DAY(EOMONTH(TE$1,0)))*$F13/12*(1-0.269))),"0"))),0)</f>
        <v>0</v>
      </c>
      <c r="TF13" s="135">
        <f t="shared" ref="TF13:UK20" si="67">IFERROR(IF(TF$1=EOMONTH($G13,0),(-$E13+($E13*(DAY($G13)/DAY(EOMONTH(TF$1,0)))*$F13/12*(1-0.269))),IF(TF$1=$G13,($E13+($E13*(DAY($I13)/DAY(EOMONTH(TF$1,0)))*$F13/12*(1-0.269))),IFERROR(IF($I13&lt;TF$1,0,IF(TF$1&gt;$I13,(($F13/12)*$E13)*(DAY($I13)/DAY(EOMONTH(TF$1,0)))*(1-26.9/100)+$E13,IF(AND(TF$1&gt;=$G13,TF$1&lt;$I13),(($F13/12)*$E13)*(1-26.9/100),""))-IF(TF$1=EOMONTH($G13,0),$E13,"0")),0)+IF(TF$1=EOMONTH($I13,0),($E13+($E13*(DAY($I13)/DAY(EOMONTH(TF$1,0)))*$F13/12*(1-0.269))),"0"))),0)</f>
        <v>0</v>
      </c>
      <c r="TG13" s="135">
        <f t="shared" si="67"/>
        <v>0</v>
      </c>
      <c r="TH13" s="135">
        <f t="shared" si="67"/>
        <v>0</v>
      </c>
      <c r="TI13" s="135">
        <f t="shared" si="67"/>
        <v>0</v>
      </c>
      <c r="TJ13" s="135">
        <f t="shared" si="67"/>
        <v>0</v>
      </c>
      <c r="TK13" s="135">
        <f t="shared" si="67"/>
        <v>0</v>
      </c>
      <c r="TL13" s="135">
        <f t="shared" si="67"/>
        <v>0</v>
      </c>
      <c r="TM13" s="135">
        <f t="shared" si="67"/>
        <v>0</v>
      </c>
      <c r="TN13" s="135">
        <f t="shared" si="67"/>
        <v>0</v>
      </c>
      <c r="TO13" s="135">
        <f t="shared" si="67"/>
        <v>0</v>
      </c>
      <c r="TP13" s="135">
        <f t="shared" si="67"/>
        <v>0</v>
      </c>
      <c r="TQ13" s="135">
        <f t="shared" si="67"/>
        <v>0</v>
      </c>
      <c r="TR13" s="135">
        <f t="shared" si="67"/>
        <v>0</v>
      </c>
      <c r="TS13" s="135">
        <f t="shared" si="67"/>
        <v>0</v>
      </c>
      <c r="TT13" s="135">
        <f t="shared" si="67"/>
        <v>0</v>
      </c>
      <c r="TU13" s="135">
        <f t="shared" si="67"/>
        <v>0</v>
      </c>
      <c r="TV13" s="135">
        <f t="shared" si="67"/>
        <v>0</v>
      </c>
      <c r="TW13" s="135">
        <f t="shared" si="67"/>
        <v>0</v>
      </c>
      <c r="TX13" s="135">
        <f t="shared" si="67"/>
        <v>0</v>
      </c>
      <c r="TY13" s="135">
        <f t="shared" si="67"/>
        <v>0</v>
      </c>
      <c r="TZ13" s="135">
        <f t="shared" si="67"/>
        <v>0</v>
      </c>
      <c r="UA13" s="135">
        <f t="shared" si="67"/>
        <v>0</v>
      </c>
      <c r="UB13" s="135">
        <f t="shared" si="67"/>
        <v>0</v>
      </c>
      <c r="UC13" s="135">
        <f t="shared" si="67"/>
        <v>0</v>
      </c>
      <c r="UD13" s="135">
        <f t="shared" si="67"/>
        <v>0</v>
      </c>
      <c r="UE13" s="135">
        <f t="shared" si="67"/>
        <v>0</v>
      </c>
      <c r="UF13" s="135">
        <f t="shared" si="67"/>
        <v>0</v>
      </c>
      <c r="UG13" s="135">
        <f t="shared" si="67"/>
        <v>0</v>
      </c>
      <c r="UH13" s="135">
        <f t="shared" si="67"/>
        <v>0</v>
      </c>
      <c r="UI13" s="135">
        <f t="shared" si="67"/>
        <v>0</v>
      </c>
      <c r="UJ13" s="135">
        <f t="shared" si="67"/>
        <v>0</v>
      </c>
      <c r="UK13" s="135">
        <f t="shared" si="67"/>
        <v>0</v>
      </c>
    </row>
    <row r="14" spans="2:557">
      <c r="B14" t="str">
        <f>IF(Samenvatting!$F115&lt;&gt;0,Samenvatting!C115,"")</f>
        <v/>
      </c>
      <c r="C14" t="str">
        <f>IF(Samenvatting!$F115&lt;&gt;0,Samenvatting!D115,"")</f>
        <v/>
      </c>
      <c r="D14" t="str">
        <f>IF(Samenvatting!$F115&lt;&gt;0,Samenvatting!E115,"")</f>
        <v/>
      </c>
      <c r="E14" t="str">
        <f>IF(Samenvatting!$F115&lt;&gt;0,Samenvatting!F115,"")</f>
        <v/>
      </c>
      <c r="F14" t="str">
        <f>IF(Samenvatting!$F115&lt;&gt;0,Samenvatting!H115,"")</f>
        <v/>
      </c>
      <c r="G14" s="134" t="str">
        <f>IF(Samenvatting!$F115&lt;&gt;0,Samenvatting!I115,"")</f>
        <v/>
      </c>
      <c r="H14" t="str">
        <f>IF(Samenvatting!$F115&lt;&gt;0,Samenvatting!J115,"")</f>
        <v/>
      </c>
      <c r="I14" s="134" t="str">
        <f>IF(Samenvatting!$F115&lt;&gt;0,Samenvatting!K115,"")</f>
        <v/>
      </c>
      <c r="J14" s="135">
        <f t="shared" si="0"/>
        <v>0</v>
      </c>
      <c r="K14" s="135">
        <f t="shared" si="59"/>
        <v>0</v>
      </c>
      <c r="L14" s="135">
        <f t="shared" si="59"/>
        <v>0</v>
      </c>
      <c r="M14" s="135">
        <f t="shared" si="59"/>
        <v>0</v>
      </c>
      <c r="N14" s="135">
        <f t="shared" si="59"/>
        <v>0</v>
      </c>
      <c r="O14" s="135">
        <f t="shared" si="59"/>
        <v>0</v>
      </c>
      <c r="P14" s="135">
        <f t="shared" si="59"/>
        <v>0</v>
      </c>
      <c r="Q14" s="135">
        <f t="shared" si="59"/>
        <v>0</v>
      </c>
      <c r="R14" s="135">
        <f t="shared" si="59"/>
        <v>0</v>
      </c>
      <c r="S14" s="135">
        <f t="shared" si="59"/>
        <v>0</v>
      </c>
      <c r="T14" s="135">
        <f t="shared" si="59"/>
        <v>0</v>
      </c>
      <c r="U14" s="135">
        <f t="shared" si="59"/>
        <v>0</v>
      </c>
      <c r="V14" s="135">
        <f t="shared" si="59"/>
        <v>0</v>
      </c>
      <c r="W14" s="135">
        <f t="shared" si="59"/>
        <v>0</v>
      </c>
      <c r="X14" s="135">
        <f t="shared" si="59"/>
        <v>0</v>
      </c>
      <c r="Y14" s="135">
        <f t="shared" si="59"/>
        <v>0</v>
      </c>
      <c r="Z14" s="135">
        <f t="shared" si="59"/>
        <v>0</v>
      </c>
      <c r="AA14" s="135">
        <f t="shared" si="59"/>
        <v>0</v>
      </c>
      <c r="AB14" s="135">
        <f t="shared" si="59"/>
        <v>0</v>
      </c>
      <c r="AC14" s="135">
        <f t="shared" si="59"/>
        <v>0</v>
      </c>
      <c r="AD14" s="135">
        <f t="shared" si="59"/>
        <v>0</v>
      </c>
      <c r="AE14" s="135">
        <f t="shared" si="59"/>
        <v>0</v>
      </c>
      <c r="AF14" s="135">
        <f t="shared" si="59"/>
        <v>0</v>
      </c>
      <c r="AG14" s="135">
        <f t="shared" si="59"/>
        <v>0</v>
      </c>
      <c r="AH14" s="135">
        <f t="shared" si="59"/>
        <v>0</v>
      </c>
      <c r="AI14" s="135">
        <f t="shared" si="59"/>
        <v>0</v>
      </c>
      <c r="AJ14" s="135">
        <f t="shared" si="59"/>
        <v>0</v>
      </c>
      <c r="AK14" s="135">
        <f t="shared" si="59"/>
        <v>0</v>
      </c>
      <c r="AL14" s="135">
        <f t="shared" si="59"/>
        <v>0</v>
      </c>
      <c r="AM14" s="135">
        <f t="shared" si="59"/>
        <v>0</v>
      </c>
      <c r="AN14" s="135">
        <f t="shared" si="59"/>
        <v>0</v>
      </c>
      <c r="AO14" s="135">
        <f t="shared" si="59"/>
        <v>0</v>
      </c>
      <c r="AP14" s="135">
        <f t="shared" si="59"/>
        <v>0</v>
      </c>
      <c r="AQ14" s="135">
        <f t="shared" si="59"/>
        <v>0</v>
      </c>
      <c r="AR14" s="135">
        <f t="shared" si="59"/>
        <v>0</v>
      </c>
      <c r="AS14" s="135">
        <f t="shared" si="59"/>
        <v>0</v>
      </c>
      <c r="AT14" s="135">
        <f t="shared" si="59"/>
        <v>0</v>
      </c>
      <c r="AU14" s="135">
        <f t="shared" si="59"/>
        <v>0</v>
      </c>
      <c r="AV14" s="135">
        <f t="shared" si="59"/>
        <v>0</v>
      </c>
      <c r="AW14" s="135">
        <f t="shared" si="59"/>
        <v>0</v>
      </c>
      <c r="AX14" s="135">
        <f t="shared" si="59"/>
        <v>0</v>
      </c>
      <c r="AY14" s="135">
        <f t="shared" si="59"/>
        <v>0</v>
      </c>
      <c r="AZ14" s="135">
        <f t="shared" si="59"/>
        <v>0</v>
      </c>
      <c r="BA14" s="135">
        <f t="shared" si="59"/>
        <v>0</v>
      </c>
      <c r="BB14" s="135">
        <f t="shared" si="59"/>
        <v>0</v>
      </c>
      <c r="BC14" s="135">
        <f t="shared" si="59"/>
        <v>0</v>
      </c>
      <c r="BD14" s="135">
        <f t="shared" si="59"/>
        <v>0</v>
      </c>
      <c r="BE14" s="135">
        <f t="shared" si="59"/>
        <v>0</v>
      </c>
      <c r="BF14" s="135">
        <f t="shared" si="59"/>
        <v>0</v>
      </c>
      <c r="BG14" s="135">
        <f t="shared" si="59"/>
        <v>0</v>
      </c>
      <c r="BH14" s="135">
        <f t="shared" si="59"/>
        <v>0</v>
      </c>
      <c r="BI14" s="135">
        <f t="shared" si="59"/>
        <v>0</v>
      </c>
      <c r="BJ14" s="135">
        <f t="shared" si="59"/>
        <v>0</v>
      </c>
      <c r="BK14" s="135">
        <f t="shared" si="59"/>
        <v>0</v>
      </c>
      <c r="BL14" s="135">
        <f t="shared" si="59"/>
        <v>0</v>
      </c>
      <c r="BM14" s="135">
        <f t="shared" si="59"/>
        <v>0</v>
      </c>
      <c r="BN14" s="135">
        <f t="shared" si="59"/>
        <v>0</v>
      </c>
      <c r="BO14" s="135">
        <f t="shared" si="59"/>
        <v>0</v>
      </c>
      <c r="BP14" s="135">
        <f t="shared" si="59"/>
        <v>0</v>
      </c>
      <c r="BQ14" s="135">
        <f t="shared" si="59"/>
        <v>0</v>
      </c>
      <c r="BR14" s="135">
        <f t="shared" si="59"/>
        <v>0</v>
      </c>
      <c r="BS14" s="135">
        <f t="shared" si="59"/>
        <v>0</v>
      </c>
      <c r="BT14" s="135">
        <f t="shared" si="59"/>
        <v>0</v>
      </c>
      <c r="BU14" s="135">
        <f t="shared" si="59"/>
        <v>0</v>
      </c>
      <c r="BV14" s="135">
        <f t="shared" si="59"/>
        <v>0</v>
      </c>
      <c r="BW14" s="135">
        <f t="shared" si="55"/>
        <v>0</v>
      </c>
      <c r="BX14" s="135">
        <f t="shared" si="55"/>
        <v>0</v>
      </c>
      <c r="BY14" s="135">
        <f t="shared" si="55"/>
        <v>0</v>
      </c>
      <c r="BZ14" s="135">
        <f t="shared" si="55"/>
        <v>0</v>
      </c>
      <c r="CA14" s="135">
        <f t="shared" si="55"/>
        <v>0</v>
      </c>
      <c r="CB14" s="135">
        <f t="shared" si="55"/>
        <v>0</v>
      </c>
      <c r="CC14" s="135">
        <f t="shared" si="55"/>
        <v>0</v>
      </c>
      <c r="CD14" s="135">
        <f t="shared" si="55"/>
        <v>0</v>
      </c>
      <c r="CE14" s="135">
        <f t="shared" si="55"/>
        <v>0</v>
      </c>
      <c r="CF14" s="135">
        <f t="shared" si="55"/>
        <v>0</v>
      </c>
      <c r="CG14" s="135">
        <f t="shared" si="55"/>
        <v>0</v>
      </c>
      <c r="CH14" s="135">
        <f t="shared" si="55"/>
        <v>0</v>
      </c>
      <c r="CI14" s="135">
        <f t="shared" si="55"/>
        <v>0</v>
      </c>
      <c r="CJ14" s="135">
        <f t="shared" si="55"/>
        <v>0</v>
      </c>
      <c r="CK14" s="135">
        <f t="shared" si="55"/>
        <v>0</v>
      </c>
      <c r="CL14" s="135">
        <f t="shared" si="55"/>
        <v>0</v>
      </c>
      <c r="CM14" s="135">
        <f t="shared" si="55"/>
        <v>0</v>
      </c>
      <c r="CN14" s="135">
        <f t="shared" si="55"/>
        <v>0</v>
      </c>
      <c r="CO14" s="135">
        <f t="shared" si="55"/>
        <v>0</v>
      </c>
      <c r="CP14" s="135">
        <f t="shared" si="55"/>
        <v>0</v>
      </c>
      <c r="CQ14" s="135">
        <f t="shared" si="55"/>
        <v>0</v>
      </c>
      <c r="CR14" s="135">
        <f t="shared" si="55"/>
        <v>0</v>
      </c>
      <c r="CS14" s="135">
        <f t="shared" si="55"/>
        <v>0</v>
      </c>
      <c r="CT14" s="135">
        <f t="shared" si="55"/>
        <v>0</v>
      </c>
      <c r="CU14" s="135">
        <f t="shared" si="55"/>
        <v>0</v>
      </c>
      <c r="CV14" s="135">
        <f t="shared" si="55"/>
        <v>0</v>
      </c>
      <c r="CW14" s="135">
        <f t="shared" si="55"/>
        <v>0</v>
      </c>
      <c r="CX14" s="135">
        <f t="shared" si="55"/>
        <v>0</v>
      </c>
      <c r="CY14" s="135">
        <f t="shared" si="55"/>
        <v>0</v>
      </c>
      <c r="CZ14" s="135">
        <f t="shared" si="55"/>
        <v>0</v>
      </c>
      <c r="DA14" s="135">
        <f t="shared" si="55"/>
        <v>0</v>
      </c>
      <c r="DB14" s="135">
        <f t="shared" si="55"/>
        <v>0</v>
      </c>
      <c r="DC14" s="135">
        <f t="shared" si="55"/>
        <v>0</v>
      </c>
      <c r="DD14" s="135">
        <f t="shared" si="55"/>
        <v>0</v>
      </c>
      <c r="DE14" s="135">
        <f t="shared" si="55"/>
        <v>0</v>
      </c>
      <c r="DF14" s="135">
        <f t="shared" si="55"/>
        <v>0</v>
      </c>
      <c r="DG14" s="135">
        <f t="shared" si="55"/>
        <v>0</v>
      </c>
      <c r="DH14" s="135">
        <f t="shared" si="55"/>
        <v>0</v>
      </c>
      <c r="DI14" s="135">
        <f t="shared" si="55"/>
        <v>0</v>
      </c>
      <c r="DJ14" s="135">
        <f t="shared" si="55"/>
        <v>0</v>
      </c>
      <c r="DK14" s="135">
        <f t="shared" si="55"/>
        <v>0</v>
      </c>
      <c r="DL14" s="135">
        <f t="shared" si="55"/>
        <v>0</v>
      </c>
      <c r="DM14" s="135">
        <f t="shared" si="55"/>
        <v>0</v>
      </c>
      <c r="DN14" s="135">
        <f t="shared" si="55"/>
        <v>0</v>
      </c>
      <c r="DO14" s="135">
        <f t="shared" si="55"/>
        <v>0</v>
      </c>
      <c r="DP14" s="135">
        <f t="shared" si="55"/>
        <v>0</v>
      </c>
      <c r="DQ14" s="135">
        <f t="shared" si="55"/>
        <v>0</v>
      </c>
      <c r="DR14" s="135">
        <f t="shared" si="55"/>
        <v>0</v>
      </c>
      <c r="DS14" s="135">
        <f t="shared" si="55"/>
        <v>0</v>
      </c>
      <c r="DT14" s="135">
        <f t="shared" si="55"/>
        <v>0</v>
      </c>
      <c r="DU14" s="135">
        <f t="shared" si="55"/>
        <v>0</v>
      </c>
      <c r="DV14" s="135">
        <f t="shared" si="55"/>
        <v>0</v>
      </c>
      <c r="DW14" s="135">
        <f t="shared" si="55"/>
        <v>0</v>
      </c>
      <c r="DX14" s="135">
        <f t="shared" si="55"/>
        <v>0</v>
      </c>
      <c r="DY14" s="135">
        <f t="shared" si="55"/>
        <v>0</v>
      </c>
      <c r="DZ14" s="135">
        <f t="shared" si="55"/>
        <v>0</v>
      </c>
      <c r="EA14" s="135">
        <f t="shared" si="55"/>
        <v>0</v>
      </c>
      <c r="EB14" s="135">
        <f t="shared" si="55"/>
        <v>0</v>
      </c>
      <c r="EC14" s="135">
        <f t="shared" si="55"/>
        <v>0</v>
      </c>
      <c r="ED14" s="135">
        <f t="shared" si="55"/>
        <v>0</v>
      </c>
      <c r="EE14" s="135">
        <f t="shared" si="55"/>
        <v>0</v>
      </c>
      <c r="EF14" s="135">
        <f t="shared" si="55"/>
        <v>0</v>
      </c>
      <c r="EG14" s="135">
        <f t="shared" si="55"/>
        <v>0</v>
      </c>
      <c r="EH14" s="135">
        <f t="shared" si="37"/>
        <v>0</v>
      </c>
      <c r="EI14" s="135">
        <f t="shared" ref="EI14:GT17" si="68">IFERROR(IF(EI$1=EOMONTH($G14,0),(-$E14+($E14*(DAY($G14)/DAY(EOMONTH(EI$1,0)))*$F14/12*(1-0.269))),IF(EI$1=$G14,($E14+($E14*(DAY($I14)/DAY(EOMONTH(EI$1,0)))*$F14/12*(1-0.269))),IFERROR(IF($I14&lt;EI$1,0,IF(EI$1&gt;$I14,(($F14/12)*$E14)*(DAY($I14)/DAY(EOMONTH(EI$1,0)))*(1-26.9/100)+$E14,IF(AND(EI$1&gt;=$G14,EI$1&lt;$I14),(($F14/12)*$E14)*(1-26.9/100),""))-IF(EI$1=EOMONTH($G14,0),$E14,"0")),0)+IF(EI$1=EOMONTH($I14,0),($E14+($E14*(DAY($I14)/DAY(EOMONTH(EI$1,0)))*$F14/12*(1-0.269))),"0"))),0)</f>
        <v>0</v>
      </c>
      <c r="EJ14" s="135">
        <f t="shared" si="68"/>
        <v>0</v>
      </c>
      <c r="EK14" s="135">
        <f t="shared" si="68"/>
        <v>0</v>
      </c>
      <c r="EL14" s="135">
        <f t="shared" si="68"/>
        <v>0</v>
      </c>
      <c r="EM14" s="135">
        <f t="shared" si="68"/>
        <v>0</v>
      </c>
      <c r="EN14" s="135">
        <f t="shared" si="68"/>
        <v>0</v>
      </c>
      <c r="EO14" s="135">
        <f t="shared" si="68"/>
        <v>0</v>
      </c>
      <c r="EP14" s="135">
        <f t="shared" si="68"/>
        <v>0</v>
      </c>
      <c r="EQ14" s="135">
        <f t="shared" si="68"/>
        <v>0</v>
      </c>
      <c r="ER14" s="135">
        <f t="shared" si="68"/>
        <v>0</v>
      </c>
      <c r="ES14" s="135">
        <f t="shared" si="68"/>
        <v>0</v>
      </c>
      <c r="ET14" s="135">
        <f t="shared" si="68"/>
        <v>0</v>
      </c>
      <c r="EU14" s="135">
        <f t="shared" si="68"/>
        <v>0</v>
      </c>
      <c r="EV14" s="135">
        <f t="shared" si="68"/>
        <v>0</v>
      </c>
      <c r="EW14" s="135">
        <f t="shared" si="68"/>
        <v>0</v>
      </c>
      <c r="EX14" s="135">
        <f t="shared" si="68"/>
        <v>0</v>
      </c>
      <c r="EY14" s="135">
        <f t="shared" si="68"/>
        <v>0</v>
      </c>
      <c r="EZ14" s="135">
        <f t="shared" si="68"/>
        <v>0</v>
      </c>
      <c r="FA14" s="135">
        <f t="shared" si="68"/>
        <v>0</v>
      </c>
      <c r="FB14" s="135">
        <f t="shared" si="68"/>
        <v>0</v>
      </c>
      <c r="FC14" s="135">
        <f t="shared" si="68"/>
        <v>0</v>
      </c>
      <c r="FD14" s="135">
        <f t="shared" si="68"/>
        <v>0</v>
      </c>
      <c r="FE14" s="135">
        <f t="shared" si="68"/>
        <v>0</v>
      </c>
      <c r="FF14" s="135">
        <f t="shared" si="68"/>
        <v>0</v>
      </c>
      <c r="FG14" s="135">
        <f t="shared" si="68"/>
        <v>0</v>
      </c>
      <c r="FH14" s="135">
        <f t="shared" si="68"/>
        <v>0</v>
      </c>
      <c r="FI14" s="135">
        <f t="shared" si="68"/>
        <v>0</v>
      </c>
      <c r="FJ14" s="135">
        <f t="shared" si="68"/>
        <v>0</v>
      </c>
      <c r="FK14" s="135">
        <f t="shared" si="68"/>
        <v>0</v>
      </c>
      <c r="FL14" s="135">
        <f t="shared" si="68"/>
        <v>0</v>
      </c>
      <c r="FM14" s="135">
        <f t="shared" si="68"/>
        <v>0</v>
      </c>
      <c r="FN14" s="135">
        <f t="shared" si="68"/>
        <v>0</v>
      </c>
      <c r="FO14" s="135">
        <f t="shared" si="68"/>
        <v>0</v>
      </c>
      <c r="FP14" s="135">
        <f t="shared" si="68"/>
        <v>0</v>
      </c>
      <c r="FQ14" s="135">
        <f t="shared" si="68"/>
        <v>0</v>
      </c>
      <c r="FR14" s="135">
        <f t="shared" si="68"/>
        <v>0</v>
      </c>
      <c r="FS14" s="135">
        <f t="shared" si="68"/>
        <v>0</v>
      </c>
      <c r="FT14" s="135">
        <f t="shared" si="68"/>
        <v>0</v>
      </c>
      <c r="FU14" s="135">
        <f t="shared" si="68"/>
        <v>0</v>
      </c>
      <c r="FV14" s="135">
        <f t="shared" si="68"/>
        <v>0</v>
      </c>
      <c r="FW14" s="135">
        <f t="shared" si="68"/>
        <v>0</v>
      </c>
      <c r="FX14" s="135">
        <f t="shared" si="68"/>
        <v>0</v>
      </c>
      <c r="FY14" s="135">
        <f t="shared" si="68"/>
        <v>0</v>
      </c>
      <c r="FZ14" s="135">
        <f t="shared" si="68"/>
        <v>0</v>
      </c>
      <c r="GA14" s="135">
        <f t="shared" si="68"/>
        <v>0</v>
      </c>
      <c r="GB14" s="135">
        <f t="shared" si="68"/>
        <v>0</v>
      </c>
      <c r="GC14" s="135">
        <f t="shared" si="68"/>
        <v>0</v>
      </c>
      <c r="GD14" s="135">
        <f t="shared" si="68"/>
        <v>0</v>
      </c>
      <c r="GE14" s="135">
        <f t="shared" si="68"/>
        <v>0</v>
      </c>
      <c r="GF14" s="135">
        <f t="shared" si="68"/>
        <v>0</v>
      </c>
      <c r="GG14" s="135">
        <f t="shared" si="68"/>
        <v>0</v>
      </c>
      <c r="GH14" s="135">
        <f t="shared" si="68"/>
        <v>0</v>
      </c>
      <c r="GI14" s="135">
        <f t="shared" si="68"/>
        <v>0</v>
      </c>
      <c r="GJ14" s="135">
        <f t="shared" si="68"/>
        <v>0</v>
      </c>
      <c r="GK14" s="135">
        <f t="shared" si="68"/>
        <v>0</v>
      </c>
      <c r="GL14" s="135">
        <f t="shared" si="68"/>
        <v>0</v>
      </c>
      <c r="GM14" s="135">
        <f t="shared" si="68"/>
        <v>0</v>
      </c>
      <c r="GN14" s="135">
        <f t="shared" si="68"/>
        <v>0</v>
      </c>
      <c r="GO14" s="135">
        <f t="shared" si="68"/>
        <v>0</v>
      </c>
      <c r="GP14" s="135">
        <f t="shared" si="68"/>
        <v>0</v>
      </c>
      <c r="GQ14" s="135">
        <f t="shared" si="68"/>
        <v>0</v>
      </c>
      <c r="GR14" s="135">
        <f t="shared" si="68"/>
        <v>0</v>
      </c>
      <c r="GS14" s="135">
        <f t="shared" si="68"/>
        <v>0</v>
      </c>
      <c r="GT14" s="135">
        <f t="shared" si="68"/>
        <v>0</v>
      </c>
      <c r="GU14" s="135">
        <f t="shared" si="61"/>
        <v>0</v>
      </c>
      <c r="GV14" s="135">
        <f t="shared" si="61"/>
        <v>0</v>
      </c>
      <c r="GW14" s="135">
        <f t="shared" si="61"/>
        <v>0</v>
      </c>
      <c r="GX14" s="135">
        <f t="shared" si="61"/>
        <v>0</v>
      </c>
      <c r="GY14" s="135">
        <f t="shared" si="61"/>
        <v>0</v>
      </c>
      <c r="GZ14" s="135">
        <f t="shared" si="61"/>
        <v>0</v>
      </c>
      <c r="HA14" s="135">
        <f t="shared" si="61"/>
        <v>0</v>
      </c>
      <c r="HB14" s="135">
        <f t="shared" si="61"/>
        <v>0</v>
      </c>
      <c r="HC14" s="135">
        <f t="shared" si="61"/>
        <v>0</v>
      </c>
      <c r="HD14" s="135">
        <f t="shared" si="61"/>
        <v>0</v>
      </c>
      <c r="HE14" s="135">
        <f t="shared" si="61"/>
        <v>0</v>
      </c>
      <c r="HF14" s="135">
        <f t="shared" si="61"/>
        <v>0</v>
      </c>
      <c r="HG14" s="135">
        <f t="shared" si="61"/>
        <v>0</v>
      </c>
      <c r="HH14" s="135">
        <f t="shared" si="61"/>
        <v>0</v>
      </c>
      <c r="HI14" s="135">
        <f t="shared" si="61"/>
        <v>0</v>
      </c>
      <c r="HJ14" s="135">
        <f t="shared" si="61"/>
        <v>0</v>
      </c>
      <c r="HK14" s="135">
        <f t="shared" si="61"/>
        <v>0</v>
      </c>
      <c r="HL14" s="135">
        <f t="shared" si="61"/>
        <v>0</v>
      </c>
      <c r="HM14" s="135">
        <f t="shared" si="61"/>
        <v>0</v>
      </c>
      <c r="HN14" s="135">
        <f t="shared" si="61"/>
        <v>0</v>
      </c>
      <c r="HO14" s="135">
        <f t="shared" si="61"/>
        <v>0</v>
      </c>
      <c r="HP14" s="135">
        <f t="shared" si="61"/>
        <v>0</v>
      </c>
      <c r="HQ14" s="135">
        <f t="shared" si="61"/>
        <v>0</v>
      </c>
      <c r="HR14" s="135">
        <f t="shared" si="61"/>
        <v>0</v>
      </c>
      <c r="HS14" s="135">
        <f t="shared" si="61"/>
        <v>0</v>
      </c>
      <c r="HT14" s="135">
        <f t="shared" si="61"/>
        <v>0</v>
      </c>
      <c r="HU14" s="135">
        <f t="shared" si="61"/>
        <v>0</v>
      </c>
      <c r="HV14" s="135">
        <f t="shared" si="61"/>
        <v>0</v>
      </c>
      <c r="HW14" s="135">
        <f t="shared" si="61"/>
        <v>0</v>
      </c>
      <c r="HX14" s="135">
        <f t="shared" si="61"/>
        <v>0</v>
      </c>
      <c r="HY14" s="135">
        <f t="shared" si="61"/>
        <v>0</v>
      </c>
      <c r="HZ14" s="135">
        <f t="shared" si="61"/>
        <v>0</v>
      </c>
      <c r="IA14" s="135">
        <f t="shared" si="61"/>
        <v>0</v>
      </c>
      <c r="IB14" s="135">
        <f t="shared" si="61"/>
        <v>0</v>
      </c>
      <c r="IC14" s="135">
        <f t="shared" si="61"/>
        <v>0</v>
      </c>
      <c r="ID14" s="135">
        <f t="shared" si="61"/>
        <v>0</v>
      </c>
      <c r="IE14" s="135">
        <f t="shared" si="61"/>
        <v>0</v>
      </c>
      <c r="IF14" s="135">
        <f t="shared" si="61"/>
        <v>0</v>
      </c>
      <c r="IG14" s="135">
        <f t="shared" si="61"/>
        <v>0</v>
      </c>
      <c r="IH14" s="135">
        <f t="shared" si="61"/>
        <v>0</v>
      </c>
      <c r="II14" s="135">
        <f t="shared" si="61"/>
        <v>0</v>
      </c>
      <c r="IJ14" s="135">
        <f t="shared" si="61"/>
        <v>0</v>
      </c>
      <c r="IK14" s="135">
        <f t="shared" si="61"/>
        <v>0</v>
      </c>
      <c r="IL14" s="135">
        <f t="shared" si="61"/>
        <v>0</v>
      </c>
      <c r="IM14" s="135">
        <f t="shared" si="61"/>
        <v>0</v>
      </c>
      <c r="IN14" s="135">
        <f t="shared" si="61"/>
        <v>0</v>
      </c>
      <c r="IO14" s="135">
        <f t="shared" si="61"/>
        <v>0</v>
      </c>
      <c r="IP14" s="135">
        <f t="shared" si="61"/>
        <v>0</v>
      </c>
      <c r="IQ14" s="135">
        <f t="shared" si="61"/>
        <v>0</v>
      </c>
      <c r="IR14" s="135">
        <f t="shared" si="61"/>
        <v>0</v>
      </c>
      <c r="IS14" s="135">
        <f t="shared" si="61"/>
        <v>0</v>
      </c>
      <c r="IT14" s="135">
        <f t="shared" si="61"/>
        <v>0</v>
      </c>
      <c r="IU14" s="135">
        <f t="shared" si="61"/>
        <v>0</v>
      </c>
      <c r="IV14" s="135">
        <f t="shared" si="61"/>
        <v>0</v>
      </c>
      <c r="IW14" s="135">
        <f t="shared" si="61"/>
        <v>0</v>
      </c>
      <c r="IX14" s="135">
        <f t="shared" si="61"/>
        <v>0</v>
      </c>
      <c r="IY14" s="135">
        <f t="shared" si="61"/>
        <v>0</v>
      </c>
      <c r="IZ14" s="135">
        <f t="shared" si="61"/>
        <v>0</v>
      </c>
      <c r="JA14" s="135">
        <f t="shared" si="61"/>
        <v>0</v>
      </c>
      <c r="JB14" s="135">
        <f t="shared" si="61"/>
        <v>0</v>
      </c>
      <c r="JC14" s="135">
        <f t="shared" si="61"/>
        <v>0</v>
      </c>
      <c r="JD14" s="135">
        <f t="shared" si="61"/>
        <v>0</v>
      </c>
      <c r="JE14" s="135">
        <f t="shared" si="61"/>
        <v>0</v>
      </c>
      <c r="JF14" s="135">
        <f t="shared" si="62"/>
        <v>0</v>
      </c>
      <c r="JG14" s="135">
        <f t="shared" si="62"/>
        <v>0</v>
      </c>
      <c r="JH14" s="135">
        <f t="shared" si="62"/>
        <v>0</v>
      </c>
      <c r="JI14" s="135">
        <f t="shared" si="62"/>
        <v>0</v>
      </c>
      <c r="JJ14" s="135">
        <f t="shared" ref="JJ14:LU17" si="69">IFERROR(IF(JJ$1=EOMONTH($G14,0),(-$E14+($E14*(DAY($G14)/DAY(EOMONTH(JJ$1,0)))*$F14/12*(1-0.269))),IF(JJ$1=$G14,($E14+($E14*(DAY($I14)/DAY(EOMONTH(JJ$1,0)))*$F14/12*(1-0.269))),IFERROR(IF($I14&lt;JJ$1,0,IF(JJ$1&gt;$I14,(($F14/12)*$E14)*(DAY($I14)/DAY(EOMONTH(JJ$1,0)))*(1-26.9/100)+$E14,IF(AND(JJ$1&gt;=$G14,JJ$1&lt;$I14),(($F14/12)*$E14)*(1-26.9/100),""))-IF(JJ$1=EOMONTH($G14,0),$E14,"0")),0)+IF(JJ$1=EOMONTH($I14,0),($E14+($E14*(DAY($I14)/DAY(EOMONTH(JJ$1,0)))*$F14/12*(1-0.269))),"0"))),0)</f>
        <v>0</v>
      </c>
      <c r="JK14" s="135">
        <f t="shared" si="69"/>
        <v>0</v>
      </c>
      <c r="JL14" s="135">
        <f t="shared" si="69"/>
        <v>0</v>
      </c>
      <c r="JM14" s="135">
        <f t="shared" si="69"/>
        <v>0</v>
      </c>
      <c r="JN14" s="135">
        <f t="shared" si="69"/>
        <v>0</v>
      </c>
      <c r="JO14" s="135">
        <f t="shared" si="69"/>
        <v>0</v>
      </c>
      <c r="JP14" s="135">
        <f t="shared" si="69"/>
        <v>0</v>
      </c>
      <c r="JQ14" s="135">
        <f t="shared" si="69"/>
        <v>0</v>
      </c>
      <c r="JR14" s="135">
        <f t="shared" si="69"/>
        <v>0</v>
      </c>
      <c r="JS14" s="135">
        <f t="shared" si="69"/>
        <v>0</v>
      </c>
      <c r="JT14" s="135">
        <f t="shared" si="69"/>
        <v>0</v>
      </c>
      <c r="JU14" s="135">
        <f t="shared" si="69"/>
        <v>0</v>
      </c>
      <c r="JV14" s="135">
        <f t="shared" si="69"/>
        <v>0</v>
      </c>
      <c r="JW14" s="135">
        <f t="shared" si="69"/>
        <v>0</v>
      </c>
      <c r="JX14" s="135">
        <f t="shared" si="69"/>
        <v>0</v>
      </c>
      <c r="JY14" s="135">
        <f t="shared" si="69"/>
        <v>0</v>
      </c>
      <c r="JZ14" s="135">
        <f t="shared" si="69"/>
        <v>0</v>
      </c>
      <c r="KA14" s="135">
        <f t="shared" si="69"/>
        <v>0</v>
      </c>
      <c r="KB14" s="135">
        <f t="shared" si="69"/>
        <v>0</v>
      </c>
      <c r="KC14" s="135">
        <f t="shared" si="69"/>
        <v>0</v>
      </c>
      <c r="KD14" s="135">
        <f t="shared" si="69"/>
        <v>0</v>
      </c>
      <c r="KE14" s="135">
        <f t="shared" si="69"/>
        <v>0</v>
      </c>
      <c r="KF14" s="135">
        <f t="shared" si="69"/>
        <v>0</v>
      </c>
      <c r="KG14" s="135">
        <f t="shared" si="69"/>
        <v>0</v>
      </c>
      <c r="KH14" s="135">
        <f t="shared" si="69"/>
        <v>0</v>
      </c>
      <c r="KI14" s="135">
        <f t="shared" si="69"/>
        <v>0</v>
      </c>
      <c r="KJ14" s="135">
        <f t="shared" si="69"/>
        <v>0</v>
      </c>
      <c r="KK14" s="135">
        <f t="shared" si="69"/>
        <v>0</v>
      </c>
      <c r="KL14" s="135">
        <f t="shared" si="69"/>
        <v>0</v>
      </c>
      <c r="KM14" s="135">
        <f t="shared" si="69"/>
        <v>0</v>
      </c>
      <c r="KN14" s="135">
        <f t="shared" si="69"/>
        <v>0</v>
      </c>
      <c r="KO14" s="135">
        <f t="shared" si="69"/>
        <v>0</v>
      </c>
      <c r="KP14" s="135">
        <f t="shared" si="69"/>
        <v>0</v>
      </c>
      <c r="KQ14" s="135">
        <f t="shared" si="69"/>
        <v>0</v>
      </c>
      <c r="KR14" s="135">
        <f t="shared" si="69"/>
        <v>0</v>
      </c>
      <c r="KS14" s="135">
        <f t="shared" si="69"/>
        <v>0</v>
      </c>
      <c r="KT14" s="135">
        <f t="shared" si="69"/>
        <v>0</v>
      </c>
      <c r="KU14" s="135">
        <f t="shared" si="69"/>
        <v>0</v>
      </c>
      <c r="KV14" s="135">
        <f t="shared" si="69"/>
        <v>0</v>
      </c>
      <c r="KW14" s="135">
        <f t="shared" si="69"/>
        <v>0</v>
      </c>
      <c r="KX14" s="135">
        <f t="shared" si="69"/>
        <v>0</v>
      </c>
      <c r="KY14" s="135">
        <f t="shared" si="69"/>
        <v>0</v>
      </c>
      <c r="KZ14" s="135">
        <f t="shared" si="69"/>
        <v>0</v>
      </c>
      <c r="LA14" s="135">
        <f t="shared" si="69"/>
        <v>0</v>
      </c>
      <c r="LB14" s="135">
        <f t="shared" si="69"/>
        <v>0</v>
      </c>
      <c r="LC14" s="135">
        <f t="shared" si="69"/>
        <v>0</v>
      </c>
      <c r="LD14" s="135">
        <f t="shared" si="69"/>
        <v>0</v>
      </c>
      <c r="LE14" s="135">
        <f t="shared" si="69"/>
        <v>0</v>
      </c>
      <c r="LF14" s="135">
        <f t="shared" si="69"/>
        <v>0</v>
      </c>
      <c r="LG14" s="135">
        <f t="shared" si="69"/>
        <v>0</v>
      </c>
      <c r="LH14" s="135">
        <f t="shared" si="69"/>
        <v>0</v>
      </c>
      <c r="LI14" s="135">
        <f t="shared" si="69"/>
        <v>0</v>
      </c>
      <c r="LJ14" s="135">
        <f t="shared" si="69"/>
        <v>0</v>
      </c>
      <c r="LK14" s="135">
        <f t="shared" si="69"/>
        <v>0</v>
      </c>
      <c r="LL14" s="135">
        <f t="shared" si="69"/>
        <v>0</v>
      </c>
      <c r="LM14" s="135">
        <f t="shared" si="69"/>
        <v>0</v>
      </c>
      <c r="LN14" s="135">
        <f t="shared" si="69"/>
        <v>0</v>
      </c>
      <c r="LO14" s="135">
        <f t="shared" si="69"/>
        <v>0</v>
      </c>
      <c r="LP14" s="135">
        <f t="shared" si="69"/>
        <v>0</v>
      </c>
      <c r="LQ14" s="135">
        <f t="shared" si="69"/>
        <v>0</v>
      </c>
      <c r="LR14" s="135">
        <f t="shared" si="69"/>
        <v>0</v>
      </c>
      <c r="LS14" s="135">
        <f t="shared" si="69"/>
        <v>0</v>
      </c>
      <c r="LT14" s="135">
        <f t="shared" si="69"/>
        <v>0</v>
      </c>
      <c r="LU14" s="135">
        <f t="shared" si="69"/>
        <v>0</v>
      </c>
      <c r="LV14" s="135">
        <f t="shared" ref="LV14:LW16" si="70">IFERROR(IF(LV$1=EOMONTH($G14,0),(-$E14+($E14*(DAY($G14)/DAY(EOMONTH(LV$1,0)))*$F14/12*(1-0.269))),IF(LV$1=$G14,($E14+($E14*(DAY($I14)/DAY(EOMONTH(LV$1,0)))*$F14/12*(1-0.269))),IFERROR(IF($I14&lt;LV$1,0,IF(LV$1&gt;$I14,(($F14/12)*$E14)*(DAY($I14)/DAY(EOMONTH(LV$1,0)))*(1-26.9/100)+$E14,IF(AND(LV$1&gt;=$G14,LV$1&lt;$I14),(($F14/12)*$E14)*(1-26.9/100),""))-IF(LV$1=EOMONTH($G14,0),$E14,"0")),0)+IF(LV$1=EOMONTH($I14,0),($E14+($E14*(DAY($I14)/DAY(EOMONTH(LV$1,0)))*$F14/12*(1-0.269))),"0"))),0)</f>
        <v>0</v>
      </c>
      <c r="LW14" s="135">
        <f t="shared" si="70"/>
        <v>0</v>
      </c>
      <c r="LX14" s="135">
        <f t="shared" si="56"/>
        <v>0</v>
      </c>
      <c r="LY14" s="135">
        <f t="shared" si="56"/>
        <v>0</v>
      </c>
      <c r="LZ14" s="135">
        <f t="shared" si="56"/>
        <v>0</v>
      </c>
      <c r="MA14" s="135">
        <f t="shared" si="56"/>
        <v>0</v>
      </c>
      <c r="MB14" s="135">
        <f t="shared" si="56"/>
        <v>0</v>
      </c>
      <c r="MC14" s="135">
        <f t="shared" si="56"/>
        <v>0</v>
      </c>
      <c r="MD14" s="135">
        <f t="shared" si="56"/>
        <v>0</v>
      </c>
      <c r="ME14" s="135">
        <f t="shared" si="56"/>
        <v>0</v>
      </c>
      <c r="MF14" s="135">
        <f t="shared" si="56"/>
        <v>0</v>
      </c>
      <c r="MG14" s="135">
        <f t="shared" si="56"/>
        <v>0</v>
      </c>
      <c r="MH14" s="135">
        <f t="shared" si="56"/>
        <v>0</v>
      </c>
      <c r="MI14" s="135">
        <f t="shared" si="56"/>
        <v>0</v>
      </c>
      <c r="MJ14" s="135">
        <f t="shared" si="56"/>
        <v>0</v>
      </c>
      <c r="MK14" s="135">
        <f t="shared" si="56"/>
        <v>0</v>
      </c>
      <c r="ML14" s="135">
        <f t="shared" si="56"/>
        <v>0</v>
      </c>
      <c r="MM14" s="135">
        <f t="shared" si="56"/>
        <v>0</v>
      </c>
      <c r="MN14" s="135">
        <f t="shared" si="56"/>
        <v>0</v>
      </c>
      <c r="MO14" s="135">
        <f t="shared" si="56"/>
        <v>0</v>
      </c>
      <c r="MP14" s="135">
        <f t="shared" si="56"/>
        <v>0</v>
      </c>
      <c r="MQ14" s="135">
        <f t="shared" si="56"/>
        <v>0</v>
      </c>
      <c r="MR14" s="135">
        <f t="shared" si="56"/>
        <v>0</v>
      </c>
      <c r="MS14" s="135">
        <f t="shared" si="56"/>
        <v>0</v>
      </c>
      <c r="MT14" s="135">
        <f t="shared" si="56"/>
        <v>0</v>
      </c>
      <c r="MU14" s="135">
        <f t="shared" si="56"/>
        <v>0</v>
      </c>
      <c r="MV14" s="135">
        <f t="shared" si="56"/>
        <v>0</v>
      </c>
      <c r="MW14" s="135">
        <f t="shared" si="56"/>
        <v>0</v>
      </c>
      <c r="MX14" s="135">
        <f t="shared" si="56"/>
        <v>0</v>
      </c>
      <c r="MY14" s="135">
        <f t="shared" si="56"/>
        <v>0</v>
      </c>
      <c r="MZ14" s="135">
        <f t="shared" si="56"/>
        <v>0</v>
      </c>
      <c r="NA14" s="135">
        <f t="shared" si="56"/>
        <v>0</v>
      </c>
      <c r="NB14" s="135">
        <f t="shared" si="56"/>
        <v>0</v>
      </c>
      <c r="NC14" s="135">
        <f t="shared" si="56"/>
        <v>0</v>
      </c>
      <c r="ND14" s="135">
        <f t="shared" si="56"/>
        <v>0</v>
      </c>
      <c r="NE14" s="135">
        <f t="shared" si="56"/>
        <v>0</v>
      </c>
      <c r="NF14" s="135">
        <f t="shared" si="56"/>
        <v>0</v>
      </c>
      <c r="NG14" s="135">
        <f t="shared" si="56"/>
        <v>0</v>
      </c>
      <c r="NH14" s="135">
        <f t="shared" si="56"/>
        <v>0</v>
      </c>
      <c r="NI14" s="135">
        <f t="shared" si="56"/>
        <v>0</v>
      </c>
      <c r="NJ14" s="135">
        <f t="shared" si="56"/>
        <v>0</v>
      </c>
      <c r="NK14" s="135">
        <f t="shared" si="56"/>
        <v>0</v>
      </c>
      <c r="NL14" s="135">
        <f t="shared" si="56"/>
        <v>0</v>
      </c>
      <c r="NM14" s="135">
        <f t="shared" si="56"/>
        <v>0</v>
      </c>
      <c r="NN14" s="135">
        <f t="shared" si="56"/>
        <v>0</v>
      </c>
      <c r="NO14" s="135">
        <f t="shared" si="56"/>
        <v>0</v>
      </c>
      <c r="NP14" s="135">
        <f t="shared" si="56"/>
        <v>0</v>
      </c>
      <c r="NQ14" s="135">
        <f t="shared" si="56"/>
        <v>0</v>
      </c>
      <c r="NR14" s="135">
        <f t="shared" si="56"/>
        <v>0</v>
      </c>
      <c r="NS14" s="135">
        <f t="shared" si="56"/>
        <v>0</v>
      </c>
      <c r="NT14" s="135">
        <f t="shared" si="56"/>
        <v>0</v>
      </c>
      <c r="NU14" s="135">
        <f t="shared" si="56"/>
        <v>0</v>
      </c>
      <c r="NV14" s="135">
        <f t="shared" si="56"/>
        <v>0</v>
      </c>
      <c r="NW14" s="135">
        <f t="shared" si="56"/>
        <v>0</v>
      </c>
      <c r="NX14" s="135">
        <f t="shared" si="56"/>
        <v>0</v>
      </c>
      <c r="NY14" s="135">
        <f t="shared" si="56"/>
        <v>0</v>
      </c>
      <c r="NZ14" s="135">
        <f t="shared" si="56"/>
        <v>0</v>
      </c>
      <c r="OA14" s="135">
        <f t="shared" si="56"/>
        <v>0</v>
      </c>
      <c r="OB14" s="135">
        <f t="shared" si="56"/>
        <v>0</v>
      </c>
      <c r="OC14" s="135">
        <f t="shared" si="56"/>
        <v>0</v>
      </c>
      <c r="OD14" s="135">
        <f t="shared" si="56"/>
        <v>0</v>
      </c>
      <c r="OE14" s="135">
        <f t="shared" si="56"/>
        <v>0</v>
      </c>
      <c r="OF14" s="135">
        <f t="shared" si="56"/>
        <v>0</v>
      </c>
      <c r="OG14" s="135">
        <f t="shared" si="57"/>
        <v>0</v>
      </c>
      <c r="OH14" s="135">
        <f t="shared" ref="OH14:QS18" si="71">IFERROR(IF(OH$1=EOMONTH($G14,0),(-$E14+($E14*(DAY($G14)/DAY(EOMONTH(OH$1,0)))*$F14/12*(1-0.269))),IF(OH$1=$G14,($E14+($E14*(DAY($I14)/DAY(EOMONTH(OH$1,0)))*$F14/12*(1-0.269))),IFERROR(IF($I14&lt;OH$1,0,IF(OH$1&gt;$I14,(($F14/12)*$E14)*(DAY($I14)/DAY(EOMONTH(OH$1,0)))*(1-26.9/100)+$E14,IF(AND(OH$1&gt;=$G14,OH$1&lt;$I14),(($F14/12)*$E14)*(1-26.9/100),""))-IF(OH$1=EOMONTH($G14,0),$E14,"0")),0)+IF(OH$1=EOMONTH($I14,0),($E14+($E14*(DAY($I14)/DAY(EOMONTH(OH$1,0)))*$F14/12*(1-0.269))),"0"))),0)</f>
        <v>0</v>
      </c>
      <c r="OI14" s="135">
        <f t="shared" si="71"/>
        <v>0</v>
      </c>
      <c r="OJ14" s="135">
        <f t="shared" si="71"/>
        <v>0</v>
      </c>
      <c r="OK14" s="135">
        <f t="shared" si="71"/>
        <v>0</v>
      </c>
      <c r="OL14" s="135">
        <f t="shared" si="71"/>
        <v>0</v>
      </c>
      <c r="OM14" s="135">
        <f t="shared" si="71"/>
        <v>0</v>
      </c>
      <c r="ON14" s="135">
        <f t="shared" si="71"/>
        <v>0</v>
      </c>
      <c r="OO14" s="135">
        <f t="shared" si="71"/>
        <v>0</v>
      </c>
      <c r="OP14" s="135">
        <f t="shared" si="71"/>
        <v>0</v>
      </c>
      <c r="OQ14" s="135">
        <f t="shared" si="71"/>
        <v>0</v>
      </c>
      <c r="OR14" s="135">
        <f t="shared" si="71"/>
        <v>0</v>
      </c>
      <c r="OS14" s="135">
        <f t="shared" si="71"/>
        <v>0</v>
      </c>
      <c r="OT14" s="135">
        <f t="shared" si="71"/>
        <v>0</v>
      </c>
      <c r="OU14" s="135">
        <f t="shared" si="71"/>
        <v>0</v>
      </c>
      <c r="OV14" s="135">
        <f t="shared" si="71"/>
        <v>0</v>
      </c>
      <c r="OW14" s="135">
        <f t="shared" si="71"/>
        <v>0</v>
      </c>
      <c r="OX14" s="135">
        <f t="shared" si="71"/>
        <v>0</v>
      </c>
      <c r="OY14" s="135">
        <f t="shared" si="71"/>
        <v>0</v>
      </c>
      <c r="OZ14" s="135">
        <f t="shared" si="71"/>
        <v>0</v>
      </c>
      <c r="PA14" s="135">
        <f t="shared" si="71"/>
        <v>0</v>
      </c>
      <c r="PB14" s="135">
        <f t="shared" si="71"/>
        <v>0</v>
      </c>
      <c r="PC14" s="135">
        <f t="shared" si="71"/>
        <v>0</v>
      </c>
      <c r="PD14" s="135">
        <f t="shared" si="71"/>
        <v>0</v>
      </c>
      <c r="PE14" s="135">
        <f t="shared" si="71"/>
        <v>0</v>
      </c>
      <c r="PF14" s="135">
        <f t="shared" si="71"/>
        <v>0</v>
      </c>
      <c r="PG14" s="135">
        <f t="shared" si="71"/>
        <v>0</v>
      </c>
      <c r="PH14" s="135">
        <f t="shared" si="71"/>
        <v>0</v>
      </c>
      <c r="PI14" s="135">
        <f t="shared" si="71"/>
        <v>0</v>
      </c>
      <c r="PJ14" s="135">
        <f t="shared" si="71"/>
        <v>0</v>
      </c>
      <c r="PK14" s="135">
        <f t="shared" si="71"/>
        <v>0</v>
      </c>
      <c r="PL14" s="135">
        <f t="shared" si="71"/>
        <v>0</v>
      </c>
      <c r="PM14" s="135">
        <f t="shared" si="71"/>
        <v>0</v>
      </c>
      <c r="PN14" s="135">
        <f t="shared" si="71"/>
        <v>0</v>
      </c>
      <c r="PO14" s="135">
        <f t="shared" si="71"/>
        <v>0</v>
      </c>
      <c r="PP14" s="135">
        <f t="shared" si="71"/>
        <v>0</v>
      </c>
      <c r="PQ14" s="135">
        <f t="shared" si="71"/>
        <v>0</v>
      </c>
      <c r="PR14" s="135">
        <f t="shared" si="71"/>
        <v>0</v>
      </c>
      <c r="PS14" s="135">
        <f t="shared" si="71"/>
        <v>0</v>
      </c>
      <c r="PT14" s="135">
        <f t="shared" si="71"/>
        <v>0</v>
      </c>
      <c r="PU14" s="135">
        <f t="shared" si="71"/>
        <v>0</v>
      </c>
      <c r="PV14" s="135">
        <f t="shared" si="71"/>
        <v>0</v>
      </c>
      <c r="PW14" s="135">
        <f t="shared" si="71"/>
        <v>0</v>
      </c>
      <c r="PX14" s="135">
        <f t="shared" si="71"/>
        <v>0</v>
      </c>
      <c r="PY14" s="135">
        <f t="shared" si="71"/>
        <v>0</v>
      </c>
      <c r="PZ14" s="135">
        <f t="shared" si="71"/>
        <v>0</v>
      </c>
      <c r="QA14" s="135">
        <f t="shared" si="71"/>
        <v>0</v>
      </c>
      <c r="QB14" s="135">
        <f t="shared" si="71"/>
        <v>0</v>
      </c>
      <c r="QC14" s="135">
        <f t="shared" si="71"/>
        <v>0</v>
      </c>
      <c r="QD14" s="135">
        <f t="shared" si="71"/>
        <v>0</v>
      </c>
      <c r="QE14" s="135">
        <f t="shared" si="71"/>
        <v>0</v>
      </c>
      <c r="QF14" s="135">
        <f t="shared" si="71"/>
        <v>0</v>
      </c>
      <c r="QG14" s="135">
        <f t="shared" si="71"/>
        <v>0</v>
      </c>
      <c r="QH14" s="135">
        <f t="shared" si="71"/>
        <v>0</v>
      </c>
      <c r="QI14" s="135">
        <f t="shared" si="71"/>
        <v>0</v>
      </c>
      <c r="QJ14" s="135">
        <f t="shared" si="71"/>
        <v>0</v>
      </c>
      <c r="QK14" s="135">
        <f t="shared" si="71"/>
        <v>0</v>
      </c>
      <c r="QL14" s="135">
        <f t="shared" si="71"/>
        <v>0</v>
      </c>
      <c r="QM14" s="135">
        <f t="shared" si="71"/>
        <v>0</v>
      </c>
      <c r="QN14" s="135">
        <f t="shared" si="71"/>
        <v>0</v>
      </c>
      <c r="QO14" s="135">
        <f t="shared" si="71"/>
        <v>0</v>
      </c>
      <c r="QP14" s="135">
        <f t="shared" si="71"/>
        <v>0</v>
      </c>
      <c r="QQ14" s="135">
        <f t="shared" si="71"/>
        <v>0</v>
      </c>
      <c r="QR14" s="135">
        <f t="shared" si="71"/>
        <v>0</v>
      </c>
      <c r="QS14" s="135">
        <f t="shared" si="71"/>
        <v>0</v>
      </c>
      <c r="QT14" s="135">
        <f t="shared" ref="QT14:QU18" si="72">IFERROR(IF(QT$1=EOMONTH($G14,0),(-$E14+($E14*(DAY($G14)/DAY(EOMONTH(QT$1,0)))*$F14/12*(1-0.269))),IF(QT$1=$G14,($E14+($E14*(DAY($I14)/DAY(EOMONTH(QT$1,0)))*$F14/12*(1-0.269))),IFERROR(IF($I14&lt;QT$1,0,IF(QT$1&gt;$I14,(($F14/12)*$E14)*(DAY($I14)/DAY(EOMONTH(QT$1,0)))*(1-26.9/100)+$E14,IF(AND(QT$1&gt;=$G14,QT$1&lt;$I14),(($F14/12)*$E14)*(1-26.9/100),""))-IF(QT$1=EOMONTH($G14,0),$E14,"0")),0)+IF(QT$1=EOMONTH($I14,0),($E14+($E14*(DAY($I14)/DAY(EOMONTH(QT$1,0)))*$F14/12*(1-0.269))),"0"))),0)</f>
        <v>0</v>
      </c>
      <c r="QU14" s="135">
        <f t="shared" si="72"/>
        <v>0</v>
      </c>
      <c r="QV14" s="135">
        <f t="shared" si="58"/>
        <v>0</v>
      </c>
      <c r="QW14" s="135">
        <f t="shared" si="58"/>
        <v>0</v>
      </c>
      <c r="QX14" s="135">
        <f t="shared" si="58"/>
        <v>0</v>
      </c>
      <c r="QY14" s="135">
        <f t="shared" si="58"/>
        <v>0</v>
      </c>
      <c r="QZ14" s="135">
        <f t="shared" si="58"/>
        <v>0</v>
      </c>
      <c r="RA14" s="135">
        <f t="shared" si="58"/>
        <v>0</v>
      </c>
      <c r="RB14" s="135">
        <f t="shared" si="58"/>
        <v>0</v>
      </c>
      <c r="RC14" s="135">
        <f t="shared" si="58"/>
        <v>0</v>
      </c>
      <c r="RD14" s="135">
        <f t="shared" si="58"/>
        <v>0</v>
      </c>
      <c r="RE14" s="135">
        <f t="shared" si="58"/>
        <v>0</v>
      </c>
      <c r="RF14" s="135">
        <f t="shared" si="58"/>
        <v>0</v>
      </c>
      <c r="RG14" s="135">
        <f t="shared" si="58"/>
        <v>0</v>
      </c>
      <c r="RH14" s="135">
        <f t="shared" si="58"/>
        <v>0</v>
      </c>
      <c r="RI14" s="135">
        <f t="shared" si="58"/>
        <v>0</v>
      </c>
      <c r="RJ14" s="135">
        <f t="shared" si="58"/>
        <v>0</v>
      </c>
      <c r="RK14" s="135">
        <f t="shared" si="58"/>
        <v>0</v>
      </c>
      <c r="RL14" s="135">
        <f t="shared" si="58"/>
        <v>0</v>
      </c>
      <c r="RM14" s="135">
        <f t="shared" si="58"/>
        <v>0</v>
      </c>
      <c r="RN14" s="135">
        <f t="shared" si="58"/>
        <v>0</v>
      </c>
      <c r="RO14" s="135">
        <f t="shared" si="58"/>
        <v>0</v>
      </c>
      <c r="RP14" s="135">
        <f t="shared" si="58"/>
        <v>0</v>
      </c>
      <c r="RQ14" s="135">
        <f t="shared" si="58"/>
        <v>0</v>
      </c>
      <c r="RR14" s="135">
        <f t="shared" si="58"/>
        <v>0</v>
      </c>
      <c r="RS14" s="135">
        <f t="shared" si="58"/>
        <v>0</v>
      </c>
      <c r="RT14" s="135">
        <f t="shared" si="58"/>
        <v>0</v>
      </c>
      <c r="RU14" s="135">
        <f t="shared" si="58"/>
        <v>0</v>
      </c>
      <c r="RV14" s="135">
        <f t="shared" si="58"/>
        <v>0</v>
      </c>
      <c r="RW14" s="135">
        <f t="shared" si="58"/>
        <v>0</v>
      </c>
      <c r="RX14" s="135">
        <f t="shared" si="58"/>
        <v>0</v>
      </c>
      <c r="RY14" s="135">
        <f t="shared" si="58"/>
        <v>0</v>
      </c>
      <c r="RZ14" s="135">
        <f t="shared" si="58"/>
        <v>0</v>
      </c>
      <c r="SA14" s="135">
        <f t="shared" si="58"/>
        <v>0</v>
      </c>
      <c r="SB14" s="135">
        <f t="shared" si="58"/>
        <v>0</v>
      </c>
      <c r="SC14" s="135">
        <f t="shared" si="58"/>
        <v>0</v>
      </c>
      <c r="SD14" s="135">
        <f t="shared" si="58"/>
        <v>0</v>
      </c>
      <c r="SE14" s="135">
        <f t="shared" si="58"/>
        <v>0</v>
      </c>
      <c r="SF14" s="135">
        <f t="shared" si="58"/>
        <v>0</v>
      </c>
      <c r="SG14" s="135">
        <f t="shared" si="58"/>
        <v>0</v>
      </c>
      <c r="SH14" s="135">
        <f t="shared" si="58"/>
        <v>0</v>
      </c>
      <c r="SI14" s="135">
        <f t="shared" si="58"/>
        <v>0</v>
      </c>
      <c r="SJ14" s="135">
        <f t="shared" si="58"/>
        <v>0</v>
      </c>
      <c r="SK14" s="135">
        <f t="shared" si="58"/>
        <v>0</v>
      </c>
      <c r="SL14" s="135">
        <f t="shared" si="58"/>
        <v>0</v>
      </c>
      <c r="SM14" s="135">
        <f t="shared" si="58"/>
        <v>0</v>
      </c>
      <c r="SN14" s="135">
        <f t="shared" si="58"/>
        <v>0</v>
      </c>
      <c r="SO14" s="135">
        <f t="shared" si="58"/>
        <v>0</v>
      </c>
      <c r="SP14" s="135">
        <f t="shared" si="58"/>
        <v>0</v>
      </c>
      <c r="SQ14" s="135">
        <f t="shared" si="58"/>
        <v>0</v>
      </c>
      <c r="SR14" s="135">
        <f t="shared" si="58"/>
        <v>0</v>
      </c>
      <c r="SS14" s="135">
        <f t="shared" si="58"/>
        <v>0</v>
      </c>
      <c r="ST14" s="135">
        <f t="shared" si="58"/>
        <v>0</v>
      </c>
      <c r="SU14" s="135">
        <f t="shared" si="58"/>
        <v>0</v>
      </c>
      <c r="SV14" s="135">
        <f t="shared" si="58"/>
        <v>0</v>
      </c>
      <c r="SW14" s="135">
        <f t="shared" si="58"/>
        <v>0</v>
      </c>
      <c r="SX14" s="135">
        <f t="shared" si="58"/>
        <v>0</v>
      </c>
      <c r="SY14" s="135">
        <f t="shared" si="58"/>
        <v>0</v>
      </c>
      <c r="SZ14" s="135">
        <f t="shared" si="58"/>
        <v>0</v>
      </c>
      <c r="TA14" s="135">
        <f t="shared" si="58"/>
        <v>0</v>
      </c>
      <c r="TB14" s="135">
        <f t="shared" si="58"/>
        <v>0</v>
      </c>
      <c r="TC14" s="135">
        <f t="shared" si="58"/>
        <v>0</v>
      </c>
      <c r="TD14" s="135">
        <f t="shared" si="58"/>
        <v>0</v>
      </c>
      <c r="TE14" s="135">
        <f>IFERROR(IF(TE$1=EOMONTH($G14,0),(-$E14+($E14*(DAY($G14)/DAY(EOMONTH(TE$1,0)))*$F14/12*(1-0.269))),IF(TE$1=$G14,($E14+($E14*(DAY($I14)/DAY(EOMONTH(TE$1,0)))*$F14/12*(1-0.269))),IFERROR(IF($I14&lt;TE$1,0,IF(TE$1&gt;$I14,(($F14/12)*$E14)*(DAY($I14)/DAY(EOMONTH(TE$1,0)))*(1-26.9/100)+$E14,IF(AND(TE$1&gt;=$G14,TE$1&lt;$I14),(($F14/12)*$E14)*(1-26.9/100),""))-IF(TE$1=EOMONTH($G14,0),$E14,"0")),0)+IF(TE$1=EOMONTH($I14,0),($E14+($E14*(DAY($I14)/DAY(EOMONTH(TE$1,0)))*$F14/12*(1-0.269))),"0"))),0)</f>
        <v>0</v>
      </c>
      <c r="TF14" s="135">
        <f t="shared" si="67"/>
        <v>0</v>
      </c>
      <c r="TG14" s="135">
        <f t="shared" si="67"/>
        <v>0</v>
      </c>
      <c r="TH14" s="135">
        <f t="shared" si="67"/>
        <v>0</v>
      </c>
      <c r="TI14" s="135">
        <f t="shared" si="67"/>
        <v>0</v>
      </c>
      <c r="TJ14" s="135">
        <f t="shared" si="67"/>
        <v>0</v>
      </c>
      <c r="TK14" s="135">
        <f t="shared" si="67"/>
        <v>0</v>
      </c>
      <c r="TL14" s="135">
        <f t="shared" si="67"/>
        <v>0</v>
      </c>
      <c r="TM14" s="135">
        <f t="shared" si="67"/>
        <v>0</v>
      </c>
      <c r="TN14" s="135">
        <f t="shared" si="67"/>
        <v>0</v>
      </c>
      <c r="TO14" s="135">
        <f t="shared" si="67"/>
        <v>0</v>
      </c>
      <c r="TP14" s="135">
        <f t="shared" si="67"/>
        <v>0</v>
      </c>
      <c r="TQ14" s="135">
        <f t="shared" si="67"/>
        <v>0</v>
      </c>
      <c r="TR14" s="135">
        <f t="shared" si="67"/>
        <v>0</v>
      </c>
      <c r="TS14" s="135">
        <f t="shared" si="67"/>
        <v>0</v>
      </c>
      <c r="TT14" s="135">
        <f t="shared" si="67"/>
        <v>0</v>
      </c>
      <c r="TU14" s="135">
        <f t="shared" si="67"/>
        <v>0</v>
      </c>
      <c r="TV14" s="135">
        <f t="shared" si="67"/>
        <v>0</v>
      </c>
      <c r="TW14" s="135">
        <f t="shared" si="67"/>
        <v>0</v>
      </c>
      <c r="TX14" s="135">
        <f t="shared" si="67"/>
        <v>0</v>
      </c>
      <c r="TY14" s="135">
        <f t="shared" si="67"/>
        <v>0</v>
      </c>
      <c r="TZ14" s="135">
        <f t="shared" si="67"/>
        <v>0</v>
      </c>
      <c r="UA14" s="135">
        <f t="shared" si="67"/>
        <v>0</v>
      </c>
      <c r="UB14" s="135">
        <f t="shared" si="67"/>
        <v>0</v>
      </c>
      <c r="UC14" s="135">
        <f t="shared" si="67"/>
        <v>0</v>
      </c>
      <c r="UD14" s="135">
        <f t="shared" si="67"/>
        <v>0</v>
      </c>
      <c r="UE14" s="135">
        <f t="shared" si="67"/>
        <v>0</v>
      </c>
      <c r="UF14" s="135">
        <f t="shared" si="67"/>
        <v>0</v>
      </c>
      <c r="UG14" s="135">
        <f t="shared" si="67"/>
        <v>0</v>
      </c>
      <c r="UH14" s="135">
        <f t="shared" si="67"/>
        <v>0</v>
      </c>
      <c r="UI14" s="135">
        <f t="shared" si="67"/>
        <v>0</v>
      </c>
      <c r="UJ14" s="135">
        <f t="shared" si="67"/>
        <v>0</v>
      </c>
      <c r="UK14" s="135">
        <f t="shared" si="67"/>
        <v>0</v>
      </c>
    </row>
    <row r="15" spans="2:557">
      <c r="B15" t="str">
        <f>IF(Samenvatting!$F116&lt;&gt;0,Samenvatting!C116,"")</f>
        <v/>
      </c>
      <c r="C15" t="str">
        <f>IF(Samenvatting!$F116&lt;&gt;0,Samenvatting!D116,"")</f>
        <v/>
      </c>
      <c r="D15" t="str">
        <f>IF(Samenvatting!$F116&lt;&gt;0,Samenvatting!E116,"")</f>
        <v/>
      </c>
      <c r="E15" t="str">
        <f>IF(Samenvatting!$F116&lt;&gt;0,Samenvatting!F116,"")</f>
        <v/>
      </c>
      <c r="F15" t="str">
        <f>IF(Samenvatting!$F116&lt;&gt;0,Samenvatting!H116,"")</f>
        <v/>
      </c>
      <c r="G15" s="134" t="str">
        <f>IF(Samenvatting!$F116&lt;&gt;0,Samenvatting!I116,"")</f>
        <v/>
      </c>
      <c r="H15" t="str">
        <f>IF(Samenvatting!$F116&lt;&gt;0,Samenvatting!J116,"")</f>
        <v/>
      </c>
      <c r="I15" s="134" t="str">
        <f>IF(Samenvatting!$F116&lt;&gt;0,Samenvatting!K116,"")</f>
        <v/>
      </c>
      <c r="J15" s="135">
        <f t="shared" si="0"/>
        <v>0</v>
      </c>
      <c r="K15" s="135">
        <f t="shared" si="59"/>
        <v>0</v>
      </c>
      <c r="L15" s="135">
        <f t="shared" si="59"/>
        <v>0</v>
      </c>
      <c r="M15" s="135">
        <f t="shared" si="59"/>
        <v>0</v>
      </c>
      <c r="N15" s="135">
        <f t="shared" si="59"/>
        <v>0</v>
      </c>
      <c r="O15" s="135">
        <f t="shared" si="59"/>
        <v>0</v>
      </c>
      <c r="P15" s="135">
        <f t="shared" si="59"/>
        <v>0</v>
      </c>
      <c r="Q15" s="135">
        <f t="shared" si="59"/>
        <v>0</v>
      </c>
      <c r="R15" s="135">
        <f t="shared" si="59"/>
        <v>0</v>
      </c>
      <c r="S15" s="135">
        <f t="shared" si="59"/>
        <v>0</v>
      </c>
      <c r="T15" s="135">
        <f t="shared" si="59"/>
        <v>0</v>
      </c>
      <c r="U15" s="135">
        <f t="shared" si="59"/>
        <v>0</v>
      </c>
      <c r="V15" s="135">
        <f t="shared" si="59"/>
        <v>0</v>
      </c>
      <c r="W15" s="135">
        <f t="shared" si="59"/>
        <v>0</v>
      </c>
      <c r="X15" s="135">
        <f t="shared" si="59"/>
        <v>0</v>
      </c>
      <c r="Y15" s="135">
        <f t="shared" si="59"/>
        <v>0</v>
      </c>
      <c r="Z15" s="135">
        <f t="shared" si="59"/>
        <v>0</v>
      </c>
      <c r="AA15" s="135">
        <f t="shared" si="59"/>
        <v>0</v>
      </c>
      <c r="AB15" s="135">
        <f t="shared" si="59"/>
        <v>0</v>
      </c>
      <c r="AC15" s="135">
        <f t="shared" si="59"/>
        <v>0</v>
      </c>
      <c r="AD15" s="135">
        <f t="shared" si="59"/>
        <v>0</v>
      </c>
      <c r="AE15" s="135">
        <f t="shared" si="59"/>
        <v>0</v>
      </c>
      <c r="AF15" s="135">
        <f t="shared" si="59"/>
        <v>0</v>
      </c>
      <c r="AG15" s="135">
        <f t="shared" si="59"/>
        <v>0</v>
      </c>
      <c r="AH15" s="135">
        <f t="shared" si="59"/>
        <v>0</v>
      </c>
      <c r="AI15" s="135">
        <f t="shared" si="59"/>
        <v>0</v>
      </c>
      <c r="AJ15" s="135">
        <f t="shared" si="59"/>
        <v>0</v>
      </c>
      <c r="AK15" s="135">
        <f t="shared" si="59"/>
        <v>0</v>
      </c>
      <c r="AL15" s="135">
        <f t="shared" si="59"/>
        <v>0</v>
      </c>
      <c r="AM15" s="135">
        <f t="shared" si="59"/>
        <v>0</v>
      </c>
      <c r="AN15" s="135">
        <f t="shared" si="59"/>
        <v>0</v>
      </c>
      <c r="AO15" s="135">
        <f t="shared" si="59"/>
        <v>0</v>
      </c>
      <c r="AP15" s="135">
        <f t="shared" si="59"/>
        <v>0</v>
      </c>
      <c r="AQ15" s="135">
        <f t="shared" si="59"/>
        <v>0</v>
      </c>
      <c r="AR15" s="135">
        <f t="shared" si="59"/>
        <v>0</v>
      </c>
      <c r="AS15" s="135">
        <f t="shared" si="59"/>
        <v>0</v>
      </c>
      <c r="AT15" s="135">
        <f t="shared" si="59"/>
        <v>0</v>
      </c>
      <c r="AU15" s="135">
        <f t="shared" si="59"/>
        <v>0</v>
      </c>
      <c r="AV15" s="135">
        <f t="shared" si="59"/>
        <v>0</v>
      </c>
      <c r="AW15" s="135">
        <f t="shared" si="59"/>
        <v>0</v>
      </c>
      <c r="AX15" s="135">
        <f t="shared" si="59"/>
        <v>0</v>
      </c>
      <c r="AY15" s="135">
        <f t="shared" si="59"/>
        <v>0</v>
      </c>
      <c r="AZ15" s="135">
        <f t="shared" si="59"/>
        <v>0</v>
      </c>
      <c r="BA15" s="135">
        <f t="shared" si="59"/>
        <v>0</v>
      </c>
      <c r="BB15" s="135">
        <f t="shared" si="59"/>
        <v>0</v>
      </c>
      <c r="BC15" s="135">
        <f t="shared" si="59"/>
        <v>0</v>
      </c>
      <c r="BD15" s="135">
        <f t="shared" si="59"/>
        <v>0</v>
      </c>
      <c r="BE15" s="135">
        <f t="shared" si="59"/>
        <v>0</v>
      </c>
      <c r="BF15" s="135">
        <f t="shared" si="59"/>
        <v>0</v>
      </c>
      <c r="BG15" s="135">
        <f t="shared" si="59"/>
        <v>0</v>
      </c>
      <c r="BH15" s="135">
        <f t="shared" si="59"/>
        <v>0</v>
      </c>
      <c r="BI15" s="135">
        <f t="shared" si="59"/>
        <v>0</v>
      </c>
      <c r="BJ15" s="135">
        <f t="shared" si="59"/>
        <v>0</v>
      </c>
      <c r="BK15" s="135">
        <f t="shared" si="59"/>
        <v>0</v>
      </c>
      <c r="BL15" s="135">
        <f t="shared" si="59"/>
        <v>0</v>
      </c>
      <c r="BM15" s="135">
        <f t="shared" si="59"/>
        <v>0</v>
      </c>
      <c r="BN15" s="135">
        <f t="shared" si="59"/>
        <v>0</v>
      </c>
      <c r="BO15" s="135">
        <f t="shared" si="59"/>
        <v>0</v>
      </c>
      <c r="BP15" s="135">
        <f t="shared" si="59"/>
        <v>0</v>
      </c>
      <c r="BQ15" s="135">
        <f t="shared" si="59"/>
        <v>0</v>
      </c>
      <c r="BR15" s="135">
        <f t="shared" si="59"/>
        <v>0</v>
      </c>
      <c r="BS15" s="135">
        <f t="shared" si="59"/>
        <v>0</v>
      </c>
      <c r="BT15" s="135">
        <f t="shared" si="59"/>
        <v>0</v>
      </c>
      <c r="BU15" s="135">
        <f t="shared" si="59"/>
        <v>0</v>
      </c>
      <c r="BV15" s="135">
        <f t="shared" ref="BV15:EG18" si="73">IFERROR(IF(BV$1=EOMONTH($G15,0),(-$E15+($E15*(DAY($G15)/DAY(EOMONTH(BV$1,0)))*$F15/12*(1-0.269))),IF(BV$1=$G15,($E15+($E15*(DAY($I15)/DAY(EOMONTH(BV$1,0)))*$F15/12*(1-0.269))),IFERROR(IF($I15&lt;BV$1,0,IF(BV$1&gt;$I15,(($F15/12)*$E15)*(DAY($I15)/DAY(EOMONTH(BV$1,0)))*(1-26.9/100)+$E15,IF(AND(BV$1&gt;=$G15,BV$1&lt;$I15),(($F15/12)*$E15)*(1-26.9/100),""))-IF(BV$1=EOMONTH($G15,0),$E15,"0")),0)+IF(BV$1=EOMONTH($I15,0),($E15+($E15*(DAY($I15)/DAY(EOMONTH(BV$1,0)))*$F15/12*(1-0.269))),"0"))),0)</f>
        <v>0</v>
      </c>
      <c r="BW15" s="135">
        <f t="shared" si="73"/>
        <v>0</v>
      </c>
      <c r="BX15" s="135">
        <f t="shared" si="73"/>
        <v>0</v>
      </c>
      <c r="BY15" s="135">
        <f t="shared" si="73"/>
        <v>0</v>
      </c>
      <c r="BZ15" s="135">
        <f t="shared" si="73"/>
        <v>0</v>
      </c>
      <c r="CA15" s="135">
        <f t="shared" si="73"/>
        <v>0</v>
      </c>
      <c r="CB15" s="135">
        <f t="shared" si="73"/>
        <v>0</v>
      </c>
      <c r="CC15" s="135">
        <f t="shared" si="73"/>
        <v>0</v>
      </c>
      <c r="CD15" s="135">
        <f t="shared" si="73"/>
        <v>0</v>
      </c>
      <c r="CE15" s="135">
        <f t="shared" si="73"/>
        <v>0</v>
      </c>
      <c r="CF15" s="135">
        <f t="shared" si="73"/>
        <v>0</v>
      </c>
      <c r="CG15" s="135">
        <f t="shared" si="73"/>
        <v>0</v>
      </c>
      <c r="CH15" s="135">
        <f t="shared" si="73"/>
        <v>0</v>
      </c>
      <c r="CI15" s="135">
        <f t="shared" si="73"/>
        <v>0</v>
      </c>
      <c r="CJ15" s="135">
        <f t="shared" si="73"/>
        <v>0</v>
      </c>
      <c r="CK15" s="135">
        <f t="shared" si="73"/>
        <v>0</v>
      </c>
      <c r="CL15" s="135">
        <f t="shared" si="73"/>
        <v>0</v>
      </c>
      <c r="CM15" s="135">
        <f t="shared" si="73"/>
        <v>0</v>
      </c>
      <c r="CN15" s="135">
        <f t="shared" si="73"/>
        <v>0</v>
      </c>
      <c r="CO15" s="135">
        <f t="shared" si="73"/>
        <v>0</v>
      </c>
      <c r="CP15" s="135">
        <f t="shared" si="73"/>
        <v>0</v>
      </c>
      <c r="CQ15" s="135">
        <f t="shared" si="73"/>
        <v>0</v>
      </c>
      <c r="CR15" s="135">
        <f t="shared" si="73"/>
        <v>0</v>
      </c>
      <c r="CS15" s="135">
        <f t="shared" si="73"/>
        <v>0</v>
      </c>
      <c r="CT15" s="135">
        <f t="shared" si="73"/>
        <v>0</v>
      </c>
      <c r="CU15" s="135">
        <f t="shared" si="73"/>
        <v>0</v>
      </c>
      <c r="CV15" s="135">
        <f t="shared" si="73"/>
        <v>0</v>
      </c>
      <c r="CW15" s="135">
        <f t="shared" si="73"/>
        <v>0</v>
      </c>
      <c r="CX15" s="135">
        <f t="shared" si="73"/>
        <v>0</v>
      </c>
      <c r="CY15" s="135">
        <f t="shared" si="73"/>
        <v>0</v>
      </c>
      <c r="CZ15" s="135">
        <f t="shared" si="73"/>
        <v>0</v>
      </c>
      <c r="DA15" s="135">
        <f t="shared" si="73"/>
        <v>0</v>
      </c>
      <c r="DB15" s="135">
        <f t="shared" si="73"/>
        <v>0</v>
      </c>
      <c r="DC15" s="135">
        <f t="shared" si="73"/>
        <v>0</v>
      </c>
      <c r="DD15" s="135">
        <f t="shared" si="73"/>
        <v>0</v>
      </c>
      <c r="DE15" s="135">
        <f t="shared" si="73"/>
        <v>0</v>
      </c>
      <c r="DF15" s="135">
        <f t="shared" si="73"/>
        <v>0</v>
      </c>
      <c r="DG15" s="135">
        <f t="shared" si="73"/>
        <v>0</v>
      </c>
      <c r="DH15" s="135">
        <f t="shared" si="73"/>
        <v>0</v>
      </c>
      <c r="DI15" s="135">
        <f t="shared" si="73"/>
        <v>0</v>
      </c>
      <c r="DJ15" s="135">
        <f t="shared" si="73"/>
        <v>0</v>
      </c>
      <c r="DK15" s="135">
        <f t="shared" si="73"/>
        <v>0</v>
      </c>
      <c r="DL15" s="135">
        <f t="shared" si="73"/>
        <v>0</v>
      </c>
      <c r="DM15" s="135">
        <f t="shared" si="73"/>
        <v>0</v>
      </c>
      <c r="DN15" s="135">
        <f t="shared" si="73"/>
        <v>0</v>
      </c>
      <c r="DO15" s="135">
        <f t="shared" si="73"/>
        <v>0</v>
      </c>
      <c r="DP15" s="135">
        <f t="shared" si="73"/>
        <v>0</v>
      </c>
      <c r="DQ15" s="135">
        <f t="shared" si="73"/>
        <v>0</v>
      </c>
      <c r="DR15" s="135">
        <f t="shared" si="73"/>
        <v>0</v>
      </c>
      <c r="DS15" s="135">
        <f t="shared" si="73"/>
        <v>0</v>
      </c>
      <c r="DT15" s="135">
        <f t="shared" si="73"/>
        <v>0</v>
      </c>
      <c r="DU15" s="135">
        <f t="shared" si="73"/>
        <v>0</v>
      </c>
      <c r="DV15" s="135">
        <f t="shared" si="73"/>
        <v>0</v>
      </c>
      <c r="DW15" s="135">
        <f t="shared" si="73"/>
        <v>0</v>
      </c>
      <c r="DX15" s="135">
        <f t="shared" si="73"/>
        <v>0</v>
      </c>
      <c r="DY15" s="135">
        <f t="shared" si="73"/>
        <v>0</v>
      </c>
      <c r="DZ15" s="135">
        <f t="shared" si="73"/>
        <v>0</v>
      </c>
      <c r="EA15" s="135">
        <f t="shared" si="73"/>
        <v>0</v>
      </c>
      <c r="EB15" s="135">
        <f t="shared" si="73"/>
        <v>0</v>
      </c>
      <c r="EC15" s="135">
        <f t="shared" si="73"/>
        <v>0</v>
      </c>
      <c r="ED15" s="135">
        <f t="shared" si="73"/>
        <v>0</v>
      </c>
      <c r="EE15" s="135">
        <f t="shared" si="73"/>
        <v>0</v>
      </c>
      <c r="EF15" s="135">
        <f t="shared" si="73"/>
        <v>0</v>
      </c>
      <c r="EG15" s="135">
        <f t="shared" si="73"/>
        <v>0</v>
      </c>
      <c r="EH15" s="135">
        <f t="shared" si="37"/>
        <v>0</v>
      </c>
      <c r="EI15" s="135">
        <f t="shared" si="68"/>
        <v>0</v>
      </c>
      <c r="EJ15" s="135">
        <f t="shared" si="68"/>
        <v>0</v>
      </c>
      <c r="EK15" s="135">
        <f t="shared" si="68"/>
        <v>0</v>
      </c>
      <c r="EL15" s="135">
        <f t="shared" si="68"/>
        <v>0</v>
      </c>
      <c r="EM15" s="135">
        <f t="shared" si="68"/>
        <v>0</v>
      </c>
      <c r="EN15" s="135">
        <f t="shared" si="68"/>
        <v>0</v>
      </c>
      <c r="EO15" s="135">
        <f t="shared" si="68"/>
        <v>0</v>
      </c>
      <c r="EP15" s="135">
        <f t="shared" si="68"/>
        <v>0</v>
      </c>
      <c r="EQ15" s="135">
        <f t="shared" si="68"/>
        <v>0</v>
      </c>
      <c r="ER15" s="135">
        <f t="shared" si="68"/>
        <v>0</v>
      </c>
      <c r="ES15" s="135">
        <f t="shared" si="68"/>
        <v>0</v>
      </c>
      <c r="ET15" s="135">
        <f t="shared" si="68"/>
        <v>0</v>
      </c>
      <c r="EU15" s="135">
        <f t="shared" si="68"/>
        <v>0</v>
      </c>
      <c r="EV15" s="135">
        <f t="shared" si="68"/>
        <v>0</v>
      </c>
      <c r="EW15" s="135">
        <f t="shared" si="68"/>
        <v>0</v>
      </c>
      <c r="EX15" s="135">
        <f t="shared" si="68"/>
        <v>0</v>
      </c>
      <c r="EY15" s="135">
        <f t="shared" si="68"/>
        <v>0</v>
      </c>
      <c r="EZ15" s="135">
        <f t="shared" si="68"/>
        <v>0</v>
      </c>
      <c r="FA15" s="135">
        <f t="shared" si="68"/>
        <v>0</v>
      </c>
      <c r="FB15" s="135">
        <f t="shared" si="68"/>
        <v>0</v>
      </c>
      <c r="FC15" s="135">
        <f t="shared" si="68"/>
        <v>0</v>
      </c>
      <c r="FD15" s="135">
        <f t="shared" si="68"/>
        <v>0</v>
      </c>
      <c r="FE15" s="135">
        <f t="shared" si="68"/>
        <v>0</v>
      </c>
      <c r="FF15" s="135">
        <f t="shared" si="68"/>
        <v>0</v>
      </c>
      <c r="FG15" s="135">
        <f t="shared" si="68"/>
        <v>0</v>
      </c>
      <c r="FH15" s="135">
        <f t="shared" si="68"/>
        <v>0</v>
      </c>
      <c r="FI15" s="135">
        <f t="shared" si="68"/>
        <v>0</v>
      </c>
      <c r="FJ15" s="135">
        <f t="shared" si="68"/>
        <v>0</v>
      </c>
      <c r="FK15" s="135">
        <f t="shared" si="68"/>
        <v>0</v>
      </c>
      <c r="FL15" s="135">
        <f t="shared" si="68"/>
        <v>0</v>
      </c>
      <c r="FM15" s="135">
        <f t="shared" si="68"/>
        <v>0</v>
      </c>
      <c r="FN15" s="135">
        <f t="shared" si="68"/>
        <v>0</v>
      </c>
      <c r="FO15" s="135">
        <f t="shared" si="68"/>
        <v>0</v>
      </c>
      <c r="FP15" s="135">
        <f t="shared" si="68"/>
        <v>0</v>
      </c>
      <c r="FQ15" s="135">
        <f t="shared" si="68"/>
        <v>0</v>
      </c>
      <c r="FR15" s="135">
        <f t="shared" si="68"/>
        <v>0</v>
      </c>
      <c r="FS15" s="135">
        <f t="shared" si="68"/>
        <v>0</v>
      </c>
      <c r="FT15" s="135">
        <f t="shared" si="68"/>
        <v>0</v>
      </c>
      <c r="FU15" s="135">
        <f t="shared" si="68"/>
        <v>0</v>
      </c>
      <c r="FV15" s="135">
        <f t="shared" si="68"/>
        <v>0</v>
      </c>
      <c r="FW15" s="135">
        <f t="shared" si="68"/>
        <v>0</v>
      </c>
      <c r="FX15" s="135">
        <f t="shared" si="68"/>
        <v>0</v>
      </c>
      <c r="FY15" s="135">
        <f t="shared" si="68"/>
        <v>0</v>
      </c>
      <c r="FZ15" s="135">
        <f t="shared" si="68"/>
        <v>0</v>
      </c>
      <c r="GA15" s="135">
        <f t="shared" si="68"/>
        <v>0</v>
      </c>
      <c r="GB15" s="135">
        <f t="shared" si="68"/>
        <v>0</v>
      </c>
      <c r="GC15" s="135">
        <f t="shared" si="68"/>
        <v>0</v>
      </c>
      <c r="GD15" s="135">
        <f t="shared" si="68"/>
        <v>0</v>
      </c>
      <c r="GE15" s="135">
        <f t="shared" si="68"/>
        <v>0</v>
      </c>
      <c r="GF15" s="135">
        <f t="shared" si="68"/>
        <v>0</v>
      </c>
      <c r="GG15" s="135">
        <f t="shared" si="68"/>
        <v>0</v>
      </c>
      <c r="GH15" s="135">
        <f t="shared" si="68"/>
        <v>0</v>
      </c>
      <c r="GI15" s="135">
        <f t="shared" si="68"/>
        <v>0</v>
      </c>
      <c r="GJ15" s="135">
        <f t="shared" si="68"/>
        <v>0</v>
      </c>
      <c r="GK15" s="135">
        <f t="shared" si="68"/>
        <v>0</v>
      </c>
      <c r="GL15" s="135">
        <f t="shared" si="68"/>
        <v>0</v>
      </c>
      <c r="GM15" s="135">
        <f t="shared" si="68"/>
        <v>0</v>
      </c>
      <c r="GN15" s="135">
        <f t="shared" si="68"/>
        <v>0</v>
      </c>
      <c r="GO15" s="135">
        <f t="shared" si="68"/>
        <v>0</v>
      </c>
      <c r="GP15" s="135">
        <f t="shared" si="68"/>
        <v>0</v>
      </c>
      <c r="GQ15" s="135">
        <f t="shared" si="68"/>
        <v>0</v>
      </c>
      <c r="GR15" s="135">
        <f t="shared" si="68"/>
        <v>0</v>
      </c>
      <c r="GS15" s="135">
        <f t="shared" si="68"/>
        <v>0</v>
      </c>
      <c r="GT15" s="135">
        <f t="shared" si="68"/>
        <v>0</v>
      </c>
      <c r="GU15" s="135">
        <f t="shared" si="61"/>
        <v>0</v>
      </c>
      <c r="GV15" s="135">
        <f t="shared" si="61"/>
        <v>0</v>
      </c>
      <c r="GW15" s="135">
        <f t="shared" si="61"/>
        <v>0</v>
      </c>
      <c r="GX15" s="135">
        <f t="shared" si="61"/>
        <v>0</v>
      </c>
      <c r="GY15" s="135">
        <f t="shared" si="61"/>
        <v>0</v>
      </c>
      <c r="GZ15" s="135">
        <f t="shared" si="61"/>
        <v>0</v>
      </c>
      <c r="HA15" s="135">
        <f t="shared" si="61"/>
        <v>0</v>
      </c>
      <c r="HB15" s="135">
        <f t="shared" si="61"/>
        <v>0</v>
      </c>
      <c r="HC15" s="135">
        <f t="shared" si="61"/>
        <v>0</v>
      </c>
      <c r="HD15" s="135">
        <f t="shared" si="61"/>
        <v>0</v>
      </c>
      <c r="HE15" s="135">
        <f t="shared" si="61"/>
        <v>0</v>
      </c>
      <c r="HF15" s="135">
        <f t="shared" si="61"/>
        <v>0</v>
      </c>
      <c r="HG15" s="135">
        <f t="shared" si="61"/>
        <v>0</v>
      </c>
      <c r="HH15" s="135">
        <f t="shared" si="61"/>
        <v>0</v>
      </c>
      <c r="HI15" s="135">
        <f t="shared" si="61"/>
        <v>0</v>
      </c>
      <c r="HJ15" s="135">
        <f t="shared" si="61"/>
        <v>0</v>
      </c>
      <c r="HK15" s="135">
        <f t="shared" si="61"/>
        <v>0</v>
      </c>
      <c r="HL15" s="135">
        <f t="shared" si="61"/>
        <v>0</v>
      </c>
      <c r="HM15" s="135">
        <f t="shared" si="61"/>
        <v>0</v>
      </c>
      <c r="HN15" s="135">
        <f t="shared" si="61"/>
        <v>0</v>
      </c>
      <c r="HO15" s="135">
        <f t="shared" si="61"/>
        <v>0</v>
      </c>
      <c r="HP15" s="135">
        <f t="shared" si="61"/>
        <v>0</v>
      </c>
      <c r="HQ15" s="135">
        <f t="shared" si="61"/>
        <v>0</v>
      </c>
      <c r="HR15" s="135">
        <f t="shared" si="61"/>
        <v>0</v>
      </c>
      <c r="HS15" s="135">
        <f t="shared" si="61"/>
        <v>0</v>
      </c>
      <c r="HT15" s="135">
        <f t="shared" si="61"/>
        <v>0</v>
      </c>
      <c r="HU15" s="135">
        <f t="shared" si="61"/>
        <v>0</v>
      </c>
      <c r="HV15" s="135">
        <f t="shared" si="61"/>
        <v>0</v>
      </c>
      <c r="HW15" s="135">
        <f t="shared" si="61"/>
        <v>0</v>
      </c>
      <c r="HX15" s="135">
        <f t="shared" si="61"/>
        <v>0</v>
      </c>
      <c r="HY15" s="135">
        <f t="shared" si="61"/>
        <v>0</v>
      </c>
      <c r="HZ15" s="135">
        <f t="shared" si="61"/>
        <v>0</v>
      </c>
      <c r="IA15" s="135">
        <f t="shared" si="61"/>
        <v>0</v>
      </c>
      <c r="IB15" s="135">
        <f t="shared" si="61"/>
        <v>0</v>
      </c>
      <c r="IC15" s="135">
        <f t="shared" si="61"/>
        <v>0</v>
      </c>
      <c r="ID15" s="135">
        <f t="shared" si="61"/>
        <v>0</v>
      </c>
      <c r="IE15" s="135">
        <f t="shared" si="61"/>
        <v>0</v>
      </c>
      <c r="IF15" s="135">
        <f t="shared" si="61"/>
        <v>0</v>
      </c>
      <c r="IG15" s="135">
        <f t="shared" si="61"/>
        <v>0</v>
      </c>
      <c r="IH15" s="135">
        <f t="shared" si="61"/>
        <v>0</v>
      </c>
      <c r="II15" s="135">
        <f t="shared" si="61"/>
        <v>0</v>
      </c>
      <c r="IJ15" s="135">
        <f t="shared" si="61"/>
        <v>0</v>
      </c>
      <c r="IK15" s="135">
        <f t="shared" si="61"/>
        <v>0</v>
      </c>
      <c r="IL15" s="135">
        <f t="shared" si="61"/>
        <v>0</v>
      </c>
      <c r="IM15" s="135">
        <f t="shared" si="61"/>
        <v>0</v>
      </c>
      <c r="IN15" s="135">
        <f t="shared" si="61"/>
        <v>0</v>
      </c>
      <c r="IO15" s="135">
        <f t="shared" si="61"/>
        <v>0</v>
      </c>
      <c r="IP15" s="135">
        <f t="shared" si="61"/>
        <v>0</v>
      </c>
      <c r="IQ15" s="135">
        <f t="shared" si="61"/>
        <v>0</v>
      </c>
      <c r="IR15" s="135">
        <f t="shared" si="61"/>
        <v>0</v>
      </c>
      <c r="IS15" s="135">
        <f t="shared" si="61"/>
        <v>0</v>
      </c>
      <c r="IT15" s="135">
        <f t="shared" si="61"/>
        <v>0</v>
      </c>
      <c r="IU15" s="135">
        <f t="shared" si="61"/>
        <v>0</v>
      </c>
      <c r="IV15" s="135">
        <f t="shared" si="61"/>
        <v>0</v>
      </c>
      <c r="IW15" s="135">
        <f t="shared" si="61"/>
        <v>0</v>
      </c>
      <c r="IX15" s="135">
        <f t="shared" si="61"/>
        <v>0</v>
      </c>
      <c r="IY15" s="135">
        <f t="shared" si="61"/>
        <v>0</v>
      </c>
      <c r="IZ15" s="135">
        <f t="shared" si="61"/>
        <v>0</v>
      </c>
      <c r="JA15" s="135">
        <f t="shared" si="61"/>
        <v>0</v>
      </c>
      <c r="JB15" s="135">
        <f t="shared" si="61"/>
        <v>0</v>
      </c>
      <c r="JC15" s="135">
        <f t="shared" si="61"/>
        <v>0</v>
      </c>
      <c r="JD15" s="135">
        <f t="shared" si="61"/>
        <v>0</v>
      </c>
      <c r="JE15" s="135">
        <f t="shared" si="61"/>
        <v>0</v>
      </c>
      <c r="JF15" s="135">
        <f t="shared" si="62"/>
        <v>0</v>
      </c>
      <c r="JG15" s="135">
        <f t="shared" si="62"/>
        <v>0</v>
      </c>
      <c r="JH15" s="135">
        <f t="shared" si="62"/>
        <v>0</v>
      </c>
      <c r="JI15" s="135">
        <f t="shared" si="62"/>
        <v>0</v>
      </c>
      <c r="JJ15" s="135">
        <f t="shared" si="69"/>
        <v>0</v>
      </c>
      <c r="JK15" s="135">
        <f t="shared" si="69"/>
        <v>0</v>
      </c>
      <c r="JL15" s="135">
        <f t="shared" si="69"/>
        <v>0</v>
      </c>
      <c r="JM15" s="135">
        <f t="shared" si="69"/>
        <v>0</v>
      </c>
      <c r="JN15" s="135">
        <f t="shared" si="69"/>
        <v>0</v>
      </c>
      <c r="JO15" s="135">
        <f t="shared" si="69"/>
        <v>0</v>
      </c>
      <c r="JP15" s="135">
        <f t="shared" si="69"/>
        <v>0</v>
      </c>
      <c r="JQ15" s="135">
        <f t="shared" si="69"/>
        <v>0</v>
      </c>
      <c r="JR15" s="135">
        <f t="shared" si="69"/>
        <v>0</v>
      </c>
      <c r="JS15" s="135">
        <f t="shared" si="69"/>
        <v>0</v>
      </c>
      <c r="JT15" s="135">
        <f t="shared" si="69"/>
        <v>0</v>
      </c>
      <c r="JU15" s="135">
        <f t="shared" si="69"/>
        <v>0</v>
      </c>
      <c r="JV15" s="135">
        <f t="shared" si="69"/>
        <v>0</v>
      </c>
      <c r="JW15" s="135">
        <f t="shared" si="69"/>
        <v>0</v>
      </c>
      <c r="JX15" s="135">
        <f t="shared" si="69"/>
        <v>0</v>
      </c>
      <c r="JY15" s="135">
        <f t="shared" si="69"/>
        <v>0</v>
      </c>
      <c r="JZ15" s="135">
        <f t="shared" si="69"/>
        <v>0</v>
      </c>
      <c r="KA15" s="135">
        <f t="shared" si="69"/>
        <v>0</v>
      </c>
      <c r="KB15" s="135">
        <f t="shared" si="69"/>
        <v>0</v>
      </c>
      <c r="KC15" s="135">
        <f t="shared" si="69"/>
        <v>0</v>
      </c>
      <c r="KD15" s="135">
        <f t="shared" si="69"/>
        <v>0</v>
      </c>
      <c r="KE15" s="135">
        <f t="shared" si="69"/>
        <v>0</v>
      </c>
      <c r="KF15" s="135">
        <f t="shared" si="69"/>
        <v>0</v>
      </c>
      <c r="KG15" s="135">
        <f t="shared" si="69"/>
        <v>0</v>
      </c>
      <c r="KH15" s="135">
        <f t="shared" si="69"/>
        <v>0</v>
      </c>
      <c r="KI15" s="135">
        <f t="shared" si="69"/>
        <v>0</v>
      </c>
      <c r="KJ15" s="135">
        <f t="shared" si="69"/>
        <v>0</v>
      </c>
      <c r="KK15" s="135">
        <f t="shared" si="69"/>
        <v>0</v>
      </c>
      <c r="KL15" s="135">
        <f t="shared" si="69"/>
        <v>0</v>
      </c>
      <c r="KM15" s="135">
        <f t="shared" si="69"/>
        <v>0</v>
      </c>
      <c r="KN15" s="135">
        <f t="shared" si="69"/>
        <v>0</v>
      </c>
      <c r="KO15" s="135">
        <f t="shared" si="69"/>
        <v>0</v>
      </c>
      <c r="KP15" s="135">
        <f t="shared" si="69"/>
        <v>0</v>
      </c>
      <c r="KQ15" s="135">
        <f t="shared" si="69"/>
        <v>0</v>
      </c>
      <c r="KR15" s="135">
        <f t="shared" si="69"/>
        <v>0</v>
      </c>
      <c r="KS15" s="135">
        <f t="shared" si="69"/>
        <v>0</v>
      </c>
      <c r="KT15" s="135">
        <f t="shared" si="69"/>
        <v>0</v>
      </c>
      <c r="KU15" s="135">
        <f t="shared" si="69"/>
        <v>0</v>
      </c>
      <c r="KV15" s="135">
        <f t="shared" si="69"/>
        <v>0</v>
      </c>
      <c r="KW15" s="135">
        <f t="shared" si="69"/>
        <v>0</v>
      </c>
      <c r="KX15" s="135">
        <f t="shared" si="69"/>
        <v>0</v>
      </c>
      <c r="KY15" s="135">
        <f t="shared" si="69"/>
        <v>0</v>
      </c>
      <c r="KZ15" s="135">
        <f t="shared" si="69"/>
        <v>0</v>
      </c>
      <c r="LA15" s="135">
        <f t="shared" si="69"/>
        <v>0</v>
      </c>
      <c r="LB15" s="135">
        <f t="shared" si="69"/>
        <v>0</v>
      </c>
      <c r="LC15" s="135">
        <f t="shared" si="69"/>
        <v>0</v>
      </c>
      <c r="LD15" s="135">
        <f t="shared" si="69"/>
        <v>0</v>
      </c>
      <c r="LE15" s="135">
        <f t="shared" si="69"/>
        <v>0</v>
      </c>
      <c r="LF15" s="135">
        <f t="shared" si="69"/>
        <v>0</v>
      </c>
      <c r="LG15" s="135">
        <f t="shared" si="69"/>
        <v>0</v>
      </c>
      <c r="LH15" s="135">
        <f t="shared" si="69"/>
        <v>0</v>
      </c>
      <c r="LI15" s="135">
        <f t="shared" si="69"/>
        <v>0</v>
      </c>
      <c r="LJ15" s="135">
        <f t="shared" si="69"/>
        <v>0</v>
      </c>
      <c r="LK15" s="135">
        <f t="shared" si="69"/>
        <v>0</v>
      </c>
      <c r="LL15" s="135">
        <f t="shared" si="69"/>
        <v>0</v>
      </c>
      <c r="LM15" s="135">
        <f t="shared" si="69"/>
        <v>0</v>
      </c>
      <c r="LN15" s="135">
        <f t="shared" si="69"/>
        <v>0</v>
      </c>
      <c r="LO15" s="135">
        <f t="shared" si="69"/>
        <v>0</v>
      </c>
      <c r="LP15" s="135">
        <f t="shared" si="69"/>
        <v>0</v>
      </c>
      <c r="LQ15" s="135">
        <f t="shared" si="69"/>
        <v>0</v>
      </c>
      <c r="LR15" s="135">
        <f t="shared" si="69"/>
        <v>0</v>
      </c>
      <c r="LS15" s="135">
        <f t="shared" si="69"/>
        <v>0</v>
      </c>
      <c r="LT15" s="135">
        <f t="shared" si="69"/>
        <v>0</v>
      </c>
      <c r="LU15" s="135">
        <f t="shared" si="69"/>
        <v>0</v>
      </c>
      <c r="LV15" s="135">
        <f t="shared" si="70"/>
        <v>0</v>
      </c>
      <c r="LW15" s="135">
        <f t="shared" si="70"/>
        <v>0</v>
      </c>
      <c r="LX15" s="135">
        <f t="shared" si="56"/>
        <v>0</v>
      </c>
      <c r="LY15" s="135">
        <f t="shared" si="56"/>
        <v>0</v>
      </c>
      <c r="LZ15" s="135">
        <f t="shared" si="56"/>
        <v>0</v>
      </c>
      <c r="MA15" s="135">
        <f t="shared" si="56"/>
        <v>0</v>
      </c>
      <c r="MB15" s="135">
        <f t="shared" si="56"/>
        <v>0</v>
      </c>
      <c r="MC15" s="135">
        <f t="shared" ref="MC15:ML16" si="74">IFERROR(IF(MC$1=EOMONTH($G15,0),(-$E15+($E15*(DAY($G15)/DAY(EOMONTH(MC$1,0)))*$F15/12*(1-0.269))),IF(MC$1=$G15,($E15+($E15*(DAY($I15)/DAY(EOMONTH(MC$1,0)))*$F15/12*(1-0.269))),IFERROR(IF($I15&lt;MC$1,0,IF(MC$1&gt;$I15,(($F15/12)*$E15)*(DAY($I15)/DAY(EOMONTH(MC$1,0)))*(1-26.9/100)+$E15,IF(AND(MC$1&gt;=$G15,MC$1&lt;$I15),(($F15/12)*$E15)*(1-26.9/100),""))-IF(MC$1=EOMONTH($G15,0),$E15,"0")),0)+IF(MC$1=EOMONTH($I15,0),($E15+($E15*(DAY($I15)/DAY(EOMONTH(MC$1,0)))*$F15/12*(1-0.269))),"0"))),0)</f>
        <v>0</v>
      </c>
      <c r="MD15" s="135">
        <f t="shared" si="74"/>
        <v>0</v>
      </c>
      <c r="ME15" s="135">
        <f t="shared" si="74"/>
        <v>0</v>
      </c>
      <c r="MF15" s="135">
        <f t="shared" si="74"/>
        <v>0</v>
      </c>
      <c r="MG15" s="135">
        <f t="shared" si="74"/>
        <v>0</v>
      </c>
      <c r="MH15" s="135">
        <f t="shared" si="74"/>
        <v>0</v>
      </c>
      <c r="MI15" s="135">
        <f t="shared" si="74"/>
        <v>0</v>
      </c>
      <c r="MJ15" s="135">
        <f t="shared" si="74"/>
        <v>0</v>
      </c>
      <c r="MK15" s="135">
        <f t="shared" si="74"/>
        <v>0</v>
      </c>
      <c r="ML15" s="135">
        <f t="shared" si="74"/>
        <v>0</v>
      </c>
      <c r="MM15" s="135">
        <f t="shared" ref="MM15:MV16" si="75">IFERROR(IF(MM$1=EOMONTH($G15,0),(-$E15+($E15*(DAY($G15)/DAY(EOMONTH(MM$1,0)))*$F15/12*(1-0.269))),IF(MM$1=$G15,($E15+($E15*(DAY($I15)/DAY(EOMONTH(MM$1,0)))*$F15/12*(1-0.269))),IFERROR(IF($I15&lt;MM$1,0,IF(MM$1&gt;$I15,(($F15/12)*$E15)*(DAY($I15)/DAY(EOMONTH(MM$1,0)))*(1-26.9/100)+$E15,IF(AND(MM$1&gt;=$G15,MM$1&lt;$I15),(($F15/12)*$E15)*(1-26.9/100),""))-IF(MM$1=EOMONTH($G15,0),$E15,"0")),0)+IF(MM$1=EOMONTH($I15,0),($E15+($E15*(DAY($I15)/DAY(EOMONTH(MM$1,0)))*$F15/12*(1-0.269))),"0"))),0)</f>
        <v>0</v>
      </c>
      <c r="MN15" s="135">
        <f t="shared" si="75"/>
        <v>0</v>
      </c>
      <c r="MO15" s="135">
        <f t="shared" si="75"/>
        <v>0</v>
      </c>
      <c r="MP15" s="135">
        <f t="shared" si="75"/>
        <v>0</v>
      </c>
      <c r="MQ15" s="135">
        <f t="shared" si="75"/>
        <v>0</v>
      </c>
      <c r="MR15" s="135">
        <f t="shared" si="75"/>
        <v>0</v>
      </c>
      <c r="MS15" s="135">
        <f t="shared" si="75"/>
        <v>0</v>
      </c>
      <c r="MT15" s="135">
        <f t="shared" si="75"/>
        <v>0</v>
      </c>
      <c r="MU15" s="135">
        <f t="shared" si="75"/>
        <v>0</v>
      </c>
      <c r="MV15" s="135">
        <f t="shared" si="75"/>
        <v>0</v>
      </c>
      <c r="MW15" s="135">
        <f t="shared" ref="MW15:NF16" si="76">IFERROR(IF(MW$1=EOMONTH($G15,0),(-$E15+($E15*(DAY($G15)/DAY(EOMONTH(MW$1,0)))*$F15/12*(1-0.269))),IF(MW$1=$G15,($E15+($E15*(DAY($I15)/DAY(EOMONTH(MW$1,0)))*$F15/12*(1-0.269))),IFERROR(IF($I15&lt;MW$1,0,IF(MW$1&gt;$I15,(($F15/12)*$E15)*(DAY($I15)/DAY(EOMONTH(MW$1,0)))*(1-26.9/100)+$E15,IF(AND(MW$1&gt;=$G15,MW$1&lt;$I15),(($F15/12)*$E15)*(1-26.9/100),""))-IF(MW$1=EOMONTH($G15,0),$E15,"0")),0)+IF(MW$1=EOMONTH($I15,0),($E15+($E15*(DAY($I15)/DAY(EOMONTH(MW$1,0)))*$F15/12*(1-0.269))),"0"))),0)</f>
        <v>0</v>
      </c>
      <c r="MX15" s="135">
        <f t="shared" si="76"/>
        <v>0</v>
      </c>
      <c r="MY15" s="135">
        <f t="shared" si="76"/>
        <v>0</v>
      </c>
      <c r="MZ15" s="135">
        <f t="shared" si="76"/>
        <v>0</v>
      </c>
      <c r="NA15" s="135">
        <f t="shared" si="76"/>
        <v>0</v>
      </c>
      <c r="NB15" s="135">
        <f t="shared" si="76"/>
        <v>0</v>
      </c>
      <c r="NC15" s="135">
        <f t="shared" si="76"/>
        <v>0</v>
      </c>
      <c r="ND15" s="135">
        <f t="shared" si="76"/>
        <v>0</v>
      </c>
      <c r="NE15" s="135">
        <f t="shared" si="76"/>
        <v>0</v>
      </c>
      <c r="NF15" s="135">
        <f t="shared" si="76"/>
        <v>0</v>
      </c>
      <c r="NG15" s="135">
        <f t="shared" ref="NG15:NP16" si="77">IFERROR(IF(NG$1=EOMONTH($G15,0),(-$E15+($E15*(DAY($G15)/DAY(EOMONTH(NG$1,0)))*$F15/12*(1-0.269))),IF(NG$1=$G15,($E15+($E15*(DAY($I15)/DAY(EOMONTH(NG$1,0)))*$F15/12*(1-0.269))),IFERROR(IF($I15&lt;NG$1,0,IF(NG$1&gt;$I15,(($F15/12)*$E15)*(DAY($I15)/DAY(EOMONTH(NG$1,0)))*(1-26.9/100)+$E15,IF(AND(NG$1&gt;=$G15,NG$1&lt;$I15),(($F15/12)*$E15)*(1-26.9/100),""))-IF(NG$1=EOMONTH($G15,0),$E15,"0")),0)+IF(NG$1=EOMONTH($I15,0),($E15+($E15*(DAY($I15)/DAY(EOMONTH(NG$1,0)))*$F15/12*(1-0.269))),"0"))),0)</f>
        <v>0</v>
      </c>
      <c r="NH15" s="135">
        <f t="shared" si="77"/>
        <v>0</v>
      </c>
      <c r="NI15" s="135">
        <f t="shared" si="77"/>
        <v>0</v>
      </c>
      <c r="NJ15" s="135">
        <f t="shared" si="77"/>
        <v>0</v>
      </c>
      <c r="NK15" s="135">
        <f t="shared" si="77"/>
        <v>0</v>
      </c>
      <c r="NL15" s="135">
        <f t="shared" si="77"/>
        <v>0</v>
      </c>
      <c r="NM15" s="135">
        <f t="shared" si="77"/>
        <v>0</v>
      </c>
      <c r="NN15" s="135">
        <f t="shared" si="77"/>
        <v>0</v>
      </c>
      <c r="NO15" s="135">
        <f t="shared" si="77"/>
        <v>0</v>
      </c>
      <c r="NP15" s="135">
        <f t="shared" si="77"/>
        <v>0</v>
      </c>
      <c r="NQ15" s="135">
        <f t="shared" ref="NQ15:NZ16" si="78">IFERROR(IF(NQ$1=EOMONTH($G15,0),(-$E15+($E15*(DAY($G15)/DAY(EOMONTH(NQ$1,0)))*$F15/12*(1-0.269))),IF(NQ$1=$G15,($E15+($E15*(DAY($I15)/DAY(EOMONTH(NQ$1,0)))*$F15/12*(1-0.269))),IFERROR(IF($I15&lt;NQ$1,0,IF(NQ$1&gt;$I15,(($F15/12)*$E15)*(DAY($I15)/DAY(EOMONTH(NQ$1,0)))*(1-26.9/100)+$E15,IF(AND(NQ$1&gt;=$G15,NQ$1&lt;$I15),(($F15/12)*$E15)*(1-26.9/100),""))-IF(NQ$1=EOMONTH($G15,0),$E15,"0")),0)+IF(NQ$1=EOMONTH($I15,0),($E15+($E15*(DAY($I15)/DAY(EOMONTH(NQ$1,0)))*$F15/12*(1-0.269))),"0"))),0)</f>
        <v>0</v>
      </c>
      <c r="NR15" s="135">
        <f t="shared" si="78"/>
        <v>0</v>
      </c>
      <c r="NS15" s="135">
        <f t="shared" si="78"/>
        <v>0</v>
      </c>
      <c r="NT15" s="135">
        <f t="shared" si="78"/>
        <v>0</v>
      </c>
      <c r="NU15" s="135">
        <f t="shared" si="78"/>
        <v>0</v>
      </c>
      <c r="NV15" s="135">
        <f t="shared" si="78"/>
        <v>0</v>
      </c>
      <c r="NW15" s="135">
        <f t="shared" si="78"/>
        <v>0</v>
      </c>
      <c r="NX15" s="135">
        <f t="shared" si="78"/>
        <v>0</v>
      </c>
      <c r="NY15" s="135">
        <f t="shared" si="78"/>
        <v>0</v>
      </c>
      <c r="NZ15" s="135">
        <f t="shared" si="78"/>
        <v>0</v>
      </c>
      <c r="OA15" s="135">
        <f t="shared" ref="OA15:OF16" si="79">IFERROR(IF(OA$1=EOMONTH($G15,0),(-$E15+($E15*(DAY($G15)/DAY(EOMONTH(OA$1,0)))*$F15/12*(1-0.269))),IF(OA$1=$G15,($E15+($E15*(DAY($I15)/DAY(EOMONTH(OA$1,0)))*$F15/12*(1-0.269))),IFERROR(IF($I15&lt;OA$1,0,IF(OA$1&gt;$I15,(($F15/12)*$E15)*(DAY($I15)/DAY(EOMONTH(OA$1,0)))*(1-26.9/100)+$E15,IF(AND(OA$1&gt;=$G15,OA$1&lt;$I15),(($F15/12)*$E15)*(1-26.9/100),""))-IF(OA$1=EOMONTH($G15,0),$E15,"0")),0)+IF(OA$1=EOMONTH($I15,0),($E15+($E15*(DAY($I15)/DAY(EOMONTH(OA$1,0)))*$F15/12*(1-0.269))),"0"))),0)</f>
        <v>0</v>
      </c>
      <c r="OB15" s="135">
        <f t="shared" si="79"/>
        <v>0</v>
      </c>
      <c r="OC15" s="135">
        <f t="shared" si="79"/>
        <v>0</v>
      </c>
      <c r="OD15" s="135">
        <f t="shared" si="79"/>
        <v>0</v>
      </c>
      <c r="OE15" s="135">
        <f t="shared" si="79"/>
        <v>0</v>
      </c>
      <c r="OF15" s="135">
        <f t="shared" si="79"/>
        <v>0</v>
      </c>
      <c r="OG15" s="135">
        <f t="shared" si="57"/>
        <v>0</v>
      </c>
      <c r="OH15" s="135">
        <f t="shared" ref="OH15:ON29" si="80">IFERROR(IF(OH$1=EOMONTH($G15,0),(-$E15+($E15*(DAY($G15)/DAY(EOMONTH(OH$1,0)))*$F15/12*(1-0.269))),IF(OH$1=$G15,($E15+($E15*(DAY($I15)/DAY(EOMONTH(OH$1,0)))*$F15/12*(1-0.269))),IFERROR(IF($I15&lt;OH$1,0,IF(OH$1&gt;$I15,(($F15/12)*$E15)*(DAY($I15)/DAY(EOMONTH(OH$1,0)))*(1-26.9/100)+$E15,IF(AND(OH$1&gt;=$G15,OH$1&lt;$I15),(($F15/12)*$E15)*(1-26.9/100),""))-IF(OH$1=EOMONTH($G15,0),$E15,"0")),0)+IF(OH$1=EOMONTH($I15,0),($E15+($E15*(DAY($I15)/DAY(EOMONTH(OH$1,0)))*$F15/12*(1-0.269))),"0"))),0)</f>
        <v>0</v>
      </c>
      <c r="OI15" s="135">
        <f t="shared" si="80"/>
        <v>0</v>
      </c>
      <c r="OJ15" s="135">
        <f t="shared" si="80"/>
        <v>0</v>
      </c>
      <c r="OK15" s="135">
        <f t="shared" si="80"/>
        <v>0</v>
      </c>
      <c r="OL15" s="135">
        <f t="shared" si="80"/>
        <v>0</v>
      </c>
      <c r="OM15" s="135">
        <f t="shared" si="80"/>
        <v>0</v>
      </c>
      <c r="ON15" s="135">
        <f t="shared" si="80"/>
        <v>0</v>
      </c>
      <c r="OO15" s="135">
        <f t="shared" si="71"/>
        <v>0</v>
      </c>
      <c r="OP15" s="135">
        <f t="shared" si="71"/>
        <v>0</v>
      </c>
      <c r="OQ15" s="135">
        <f t="shared" si="71"/>
        <v>0</v>
      </c>
      <c r="OR15" s="135">
        <f t="shared" si="71"/>
        <v>0</v>
      </c>
      <c r="OS15" s="135">
        <f t="shared" si="71"/>
        <v>0</v>
      </c>
      <c r="OT15" s="135">
        <f t="shared" si="71"/>
        <v>0</v>
      </c>
      <c r="OU15" s="135">
        <f t="shared" si="71"/>
        <v>0</v>
      </c>
      <c r="OV15" s="135">
        <f t="shared" si="71"/>
        <v>0</v>
      </c>
      <c r="OW15" s="135">
        <f t="shared" si="71"/>
        <v>0</v>
      </c>
      <c r="OX15" s="135">
        <f t="shared" si="71"/>
        <v>0</v>
      </c>
      <c r="OY15" s="135">
        <f t="shared" si="71"/>
        <v>0</v>
      </c>
      <c r="OZ15" s="135">
        <f t="shared" si="71"/>
        <v>0</v>
      </c>
      <c r="PA15" s="135">
        <f t="shared" si="71"/>
        <v>0</v>
      </c>
      <c r="PB15" s="135">
        <f t="shared" si="71"/>
        <v>0</v>
      </c>
      <c r="PC15" s="135">
        <f t="shared" si="71"/>
        <v>0</v>
      </c>
      <c r="PD15" s="135">
        <f t="shared" si="71"/>
        <v>0</v>
      </c>
      <c r="PE15" s="135">
        <f t="shared" si="71"/>
        <v>0</v>
      </c>
      <c r="PF15" s="135">
        <f t="shared" si="71"/>
        <v>0</v>
      </c>
      <c r="PG15" s="135">
        <f t="shared" si="71"/>
        <v>0</v>
      </c>
      <c r="PH15" s="135">
        <f t="shared" si="71"/>
        <v>0</v>
      </c>
      <c r="PI15" s="135">
        <f t="shared" si="71"/>
        <v>0</v>
      </c>
      <c r="PJ15" s="135">
        <f t="shared" si="71"/>
        <v>0</v>
      </c>
      <c r="PK15" s="135">
        <f t="shared" si="71"/>
        <v>0</v>
      </c>
      <c r="PL15" s="135">
        <f t="shared" si="71"/>
        <v>0</v>
      </c>
      <c r="PM15" s="135">
        <f t="shared" si="71"/>
        <v>0</v>
      </c>
      <c r="PN15" s="135">
        <f t="shared" si="71"/>
        <v>0</v>
      </c>
      <c r="PO15" s="135">
        <f t="shared" si="71"/>
        <v>0</v>
      </c>
      <c r="PP15" s="135">
        <f t="shared" si="71"/>
        <v>0</v>
      </c>
      <c r="PQ15" s="135">
        <f t="shared" si="71"/>
        <v>0</v>
      </c>
      <c r="PR15" s="135">
        <f t="shared" si="71"/>
        <v>0</v>
      </c>
      <c r="PS15" s="135">
        <f t="shared" si="71"/>
        <v>0</v>
      </c>
      <c r="PT15" s="135">
        <f t="shared" si="71"/>
        <v>0</v>
      </c>
      <c r="PU15" s="135">
        <f t="shared" si="71"/>
        <v>0</v>
      </c>
      <c r="PV15" s="135">
        <f t="shared" si="71"/>
        <v>0</v>
      </c>
      <c r="PW15" s="135">
        <f t="shared" si="71"/>
        <v>0</v>
      </c>
      <c r="PX15" s="135">
        <f t="shared" si="71"/>
        <v>0</v>
      </c>
      <c r="PY15" s="135">
        <f t="shared" si="71"/>
        <v>0</v>
      </c>
      <c r="PZ15" s="135">
        <f t="shared" si="71"/>
        <v>0</v>
      </c>
      <c r="QA15" s="135">
        <f t="shared" si="71"/>
        <v>0</v>
      </c>
      <c r="QB15" s="135">
        <f t="shared" si="71"/>
        <v>0</v>
      </c>
      <c r="QC15" s="135">
        <f t="shared" si="71"/>
        <v>0</v>
      </c>
      <c r="QD15" s="135">
        <f t="shared" si="71"/>
        <v>0</v>
      </c>
      <c r="QE15" s="135">
        <f t="shared" si="71"/>
        <v>0</v>
      </c>
      <c r="QF15" s="135">
        <f t="shared" si="71"/>
        <v>0</v>
      </c>
      <c r="QG15" s="135">
        <f t="shared" si="71"/>
        <v>0</v>
      </c>
      <c r="QH15" s="135">
        <f t="shared" si="71"/>
        <v>0</v>
      </c>
      <c r="QI15" s="135">
        <f t="shared" si="71"/>
        <v>0</v>
      </c>
      <c r="QJ15" s="135">
        <f t="shared" si="71"/>
        <v>0</v>
      </c>
      <c r="QK15" s="135">
        <f t="shared" si="71"/>
        <v>0</v>
      </c>
      <c r="QL15" s="135">
        <f t="shared" si="71"/>
        <v>0</v>
      </c>
      <c r="QM15" s="135">
        <f t="shared" si="71"/>
        <v>0</v>
      </c>
      <c r="QN15" s="135">
        <f t="shared" si="71"/>
        <v>0</v>
      </c>
      <c r="QO15" s="135">
        <f t="shared" si="71"/>
        <v>0</v>
      </c>
      <c r="QP15" s="135">
        <f t="shared" si="71"/>
        <v>0</v>
      </c>
      <c r="QQ15" s="135">
        <f t="shared" si="71"/>
        <v>0</v>
      </c>
      <c r="QR15" s="135">
        <f t="shared" si="71"/>
        <v>0</v>
      </c>
      <c r="QS15" s="135">
        <f t="shared" si="71"/>
        <v>0</v>
      </c>
      <c r="QT15" s="135">
        <f t="shared" si="72"/>
        <v>0</v>
      </c>
      <c r="QU15" s="135">
        <f t="shared" si="72"/>
        <v>0</v>
      </c>
      <c r="QV15" s="135">
        <f t="shared" si="58"/>
        <v>0</v>
      </c>
      <c r="QW15" s="135">
        <f t="shared" si="58"/>
        <v>0</v>
      </c>
      <c r="QX15" s="135">
        <f t="shared" si="58"/>
        <v>0</v>
      </c>
      <c r="QY15" s="135">
        <f t="shared" si="58"/>
        <v>0</v>
      </c>
      <c r="QZ15" s="135">
        <f t="shared" si="58"/>
        <v>0</v>
      </c>
      <c r="RA15" s="135">
        <f t="shared" ref="RA15:SF15" si="81">IFERROR(IF(RA$1=EOMONTH($G15,0),(-$E15+($E15*(DAY($G15)/DAY(EOMONTH(RA$1,0)))*$F15/12*(1-0.269))),IF(RA$1=$G15,($E15+($E15*(DAY($I15)/DAY(EOMONTH(RA$1,0)))*$F15/12*(1-0.269))),IFERROR(IF($I15&lt;RA$1,0,IF(RA$1&gt;$I15,(($F15/12)*$E15)*(DAY($I15)/DAY(EOMONTH(RA$1,0)))*(1-26.9/100)+$E15,IF(AND(RA$1&gt;=$G15,RA$1&lt;$I15),(($F15/12)*$E15)*(1-26.9/100),""))-IF(RA$1=EOMONTH($G15,0),$E15,"0")),0)+IF(RA$1=EOMONTH($I15,0),($E15+($E15*(DAY($I15)/DAY(EOMONTH(RA$1,0)))*$F15/12*(1-0.269))),"0"))),0)</f>
        <v>0</v>
      </c>
      <c r="RB15" s="135">
        <f t="shared" si="81"/>
        <v>0</v>
      </c>
      <c r="RC15" s="135">
        <f t="shared" si="81"/>
        <v>0</v>
      </c>
      <c r="RD15" s="135">
        <f t="shared" si="81"/>
        <v>0</v>
      </c>
      <c r="RE15" s="135">
        <f t="shared" si="81"/>
        <v>0</v>
      </c>
      <c r="RF15" s="135">
        <f t="shared" si="81"/>
        <v>0</v>
      </c>
      <c r="RG15" s="135">
        <f t="shared" si="81"/>
        <v>0</v>
      </c>
      <c r="RH15" s="135">
        <f t="shared" si="81"/>
        <v>0</v>
      </c>
      <c r="RI15" s="135">
        <f t="shared" si="81"/>
        <v>0</v>
      </c>
      <c r="RJ15" s="135">
        <f t="shared" si="81"/>
        <v>0</v>
      </c>
      <c r="RK15" s="135">
        <f t="shared" si="81"/>
        <v>0</v>
      </c>
      <c r="RL15" s="135">
        <f t="shared" si="81"/>
        <v>0</v>
      </c>
      <c r="RM15" s="135">
        <f t="shared" si="81"/>
        <v>0</v>
      </c>
      <c r="RN15" s="135">
        <f t="shared" si="81"/>
        <v>0</v>
      </c>
      <c r="RO15" s="135">
        <f t="shared" si="81"/>
        <v>0</v>
      </c>
      <c r="RP15" s="135">
        <f t="shared" si="81"/>
        <v>0</v>
      </c>
      <c r="RQ15" s="135">
        <f t="shared" si="81"/>
        <v>0</v>
      </c>
      <c r="RR15" s="135">
        <f t="shared" si="81"/>
        <v>0</v>
      </c>
      <c r="RS15" s="135">
        <f t="shared" si="81"/>
        <v>0</v>
      </c>
      <c r="RT15" s="135">
        <f t="shared" si="81"/>
        <v>0</v>
      </c>
      <c r="RU15" s="135">
        <f t="shared" si="81"/>
        <v>0</v>
      </c>
      <c r="RV15" s="135">
        <f t="shared" si="81"/>
        <v>0</v>
      </c>
      <c r="RW15" s="135">
        <f t="shared" si="81"/>
        <v>0</v>
      </c>
      <c r="RX15" s="135">
        <f t="shared" si="81"/>
        <v>0</v>
      </c>
      <c r="RY15" s="135">
        <f t="shared" si="81"/>
        <v>0</v>
      </c>
      <c r="RZ15" s="135">
        <f t="shared" si="81"/>
        <v>0</v>
      </c>
      <c r="SA15" s="135">
        <f t="shared" si="81"/>
        <v>0</v>
      </c>
      <c r="SB15" s="135">
        <f t="shared" si="81"/>
        <v>0</v>
      </c>
      <c r="SC15" s="135">
        <f t="shared" si="81"/>
        <v>0</v>
      </c>
      <c r="SD15" s="135">
        <f t="shared" si="81"/>
        <v>0</v>
      </c>
      <c r="SE15" s="135">
        <f t="shared" si="81"/>
        <v>0</v>
      </c>
      <c r="SF15" s="135">
        <f t="shared" si="81"/>
        <v>0</v>
      </c>
      <c r="SG15" s="135">
        <f t="shared" ref="SG15:TD15" si="82">IFERROR(IF(SG$1=EOMONTH($G15,0),(-$E15+($E15*(DAY($G15)/DAY(EOMONTH(SG$1,0)))*$F15/12*(1-0.269))),IF(SG$1=$G15,($E15+($E15*(DAY($I15)/DAY(EOMONTH(SG$1,0)))*$F15/12*(1-0.269))),IFERROR(IF($I15&lt;SG$1,0,IF(SG$1&gt;$I15,(($F15/12)*$E15)*(DAY($I15)/DAY(EOMONTH(SG$1,0)))*(1-26.9/100)+$E15,IF(AND(SG$1&gt;=$G15,SG$1&lt;$I15),(($F15/12)*$E15)*(1-26.9/100),""))-IF(SG$1=EOMONTH($G15,0),$E15,"0")),0)+IF(SG$1=EOMONTH($I15,0),($E15+($E15*(DAY($I15)/DAY(EOMONTH(SG$1,0)))*$F15/12*(1-0.269))),"0"))),0)</f>
        <v>0</v>
      </c>
      <c r="SH15" s="135">
        <f t="shared" si="82"/>
        <v>0</v>
      </c>
      <c r="SI15" s="135">
        <f t="shared" si="82"/>
        <v>0</v>
      </c>
      <c r="SJ15" s="135">
        <f t="shared" si="82"/>
        <v>0</v>
      </c>
      <c r="SK15" s="135">
        <f t="shared" si="82"/>
        <v>0</v>
      </c>
      <c r="SL15" s="135">
        <f t="shared" si="82"/>
        <v>0</v>
      </c>
      <c r="SM15" s="135">
        <f t="shared" si="82"/>
        <v>0</v>
      </c>
      <c r="SN15" s="135">
        <f t="shared" si="82"/>
        <v>0</v>
      </c>
      <c r="SO15" s="135">
        <f t="shared" si="82"/>
        <v>0</v>
      </c>
      <c r="SP15" s="135">
        <f t="shared" si="82"/>
        <v>0</v>
      </c>
      <c r="SQ15" s="135">
        <f t="shared" si="82"/>
        <v>0</v>
      </c>
      <c r="SR15" s="135">
        <f t="shared" si="82"/>
        <v>0</v>
      </c>
      <c r="SS15" s="135">
        <f t="shared" si="82"/>
        <v>0</v>
      </c>
      <c r="ST15" s="135">
        <f t="shared" si="82"/>
        <v>0</v>
      </c>
      <c r="SU15" s="135">
        <f t="shared" si="82"/>
        <v>0</v>
      </c>
      <c r="SV15" s="135">
        <f t="shared" si="82"/>
        <v>0</v>
      </c>
      <c r="SW15" s="135">
        <f t="shared" si="82"/>
        <v>0</v>
      </c>
      <c r="SX15" s="135">
        <f t="shared" si="82"/>
        <v>0</v>
      </c>
      <c r="SY15" s="135">
        <f t="shared" si="82"/>
        <v>0</v>
      </c>
      <c r="SZ15" s="135">
        <f t="shared" si="82"/>
        <v>0</v>
      </c>
      <c r="TA15" s="135">
        <f t="shared" si="82"/>
        <v>0</v>
      </c>
      <c r="TB15" s="135">
        <f t="shared" si="82"/>
        <v>0</v>
      </c>
      <c r="TC15" s="135">
        <f t="shared" si="82"/>
        <v>0</v>
      </c>
      <c r="TD15" s="135">
        <f t="shared" si="82"/>
        <v>0</v>
      </c>
      <c r="TE15" s="135">
        <f>IFERROR(IF(TE$1=EOMONTH($G15,0),(-$E15+($E15*(DAY($G15)/DAY(EOMONTH(TE$1,0)))*$F15/12*(1-0.269))),IF(TE$1=$G15,($E15+($E15*(DAY($I15)/DAY(EOMONTH(TE$1,0)))*$F15/12*(1-0.269))),IFERROR(IF($I15&lt;TE$1,0,IF(TE$1&gt;$I15,(($F15/12)*$E15)*(DAY($I15)/DAY(EOMONTH(TE$1,0)))*(1-26.9/100)+$E15,IF(AND(TE$1&gt;=$G15,TE$1&lt;$I15),(($F15/12)*$E15)*(1-26.9/100),""))-IF(TE$1=EOMONTH($G15,0),$E15,"0")),0)+IF(TE$1=EOMONTH($I15,0),($E15+($E15*(DAY($I15)/DAY(EOMONTH(TE$1,0)))*$F15/12*(1-0.269))),"0"))),0)</f>
        <v>0</v>
      </c>
      <c r="TF15" s="135">
        <f t="shared" ref="TF15:TL15" si="83">IFERROR(IF(TF$1=EOMONTH($G15,0),(-$E15+($E15*(DAY($G15)/DAY(EOMONTH(TF$1,0)))*$F15/12*(1-0.269))),IF(TF$1=$G15,($E15+($E15*(DAY($I15)/DAY(EOMONTH(TF$1,0)))*$F15/12*(1-0.269))),IFERROR(IF($I15&lt;TF$1,0,IF(TF$1&gt;$I15,(($F15/12)*$E15)*(DAY($I15)/DAY(EOMONTH(TF$1,0)))*(1-26.9/100)+$E15,IF(AND(TF$1&gt;=$G15,TF$1&lt;$I15),(($F15/12)*$E15)*(1-26.9/100),""))-IF(TF$1=EOMONTH($G15,0),$E15,"0")),0)+IF(TF$1=EOMONTH($I15,0),($E15+($E15*(DAY($I15)/DAY(EOMONTH(TF$1,0)))*$F15/12*(1-0.269))),"0"))),0)</f>
        <v>0</v>
      </c>
      <c r="TG15" s="135">
        <f t="shared" si="83"/>
        <v>0</v>
      </c>
      <c r="TH15" s="135">
        <f t="shared" si="83"/>
        <v>0</v>
      </c>
      <c r="TI15" s="135">
        <f t="shared" si="83"/>
        <v>0</v>
      </c>
      <c r="TJ15" s="135">
        <f t="shared" si="83"/>
        <v>0</v>
      </c>
      <c r="TK15" s="135">
        <f t="shared" si="83"/>
        <v>0</v>
      </c>
      <c r="TL15" s="135">
        <f t="shared" si="83"/>
        <v>0</v>
      </c>
      <c r="TM15" s="135">
        <f t="shared" si="67"/>
        <v>0</v>
      </c>
      <c r="TN15" s="135">
        <f t="shared" si="67"/>
        <v>0</v>
      </c>
      <c r="TO15" s="135">
        <f t="shared" si="67"/>
        <v>0</v>
      </c>
      <c r="TP15" s="135">
        <f t="shared" si="67"/>
        <v>0</v>
      </c>
      <c r="TQ15" s="135">
        <f t="shared" si="67"/>
        <v>0</v>
      </c>
      <c r="TR15" s="135">
        <f t="shared" si="67"/>
        <v>0</v>
      </c>
      <c r="TS15" s="135">
        <f t="shared" si="67"/>
        <v>0</v>
      </c>
      <c r="TT15" s="135">
        <f t="shared" si="67"/>
        <v>0</v>
      </c>
      <c r="TU15" s="135">
        <f t="shared" si="67"/>
        <v>0</v>
      </c>
      <c r="TV15" s="135">
        <f t="shared" si="67"/>
        <v>0</v>
      </c>
      <c r="TW15" s="135">
        <f t="shared" si="67"/>
        <v>0</v>
      </c>
      <c r="TX15" s="135">
        <f t="shared" si="67"/>
        <v>0</v>
      </c>
      <c r="TY15" s="135">
        <f t="shared" si="67"/>
        <v>0</v>
      </c>
      <c r="TZ15" s="135">
        <f t="shared" si="67"/>
        <v>0</v>
      </c>
      <c r="UA15" s="135">
        <f t="shared" si="67"/>
        <v>0</v>
      </c>
      <c r="UB15" s="135">
        <f t="shared" si="67"/>
        <v>0</v>
      </c>
      <c r="UC15" s="135">
        <f t="shared" si="67"/>
        <v>0</v>
      </c>
      <c r="UD15" s="135">
        <f t="shared" si="67"/>
        <v>0</v>
      </c>
      <c r="UE15" s="135">
        <f t="shared" si="67"/>
        <v>0</v>
      </c>
      <c r="UF15" s="135">
        <f t="shared" si="67"/>
        <v>0</v>
      </c>
      <c r="UG15" s="135">
        <f t="shared" si="67"/>
        <v>0</v>
      </c>
      <c r="UH15" s="135">
        <f t="shared" si="67"/>
        <v>0</v>
      </c>
      <c r="UI15" s="135">
        <f t="shared" si="67"/>
        <v>0</v>
      </c>
      <c r="UJ15" s="135">
        <f t="shared" si="67"/>
        <v>0</v>
      </c>
      <c r="UK15" s="135">
        <f t="shared" si="67"/>
        <v>0</v>
      </c>
    </row>
    <row r="16" spans="2:557">
      <c r="B16" t="str">
        <f>IF(Samenvatting!$F117&lt;&gt;0,Samenvatting!C117,"")</f>
        <v/>
      </c>
      <c r="C16" t="str">
        <f>IF(Samenvatting!$F117&lt;&gt;0,Samenvatting!D117,"")</f>
        <v/>
      </c>
      <c r="D16" t="str">
        <f>IF(Samenvatting!$F117&lt;&gt;0,Samenvatting!E117,"")</f>
        <v/>
      </c>
      <c r="E16" t="str">
        <f>IF(Samenvatting!$F117&lt;&gt;0,Samenvatting!F117,"")</f>
        <v/>
      </c>
      <c r="F16" t="str">
        <f>IF(Samenvatting!$F117&lt;&gt;0,Samenvatting!H117,"")</f>
        <v/>
      </c>
      <c r="G16" s="134" t="str">
        <f>IF(Samenvatting!$F117&lt;&gt;0,Samenvatting!I117,"")</f>
        <v/>
      </c>
      <c r="H16" t="str">
        <f>IF(Samenvatting!$F117&lt;&gt;0,Samenvatting!J117,"")</f>
        <v/>
      </c>
      <c r="I16" s="134" t="str">
        <f>IF(Samenvatting!$F117&lt;&gt;0,Samenvatting!K117,"")</f>
        <v/>
      </c>
      <c r="J16" s="135">
        <f t="shared" si="0"/>
        <v>0</v>
      </c>
      <c r="K16" s="135">
        <f t="shared" ref="K16:BV19" si="84">IFERROR(IF(K$1=EOMONTH($G16,0),(-$E16+($E16*(DAY($G16)/DAY(EOMONTH(K$1,0)))*$F16/12*(1-0.269))),IF(K$1=$G16,($E16+($E16*(DAY($I16)/DAY(EOMONTH(K$1,0)))*$F16/12*(1-0.269))),IFERROR(IF($I16&lt;K$1,0,IF(K$1&gt;$I16,(($F16/12)*$E16)*(DAY($I16)/DAY(EOMONTH(K$1,0)))*(1-26.9/100)+$E16,IF(AND(K$1&gt;=$G16,K$1&lt;$I16),(($F16/12)*$E16)*(1-26.9/100),""))-IF(K$1=EOMONTH($G16,0),$E16,"0")),0)+IF(K$1=EOMONTH($I16,0),($E16+($E16*(DAY($I16)/DAY(EOMONTH(K$1,0)))*$F16/12*(1-0.269))),"0"))),0)</f>
        <v>0</v>
      </c>
      <c r="L16" s="135">
        <f t="shared" si="84"/>
        <v>0</v>
      </c>
      <c r="M16" s="135">
        <f t="shared" si="84"/>
        <v>0</v>
      </c>
      <c r="N16" s="135">
        <f t="shared" si="84"/>
        <v>0</v>
      </c>
      <c r="O16" s="135">
        <f t="shared" si="84"/>
        <v>0</v>
      </c>
      <c r="P16" s="135">
        <f t="shared" si="84"/>
        <v>0</v>
      </c>
      <c r="Q16" s="135">
        <f t="shared" si="84"/>
        <v>0</v>
      </c>
      <c r="R16" s="135">
        <f t="shared" si="84"/>
        <v>0</v>
      </c>
      <c r="S16" s="135">
        <f t="shared" si="84"/>
        <v>0</v>
      </c>
      <c r="T16" s="135">
        <f t="shared" si="84"/>
        <v>0</v>
      </c>
      <c r="U16" s="135">
        <f t="shared" si="84"/>
        <v>0</v>
      </c>
      <c r="V16" s="135">
        <f t="shared" si="84"/>
        <v>0</v>
      </c>
      <c r="W16" s="135">
        <f t="shared" si="84"/>
        <v>0</v>
      </c>
      <c r="X16" s="135">
        <f t="shared" si="84"/>
        <v>0</v>
      </c>
      <c r="Y16" s="135">
        <f t="shared" si="84"/>
        <v>0</v>
      </c>
      <c r="Z16" s="135">
        <f t="shared" si="84"/>
        <v>0</v>
      </c>
      <c r="AA16" s="135">
        <f t="shared" si="84"/>
        <v>0</v>
      </c>
      <c r="AB16" s="135">
        <f t="shared" si="84"/>
        <v>0</v>
      </c>
      <c r="AC16" s="135">
        <f t="shared" si="84"/>
        <v>0</v>
      </c>
      <c r="AD16" s="135">
        <f t="shared" si="84"/>
        <v>0</v>
      </c>
      <c r="AE16" s="135">
        <f t="shared" si="84"/>
        <v>0</v>
      </c>
      <c r="AF16" s="135">
        <f t="shared" si="84"/>
        <v>0</v>
      </c>
      <c r="AG16" s="135">
        <f t="shared" si="84"/>
        <v>0</v>
      </c>
      <c r="AH16" s="135">
        <f t="shared" si="84"/>
        <v>0</v>
      </c>
      <c r="AI16" s="135">
        <f t="shared" si="84"/>
        <v>0</v>
      </c>
      <c r="AJ16" s="135">
        <f t="shared" si="84"/>
        <v>0</v>
      </c>
      <c r="AK16" s="135">
        <f t="shared" si="84"/>
        <v>0</v>
      </c>
      <c r="AL16" s="135">
        <f t="shared" si="84"/>
        <v>0</v>
      </c>
      <c r="AM16" s="135">
        <f t="shared" si="84"/>
        <v>0</v>
      </c>
      <c r="AN16" s="135">
        <f t="shared" si="84"/>
        <v>0</v>
      </c>
      <c r="AO16" s="135">
        <f t="shared" si="84"/>
        <v>0</v>
      </c>
      <c r="AP16" s="135">
        <f t="shared" si="84"/>
        <v>0</v>
      </c>
      <c r="AQ16" s="135">
        <f t="shared" si="84"/>
        <v>0</v>
      </c>
      <c r="AR16" s="135">
        <f t="shared" si="84"/>
        <v>0</v>
      </c>
      <c r="AS16" s="135">
        <f t="shared" si="84"/>
        <v>0</v>
      </c>
      <c r="AT16" s="135">
        <f t="shared" si="84"/>
        <v>0</v>
      </c>
      <c r="AU16" s="135">
        <f t="shared" si="84"/>
        <v>0</v>
      </c>
      <c r="AV16" s="135">
        <f t="shared" si="84"/>
        <v>0</v>
      </c>
      <c r="AW16" s="135">
        <f t="shared" si="84"/>
        <v>0</v>
      </c>
      <c r="AX16" s="135">
        <f t="shared" si="84"/>
        <v>0</v>
      </c>
      <c r="AY16" s="135">
        <f t="shared" si="84"/>
        <v>0</v>
      </c>
      <c r="AZ16" s="135">
        <f t="shared" si="84"/>
        <v>0</v>
      </c>
      <c r="BA16" s="135">
        <f t="shared" si="84"/>
        <v>0</v>
      </c>
      <c r="BB16" s="135">
        <f t="shared" si="84"/>
        <v>0</v>
      </c>
      <c r="BC16" s="135">
        <f t="shared" si="84"/>
        <v>0</v>
      </c>
      <c r="BD16" s="135">
        <f t="shared" si="84"/>
        <v>0</v>
      </c>
      <c r="BE16" s="135">
        <f t="shared" si="84"/>
        <v>0</v>
      </c>
      <c r="BF16" s="135">
        <f t="shared" si="84"/>
        <v>0</v>
      </c>
      <c r="BG16" s="135">
        <f t="shared" si="84"/>
        <v>0</v>
      </c>
      <c r="BH16" s="135">
        <f t="shared" si="84"/>
        <v>0</v>
      </c>
      <c r="BI16" s="135">
        <f t="shared" si="84"/>
        <v>0</v>
      </c>
      <c r="BJ16" s="135">
        <f t="shared" si="84"/>
        <v>0</v>
      </c>
      <c r="BK16" s="135">
        <f t="shared" si="84"/>
        <v>0</v>
      </c>
      <c r="BL16" s="135">
        <f t="shared" si="84"/>
        <v>0</v>
      </c>
      <c r="BM16" s="135">
        <f t="shared" si="84"/>
        <v>0</v>
      </c>
      <c r="BN16" s="135">
        <f t="shared" si="84"/>
        <v>0</v>
      </c>
      <c r="BO16" s="135">
        <f t="shared" si="84"/>
        <v>0</v>
      </c>
      <c r="BP16" s="135">
        <f t="shared" si="84"/>
        <v>0</v>
      </c>
      <c r="BQ16" s="135">
        <f t="shared" si="84"/>
        <v>0</v>
      </c>
      <c r="BR16" s="135">
        <f t="shared" si="84"/>
        <v>0</v>
      </c>
      <c r="BS16" s="135">
        <f t="shared" si="84"/>
        <v>0</v>
      </c>
      <c r="BT16" s="135">
        <f t="shared" si="84"/>
        <v>0</v>
      </c>
      <c r="BU16" s="135">
        <f t="shared" si="84"/>
        <v>0</v>
      </c>
      <c r="BV16" s="135">
        <f t="shared" si="84"/>
        <v>0</v>
      </c>
      <c r="BW16" s="135">
        <f t="shared" si="73"/>
        <v>0</v>
      </c>
      <c r="BX16" s="135">
        <f t="shared" si="73"/>
        <v>0</v>
      </c>
      <c r="BY16" s="135">
        <f t="shared" si="73"/>
        <v>0</v>
      </c>
      <c r="BZ16" s="135">
        <f t="shared" si="73"/>
        <v>0</v>
      </c>
      <c r="CA16" s="135">
        <f t="shared" si="73"/>
        <v>0</v>
      </c>
      <c r="CB16" s="135">
        <f t="shared" si="73"/>
        <v>0</v>
      </c>
      <c r="CC16" s="135">
        <f t="shared" si="73"/>
        <v>0</v>
      </c>
      <c r="CD16" s="135">
        <f t="shared" si="73"/>
        <v>0</v>
      </c>
      <c r="CE16" s="135">
        <f t="shared" si="73"/>
        <v>0</v>
      </c>
      <c r="CF16" s="135">
        <f t="shared" si="73"/>
        <v>0</v>
      </c>
      <c r="CG16" s="135">
        <f t="shared" si="73"/>
        <v>0</v>
      </c>
      <c r="CH16" s="135">
        <f t="shared" si="73"/>
        <v>0</v>
      </c>
      <c r="CI16" s="135">
        <f t="shared" si="73"/>
        <v>0</v>
      </c>
      <c r="CJ16" s="135">
        <f t="shared" si="73"/>
        <v>0</v>
      </c>
      <c r="CK16" s="135">
        <f t="shared" si="73"/>
        <v>0</v>
      </c>
      <c r="CL16" s="135">
        <f t="shared" si="73"/>
        <v>0</v>
      </c>
      <c r="CM16" s="135">
        <f t="shared" si="73"/>
        <v>0</v>
      </c>
      <c r="CN16" s="135">
        <f t="shared" si="73"/>
        <v>0</v>
      </c>
      <c r="CO16" s="135">
        <f t="shared" si="73"/>
        <v>0</v>
      </c>
      <c r="CP16" s="135">
        <f t="shared" si="73"/>
        <v>0</v>
      </c>
      <c r="CQ16" s="135">
        <f t="shared" si="73"/>
        <v>0</v>
      </c>
      <c r="CR16" s="135">
        <f t="shared" si="73"/>
        <v>0</v>
      </c>
      <c r="CS16" s="135">
        <f t="shared" si="73"/>
        <v>0</v>
      </c>
      <c r="CT16" s="135">
        <f t="shared" si="73"/>
        <v>0</v>
      </c>
      <c r="CU16" s="135">
        <f t="shared" si="73"/>
        <v>0</v>
      </c>
      <c r="CV16" s="135">
        <f t="shared" si="73"/>
        <v>0</v>
      </c>
      <c r="CW16" s="135">
        <f t="shared" si="73"/>
        <v>0</v>
      </c>
      <c r="CX16" s="135">
        <f t="shared" si="73"/>
        <v>0</v>
      </c>
      <c r="CY16" s="135">
        <f t="shared" si="73"/>
        <v>0</v>
      </c>
      <c r="CZ16" s="135">
        <f t="shared" si="73"/>
        <v>0</v>
      </c>
      <c r="DA16" s="135">
        <f t="shared" si="73"/>
        <v>0</v>
      </c>
      <c r="DB16" s="135">
        <f t="shared" si="73"/>
        <v>0</v>
      </c>
      <c r="DC16" s="135">
        <f t="shared" si="73"/>
        <v>0</v>
      </c>
      <c r="DD16" s="135">
        <f t="shared" si="73"/>
        <v>0</v>
      </c>
      <c r="DE16" s="135">
        <f t="shared" si="73"/>
        <v>0</v>
      </c>
      <c r="DF16" s="135">
        <f t="shared" si="73"/>
        <v>0</v>
      </c>
      <c r="DG16" s="135">
        <f t="shared" si="73"/>
        <v>0</v>
      </c>
      <c r="DH16" s="135">
        <f t="shared" si="73"/>
        <v>0</v>
      </c>
      <c r="DI16" s="135">
        <f t="shared" si="73"/>
        <v>0</v>
      </c>
      <c r="DJ16" s="135">
        <f t="shared" si="73"/>
        <v>0</v>
      </c>
      <c r="DK16" s="135">
        <f t="shared" si="73"/>
        <v>0</v>
      </c>
      <c r="DL16" s="135">
        <f t="shared" si="73"/>
        <v>0</v>
      </c>
      <c r="DM16" s="135">
        <f t="shared" si="73"/>
        <v>0</v>
      </c>
      <c r="DN16" s="135">
        <f t="shared" si="73"/>
        <v>0</v>
      </c>
      <c r="DO16" s="135">
        <f t="shared" si="73"/>
        <v>0</v>
      </c>
      <c r="DP16" s="135">
        <f t="shared" si="73"/>
        <v>0</v>
      </c>
      <c r="DQ16" s="135">
        <f t="shared" si="73"/>
        <v>0</v>
      </c>
      <c r="DR16" s="135">
        <f t="shared" si="73"/>
        <v>0</v>
      </c>
      <c r="DS16" s="135">
        <f t="shared" si="73"/>
        <v>0</v>
      </c>
      <c r="DT16" s="135">
        <f t="shared" si="73"/>
        <v>0</v>
      </c>
      <c r="DU16" s="135">
        <f t="shared" si="73"/>
        <v>0</v>
      </c>
      <c r="DV16" s="135">
        <f t="shared" si="73"/>
        <v>0</v>
      </c>
      <c r="DW16" s="135">
        <f t="shared" si="73"/>
        <v>0</v>
      </c>
      <c r="DX16" s="135">
        <f t="shared" si="73"/>
        <v>0</v>
      </c>
      <c r="DY16" s="135">
        <f t="shared" si="73"/>
        <v>0</v>
      </c>
      <c r="DZ16" s="135">
        <f t="shared" si="73"/>
        <v>0</v>
      </c>
      <c r="EA16" s="135">
        <f t="shared" si="73"/>
        <v>0</v>
      </c>
      <c r="EB16" s="135">
        <f t="shared" si="73"/>
        <v>0</v>
      </c>
      <c r="EC16" s="135">
        <f t="shared" si="73"/>
        <v>0</v>
      </c>
      <c r="ED16" s="135">
        <f t="shared" si="73"/>
        <v>0</v>
      </c>
      <c r="EE16" s="135">
        <f t="shared" si="73"/>
        <v>0</v>
      </c>
      <c r="EF16" s="135">
        <f t="shared" si="73"/>
        <v>0</v>
      </c>
      <c r="EG16" s="135">
        <f t="shared" si="73"/>
        <v>0</v>
      </c>
      <c r="EH16" s="135">
        <f t="shared" si="37"/>
        <v>0</v>
      </c>
      <c r="EI16" s="135">
        <f t="shared" si="68"/>
        <v>0</v>
      </c>
      <c r="EJ16" s="135">
        <f t="shared" si="68"/>
        <v>0</v>
      </c>
      <c r="EK16" s="135">
        <f t="shared" si="68"/>
        <v>0</v>
      </c>
      <c r="EL16" s="135">
        <f t="shared" si="68"/>
        <v>0</v>
      </c>
      <c r="EM16" s="135">
        <f t="shared" si="68"/>
        <v>0</v>
      </c>
      <c r="EN16" s="135">
        <f t="shared" si="68"/>
        <v>0</v>
      </c>
      <c r="EO16" s="135">
        <f t="shared" si="68"/>
        <v>0</v>
      </c>
      <c r="EP16" s="135">
        <f t="shared" si="68"/>
        <v>0</v>
      </c>
      <c r="EQ16" s="135">
        <f t="shared" si="68"/>
        <v>0</v>
      </c>
      <c r="ER16" s="135">
        <f t="shared" si="68"/>
        <v>0</v>
      </c>
      <c r="ES16" s="135">
        <f t="shared" si="68"/>
        <v>0</v>
      </c>
      <c r="ET16" s="135">
        <f t="shared" si="68"/>
        <v>0</v>
      </c>
      <c r="EU16" s="135">
        <f t="shared" si="68"/>
        <v>0</v>
      </c>
      <c r="EV16" s="135">
        <f t="shared" si="68"/>
        <v>0</v>
      </c>
      <c r="EW16" s="135">
        <f t="shared" si="68"/>
        <v>0</v>
      </c>
      <c r="EX16" s="135">
        <f t="shared" si="68"/>
        <v>0</v>
      </c>
      <c r="EY16" s="135">
        <f t="shared" si="68"/>
        <v>0</v>
      </c>
      <c r="EZ16" s="135">
        <f t="shared" si="68"/>
        <v>0</v>
      </c>
      <c r="FA16" s="135">
        <f t="shared" si="68"/>
        <v>0</v>
      </c>
      <c r="FB16" s="135">
        <f t="shared" si="68"/>
        <v>0</v>
      </c>
      <c r="FC16" s="135">
        <f t="shared" si="68"/>
        <v>0</v>
      </c>
      <c r="FD16" s="135">
        <f t="shared" si="68"/>
        <v>0</v>
      </c>
      <c r="FE16" s="135">
        <f t="shared" si="68"/>
        <v>0</v>
      </c>
      <c r="FF16" s="135">
        <f t="shared" si="68"/>
        <v>0</v>
      </c>
      <c r="FG16" s="135">
        <f t="shared" si="68"/>
        <v>0</v>
      </c>
      <c r="FH16" s="135">
        <f t="shared" si="68"/>
        <v>0</v>
      </c>
      <c r="FI16" s="135">
        <f t="shared" si="68"/>
        <v>0</v>
      </c>
      <c r="FJ16" s="135">
        <f t="shared" si="68"/>
        <v>0</v>
      </c>
      <c r="FK16" s="135">
        <f t="shared" si="68"/>
        <v>0</v>
      </c>
      <c r="FL16" s="135">
        <f t="shared" si="68"/>
        <v>0</v>
      </c>
      <c r="FM16" s="135">
        <f t="shared" si="68"/>
        <v>0</v>
      </c>
      <c r="FN16" s="135">
        <f t="shared" si="68"/>
        <v>0</v>
      </c>
      <c r="FO16" s="135">
        <f t="shared" si="68"/>
        <v>0</v>
      </c>
      <c r="FP16" s="135">
        <f t="shared" si="68"/>
        <v>0</v>
      </c>
      <c r="FQ16" s="135">
        <f t="shared" si="68"/>
        <v>0</v>
      </c>
      <c r="FR16" s="135">
        <f t="shared" si="68"/>
        <v>0</v>
      </c>
      <c r="FS16" s="135">
        <f t="shared" si="68"/>
        <v>0</v>
      </c>
      <c r="FT16" s="135">
        <f t="shared" si="68"/>
        <v>0</v>
      </c>
      <c r="FU16" s="135">
        <f t="shared" si="68"/>
        <v>0</v>
      </c>
      <c r="FV16" s="135">
        <f t="shared" si="68"/>
        <v>0</v>
      </c>
      <c r="FW16" s="135">
        <f t="shared" si="68"/>
        <v>0</v>
      </c>
      <c r="FX16" s="135">
        <f t="shared" si="68"/>
        <v>0</v>
      </c>
      <c r="FY16" s="135">
        <f t="shared" si="68"/>
        <v>0</v>
      </c>
      <c r="FZ16" s="135">
        <f t="shared" si="68"/>
        <v>0</v>
      </c>
      <c r="GA16" s="135">
        <f t="shared" si="68"/>
        <v>0</v>
      </c>
      <c r="GB16" s="135">
        <f t="shared" si="68"/>
        <v>0</v>
      </c>
      <c r="GC16" s="135">
        <f t="shared" si="68"/>
        <v>0</v>
      </c>
      <c r="GD16" s="135">
        <f t="shared" si="68"/>
        <v>0</v>
      </c>
      <c r="GE16" s="135">
        <f t="shared" si="68"/>
        <v>0</v>
      </c>
      <c r="GF16" s="135">
        <f t="shared" si="68"/>
        <v>0</v>
      </c>
      <c r="GG16" s="135">
        <f t="shared" si="68"/>
        <v>0</v>
      </c>
      <c r="GH16" s="135">
        <f t="shared" si="68"/>
        <v>0</v>
      </c>
      <c r="GI16" s="135">
        <f t="shared" si="68"/>
        <v>0</v>
      </c>
      <c r="GJ16" s="135">
        <f t="shared" si="68"/>
        <v>0</v>
      </c>
      <c r="GK16" s="135">
        <f t="shared" si="68"/>
        <v>0</v>
      </c>
      <c r="GL16" s="135">
        <f t="shared" si="68"/>
        <v>0</v>
      </c>
      <c r="GM16" s="135">
        <f t="shared" si="68"/>
        <v>0</v>
      </c>
      <c r="GN16" s="135">
        <f t="shared" si="68"/>
        <v>0</v>
      </c>
      <c r="GO16" s="135">
        <f t="shared" si="68"/>
        <v>0</v>
      </c>
      <c r="GP16" s="135">
        <f t="shared" si="68"/>
        <v>0</v>
      </c>
      <c r="GQ16" s="135">
        <f t="shared" si="68"/>
        <v>0</v>
      </c>
      <c r="GR16" s="135">
        <f t="shared" si="68"/>
        <v>0</v>
      </c>
      <c r="GS16" s="135">
        <f t="shared" si="68"/>
        <v>0</v>
      </c>
      <c r="GT16" s="135">
        <f t="shared" si="68"/>
        <v>0</v>
      </c>
      <c r="GU16" s="135">
        <f t="shared" si="61"/>
        <v>0</v>
      </c>
      <c r="GV16" s="135">
        <f t="shared" si="61"/>
        <v>0</v>
      </c>
      <c r="GW16" s="135">
        <f t="shared" si="61"/>
        <v>0</v>
      </c>
      <c r="GX16" s="135">
        <f t="shared" si="61"/>
        <v>0</v>
      </c>
      <c r="GY16" s="135">
        <f t="shared" si="61"/>
        <v>0</v>
      </c>
      <c r="GZ16" s="135">
        <f t="shared" si="61"/>
        <v>0</v>
      </c>
      <c r="HA16" s="135">
        <f t="shared" si="61"/>
        <v>0</v>
      </c>
      <c r="HB16" s="135">
        <f t="shared" si="61"/>
        <v>0</v>
      </c>
      <c r="HC16" s="135">
        <f t="shared" si="61"/>
        <v>0</v>
      </c>
      <c r="HD16" s="135">
        <f t="shared" si="61"/>
        <v>0</v>
      </c>
      <c r="HE16" s="135">
        <f t="shared" si="61"/>
        <v>0</v>
      </c>
      <c r="HF16" s="135">
        <f t="shared" si="61"/>
        <v>0</v>
      </c>
      <c r="HG16" s="135">
        <f t="shared" si="61"/>
        <v>0</v>
      </c>
      <c r="HH16" s="135">
        <f t="shared" si="61"/>
        <v>0</v>
      </c>
      <c r="HI16" s="135">
        <f t="shared" si="61"/>
        <v>0</v>
      </c>
      <c r="HJ16" s="135">
        <f t="shared" si="61"/>
        <v>0</v>
      </c>
      <c r="HK16" s="135">
        <f t="shared" si="61"/>
        <v>0</v>
      </c>
      <c r="HL16" s="135">
        <f t="shared" si="61"/>
        <v>0</v>
      </c>
      <c r="HM16" s="135">
        <f t="shared" si="61"/>
        <v>0</v>
      </c>
      <c r="HN16" s="135">
        <f t="shared" si="61"/>
        <v>0</v>
      </c>
      <c r="HO16" s="135">
        <f t="shared" si="61"/>
        <v>0</v>
      </c>
      <c r="HP16" s="135">
        <f t="shared" si="61"/>
        <v>0</v>
      </c>
      <c r="HQ16" s="135">
        <f t="shared" si="61"/>
        <v>0</v>
      </c>
      <c r="HR16" s="135">
        <f t="shared" si="61"/>
        <v>0</v>
      </c>
      <c r="HS16" s="135">
        <f t="shared" si="61"/>
        <v>0</v>
      </c>
      <c r="HT16" s="135">
        <f t="shared" si="61"/>
        <v>0</v>
      </c>
      <c r="HU16" s="135">
        <f t="shared" si="61"/>
        <v>0</v>
      </c>
      <c r="HV16" s="135">
        <f t="shared" si="61"/>
        <v>0</v>
      </c>
      <c r="HW16" s="135">
        <f t="shared" si="61"/>
        <v>0</v>
      </c>
      <c r="HX16" s="135">
        <f t="shared" si="61"/>
        <v>0</v>
      </c>
      <c r="HY16" s="135">
        <f t="shared" si="61"/>
        <v>0</v>
      </c>
      <c r="HZ16" s="135">
        <f t="shared" si="61"/>
        <v>0</v>
      </c>
      <c r="IA16" s="135">
        <f t="shared" si="61"/>
        <v>0</v>
      </c>
      <c r="IB16" s="135">
        <f t="shared" si="61"/>
        <v>0</v>
      </c>
      <c r="IC16" s="135">
        <f t="shared" si="61"/>
        <v>0</v>
      </c>
      <c r="ID16" s="135">
        <f t="shared" si="61"/>
        <v>0</v>
      </c>
      <c r="IE16" s="135">
        <f t="shared" si="61"/>
        <v>0</v>
      </c>
      <c r="IF16" s="135">
        <f t="shared" si="61"/>
        <v>0</v>
      </c>
      <c r="IG16" s="135">
        <f t="shared" si="61"/>
        <v>0</v>
      </c>
      <c r="IH16" s="135">
        <f t="shared" si="61"/>
        <v>0</v>
      </c>
      <c r="II16" s="135">
        <f t="shared" si="61"/>
        <v>0</v>
      </c>
      <c r="IJ16" s="135">
        <f t="shared" si="61"/>
        <v>0</v>
      </c>
      <c r="IK16" s="135">
        <f t="shared" si="61"/>
        <v>0</v>
      </c>
      <c r="IL16" s="135">
        <f t="shared" si="61"/>
        <v>0</v>
      </c>
      <c r="IM16" s="135">
        <f t="shared" si="61"/>
        <v>0</v>
      </c>
      <c r="IN16" s="135">
        <f t="shared" si="61"/>
        <v>0</v>
      </c>
      <c r="IO16" s="135">
        <f t="shared" si="61"/>
        <v>0</v>
      </c>
      <c r="IP16" s="135">
        <f t="shared" si="61"/>
        <v>0</v>
      </c>
      <c r="IQ16" s="135">
        <f t="shared" si="61"/>
        <v>0</v>
      </c>
      <c r="IR16" s="135">
        <f t="shared" si="61"/>
        <v>0</v>
      </c>
      <c r="IS16" s="135">
        <f t="shared" si="61"/>
        <v>0</v>
      </c>
      <c r="IT16" s="135">
        <f t="shared" si="61"/>
        <v>0</v>
      </c>
      <c r="IU16" s="135">
        <f t="shared" si="61"/>
        <v>0</v>
      </c>
      <c r="IV16" s="135">
        <f t="shared" si="61"/>
        <v>0</v>
      </c>
      <c r="IW16" s="135">
        <f t="shared" si="61"/>
        <v>0</v>
      </c>
      <c r="IX16" s="135">
        <f t="shared" si="61"/>
        <v>0</v>
      </c>
      <c r="IY16" s="135">
        <f t="shared" si="61"/>
        <v>0</v>
      </c>
      <c r="IZ16" s="135">
        <f t="shared" si="61"/>
        <v>0</v>
      </c>
      <c r="JA16" s="135">
        <f t="shared" si="61"/>
        <v>0</v>
      </c>
      <c r="JB16" s="135">
        <f t="shared" si="61"/>
        <v>0</v>
      </c>
      <c r="JC16" s="135">
        <f t="shared" si="61"/>
        <v>0</v>
      </c>
      <c r="JD16" s="135">
        <f t="shared" si="61"/>
        <v>0</v>
      </c>
      <c r="JE16" s="135">
        <f t="shared" si="61"/>
        <v>0</v>
      </c>
      <c r="JF16" s="135">
        <f t="shared" si="62"/>
        <v>0</v>
      </c>
      <c r="JG16" s="135">
        <f t="shared" si="62"/>
        <v>0</v>
      </c>
      <c r="JH16" s="135">
        <f t="shared" si="62"/>
        <v>0</v>
      </c>
      <c r="JI16" s="135">
        <f t="shared" si="62"/>
        <v>0</v>
      </c>
      <c r="JJ16" s="135">
        <f t="shared" si="69"/>
        <v>0</v>
      </c>
      <c r="JK16" s="135">
        <f t="shared" si="69"/>
        <v>0</v>
      </c>
      <c r="JL16" s="135">
        <f t="shared" si="69"/>
        <v>0</v>
      </c>
      <c r="JM16" s="135">
        <f t="shared" si="69"/>
        <v>0</v>
      </c>
      <c r="JN16" s="135">
        <f t="shared" si="69"/>
        <v>0</v>
      </c>
      <c r="JO16" s="135">
        <f t="shared" si="69"/>
        <v>0</v>
      </c>
      <c r="JP16" s="135">
        <f t="shared" si="69"/>
        <v>0</v>
      </c>
      <c r="JQ16" s="135">
        <f t="shared" si="69"/>
        <v>0</v>
      </c>
      <c r="JR16" s="135">
        <f t="shared" si="69"/>
        <v>0</v>
      </c>
      <c r="JS16" s="135">
        <f t="shared" si="69"/>
        <v>0</v>
      </c>
      <c r="JT16" s="135">
        <f t="shared" si="69"/>
        <v>0</v>
      </c>
      <c r="JU16" s="135">
        <f t="shared" si="69"/>
        <v>0</v>
      </c>
      <c r="JV16" s="135">
        <f t="shared" si="69"/>
        <v>0</v>
      </c>
      <c r="JW16" s="135">
        <f t="shared" si="69"/>
        <v>0</v>
      </c>
      <c r="JX16" s="135">
        <f t="shared" si="69"/>
        <v>0</v>
      </c>
      <c r="JY16" s="135">
        <f t="shared" si="69"/>
        <v>0</v>
      </c>
      <c r="JZ16" s="135">
        <f t="shared" si="69"/>
        <v>0</v>
      </c>
      <c r="KA16" s="135">
        <f t="shared" si="69"/>
        <v>0</v>
      </c>
      <c r="KB16" s="135">
        <f t="shared" si="69"/>
        <v>0</v>
      </c>
      <c r="KC16" s="135">
        <f t="shared" si="69"/>
        <v>0</v>
      </c>
      <c r="KD16" s="135">
        <f t="shared" si="69"/>
        <v>0</v>
      </c>
      <c r="KE16" s="135">
        <f t="shared" si="69"/>
        <v>0</v>
      </c>
      <c r="KF16" s="135">
        <f t="shared" si="69"/>
        <v>0</v>
      </c>
      <c r="KG16" s="135">
        <f t="shared" si="69"/>
        <v>0</v>
      </c>
      <c r="KH16" s="135">
        <f t="shared" si="69"/>
        <v>0</v>
      </c>
      <c r="KI16" s="135">
        <f t="shared" si="69"/>
        <v>0</v>
      </c>
      <c r="KJ16" s="135">
        <f t="shared" si="69"/>
        <v>0</v>
      </c>
      <c r="KK16" s="135">
        <f t="shared" si="69"/>
        <v>0</v>
      </c>
      <c r="KL16" s="135">
        <f t="shared" si="69"/>
        <v>0</v>
      </c>
      <c r="KM16" s="135">
        <f t="shared" si="69"/>
        <v>0</v>
      </c>
      <c r="KN16" s="135">
        <f t="shared" si="69"/>
        <v>0</v>
      </c>
      <c r="KO16" s="135">
        <f t="shared" si="69"/>
        <v>0</v>
      </c>
      <c r="KP16" s="135">
        <f t="shared" si="69"/>
        <v>0</v>
      </c>
      <c r="KQ16" s="135">
        <f t="shared" si="69"/>
        <v>0</v>
      </c>
      <c r="KR16" s="135">
        <f t="shared" si="69"/>
        <v>0</v>
      </c>
      <c r="KS16" s="135">
        <f t="shared" si="69"/>
        <v>0</v>
      </c>
      <c r="KT16" s="135">
        <f t="shared" si="69"/>
        <v>0</v>
      </c>
      <c r="KU16" s="135">
        <f t="shared" si="69"/>
        <v>0</v>
      </c>
      <c r="KV16" s="135">
        <f t="shared" si="69"/>
        <v>0</v>
      </c>
      <c r="KW16" s="135">
        <f t="shared" si="69"/>
        <v>0</v>
      </c>
      <c r="KX16" s="135">
        <f t="shared" si="69"/>
        <v>0</v>
      </c>
      <c r="KY16" s="135">
        <f t="shared" si="69"/>
        <v>0</v>
      </c>
      <c r="KZ16" s="135">
        <f t="shared" si="69"/>
        <v>0</v>
      </c>
      <c r="LA16" s="135">
        <f t="shared" si="69"/>
        <v>0</v>
      </c>
      <c r="LB16" s="135">
        <f t="shared" si="69"/>
        <v>0</v>
      </c>
      <c r="LC16" s="135">
        <f t="shared" si="69"/>
        <v>0</v>
      </c>
      <c r="LD16" s="135">
        <f t="shared" si="69"/>
        <v>0</v>
      </c>
      <c r="LE16" s="135">
        <f t="shared" si="69"/>
        <v>0</v>
      </c>
      <c r="LF16" s="135">
        <f t="shared" si="69"/>
        <v>0</v>
      </c>
      <c r="LG16" s="135">
        <f t="shared" si="69"/>
        <v>0</v>
      </c>
      <c r="LH16" s="135">
        <f t="shared" si="69"/>
        <v>0</v>
      </c>
      <c r="LI16" s="135">
        <f t="shared" si="69"/>
        <v>0</v>
      </c>
      <c r="LJ16" s="135">
        <f t="shared" si="69"/>
        <v>0</v>
      </c>
      <c r="LK16" s="135">
        <f t="shared" si="69"/>
        <v>0</v>
      </c>
      <c r="LL16" s="135">
        <f t="shared" si="69"/>
        <v>0</v>
      </c>
      <c r="LM16" s="135">
        <f t="shared" si="69"/>
        <v>0</v>
      </c>
      <c r="LN16" s="135">
        <f t="shared" si="69"/>
        <v>0</v>
      </c>
      <c r="LO16" s="135">
        <f t="shared" si="69"/>
        <v>0</v>
      </c>
      <c r="LP16" s="135">
        <f t="shared" si="69"/>
        <v>0</v>
      </c>
      <c r="LQ16" s="135">
        <f t="shared" si="69"/>
        <v>0</v>
      </c>
      <c r="LR16" s="135">
        <f t="shared" si="69"/>
        <v>0</v>
      </c>
      <c r="LS16" s="135">
        <f t="shared" si="69"/>
        <v>0</v>
      </c>
      <c r="LT16" s="135">
        <f t="shared" si="69"/>
        <v>0</v>
      </c>
      <c r="LU16" s="135">
        <f t="shared" si="69"/>
        <v>0</v>
      </c>
      <c r="LV16" s="135">
        <f t="shared" si="70"/>
        <v>0</v>
      </c>
      <c r="LW16" s="135">
        <f t="shared" si="70"/>
        <v>0</v>
      </c>
      <c r="LX16" s="135">
        <f>IFERROR(IF(LX$1=EOMONTH($G16,0),(-$E16+($E16*(DAY($G16)/DAY(EOMONTH(LX$1,0)))*$F16/12*(1-0.269))),IF(LX$1=$G16,($E16+($E16*(DAY($I16)/DAY(EOMONTH(LX$1,0)))*$F16/12*(1-0.269))),IFERROR(IF($I16&lt;LX$1,0,IF(LX$1&gt;$I16,(($F16/12)*$E16)*(DAY($I16)/DAY(EOMONTH(LX$1,0)))*(1-26.9/100)+$E16,IF(AND(LX$1&gt;=$G16,LX$1&lt;$I16),(($F16/12)*$E16)*(1-26.9/100),""))-IF(LX$1=EOMONTH($G16,0),$E16,"0")),0)+IF(LX$1=EOMONTH($I16,0),($E16+($E16*(DAY($I16)/DAY(EOMONTH(LX$1,0)))*$F16/12*(1-0.269))),"0"))),0)</f>
        <v>0</v>
      </c>
      <c r="LY16" s="135">
        <f>IFERROR(IF(LY$1=EOMONTH($G16,0),(-$E16+($E16*(DAY($G16)/DAY(EOMONTH(LY$1,0)))*$F16/12*(1-0.269))),IF(LY$1=$G16,($E16+($E16*(DAY($I16)/DAY(EOMONTH(LY$1,0)))*$F16/12*(1-0.269))),IFERROR(IF($I16&lt;LY$1,0,IF(LY$1&gt;$I16,(($F16/12)*$E16)*(DAY($I16)/DAY(EOMONTH(LY$1,0)))*(1-26.9/100)+$E16,IF(AND(LY$1&gt;=$G16,LY$1&lt;$I16),(($F16/12)*$E16)*(1-26.9/100),""))-IF(LY$1=EOMONTH($G16,0),$E16,"0")),0)+IF(LY$1=EOMONTH($I16,0),($E16+($E16*(DAY($I16)/DAY(EOMONTH(LY$1,0)))*$F16/12*(1-0.269))),"0"))),0)</f>
        <v>0</v>
      </c>
      <c r="LZ16" s="135">
        <f>IFERROR(IF(LZ$1=EOMONTH($G16,0),(-$E16+($E16*(DAY($G16)/DAY(EOMONTH(LZ$1,0)))*$F16/12*(1-0.269))),IF(LZ$1=$G16,($E16+($E16*(DAY($I16)/DAY(EOMONTH(LZ$1,0)))*$F16/12*(1-0.269))),IFERROR(IF($I16&lt;LZ$1,0,IF(LZ$1&gt;$I16,(($F16/12)*$E16)*(DAY($I16)/DAY(EOMONTH(LZ$1,0)))*(1-26.9/100)+$E16,IF(AND(LZ$1&gt;=$G16,LZ$1&lt;$I16),(($F16/12)*$E16)*(1-26.9/100),""))-IF(LZ$1=EOMONTH($G16,0),$E16,"0")),0)+IF(LZ$1=EOMONTH($I16,0),($E16+($E16*(DAY($I16)/DAY(EOMONTH(LZ$1,0)))*$F16/12*(1-0.269))),"0"))),0)</f>
        <v>0</v>
      </c>
      <c r="MA16" s="135">
        <f>IFERROR(IF(MA$1=EOMONTH($G16,0),(-$E16+($E16*(DAY($G16)/DAY(EOMONTH(MA$1,0)))*$F16/12*(1-0.269))),IF(MA$1=$G16,($E16+($E16*(DAY($I16)/DAY(EOMONTH(MA$1,0)))*$F16/12*(1-0.269))),IFERROR(IF($I16&lt;MA$1,0,IF(MA$1&gt;$I16,(($F16/12)*$E16)*(DAY($I16)/DAY(EOMONTH(MA$1,0)))*(1-26.9/100)+$E16,IF(AND(MA$1&gt;=$G16,MA$1&lt;$I16),(($F16/12)*$E16)*(1-26.9/100),""))-IF(MA$1=EOMONTH($G16,0),$E16,"0")),0)+IF(MA$1=EOMONTH($I16,0),($E16+($E16*(DAY($I16)/DAY(EOMONTH(MA$1,0)))*$F16/12*(1-0.269))),"0"))),0)</f>
        <v>0</v>
      </c>
      <c r="MB16" s="135">
        <f>IFERROR(IF(MB$1=EOMONTH($G16,0),(-$E16+($E16*(DAY($G16)/DAY(EOMONTH(MB$1,0)))*$F16/12*(1-0.269))),IF(MB$1=$G16,($E16+($E16*(DAY($I16)/DAY(EOMONTH(MB$1,0)))*$F16/12*(1-0.269))),IFERROR(IF($I16&lt;MB$1,0,IF(MB$1&gt;$I16,(($F16/12)*$E16)*(DAY($I16)/DAY(EOMONTH(MB$1,0)))*(1-26.9/100)+$E16,IF(AND(MB$1&gt;=$G16,MB$1&lt;$I16),(($F16/12)*$E16)*(1-26.9/100),""))-IF(MB$1=EOMONTH($G16,0),$E16,"0")),0)+IF(MB$1=EOMONTH($I16,0),($E16+($E16*(DAY($I16)/DAY(EOMONTH(MB$1,0)))*$F16/12*(1-0.269))),"0"))),0)</f>
        <v>0</v>
      </c>
      <c r="MC16" s="135">
        <f t="shared" si="74"/>
        <v>0</v>
      </c>
      <c r="MD16" s="135">
        <f t="shared" si="74"/>
        <v>0</v>
      </c>
      <c r="ME16" s="135">
        <f t="shared" si="74"/>
        <v>0</v>
      </c>
      <c r="MF16" s="135">
        <f t="shared" si="74"/>
        <v>0</v>
      </c>
      <c r="MG16" s="135">
        <f t="shared" si="74"/>
        <v>0</v>
      </c>
      <c r="MH16" s="135">
        <f t="shared" si="74"/>
        <v>0</v>
      </c>
      <c r="MI16" s="135">
        <f t="shared" si="74"/>
        <v>0</v>
      </c>
      <c r="MJ16" s="135">
        <f t="shared" si="74"/>
        <v>0</v>
      </c>
      <c r="MK16" s="135">
        <f t="shared" si="74"/>
        <v>0</v>
      </c>
      <c r="ML16" s="135">
        <f t="shared" si="74"/>
        <v>0</v>
      </c>
      <c r="MM16" s="135">
        <f t="shared" si="75"/>
        <v>0</v>
      </c>
      <c r="MN16" s="135">
        <f t="shared" si="75"/>
        <v>0</v>
      </c>
      <c r="MO16" s="135">
        <f t="shared" si="75"/>
        <v>0</v>
      </c>
      <c r="MP16" s="135">
        <f t="shared" si="75"/>
        <v>0</v>
      </c>
      <c r="MQ16" s="135">
        <f t="shared" si="75"/>
        <v>0</v>
      </c>
      <c r="MR16" s="135">
        <f t="shared" si="75"/>
        <v>0</v>
      </c>
      <c r="MS16" s="135">
        <f t="shared" si="75"/>
        <v>0</v>
      </c>
      <c r="MT16" s="135">
        <f t="shared" si="75"/>
        <v>0</v>
      </c>
      <c r="MU16" s="135">
        <f t="shared" si="75"/>
        <v>0</v>
      </c>
      <c r="MV16" s="135">
        <f t="shared" si="75"/>
        <v>0</v>
      </c>
      <c r="MW16" s="135">
        <f t="shared" si="76"/>
        <v>0</v>
      </c>
      <c r="MX16" s="135">
        <f t="shared" si="76"/>
        <v>0</v>
      </c>
      <c r="MY16" s="135">
        <f t="shared" si="76"/>
        <v>0</v>
      </c>
      <c r="MZ16" s="135">
        <f t="shared" si="76"/>
        <v>0</v>
      </c>
      <c r="NA16" s="135">
        <f t="shared" si="76"/>
        <v>0</v>
      </c>
      <c r="NB16" s="135">
        <f t="shared" si="76"/>
        <v>0</v>
      </c>
      <c r="NC16" s="135">
        <f t="shared" si="76"/>
        <v>0</v>
      </c>
      <c r="ND16" s="135">
        <f t="shared" si="76"/>
        <v>0</v>
      </c>
      <c r="NE16" s="135">
        <f t="shared" si="76"/>
        <v>0</v>
      </c>
      <c r="NF16" s="135">
        <f t="shared" si="76"/>
        <v>0</v>
      </c>
      <c r="NG16" s="135">
        <f t="shared" si="77"/>
        <v>0</v>
      </c>
      <c r="NH16" s="135">
        <f t="shared" si="77"/>
        <v>0</v>
      </c>
      <c r="NI16" s="135">
        <f t="shared" si="77"/>
        <v>0</v>
      </c>
      <c r="NJ16" s="135">
        <f t="shared" si="77"/>
        <v>0</v>
      </c>
      <c r="NK16" s="135">
        <f t="shared" si="77"/>
        <v>0</v>
      </c>
      <c r="NL16" s="135">
        <f t="shared" si="77"/>
        <v>0</v>
      </c>
      <c r="NM16" s="135">
        <f t="shared" si="77"/>
        <v>0</v>
      </c>
      <c r="NN16" s="135">
        <f t="shared" si="77"/>
        <v>0</v>
      </c>
      <c r="NO16" s="135">
        <f t="shared" si="77"/>
        <v>0</v>
      </c>
      <c r="NP16" s="135">
        <f t="shared" si="77"/>
        <v>0</v>
      </c>
      <c r="NQ16" s="135">
        <f t="shared" si="78"/>
        <v>0</v>
      </c>
      <c r="NR16" s="135">
        <f t="shared" si="78"/>
        <v>0</v>
      </c>
      <c r="NS16" s="135">
        <f t="shared" si="78"/>
        <v>0</v>
      </c>
      <c r="NT16" s="135">
        <f t="shared" si="78"/>
        <v>0</v>
      </c>
      <c r="NU16" s="135">
        <f t="shared" si="78"/>
        <v>0</v>
      </c>
      <c r="NV16" s="135">
        <f t="shared" si="78"/>
        <v>0</v>
      </c>
      <c r="NW16" s="135">
        <f t="shared" si="78"/>
        <v>0</v>
      </c>
      <c r="NX16" s="135">
        <f t="shared" si="78"/>
        <v>0</v>
      </c>
      <c r="NY16" s="135">
        <f t="shared" si="78"/>
        <v>0</v>
      </c>
      <c r="NZ16" s="135">
        <f t="shared" si="78"/>
        <v>0</v>
      </c>
      <c r="OA16" s="135">
        <f t="shared" si="79"/>
        <v>0</v>
      </c>
      <c r="OB16" s="135">
        <f t="shared" si="79"/>
        <v>0</v>
      </c>
      <c r="OC16" s="135">
        <f t="shared" si="79"/>
        <v>0</v>
      </c>
      <c r="OD16" s="135">
        <f t="shared" si="79"/>
        <v>0</v>
      </c>
      <c r="OE16" s="135">
        <f t="shared" si="79"/>
        <v>0</v>
      </c>
      <c r="OF16" s="135">
        <f t="shared" si="79"/>
        <v>0</v>
      </c>
      <c r="OG16" s="135">
        <f t="shared" si="57"/>
        <v>0</v>
      </c>
      <c r="OH16" s="135">
        <f t="shared" si="80"/>
        <v>0</v>
      </c>
      <c r="OI16" s="135">
        <f t="shared" si="80"/>
        <v>0</v>
      </c>
      <c r="OJ16" s="135">
        <f t="shared" si="80"/>
        <v>0</v>
      </c>
      <c r="OK16" s="135">
        <f t="shared" si="80"/>
        <v>0</v>
      </c>
      <c r="OL16" s="135">
        <f t="shared" si="80"/>
        <v>0</v>
      </c>
      <c r="OM16" s="135">
        <f t="shared" si="80"/>
        <v>0</v>
      </c>
      <c r="ON16" s="135">
        <f t="shared" si="80"/>
        <v>0</v>
      </c>
      <c r="OO16" s="135">
        <f t="shared" si="71"/>
        <v>0</v>
      </c>
      <c r="OP16" s="135">
        <f t="shared" si="71"/>
        <v>0</v>
      </c>
      <c r="OQ16" s="135">
        <f t="shared" si="71"/>
        <v>0</v>
      </c>
      <c r="OR16" s="135">
        <f t="shared" si="71"/>
        <v>0</v>
      </c>
      <c r="OS16" s="135">
        <f t="shared" si="71"/>
        <v>0</v>
      </c>
      <c r="OT16" s="135">
        <f t="shared" si="71"/>
        <v>0</v>
      </c>
      <c r="OU16" s="135">
        <f t="shared" si="71"/>
        <v>0</v>
      </c>
      <c r="OV16" s="135">
        <f t="shared" si="71"/>
        <v>0</v>
      </c>
      <c r="OW16" s="135">
        <f t="shared" si="71"/>
        <v>0</v>
      </c>
      <c r="OX16" s="135">
        <f t="shared" si="71"/>
        <v>0</v>
      </c>
      <c r="OY16" s="135">
        <f t="shared" si="71"/>
        <v>0</v>
      </c>
      <c r="OZ16" s="135">
        <f t="shared" si="71"/>
        <v>0</v>
      </c>
      <c r="PA16" s="135">
        <f t="shared" si="71"/>
        <v>0</v>
      </c>
      <c r="PB16" s="135">
        <f t="shared" si="71"/>
        <v>0</v>
      </c>
      <c r="PC16" s="135">
        <f t="shared" si="71"/>
        <v>0</v>
      </c>
      <c r="PD16" s="135">
        <f t="shared" si="71"/>
        <v>0</v>
      </c>
      <c r="PE16" s="135">
        <f t="shared" si="71"/>
        <v>0</v>
      </c>
      <c r="PF16" s="135">
        <f t="shared" si="71"/>
        <v>0</v>
      </c>
      <c r="PG16" s="135">
        <f t="shared" si="71"/>
        <v>0</v>
      </c>
      <c r="PH16" s="135">
        <f t="shared" si="71"/>
        <v>0</v>
      </c>
      <c r="PI16" s="135">
        <f t="shared" si="71"/>
        <v>0</v>
      </c>
      <c r="PJ16" s="135">
        <f t="shared" si="71"/>
        <v>0</v>
      </c>
      <c r="PK16" s="135">
        <f t="shared" si="71"/>
        <v>0</v>
      </c>
      <c r="PL16" s="135">
        <f t="shared" si="71"/>
        <v>0</v>
      </c>
      <c r="PM16" s="135">
        <f t="shared" si="71"/>
        <v>0</v>
      </c>
      <c r="PN16" s="135">
        <f t="shared" si="71"/>
        <v>0</v>
      </c>
      <c r="PO16" s="135">
        <f t="shared" si="71"/>
        <v>0</v>
      </c>
      <c r="PP16" s="135">
        <f t="shared" si="71"/>
        <v>0</v>
      </c>
      <c r="PQ16" s="135">
        <f t="shared" si="71"/>
        <v>0</v>
      </c>
      <c r="PR16" s="135">
        <f t="shared" si="71"/>
        <v>0</v>
      </c>
      <c r="PS16" s="135">
        <f t="shared" si="71"/>
        <v>0</v>
      </c>
      <c r="PT16" s="135">
        <f t="shared" si="71"/>
        <v>0</v>
      </c>
      <c r="PU16" s="135">
        <f t="shared" si="71"/>
        <v>0</v>
      </c>
      <c r="PV16" s="135">
        <f t="shared" si="71"/>
        <v>0</v>
      </c>
      <c r="PW16" s="135">
        <f t="shared" si="71"/>
        <v>0</v>
      </c>
      <c r="PX16" s="135">
        <f t="shared" si="71"/>
        <v>0</v>
      </c>
      <c r="PY16" s="135">
        <f t="shared" si="71"/>
        <v>0</v>
      </c>
      <c r="PZ16" s="135">
        <f t="shared" si="71"/>
        <v>0</v>
      </c>
      <c r="QA16" s="135">
        <f t="shared" si="71"/>
        <v>0</v>
      </c>
      <c r="QB16" s="135">
        <f t="shared" si="71"/>
        <v>0</v>
      </c>
      <c r="QC16" s="135">
        <f t="shared" si="71"/>
        <v>0</v>
      </c>
      <c r="QD16" s="135">
        <f t="shared" si="71"/>
        <v>0</v>
      </c>
      <c r="QE16" s="135">
        <f t="shared" si="71"/>
        <v>0</v>
      </c>
      <c r="QF16" s="135">
        <f t="shared" si="71"/>
        <v>0</v>
      </c>
      <c r="QG16" s="135">
        <f t="shared" si="71"/>
        <v>0</v>
      </c>
      <c r="QH16" s="135">
        <f t="shared" si="71"/>
        <v>0</v>
      </c>
      <c r="QI16" s="135">
        <f t="shared" si="71"/>
        <v>0</v>
      </c>
      <c r="QJ16" s="135">
        <f t="shared" si="71"/>
        <v>0</v>
      </c>
      <c r="QK16" s="135">
        <f t="shared" si="71"/>
        <v>0</v>
      </c>
      <c r="QL16" s="135">
        <f t="shared" si="71"/>
        <v>0</v>
      </c>
      <c r="QM16" s="135">
        <f t="shared" si="71"/>
        <v>0</v>
      </c>
      <c r="QN16" s="135">
        <f t="shared" si="71"/>
        <v>0</v>
      </c>
      <c r="QO16" s="135">
        <f t="shared" si="71"/>
        <v>0</v>
      </c>
      <c r="QP16" s="135">
        <f t="shared" si="71"/>
        <v>0</v>
      </c>
      <c r="QQ16" s="135">
        <f t="shared" si="71"/>
        <v>0</v>
      </c>
      <c r="QR16" s="135">
        <f t="shared" si="71"/>
        <v>0</v>
      </c>
      <c r="QS16" s="135">
        <f t="shared" si="71"/>
        <v>0</v>
      </c>
      <c r="QT16" s="135">
        <f t="shared" si="72"/>
        <v>0</v>
      </c>
      <c r="QU16" s="135">
        <f t="shared" si="72"/>
        <v>0</v>
      </c>
      <c r="QV16" s="135">
        <f t="shared" ref="QV16:TG21" si="85">IFERROR(IF(QV$1=EOMONTH($G16,0),(-$E16+($E16*(DAY($G16)/DAY(EOMONTH(QV$1,0)))*$F16/12*(1-0.269))),IF(QV$1=$G16,($E16+($E16*(DAY($I16)/DAY(EOMONTH(QV$1,0)))*$F16/12*(1-0.269))),IFERROR(IF($I16&lt;QV$1,0,IF(QV$1&gt;$I16,(($F16/12)*$E16)*(DAY($I16)/DAY(EOMONTH(QV$1,0)))*(1-26.9/100)+$E16,IF(AND(QV$1&gt;=$G16,QV$1&lt;$I16),(($F16/12)*$E16)*(1-26.9/100),""))-IF(QV$1=EOMONTH($G16,0),$E16,"0")),0)+IF(QV$1=EOMONTH($I16,0),($E16+($E16*(DAY($I16)/DAY(EOMONTH(QV$1,0)))*$F16/12*(1-0.269))),"0"))),0)</f>
        <v>0</v>
      </c>
      <c r="QW16" s="135">
        <f t="shared" si="85"/>
        <v>0</v>
      </c>
      <c r="QX16" s="135">
        <f t="shared" si="85"/>
        <v>0</v>
      </c>
      <c r="QY16" s="135">
        <f t="shared" si="85"/>
        <v>0</v>
      </c>
      <c r="QZ16" s="135">
        <f t="shared" si="85"/>
        <v>0</v>
      </c>
      <c r="RA16" s="135">
        <f t="shared" si="85"/>
        <v>0</v>
      </c>
      <c r="RB16" s="135">
        <f t="shared" si="85"/>
        <v>0</v>
      </c>
      <c r="RC16" s="135">
        <f t="shared" si="85"/>
        <v>0</v>
      </c>
      <c r="RD16" s="135">
        <f t="shared" si="85"/>
        <v>0</v>
      </c>
      <c r="RE16" s="135">
        <f t="shared" si="85"/>
        <v>0</v>
      </c>
      <c r="RF16" s="135">
        <f t="shared" si="85"/>
        <v>0</v>
      </c>
      <c r="RG16" s="135">
        <f t="shared" si="85"/>
        <v>0</v>
      </c>
      <c r="RH16" s="135">
        <f t="shared" si="85"/>
        <v>0</v>
      </c>
      <c r="RI16" s="135">
        <f t="shared" si="85"/>
        <v>0</v>
      </c>
      <c r="RJ16" s="135">
        <f t="shared" si="85"/>
        <v>0</v>
      </c>
      <c r="RK16" s="135">
        <f t="shared" si="85"/>
        <v>0</v>
      </c>
      <c r="RL16" s="135">
        <f t="shared" si="85"/>
        <v>0</v>
      </c>
      <c r="RM16" s="135">
        <f t="shared" si="85"/>
        <v>0</v>
      </c>
      <c r="RN16" s="135">
        <f t="shared" si="85"/>
        <v>0</v>
      </c>
      <c r="RO16" s="135">
        <f t="shared" si="85"/>
        <v>0</v>
      </c>
      <c r="RP16" s="135">
        <f t="shared" si="85"/>
        <v>0</v>
      </c>
      <c r="RQ16" s="135">
        <f t="shared" si="85"/>
        <v>0</v>
      </c>
      <c r="RR16" s="135">
        <f t="shared" si="85"/>
        <v>0</v>
      </c>
      <c r="RS16" s="135">
        <f t="shared" si="85"/>
        <v>0</v>
      </c>
      <c r="RT16" s="135">
        <f t="shared" si="85"/>
        <v>0</v>
      </c>
      <c r="RU16" s="135">
        <f t="shared" si="85"/>
        <v>0</v>
      </c>
      <c r="RV16" s="135">
        <f t="shared" si="85"/>
        <v>0</v>
      </c>
      <c r="RW16" s="135">
        <f t="shared" si="85"/>
        <v>0</v>
      </c>
      <c r="RX16" s="135">
        <f t="shared" si="85"/>
        <v>0</v>
      </c>
      <c r="RY16" s="135">
        <f t="shared" si="85"/>
        <v>0</v>
      </c>
      <c r="RZ16" s="135">
        <f t="shared" si="85"/>
        <v>0</v>
      </c>
      <c r="SA16" s="135">
        <f t="shared" si="85"/>
        <v>0</v>
      </c>
      <c r="SB16" s="135">
        <f t="shared" si="85"/>
        <v>0</v>
      </c>
      <c r="SC16" s="135">
        <f t="shared" si="85"/>
        <v>0</v>
      </c>
      <c r="SD16" s="135">
        <f t="shared" si="85"/>
        <v>0</v>
      </c>
      <c r="SE16" s="135">
        <f t="shared" si="85"/>
        <v>0</v>
      </c>
      <c r="SF16" s="135">
        <f t="shared" si="85"/>
        <v>0</v>
      </c>
      <c r="SG16" s="135">
        <f t="shared" si="85"/>
        <v>0</v>
      </c>
      <c r="SH16" s="135">
        <f t="shared" si="85"/>
        <v>0</v>
      </c>
      <c r="SI16" s="135">
        <f t="shared" si="85"/>
        <v>0</v>
      </c>
      <c r="SJ16" s="135">
        <f t="shared" si="85"/>
        <v>0</v>
      </c>
      <c r="SK16" s="135">
        <f t="shared" si="85"/>
        <v>0</v>
      </c>
      <c r="SL16" s="135">
        <f t="shared" si="85"/>
        <v>0</v>
      </c>
      <c r="SM16" s="135">
        <f t="shared" si="85"/>
        <v>0</v>
      </c>
      <c r="SN16" s="135">
        <f t="shared" si="85"/>
        <v>0</v>
      </c>
      <c r="SO16" s="135">
        <f t="shared" si="85"/>
        <v>0</v>
      </c>
      <c r="SP16" s="135">
        <f t="shared" si="85"/>
        <v>0</v>
      </c>
      <c r="SQ16" s="135">
        <f t="shared" si="85"/>
        <v>0</v>
      </c>
      <c r="SR16" s="135">
        <f t="shared" si="85"/>
        <v>0</v>
      </c>
      <c r="SS16" s="135">
        <f t="shared" si="85"/>
        <v>0</v>
      </c>
      <c r="ST16" s="135">
        <f t="shared" si="85"/>
        <v>0</v>
      </c>
      <c r="SU16" s="135">
        <f t="shared" si="85"/>
        <v>0</v>
      </c>
      <c r="SV16" s="135">
        <f t="shared" si="85"/>
        <v>0</v>
      </c>
      <c r="SW16" s="135">
        <f t="shared" si="85"/>
        <v>0</v>
      </c>
      <c r="SX16" s="135">
        <f t="shared" si="85"/>
        <v>0</v>
      </c>
      <c r="SY16" s="135">
        <f t="shared" si="85"/>
        <v>0</v>
      </c>
      <c r="SZ16" s="135">
        <f t="shared" si="85"/>
        <v>0</v>
      </c>
      <c r="TA16" s="135">
        <f t="shared" si="85"/>
        <v>0</v>
      </c>
      <c r="TB16" s="135">
        <f t="shared" si="85"/>
        <v>0</v>
      </c>
      <c r="TC16" s="135">
        <f t="shared" si="85"/>
        <v>0</v>
      </c>
      <c r="TD16" s="135">
        <f t="shared" si="85"/>
        <v>0</v>
      </c>
      <c r="TE16" s="135">
        <f t="shared" si="85"/>
        <v>0</v>
      </c>
      <c r="TF16" s="135">
        <f t="shared" si="85"/>
        <v>0</v>
      </c>
      <c r="TG16" s="135">
        <f t="shared" si="85"/>
        <v>0</v>
      </c>
      <c r="TH16" s="135">
        <f t="shared" ref="TH16:TL21" si="86">IFERROR(IF(TH$1=EOMONTH($G16,0),(-$E16+($E16*(DAY($G16)/DAY(EOMONTH(TH$1,0)))*$F16/12*(1-0.269))),IF(TH$1=$G16,($E16+($E16*(DAY($I16)/DAY(EOMONTH(TH$1,0)))*$F16/12*(1-0.269))),IFERROR(IF($I16&lt;TH$1,0,IF(TH$1&gt;$I16,(($F16/12)*$E16)*(DAY($I16)/DAY(EOMONTH(TH$1,0)))*(1-26.9/100)+$E16,IF(AND(TH$1&gt;=$G16,TH$1&lt;$I16),(($F16/12)*$E16)*(1-26.9/100),""))-IF(TH$1=EOMONTH($G16,0),$E16,"0")),0)+IF(TH$1=EOMONTH($I16,0),($E16+($E16*(DAY($I16)/DAY(EOMONTH(TH$1,0)))*$F16/12*(1-0.269))),"0"))),0)</f>
        <v>0</v>
      </c>
      <c r="TI16" s="135">
        <f t="shared" si="86"/>
        <v>0</v>
      </c>
      <c r="TJ16" s="135">
        <f t="shared" si="86"/>
        <v>0</v>
      </c>
      <c r="TK16" s="135">
        <f t="shared" si="86"/>
        <v>0</v>
      </c>
      <c r="TL16" s="135">
        <f t="shared" si="86"/>
        <v>0</v>
      </c>
      <c r="TM16" s="135">
        <f t="shared" si="67"/>
        <v>0</v>
      </c>
      <c r="TN16" s="135">
        <f t="shared" si="67"/>
        <v>0</v>
      </c>
      <c r="TO16" s="135">
        <f t="shared" si="67"/>
        <v>0</v>
      </c>
      <c r="TP16" s="135">
        <f t="shared" si="67"/>
        <v>0</v>
      </c>
      <c r="TQ16" s="135">
        <f t="shared" si="67"/>
        <v>0</v>
      </c>
      <c r="TR16" s="135">
        <f t="shared" si="67"/>
        <v>0</v>
      </c>
      <c r="TS16" s="135">
        <f t="shared" si="67"/>
        <v>0</v>
      </c>
      <c r="TT16" s="135">
        <f t="shared" si="67"/>
        <v>0</v>
      </c>
      <c r="TU16" s="135">
        <f t="shared" si="67"/>
        <v>0</v>
      </c>
      <c r="TV16" s="135">
        <f t="shared" si="67"/>
        <v>0</v>
      </c>
      <c r="TW16" s="135">
        <f t="shared" si="67"/>
        <v>0</v>
      </c>
      <c r="TX16" s="135">
        <f t="shared" si="67"/>
        <v>0</v>
      </c>
      <c r="TY16" s="135">
        <f t="shared" si="67"/>
        <v>0</v>
      </c>
      <c r="TZ16" s="135">
        <f t="shared" si="67"/>
        <v>0</v>
      </c>
      <c r="UA16" s="135">
        <f t="shared" si="67"/>
        <v>0</v>
      </c>
      <c r="UB16" s="135">
        <f t="shared" si="67"/>
        <v>0</v>
      </c>
      <c r="UC16" s="135">
        <f t="shared" si="67"/>
        <v>0</v>
      </c>
      <c r="UD16" s="135">
        <f t="shared" si="67"/>
        <v>0</v>
      </c>
      <c r="UE16" s="135">
        <f t="shared" si="67"/>
        <v>0</v>
      </c>
      <c r="UF16" s="135">
        <f t="shared" si="67"/>
        <v>0</v>
      </c>
      <c r="UG16" s="135">
        <f t="shared" si="67"/>
        <v>0</v>
      </c>
      <c r="UH16" s="135">
        <f t="shared" si="67"/>
        <v>0</v>
      </c>
      <c r="UI16" s="135">
        <f t="shared" si="67"/>
        <v>0</v>
      </c>
      <c r="UJ16" s="135">
        <f t="shared" si="67"/>
        <v>0</v>
      </c>
      <c r="UK16" s="135">
        <f t="shared" si="67"/>
        <v>0</v>
      </c>
    </row>
    <row r="17" spans="2:557">
      <c r="B17" t="str">
        <f>IF(Samenvatting!$F118&lt;&gt;0,Samenvatting!C118,"")</f>
        <v/>
      </c>
      <c r="C17" t="str">
        <f>IF(Samenvatting!$F118&lt;&gt;0,Samenvatting!D118,"")</f>
        <v/>
      </c>
      <c r="D17" t="str">
        <f>IF(Samenvatting!$F118&lt;&gt;0,Samenvatting!E118,"")</f>
        <v/>
      </c>
      <c r="E17" t="str">
        <f>IF(Samenvatting!$F118&lt;&gt;0,Samenvatting!F118,"")</f>
        <v/>
      </c>
      <c r="F17" t="str">
        <f>IF(Samenvatting!$F118&lt;&gt;0,Samenvatting!H118,"")</f>
        <v/>
      </c>
      <c r="G17" s="134" t="str">
        <f>IF(Samenvatting!$F118&lt;&gt;0,Samenvatting!I118,"")</f>
        <v/>
      </c>
      <c r="H17" t="str">
        <f>IF(Samenvatting!$F118&lt;&gt;0,Samenvatting!J118,"")</f>
        <v/>
      </c>
      <c r="I17" s="134" t="str">
        <f>IF(Samenvatting!$F118&lt;&gt;0,Samenvatting!K118,"")</f>
        <v/>
      </c>
      <c r="J17" s="135">
        <f t="shared" si="0"/>
        <v>0</v>
      </c>
      <c r="K17" s="135">
        <f t="shared" si="84"/>
        <v>0</v>
      </c>
      <c r="L17" s="135">
        <f t="shared" si="84"/>
        <v>0</v>
      </c>
      <c r="M17" s="135">
        <f t="shared" si="84"/>
        <v>0</v>
      </c>
      <c r="N17" s="135">
        <f t="shared" si="84"/>
        <v>0</v>
      </c>
      <c r="O17" s="135">
        <f t="shared" si="84"/>
        <v>0</v>
      </c>
      <c r="P17" s="135">
        <f t="shared" si="84"/>
        <v>0</v>
      </c>
      <c r="Q17" s="135">
        <f t="shared" si="84"/>
        <v>0</v>
      </c>
      <c r="R17" s="135">
        <f t="shared" si="84"/>
        <v>0</v>
      </c>
      <c r="S17" s="135">
        <f t="shared" si="84"/>
        <v>0</v>
      </c>
      <c r="T17" s="135">
        <f t="shared" si="84"/>
        <v>0</v>
      </c>
      <c r="U17" s="135">
        <f t="shared" si="84"/>
        <v>0</v>
      </c>
      <c r="V17" s="135">
        <f t="shared" si="84"/>
        <v>0</v>
      </c>
      <c r="W17" s="135">
        <f t="shared" si="84"/>
        <v>0</v>
      </c>
      <c r="X17" s="135">
        <f t="shared" si="84"/>
        <v>0</v>
      </c>
      <c r="Y17" s="135">
        <f t="shared" si="84"/>
        <v>0</v>
      </c>
      <c r="Z17" s="135">
        <f t="shared" si="84"/>
        <v>0</v>
      </c>
      <c r="AA17" s="135">
        <f t="shared" si="84"/>
        <v>0</v>
      </c>
      <c r="AB17" s="135">
        <f t="shared" si="84"/>
        <v>0</v>
      </c>
      <c r="AC17" s="135">
        <f t="shared" si="84"/>
        <v>0</v>
      </c>
      <c r="AD17" s="135">
        <f t="shared" si="84"/>
        <v>0</v>
      </c>
      <c r="AE17" s="135">
        <f t="shared" si="84"/>
        <v>0</v>
      </c>
      <c r="AF17" s="135">
        <f t="shared" si="84"/>
        <v>0</v>
      </c>
      <c r="AG17" s="135">
        <f t="shared" si="84"/>
        <v>0</v>
      </c>
      <c r="AH17" s="135">
        <f t="shared" si="84"/>
        <v>0</v>
      </c>
      <c r="AI17" s="135">
        <f t="shared" si="84"/>
        <v>0</v>
      </c>
      <c r="AJ17" s="135">
        <f t="shared" si="84"/>
        <v>0</v>
      </c>
      <c r="AK17" s="135">
        <f t="shared" si="84"/>
        <v>0</v>
      </c>
      <c r="AL17" s="135">
        <f t="shared" si="84"/>
        <v>0</v>
      </c>
      <c r="AM17" s="135">
        <f t="shared" si="84"/>
        <v>0</v>
      </c>
      <c r="AN17" s="135">
        <f t="shared" si="84"/>
        <v>0</v>
      </c>
      <c r="AO17" s="135">
        <f t="shared" si="84"/>
        <v>0</v>
      </c>
      <c r="AP17" s="135">
        <f t="shared" si="84"/>
        <v>0</v>
      </c>
      <c r="AQ17" s="135">
        <f t="shared" si="84"/>
        <v>0</v>
      </c>
      <c r="AR17" s="135">
        <f t="shared" si="84"/>
        <v>0</v>
      </c>
      <c r="AS17" s="135">
        <f t="shared" si="84"/>
        <v>0</v>
      </c>
      <c r="AT17" s="135">
        <f t="shared" si="84"/>
        <v>0</v>
      </c>
      <c r="AU17" s="135">
        <f t="shared" si="84"/>
        <v>0</v>
      </c>
      <c r="AV17" s="135">
        <f t="shared" si="84"/>
        <v>0</v>
      </c>
      <c r="AW17" s="135">
        <f t="shared" si="84"/>
        <v>0</v>
      </c>
      <c r="AX17" s="135">
        <f t="shared" si="84"/>
        <v>0</v>
      </c>
      <c r="AY17" s="135">
        <f t="shared" si="84"/>
        <v>0</v>
      </c>
      <c r="AZ17" s="135">
        <f t="shared" si="84"/>
        <v>0</v>
      </c>
      <c r="BA17" s="135">
        <f t="shared" si="84"/>
        <v>0</v>
      </c>
      <c r="BB17" s="135">
        <f t="shared" si="84"/>
        <v>0</v>
      </c>
      <c r="BC17" s="135">
        <f t="shared" si="84"/>
        <v>0</v>
      </c>
      <c r="BD17" s="135">
        <f t="shared" si="84"/>
        <v>0</v>
      </c>
      <c r="BE17" s="135">
        <f t="shared" si="84"/>
        <v>0</v>
      </c>
      <c r="BF17" s="135">
        <f t="shared" si="84"/>
        <v>0</v>
      </c>
      <c r="BG17" s="135">
        <f t="shared" si="84"/>
        <v>0</v>
      </c>
      <c r="BH17" s="135">
        <f t="shared" si="84"/>
        <v>0</v>
      </c>
      <c r="BI17" s="135">
        <f t="shared" si="84"/>
        <v>0</v>
      </c>
      <c r="BJ17" s="135">
        <f t="shared" si="84"/>
        <v>0</v>
      </c>
      <c r="BK17" s="135">
        <f t="shared" si="84"/>
        <v>0</v>
      </c>
      <c r="BL17" s="135">
        <f t="shared" si="84"/>
        <v>0</v>
      </c>
      <c r="BM17" s="135">
        <f t="shared" si="84"/>
        <v>0</v>
      </c>
      <c r="BN17" s="135">
        <f t="shared" si="84"/>
        <v>0</v>
      </c>
      <c r="BO17" s="135">
        <f t="shared" si="84"/>
        <v>0</v>
      </c>
      <c r="BP17" s="135">
        <f t="shared" si="84"/>
        <v>0</v>
      </c>
      <c r="BQ17" s="135">
        <f t="shared" si="84"/>
        <v>0</v>
      </c>
      <c r="BR17" s="135">
        <f t="shared" si="84"/>
        <v>0</v>
      </c>
      <c r="BS17" s="135">
        <f t="shared" si="84"/>
        <v>0</v>
      </c>
      <c r="BT17" s="135">
        <f t="shared" si="84"/>
        <v>0</v>
      </c>
      <c r="BU17" s="135">
        <f t="shared" si="84"/>
        <v>0</v>
      </c>
      <c r="BV17" s="135">
        <f t="shared" si="84"/>
        <v>0</v>
      </c>
      <c r="BW17" s="135">
        <f t="shared" si="73"/>
        <v>0</v>
      </c>
      <c r="BX17" s="135">
        <f t="shared" si="73"/>
        <v>0</v>
      </c>
      <c r="BY17" s="135">
        <f t="shared" si="73"/>
        <v>0</v>
      </c>
      <c r="BZ17" s="135">
        <f t="shared" si="73"/>
        <v>0</v>
      </c>
      <c r="CA17" s="135">
        <f t="shared" si="73"/>
        <v>0</v>
      </c>
      <c r="CB17" s="135">
        <f t="shared" si="73"/>
        <v>0</v>
      </c>
      <c r="CC17" s="135">
        <f t="shared" si="73"/>
        <v>0</v>
      </c>
      <c r="CD17" s="135">
        <f t="shared" si="73"/>
        <v>0</v>
      </c>
      <c r="CE17" s="135">
        <f t="shared" si="73"/>
        <v>0</v>
      </c>
      <c r="CF17" s="135">
        <f t="shared" si="73"/>
        <v>0</v>
      </c>
      <c r="CG17" s="135">
        <f t="shared" si="73"/>
        <v>0</v>
      </c>
      <c r="CH17" s="135">
        <f t="shared" si="73"/>
        <v>0</v>
      </c>
      <c r="CI17" s="135">
        <f t="shared" si="73"/>
        <v>0</v>
      </c>
      <c r="CJ17" s="135">
        <f t="shared" si="73"/>
        <v>0</v>
      </c>
      <c r="CK17" s="135">
        <f t="shared" si="73"/>
        <v>0</v>
      </c>
      <c r="CL17" s="135">
        <f t="shared" si="73"/>
        <v>0</v>
      </c>
      <c r="CM17" s="135">
        <f t="shared" si="73"/>
        <v>0</v>
      </c>
      <c r="CN17" s="135">
        <f t="shared" si="73"/>
        <v>0</v>
      </c>
      <c r="CO17" s="135">
        <f t="shared" si="73"/>
        <v>0</v>
      </c>
      <c r="CP17" s="135">
        <f t="shared" si="73"/>
        <v>0</v>
      </c>
      <c r="CQ17" s="135">
        <f t="shared" si="73"/>
        <v>0</v>
      </c>
      <c r="CR17" s="135">
        <f t="shared" si="73"/>
        <v>0</v>
      </c>
      <c r="CS17" s="135">
        <f t="shared" si="73"/>
        <v>0</v>
      </c>
      <c r="CT17" s="135">
        <f t="shared" si="73"/>
        <v>0</v>
      </c>
      <c r="CU17" s="135">
        <f t="shared" si="73"/>
        <v>0</v>
      </c>
      <c r="CV17" s="135">
        <f t="shared" si="73"/>
        <v>0</v>
      </c>
      <c r="CW17" s="135">
        <f t="shared" si="73"/>
        <v>0</v>
      </c>
      <c r="CX17" s="135">
        <f t="shared" si="73"/>
        <v>0</v>
      </c>
      <c r="CY17" s="135">
        <f t="shared" si="73"/>
        <v>0</v>
      </c>
      <c r="CZ17" s="135">
        <f t="shared" si="73"/>
        <v>0</v>
      </c>
      <c r="DA17" s="135">
        <f t="shared" si="73"/>
        <v>0</v>
      </c>
      <c r="DB17" s="135">
        <f t="shared" si="73"/>
        <v>0</v>
      </c>
      <c r="DC17" s="135">
        <f t="shared" si="73"/>
        <v>0</v>
      </c>
      <c r="DD17" s="135">
        <f t="shared" si="73"/>
        <v>0</v>
      </c>
      <c r="DE17" s="135">
        <f t="shared" si="73"/>
        <v>0</v>
      </c>
      <c r="DF17" s="135">
        <f t="shared" si="73"/>
        <v>0</v>
      </c>
      <c r="DG17" s="135">
        <f t="shared" si="73"/>
        <v>0</v>
      </c>
      <c r="DH17" s="135">
        <f t="shared" si="73"/>
        <v>0</v>
      </c>
      <c r="DI17" s="135">
        <f t="shared" si="73"/>
        <v>0</v>
      </c>
      <c r="DJ17" s="135">
        <f t="shared" si="73"/>
        <v>0</v>
      </c>
      <c r="DK17" s="135">
        <f t="shared" si="73"/>
        <v>0</v>
      </c>
      <c r="DL17" s="135">
        <f t="shared" si="73"/>
        <v>0</v>
      </c>
      <c r="DM17" s="135">
        <f t="shared" si="73"/>
        <v>0</v>
      </c>
      <c r="DN17" s="135">
        <f t="shared" si="73"/>
        <v>0</v>
      </c>
      <c r="DO17" s="135">
        <f t="shared" si="73"/>
        <v>0</v>
      </c>
      <c r="DP17" s="135">
        <f t="shared" si="73"/>
        <v>0</v>
      </c>
      <c r="DQ17" s="135">
        <f t="shared" si="73"/>
        <v>0</v>
      </c>
      <c r="DR17" s="135">
        <f t="shared" si="73"/>
        <v>0</v>
      </c>
      <c r="DS17" s="135">
        <f t="shared" si="73"/>
        <v>0</v>
      </c>
      <c r="DT17" s="135">
        <f t="shared" si="73"/>
        <v>0</v>
      </c>
      <c r="DU17" s="135">
        <f t="shared" si="73"/>
        <v>0</v>
      </c>
      <c r="DV17" s="135">
        <f t="shared" si="73"/>
        <v>0</v>
      </c>
      <c r="DW17" s="135">
        <f t="shared" si="73"/>
        <v>0</v>
      </c>
      <c r="DX17" s="135">
        <f t="shared" si="73"/>
        <v>0</v>
      </c>
      <c r="DY17" s="135">
        <f t="shared" si="73"/>
        <v>0</v>
      </c>
      <c r="DZ17" s="135">
        <f t="shared" si="73"/>
        <v>0</v>
      </c>
      <c r="EA17" s="135">
        <f t="shared" si="73"/>
        <v>0</v>
      </c>
      <c r="EB17" s="135">
        <f t="shared" si="73"/>
        <v>0</v>
      </c>
      <c r="EC17" s="135">
        <f t="shared" si="73"/>
        <v>0</v>
      </c>
      <c r="ED17" s="135">
        <f t="shared" si="73"/>
        <v>0</v>
      </c>
      <c r="EE17" s="135">
        <f t="shared" si="73"/>
        <v>0</v>
      </c>
      <c r="EF17" s="135">
        <f t="shared" si="73"/>
        <v>0</v>
      </c>
      <c r="EG17" s="135">
        <f t="shared" si="73"/>
        <v>0</v>
      </c>
      <c r="EH17" s="135">
        <f t="shared" si="37"/>
        <v>0</v>
      </c>
      <c r="EI17" s="135">
        <f t="shared" si="68"/>
        <v>0</v>
      </c>
      <c r="EJ17" s="135">
        <f t="shared" si="68"/>
        <v>0</v>
      </c>
      <c r="EK17" s="135">
        <f t="shared" si="68"/>
        <v>0</v>
      </c>
      <c r="EL17" s="135">
        <f t="shared" si="68"/>
        <v>0</v>
      </c>
      <c r="EM17" s="135">
        <f t="shared" si="68"/>
        <v>0</v>
      </c>
      <c r="EN17" s="135">
        <f t="shared" si="68"/>
        <v>0</v>
      </c>
      <c r="EO17" s="135">
        <f t="shared" si="68"/>
        <v>0</v>
      </c>
      <c r="EP17" s="135">
        <f t="shared" si="68"/>
        <v>0</v>
      </c>
      <c r="EQ17" s="135">
        <f t="shared" si="68"/>
        <v>0</v>
      </c>
      <c r="ER17" s="135">
        <f t="shared" si="68"/>
        <v>0</v>
      </c>
      <c r="ES17" s="135">
        <f t="shared" si="68"/>
        <v>0</v>
      </c>
      <c r="ET17" s="135">
        <f t="shared" si="68"/>
        <v>0</v>
      </c>
      <c r="EU17" s="135">
        <f t="shared" si="68"/>
        <v>0</v>
      </c>
      <c r="EV17" s="135">
        <f t="shared" si="68"/>
        <v>0</v>
      </c>
      <c r="EW17" s="135">
        <f t="shared" si="68"/>
        <v>0</v>
      </c>
      <c r="EX17" s="135">
        <f t="shared" si="68"/>
        <v>0</v>
      </c>
      <c r="EY17" s="135">
        <f t="shared" si="68"/>
        <v>0</v>
      </c>
      <c r="EZ17" s="135">
        <f t="shared" si="68"/>
        <v>0</v>
      </c>
      <c r="FA17" s="135">
        <f t="shared" si="68"/>
        <v>0</v>
      </c>
      <c r="FB17" s="135">
        <f t="shared" si="68"/>
        <v>0</v>
      </c>
      <c r="FC17" s="135">
        <f t="shared" si="68"/>
        <v>0</v>
      </c>
      <c r="FD17" s="135">
        <f t="shared" si="68"/>
        <v>0</v>
      </c>
      <c r="FE17" s="135">
        <f t="shared" si="68"/>
        <v>0</v>
      </c>
      <c r="FF17" s="135">
        <f t="shared" si="68"/>
        <v>0</v>
      </c>
      <c r="FG17" s="135">
        <f t="shared" si="68"/>
        <v>0</v>
      </c>
      <c r="FH17" s="135">
        <f t="shared" si="68"/>
        <v>0</v>
      </c>
      <c r="FI17" s="135">
        <f t="shared" si="68"/>
        <v>0</v>
      </c>
      <c r="FJ17" s="135">
        <f t="shared" si="68"/>
        <v>0</v>
      </c>
      <c r="FK17" s="135">
        <f t="shared" si="68"/>
        <v>0</v>
      </c>
      <c r="FL17" s="135">
        <f t="shared" si="68"/>
        <v>0</v>
      </c>
      <c r="FM17" s="135">
        <f t="shared" si="68"/>
        <v>0</v>
      </c>
      <c r="FN17" s="135">
        <f t="shared" si="68"/>
        <v>0</v>
      </c>
      <c r="FO17" s="135">
        <f t="shared" si="68"/>
        <v>0</v>
      </c>
      <c r="FP17" s="135">
        <f t="shared" si="68"/>
        <v>0</v>
      </c>
      <c r="FQ17" s="135">
        <f t="shared" si="68"/>
        <v>0</v>
      </c>
      <c r="FR17" s="135">
        <f t="shared" si="68"/>
        <v>0</v>
      </c>
      <c r="FS17" s="135">
        <f t="shared" si="68"/>
        <v>0</v>
      </c>
      <c r="FT17" s="135">
        <f t="shared" si="68"/>
        <v>0</v>
      </c>
      <c r="FU17" s="135">
        <f t="shared" si="68"/>
        <v>0</v>
      </c>
      <c r="FV17" s="135">
        <f t="shared" si="68"/>
        <v>0</v>
      </c>
      <c r="FW17" s="135">
        <f t="shared" si="68"/>
        <v>0</v>
      </c>
      <c r="FX17" s="135">
        <f t="shared" si="68"/>
        <v>0</v>
      </c>
      <c r="FY17" s="135">
        <f t="shared" si="68"/>
        <v>0</v>
      </c>
      <c r="FZ17" s="135">
        <f t="shared" si="68"/>
        <v>0</v>
      </c>
      <c r="GA17" s="135">
        <f t="shared" si="68"/>
        <v>0</v>
      </c>
      <c r="GB17" s="135">
        <f t="shared" si="68"/>
        <v>0</v>
      </c>
      <c r="GC17" s="135">
        <f t="shared" si="68"/>
        <v>0</v>
      </c>
      <c r="GD17" s="135">
        <f t="shared" si="68"/>
        <v>0</v>
      </c>
      <c r="GE17" s="135">
        <f t="shared" si="68"/>
        <v>0</v>
      </c>
      <c r="GF17" s="135">
        <f t="shared" si="68"/>
        <v>0</v>
      </c>
      <c r="GG17" s="135">
        <f t="shared" si="68"/>
        <v>0</v>
      </c>
      <c r="GH17" s="135">
        <f t="shared" si="68"/>
        <v>0</v>
      </c>
      <c r="GI17" s="135">
        <f t="shared" si="68"/>
        <v>0</v>
      </c>
      <c r="GJ17" s="135">
        <f t="shared" si="68"/>
        <v>0</v>
      </c>
      <c r="GK17" s="135">
        <f t="shared" si="68"/>
        <v>0</v>
      </c>
      <c r="GL17" s="135">
        <f t="shared" si="68"/>
        <v>0</v>
      </c>
      <c r="GM17" s="135">
        <f t="shared" si="68"/>
        <v>0</v>
      </c>
      <c r="GN17" s="135">
        <f t="shared" si="68"/>
        <v>0</v>
      </c>
      <c r="GO17" s="135">
        <f t="shared" si="68"/>
        <v>0</v>
      </c>
      <c r="GP17" s="135">
        <f t="shared" si="68"/>
        <v>0</v>
      </c>
      <c r="GQ17" s="135">
        <f t="shared" si="68"/>
        <v>0</v>
      </c>
      <c r="GR17" s="135">
        <f t="shared" si="68"/>
        <v>0</v>
      </c>
      <c r="GS17" s="135">
        <f t="shared" si="68"/>
        <v>0</v>
      </c>
      <c r="GT17" s="135">
        <f t="shared" ref="GT17:JE20" si="87">IFERROR(IF(GT$1=EOMONTH($G17,0),(-$E17+($E17*(DAY($G17)/DAY(EOMONTH(GT$1,0)))*$F17/12*(1-0.269))),IF(GT$1=$G17,($E17+($E17*(DAY($I17)/DAY(EOMONTH(GT$1,0)))*$F17/12*(1-0.269))),IFERROR(IF($I17&lt;GT$1,0,IF(GT$1&gt;$I17,(($F17/12)*$E17)*(DAY($I17)/DAY(EOMONTH(GT$1,0)))*(1-26.9/100)+$E17,IF(AND(GT$1&gt;=$G17,GT$1&lt;$I17),(($F17/12)*$E17)*(1-26.9/100),""))-IF(GT$1=EOMONTH($G17,0),$E17,"0")),0)+IF(GT$1=EOMONTH($I17,0),($E17+($E17*(DAY($I17)/DAY(EOMONTH(GT$1,0)))*$F17/12*(1-0.269))),"0"))),0)</f>
        <v>0</v>
      </c>
      <c r="GU17" s="135">
        <f t="shared" si="87"/>
        <v>0</v>
      </c>
      <c r="GV17" s="135">
        <f t="shared" si="87"/>
        <v>0</v>
      </c>
      <c r="GW17" s="135">
        <f t="shared" si="87"/>
        <v>0</v>
      </c>
      <c r="GX17" s="135">
        <f t="shared" si="87"/>
        <v>0</v>
      </c>
      <c r="GY17" s="135">
        <f t="shared" si="87"/>
        <v>0</v>
      </c>
      <c r="GZ17" s="135">
        <f t="shared" si="87"/>
        <v>0</v>
      </c>
      <c r="HA17" s="135">
        <f t="shared" si="87"/>
        <v>0</v>
      </c>
      <c r="HB17" s="135">
        <f t="shared" si="87"/>
        <v>0</v>
      </c>
      <c r="HC17" s="135">
        <f t="shared" si="87"/>
        <v>0</v>
      </c>
      <c r="HD17" s="135">
        <f t="shared" si="87"/>
        <v>0</v>
      </c>
      <c r="HE17" s="135">
        <f t="shared" si="87"/>
        <v>0</v>
      </c>
      <c r="HF17" s="135">
        <f t="shared" si="87"/>
        <v>0</v>
      </c>
      <c r="HG17" s="135">
        <f t="shared" si="87"/>
        <v>0</v>
      </c>
      <c r="HH17" s="135">
        <f t="shared" si="87"/>
        <v>0</v>
      </c>
      <c r="HI17" s="135">
        <f t="shared" si="87"/>
        <v>0</v>
      </c>
      <c r="HJ17" s="135">
        <f t="shared" si="87"/>
        <v>0</v>
      </c>
      <c r="HK17" s="135">
        <f t="shared" si="87"/>
        <v>0</v>
      </c>
      <c r="HL17" s="135">
        <f t="shared" si="87"/>
        <v>0</v>
      </c>
      <c r="HM17" s="135">
        <f t="shared" si="87"/>
        <v>0</v>
      </c>
      <c r="HN17" s="135">
        <f t="shared" si="87"/>
        <v>0</v>
      </c>
      <c r="HO17" s="135">
        <f t="shared" si="87"/>
        <v>0</v>
      </c>
      <c r="HP17" s="135">
        <f t="shared" si="87"/>
        <v>0</v>
      </c>
      <c r="HQ17" s="135">
        <f t="shared" si="87"/>
        <v>0</v>
      </c>
      <c r="HR17" s="135">
        <f t="shared" si="87"/>
        <v>0</v>
      </c>
      <c r="HS17" s="135">
        <f t="shared" si="87"/>
        <v>0</v>
      </c>
      <c r="HT17" s="135">
        <f t="shared" si="87"/>
        <v>0</v>
      </c>
      <c r="HU17" s="135">
        <f t="shared" si="87"/>
        <v>0</v>
      </c>
      <c r="HV17" s="135">
        <f t="shared" si="87"/>
        <v>0</v>
      </c>
      <c r="HW17" s="135">
        <f t="shared" si="87"/>
        <v>0</v>
      </c>
      <c r="HX17" s="135">
        <f t="shared" si="87"/>
        <v>0</v>
      </c>
      <c r="HY17" s="135">
        <f t="shared" si="87"/>
        <v>0</v>
      </c>
      <c r="HZ17" s="135">
        <f t="shared" si="87"/>
        <v>0</v>
      </c>
      <c r="IA17" s="135">
        <f t="shared" si="87"/>
        <v>0</v>
      </c>
      <c r="IB17" s="135">
        <f t="shared" si="87"/>
        <v>0</v>
      </c>
      <c r="IC17" s="135">
        <f t="shared" si="87"/>
        <v>0</v>
      </c>
      <c r="ID17" s="135">
        <f t="shared" si="87"/>
        <v>0</v>
      </c>
      <c r="IE17" s="135">
        <f t="shared" si="87"/>
        <v>0</v>
      </c>
      <c r="IF17" s="135">
        <f t="shared" si="87"/>
        <v>0</v>
      </c>
      <c r="IG17" s="135">
        <f t="shared" si="87"/>
        <v>0</v>
      </c>
      <c r="IH17" s="135">
        <f t="shared" si="87"/>
        <v>0</v>
      </c>
      <c r="II17" s="135">
        <f t="shared" si="87"/>
        <v>0</v>
      </c>
      <c r="IJ17" s="135">
        <f t="shared" si="87"/>
        <v>0</v>
      </c>
      <c r="IK17" s="135">
        <f t="shared" si="87"/>
        <v>0</v>
      </c>
      <c r="IL17" s="135">
        <f t="shared" si="87"/>
        <v>0</v>
      </c>
      <c r="IM17" s="135">
        <f t="shared" si="87"/>
        <v>0</v>
      </c>
      <c r="IN17" s="135">
        <f t="shared" si="87"/>
        <v>0</v>
      </c>
      <c r="IO17" s="135">
        <f t="shared" si="87"/>
        <v>0</v>
      </c>
      <c r="IP17" s="135">
        <f t="shared" si="87"/>
        <v>0</v>
      </c>
      <c r="IQ17" s="135">
        <f t="shared" si="87"/>
        <v>0</v>
      </c>
      <c r="IR17" s="135">
        <f t="shared" si="87"/>
        <v>0</v>
      </c>
      <c r="IS17" s="135">
        <f t="shared" si="87"/>
        <v>0</v>
      </c>
      <c r="IT17" s="135">
        <f t="shared" si="87"/>
        <v>0</v>
      </c>
      <c r="IU17" s="135">
        <f t="shared" si="87"/>
        <v>0</v>
      </c>
      <c r="IV17" s="135">
        <f t="shared" si="87"/>
        <v>0</v>
      </c>
      <c r="IW17" s="135">
        <f t="shared" si="87"/>
        <v>0</v>
      </c>
      <c r="IX17" s="135">
        <f t="shared" si="87"/>
        <v>0</v>
      </c>
      <c r="IY17" s="135">
        <f t="shared" si="87"/>
        <v>0</v>
      </c>
      <c r="IZ17" s="135">
        <f t="shared" si="87"/>
        <v>0</v>
      </c>
      <c r="JA17" s="135">
        <f t="shared" si="87"/>
        <v>0</v>
      </c>
      <c r="JB17" s="135">
        <f t="shared" si="87"/>
        <v>0</v>
      </c>
      <c r="JC17" s="135">
        <f t="shared" si="87"/>
        <v>0</v>
      </c>
      <c r="JD17" s="135">
        <f t="shared" si="87"/>
        <v>0</v>
      </c>
      <c r="JE17" s="135">
        <f t="shared" si="87"/>
        <v>0</v>
      </c>
      <c r="JF17" s="135">
        <f t="shared" si="62"/>
        <v>0</v>
      </c>
      <c r="JG17" s="135">
        <f t="shared" si="62"/>
        <v>0</v>
      </c>
      <c r="JH17" s="135">
        <f t="shared" si="62"/>
        <v>0</v>
      </c>
      <c r="JI17" s="135">
        <f t="shared" si="62"/>
        <v>0</v>
      </c>
      <c r="JJ17" s="135">
        <f t="shared" si="69"/>
        <v>0</v>
      </c>
      <c r="JK17" s="135">
        <f t="shared" si="69"/>
        <v>0</v>
      </c>
      <c r="JL17" s="135">
        <f t="shared" si="69"/>
        <v>0</v>
      </c>
      <c r="JM17" s="135">
        <f t="shared" si="69"/>
        <v>0</v>
      </c>
      <c r="JN17" s="135">
        <f t="shared" si="69"/>
        <v>0</v>
      </c>
      <c r="JO17" s="135">
        <f t="shared" si="69"/>
        <v>0</v>
      </c>
      <c r="JP17" s="135">
        <f t="shared" si="69"/>
        <v>0</v>
      </c>
      <c r="JQ17" s="135">
        <f t="shared" si="69"/>
        <v>0</v>
      </c>
      <c r="JR17" s="135">
        <f t="shared" si="69"/>
        <v>0</v>
      </c>
      <c r="JS17" s="135">
        <f t="shared" si="69"/>
        <v>0</v>
      </c>
      <c r="JT17" s="135">
        <f t="shared" si="69"/>
        <v>0</v>
      </c>
      <c r="JU17" s="135">
        <f t="shared" si="69"/>
        <v>0</v>
      </c>
      <c r="JV17" s="135">
        <f t="shared" si="69"/>
        <v>0</v>
      </c>
      <c r="JW17" s="135">
        <f t="shared" si="69"/>
        <v>0</v>
      </c>
      <c r="JX17" s="135">
        <f t="shared" si="69"/>
        <v>0</v>
      </c>
      <c r="JY17" s="135">
        <f t="shared" si="69"/>
        <v>0</v>
      </c>
      <c r="JZ17" s="135">
        <f t="shared" si="69"/>
        <v>0</v>
      </c>
      <c r="KA17" s="135">
        <f t="shared" si="69"/>
        <v>0</v>
      </c>
      <c r="KB17" s="135">
        <f t="shared" si="69"/>
        <v>0</v>
      </c>
      <c r="KC17" s="135">
        <f t="shared" si="69"/>
        <v>0</v>
      </c>
      <c r="KD17" s="135">
        <f t="shared" si="69"/>
        <v>0</v>
      </c>
      <c r="KE17" s="135">
        <f t="shared" si="69"/>
        <v>0</v>
      </c>
      <c r="KF17" s="135">
        <f t="shared" si="69"/>
        <v>0</v>
      </c>
      <c r="KG17" s="135">
        <f t="shared" si="69"/>
        <v>0</v>
      </c>
      <c r="KH17" s="135">
        <f t="shared" si="69"/>
        <v>0</v>
      </c>
      <c r="KI17" s="135">
        <f t="shared" si="69"/>
        <v>0</v>
      </c>
      <c r="KJ17" s="135">
        <f t="shared" si="69"/>
        <v>0</v>
      </c>
      <c r="KK17" s="135">
        <f t="shared" si="69"/>
        <v>0</v>
      </c>
      <c r="KL17" s="135">
        <f t="shared" si="69"/>
        <v>0</v>
      </c>
      <c r="KM17" s="135">
        <f t="shared" si="69"/>
        <v>0</v>
      </c>
      <c r="KN17" s="135">
        <f t="shared" si="69"/>
        <v>0</v>
      </c>
      <c r="KO17" s="135">
        <f t="shared" si="69"/>
        <v>0</v>
      </c>
      <c r="KP17" s="135">
        <f t="shared" si="69"/>
        <v>0</v>
      </c>
      <c r="KQ17" s="135">
        <f t="shared" si="69"/>
        <v>0</v>
      </c>
      <c r="KR17" s="135">
        <f t="shared" si="69"/>
        <v>0</v>
      </c>
      <c r="KS17" s="135">
        <f t="shared" si="69"/>
        <v>0</v>
      </c>
      <c r="KT17" s="135">
        <f t="shared" si="69"/>
        <v>0</v>
      </c>
      <c r="KU17" s="135">
        <f t="shared" si="69"/>
        <v>0</v>
      </c>
      <c r="KV17" s="135">
        <f t="shared" si="69"/>
        <v>0</v>
      </c>
      <c r="KW17" s="135">
        <f t="shared" si="69"/>
        <v>0</v>
      </c>
      <c r="KX17" s="135">
        <f t="shared" si="69"/>
        <v>0</v>
      </c>
      <c r="KY17" s="135">
        <f t="shared" si="69"/>
        <v>0</v>
      </c>
      <c r="KZ17" s="135">
        <f t="shared" si="69"/>
        <v>0</v>
      </c>
      <c r="LA17" s="135">
        <f t="shared" si="69"/>
        <v>0</v>
      </c>
      <c r="LB17" s="135">
        <f t="shared" si="69"/>
        <v>0</v>
      </c>
      <c r="LC17" s="135">
        <f t="shared" si="69"/>
        <v>0</v>
      </c>
      <c r="LD17" s="135">
        <f t="shared" si="69"/>
        <v>0</v>
      </c>
      <c r="LE17" s="135">
        <f t="shared" si="69"/>
        <v>0</v>
      </c>
      <c r="LF17" s="135">
        <f t="shared" si="69"/>
        <v>0</v>
      </c>
      <c r="LG17" s="135">
        <f t="shared" si="69"/>
        <v>0</v>
      </c>
      <c r="LH17" s="135">
        <f t="shared" si="69"/>
        <v>0</v>
      </c>
      <c r="LI17" s="135">
        <f t="shared" si="69"/>
        <v>0</v>
      </c>
      <c r="LJ17" s="135">
        <f t="shared" si="69"/>
        <v>0</v>
      </c>
      <c r="LK17" s="135">
        <f t="shared" si="69"/>
        <v>0</v>
      </c>
      <c r="LL17" s="135">
        <f t="shared" si="69"/>
        <v>0</v>
      </c>
      <c r="LM17" s="135">
        <f t="shared" si="69"/>
        <v>0</v>
      </c>
      <c r="LN17" s="135">
        <f t="shared" si="69"/>
        <v>0</v>
      </c>
      <c r="LO17" s="135">
        <f t="shared" si="69"/>
        <v>0</v>
      </c>
      <c r="LP17" s="135">
        <f t="shared" si="69"/>
        <v>0</v>
      </c>
      <c r="LQ17" s="135">
        <f t="shared" si="69"/>
        <v>0</v>
      </c>
      <c r="LR17" s="135">
        <f t="shared" si="69"/>
        <v>0</v>
      </c>
      <c r="LS17" s="135">
        <f t="shared" si="69"/>
        <v>0</v>
      </c>
      <c r="LT17" s="135">
        <f t="shared" si="69"/>
        <v>0</v>
      </c>
      <c r="LU17" s="135">
        <f t="shared" ref="LU17:OF20" si="88">IFERROR(IF(LU$1=EOMONTH($G17,0),(-$E17+($E17*(DAY($G17)/DAY(EOMONTH(LU$1,0)))*$F17/12*(1-0.269))),IF(LU$1=$G17,($E17+($E17*(DAY($I17)/DAY(EOMONTH(LU$1,0)))*$F17/12*(1-0.269))),IFERROR(IF($I17&lt;LU$1,0,IF(LU$1&gt;$I17,(($F17/12)*$E17)*(DAY($I17)/DAY(EOMONTH(LU$1,0)))*(1-26.9/100)+$E17,IF(AND(LU$1&gt;=$G17,LU$1&lt;$I17),(($F17/12)*$E17)*(1-26.9/100),""))-IF(LU$1=EOMONTH($G17,0),$E17,"0")),0)+IF(LU$1=EOMONTH($I17,0),($E17+($E17*(DAY($I17)/DAY(EOMONTH(LU$1,0)))*$F17/12*(1-0.269))),"0"))),0)</f>
        <v>0</v>
      </c>
      <c r="LV17" s="135">
        <f t="shared" si="88"/>
        <v>0</v>
      </c>
      <c r="LW17" s="135">
        <f t="shared" si="88"/>
        <v>0</v>
      </c>
      <c r="LX17" s="135">
        <f t="shared" si="88"/>
        <v>0</v>
      </c>
      <c r="LY17" s="135">
        <f t="shared" si="88"/>
        <v>0</v>
      </c>
      <c r="LZ17" s="135">
        <f t="shared" si="88"/>
        <v>0</v>
      </c>
      <c r="MA17" s="135">
        <f t="shared" si="88"/>
        <v>0</v>
      </c>
      <c r="MB17" s="135">
        <f t="shared" si="88"/>
        <v>0</v>
      </c>
      <c r="MC17" s="135">
        <f t="shared" si="88"/>
        <v>0</v>
      </c>
      <c r="MD17" s="135">
        <f t="shared" si="88"/>
        <v>0</v>
      </c>
      <c r="ME17" s="135">
        <f t="shared" si="88"/>
        <v>0</v>
      </c>
      <c r="MF17" s="135">
        <f t="shared" si="88"/>
        <v>0</v>
      </c>
      <c r="MG17" s="135">
        <f t="shared" si="88"/>
        <v>0</v>
      </c>
      <c r="MH17" s="135">
        <f t="shared" si="88"/>
        <v>0</v>
      </c>
      <c r="MI17" s="135">
        <f t="shared" si="88"/>
        <v>0</v>
      </c>
      <c r="MJ17" s="135">
        <f t="shared" si="88"/>
        <v>0</v>
      </c>
      <c r="MK17" s="135">
        <f t="shared" si="88"/>
        <v>0</v>
      </c>
      <c r="ML17" s="135">
        <f t="shared" si="88"/>
        <v>0</v>
      </c>
      <c r="MM17" s="135">
        <f t="shared" si="88"/>
        <v>0</v>
      </c>
      <c r="MN17" s="135">
        <f t="shared" si="88"/>
        <v>0</v>
      </c>
      <c r="MO17" s="135">
        <f t="shared" si="88"/>
        <v>0</v>
      </c>
      <c r="MP17" s="135">
        <f t="shared" si="88"/>
        <v>0</v>
      </c>
      <c r="MQ17" s="135">
        <f t="shared" si="88"/>
        <v>0</v>
      </c>
      <c r="MR17" s="135">
        <f t="shared" si="88"/>
        <v>0</v>
      </c>
      <c r="MS17" s="135">
        <f t="shared" si="88"/>
        <v>0</v>
      </c>
      <c r="MT17" s="135">
        <f t="shared" si="88"/>
        <v>0</v>
      </c>
      <c r="MU17" s="135">
        <f t="shared" si="88"/>
        <v>0</v>
      </c>
      <c r="MV17" s="135">
        <f t="shared" si="88"/>
        <v>0</v>
      </c>
      <c r="MW17" s="135">
        <f t="shared" si="88"/>
        <v>0</v>
      </c>
      <c r="MX17" s="135">
        <f t="shared" si="88"/>
        <v>0</v>
      </c>
      <c r="MY17" s="135">
        <f t="shared" si="88"/>
        <v>0</v>
      </c>
      <c r="MZ17" s="135">
        <f t="shared" si="88"/>
        <v>0</v>
      </c>
      <c r="NA17" s="135">
        <f t="shared" si="88"/>
        <v>0</v>
      </c>
      <c r="NB17" s="135">
        <f t="shared" si="88"/>
        <v>0</v>
      </c>
      <c r="NC17" s="135">
        <f t="shared" si="88"/>
        <v>0</v>
      </c>
      <c r="ND17" s="135">
        <f t="shared" si="88"/>
        <v>0</v>
      </c>
      <c r="NE17" s="135">
        <f t="shared" si="88"/>
        <v>0</v>
      </c>
      <c r="NF17" s="135">
        <f t="shared" si="88"/>
        <v>0</v>
      </c>
      <c r="NG17" s="135">
        <f t="shared" si="88"/>
        <v>0</v>
      </c>
      <c r="NH17" s="135">
        <f t="shared" si="88"/>
        <v>0</v>
      </c>
      <c r="NI17" s="135">
        <f t="shared" si="88"/>
        <v>0</v>
      </c>
      <c r="NJ17" s="135">
        <f t="shared" si="88"/>
        <v>0</v>
      </c>
      <c r="NK17" s="135">
        <f t="shared" si="88"/>
        <v>0</v>
      </c>
      <c r="NL17" s="135">
        <f t="shared" si="88"/>
        <v>0</v>
      </c>
      <c r="NM17" s="135">
        <f t="shared" si="88"/>
        <v>0</v>
      </c>
      <c r="NN17" s="135">
        <f t="shared" si="88"/>
        <v>0</v>
      </c>
      <c r="NO17" s="135">
        <f t="shared" si="88"/>
        <v>0</v>
      </c>
      <c r="NP17" s="135">
        <f t="shared" si="88"/>
        <v>0</v>
      </c>
      <c r="NQ17" s="135">
        <f t="shared" si="88"/>
        <v>0</v>
      </c>
      <c r="NR17" s="135">
        <f t="shared" si="88"/>
        <v>0</v>
      </c>
      <c r="NS17" s="135">
        <f t="shared" si="88"/>
        <v>0</v>
      </c>
      <c r="NT17" s="135">
        <f t="shared" si="88"/>
        <v>0</v>
      </c>
      <c r="NU17" s="135">
        <f t="shared" si="88"/>
        <v>0</v>
      </c>
      <c r="NV17" s="135">
        <f t="shared" si="88"/>
        <v>0</v>
      </c>
      <c r="NW17" s="135">
        <f t="shared" si="88"/>
        <v>0</v>
      </c>
      <c r="NX17" s="135">
        <f t="shared" si="88"/>
        <v>0</v>
      </c>
      <c r="NY17" s="135">
        <f t="shared" si="88"/>
        <v>0</v>
      </c>
      <c r="NZ17" s="135">
        <f t="shared" si="88"/>
        <v>0</v>
      </c>
      <c r="OA17" s="135">
        <f t="shared" si="88"/>
        <v>0</v>
      </c>
      <c r="OB17" s="135">
        <f t="shared" si="88"/>
        <v>0</v>
      </c>
      <c r="OC17" s="135">
        <f t="shared" si="88"/>
        <v>0</v>
      </c>
      <c r="OD17" s="135">
        <f t="shared" si="88"/>
        <v>0</v>
      </c>
      <c r="OE17" s="135">
        <f t="shared" si="88"/>
        <v>0</v>
      </c>
      <c r="OF17" s="135">
        <f t="shared" si="88"/>
        <v>0</v>
      </c>
      <c r="OG17" s="135">
        <f t="shared" si="57"/>
        <v>0</v>
      </c>
      <c r="OH17" s="135">
        <f t="shared" si="80"/>
        <v>0</v>
      </c>
      <c r="OI17" s="135">
        <f t="shared" si="80"/>
        <v>0</v>
      </c>
      <c r="OJ17" s="135">
        <f t="shared" si="80"/>
        <v>0</v>
      </c>
      <c r="OK17" s="135">
        <f t="shared" si="80"/>
        <v>0</v>
      </c>
      <c r="OL17" s="135">
        <f t="shared" si="80"/>
        <v>0</v>
      </c>
      <c r="OM17" s="135">
        <f t="shared" si="80"/>
        <v>0</v>
      </c>
      <c r="ON17" s="135">
        <f t="shared" si="80"/>
        <v>0</v>
      </c>
      <c r="OO17" s="135">
        <f t="shared" si="71"/>
        <v>0</v>
      </c>
      <c r="OP17" s="135">
        <f t="shared" si="71"/>
        <v>0</v>
      </c>
      <c r="OQ17" s="135">
        <f t="shared" si="71"/>
        <v>0</v>
      </c>
      <c r="OR17" s="135">
        <f t="shared" si="71"/>
        <v>0</v>
      </c>
      <c r="OS17" s="135">
        <f t="shared" si="71"/>
        <v>0</v>
      </c>
      <c r="OT17" s="135">
        <f t="shared" si="71"/>
        <v>0</v>
      </c>
      <c r="OU17" s="135">
        <f t="shared" si="71"/>
        <v>0</v>
      </c>
      <c r="OV17" s="135">
        <f t="shared" si="71"/>
        <v>0</v>
      </c>
      <c r="OW17" s="135">
        <f t="shared" si="71"/>
        <v>0</v>
      </c>
      <c r="OX17" s="135">
        <f t="shared" si="71"/>
        <v>0</v>
      </c>
      <c r="OY17" s="135">
        <f t="shared" si="71"/>
        <v>0</v>
      </c>
      <c r="OZ17" s="135">
        <f t="shared" si="71"/>
        <v>0</v>
      </c>
      <c r="PA17" s="135">
        <f t="shared" si="71"/>
        <v>0</v>
      </c>
      <c r="PB17" s="135">
        <f t="shared" si="71"/>
        <v>0</v>
      </c>
      <c r="PC17" s="135">
        <f t="shared" si="71"/>
        <v>0</v>
      </c>
      <c r="PD17" s="135">
        <f t="shared" si="71"/>
        <v>0</v>
      </c>
      <c r="PE17" s="135">
        <f t="shared" si="71"/>
        <v>0</v>
      </c>
      <c r="PF17" s="135">
        <f t="shared" si="71"/>
        <v>0</v>
      </c>
      <c r="PG17" s="135">
        <f t="shared" si="71"/>
        <v>0</v>
      </c>
      <c r="PH17" s="135">
        <f t="shared" si="71"/>
        <v>0</v>
      </c>
      <c r="PI17" s="135">
        <f t="shared" si="71"/>
        <v>0</v>
      </c>
      <c r="PJ17" s="135">
        <f t="shared" si="71"/>
        <v>0</v>
      </c>
      <c r="PK17" s="135">
        <f t="shared" si="71"/>
        <v>0</v>
      </c>
      <c r="PL17" s="135">
        <f t="shared" si="71"/>
        <v>0</v>
      </c>
      <c r="PM17" s="135">
        <f t="shared" si="71"/>
        <v>0</v>
      </c>
      <c r="PN17" s="135">
        <f t="shared" si="71"/>
        <v>0</v>
      </c>
      <c r="PO17" s="135">
        <f t="shared" si="71"/>
        <v>0</v>
      </c>
      <c r="PP17" s="135">
        <f t="shared" si="71"/>
        <v>0</v>
      </c>
      <c r="PQ17" s="135">
        <f t="shared" si="71"/>
        <v>0</v>
      </c>
      <c r="PR17" s="135">
        <f t="shared" si="71"/>
        <v>0</v>
      </c>
      <c r="PS17" s="135">
        <f t="shared" si="71"/>
        <v>0</v>
      </c>
      <c r="PT17" s="135">
        <f t="shared" si="71"/>
        <v>0</v>
      </c>
      <c r="PU17" s="135">
        <f t="shared" si="71"/>
        <v>0</v>
      </c>
      <c r="PV17" s="135">
        <f t="shared" si="71"/>
        <v>0</v>
      </c>
      <c r="PW17" s="135">
        <f t="shared" si="71"/>
        <v>0</v>
      </c>
      <c r="PX17" s="135">
        <f t="shared" si="71"/>
        <v>0</v>
      </c>
      <c r="PY17" s="135">
        <f t="shared" si="71"/>
        <v>0</v>
      </c>
      <c r="PZ17" s="135">
        <f t="shared" si="71"/>
        <v>0</v>
      </c>
      <c r="QA17" s="135">
        <f t="shared" si="71"/>
        <v>0</v>
      </c>
      <c r="QB17" s="135">
        <f t="shared" si="71"/>
        <v>0</v>
      </c>
      <c r="QC17" s="135">
        <f t="shared" si="71"/>
        <v>0</v>
      </c>
      <c r="QD17" s="135">
        <f t="shared" si="71"/>
        <v>0</v>
      </c>
      <c r="QE17" s="135">
        <f t="shared" si="71"/>
        <v>0</v>
      </c>
      <c r="QF17" s="135">
        <f t="shared" si="71"/>
        <v>0</v>
      </c>
      <c r="QG17" s="135">
        <f t="shared" si="71"/>
        <v>0</v>
      </c>
      <c r="QH17" s="135">
        <f t="shared" si="71"/>
        <v>0</v>
      </c>
      <c r="QI17" s="135">
        <f t="shared" si="71"/>
        <v>0</v>
      </c>
      <c r="QJ17" s="135">
        <f t="shared" si="71"/>
        <v>0</v>
      </c>
      <c r="QK17" s="135">
        <f t="shared" si="71"/>
        <v>0</v>
      </c>
      <c r="QL17" s="135">
        <f t="shared" si="71"/>
        <v>0</v>
      </c>
      <c r="QM17" s="135">
        <f t="shared" si="71"/>
        <v>0</v>
      </c>
      <c r="QN17" s="135">
        <f t="shared" si="71"/>
        <v>0</v>
      </c>
      <c r="QO17" s="135">
        <f t="shared" si="71"/>
        <v>0</v>
      </c>
      <c r="QP17" s="135">
        <f t="shared" si="71"/>
        <v>0</v>
      </c>
      <c r="QQ17" s="135">
        <f t="shared" si="71"/>
        <v>0</v>
      </c>
      <c r="QR17" s="135">
        <f t="shared" si="71"/>
        <v>0</v>
      </c>
      <c r="QS17" s="135">
        <f t="shared" si="71"/>
        <v>0</v>
      </c>
      <c r="QT17" s="135">
        <f t="shared" si="72"/>
        <v>0</v>
      </c>
      <c r="QU17" s="135">
        <f t="shared" si="72"/>
        <v>0</v>
      </c>
      <c r="QV17" s="135">
        <f t="shared" si="85"/>
        <v>0</v>
      </c>
      <c r="QW17" s="135">
        <f t="shared" si="85"/>
        <v>0</v>
      </c>
      <c r="QX17" s="135">
        <f t="shared" si="85"/>
        <v>0</v>
      </c>
      <c r="QY17" s="135">
        <f t="shared" si="85"/>
        <v>0</v>
      </c>
      <c r="QZ17" s="135">
        <f t="shared" si="85"/>
        <v>0</v>
      </c>
      <c r="RA17" s="135">
        <f t="shared" si="85"/>
        <v>0</v>
      </c>
      <c r="RB17" s="135">
        <f t="shared" si="85"/>
        <v>0</v>
      </c>
      <c r="RC17" s="135">
        <f t="shared" si="85"/>
        <v>0</v>
      </c>
      <c r="RD17" s="135">
        <f t="shared" si="85"/>
        <v>0</v>
      </c>
      <c r="RE17" s="135">
        <f t="shared" si="85"/>
        <v>0</v>
      </c>
      <c r="RF17" s="135">
        <f t="shared" si="85"/>
        <v>0</v>
      </c>
      <c r="RG17" s="135">
        <f t="shared" si="85"/>
        <v>0</v>
      </c>
      <c r="RH17" s="135">
        <f t="shared" si="85"/>
        <v>0</v>
      </c>
      <c r="RI17" s="135">
        <f t="shared" si="85"/>
        <v>0</v>
      </c>
      <c r="RJ17" s="135">
        <f t="shared" si="85"/>
        <v>0</v>
      </c>
      <c r="RK17" s="135">
        <f t="shared" si="85"/>
        <v>0</v>
      </c>
      <c r="RL17" s="135">
        <f t="shared" si="85"/>
        <v>0</v>
      </c>
      <c r="RM17" s="135">
        <f t="shared" si="85"/>
        <v>0</v>
      </c>
      <c r="RN17" s="135">
        <f t="shared" si="85"/>
        <v>0</v>
      </c>
      <c r="RO17" s="135">
        <f t="shared" si="85"/>
        <v>0</v>
      </c>
      <c r="RP17" s="135">
        <f t="shared" si="85"/>
        <v>0</v>
      </c>
      <c r="RQ17" s="135">
        <f t="shared" si="85"/>
        <v>0</v>
      </c>
      <c r="RR17" s="135">
        <f t="shared" si="85"/>
        <v>0</v>
      </c>
      <c r="RS17" s="135">
        <f t="shared" si="85"/>
        <v>0</v>
      </c>
      <c r="RT17" s="135">
        <f t="shared" si="85"/>
        <v>0</v>
      </c>
      <c r="RU17" s="135">
        <f t="shared" si="85"/>
        <v>0</v>
      </c>
      <c r="RV17" s="135">
        <f t="shared" si="85"/>
        <v>0</v>
      </c>
      <c r="RW17" s="135">
        <f t="shared" si="85"/>
        <v>0</v>
      </c>
      <c r="RX17" s="135">
        <f t="shared" si="85"/>
        <v>0</v>
      </c>
      <c r="RY17" s="135">
        <f t="shared" si="85"/>
        <v>0</v>
      </c>
      <c r="RZ17" s="135">
        <f t="shared" si="85"/>
        <v>0</v>
      </c>
      <c r="SA17" s="135">
        <f t="shared" si="85"/>
        <v>0</v>
      </c>
      <c r="SB17" s="135">
        <f t="shared" si="85"/>
        <v>0</v>
      </c>
      <c r="SC17" s="135">
        <f t="shared" si="85"/>
        <v>0</v>
      </c>
      <c r="SD17" s="135">
        <f t="shared" si="85"/>
        <v>0</v>
      </c>
      <c r="SE17" s="135">
        <f t="shared" si="85"/>
        <v>0</v>
      </c>
      <c r="SF17" s="135">
        <f t="shared" si="85"/>
        <v>0</v>
      </c>
      <c r="SG17" s="135">
        <f t="shared" si="85"/>
        <v>0</v>
      </c>
      <c r="SH17" s="135">
        <f t="shared" si="85"/>
        <v>0</v>
      </c>
      <c r="SI17" s="135">
        <f t="shared" si="85"/>
        <v>0</v>
      </c>
      <c r="SJ17" s="135">
        <f t="shared" si="85"/>
        <v>0</v>
      </c>
      <c r="SK17" s="135">
        <f t="shared" si="85"/>
        <v>0</v>
      </c>
      <c r="SL17" s="135">
        <f t="shared" si="85"/>
        <v>0</v>
      </c>
      <c r="SM17" s="135">
        <f t="shared" si="85"/>
        <v>0</v>
      </c>
      <c r="SN17" s="135">
        <f t="shared" si="85"/>
        <v>0</v>
      </c>
      <c r="SO17" s="135">
        <f t="shared" si="85"/>
        <v>0</v>
      </c>
      <c r="SP17" s="135">
        <f t="shared" si="85"/>
        <v>0</v>
      </c>
      <c r="SQ17" s="135">
        <f t="shared" si="85"/>
        <v>0</v>
      </c>
      <c r="SR17" s="135">
        <f t="shared" si="85"/>
        <v>0</v>
      </c>
      <c r="SS17" s="135">
        <f t="shared" si="85"/>
        <v>0</v>
      </c>
      <c r="ST17" s="135">
        <f t="shared" si="85"/>
        <v>0</v>
      </c>
      <c r="SU17" s="135">
        <f t="shared" si="85"/>
        <v>0</v>
      </c>
      <c r="SV17" s="135">
        <f t="shared" si="85"/>
        <v>0</v>
      </c>
      <c r="SW17" s="135">
        <f t="shared" si="85"/>
        <v>0</v>
      </c>
      <c r="SX17" s="135">
        <f t="shared" si="85"/>
        <v>0</v>
      </c>
      <c r="SY17" s="135">
        <f t="shared" si="85"/>
        <v>0</v>
      </c>
      <c r="SZ17" s="135">
        <f t="shared" si="85"/>
        <v>0</v>
      </c>
      <c r="TA17" s="135">
        <f t="shared" si="85"/>
        <v>0</v>
      </c>
      <c r="TB17" s="135">
        <f t="shared" si="85"/>
        <v>0</v>
      </c>
      <c r="TC17" s="135">
        <f t="shared" si="85"/>
        <v>0</v>
      </c>
      <c r="TD17" s="135">
        <f t="shared" si="85"/>
        <v>0</v>
      </c>
      <c r="TE17" s="135">
        <f t="shared" si="85"/>
        <v>0</v>
      </c>
      <c r="TF17" s="135">
        <f t="shared" si="85"/>
        <v>0</v>
      </c>
      <c r="TG17" s="135">
        <f t="shared" si="85"/>
        <v>0</v>
      </c>
      <c r="TH17" s="135">
        <f t="shared" si="86"/>
        <v>0</v>
      </c>
      <c r="TI17" s="135">
        <f t="shared" si="86"/>
        <v>0</v>
      </c>
      <c r="TJ17" s="135">
        <f t="shared" si="86"/>
        <v>0</v>
      </c>
      <c r="TK17" s="135">
        <f t="shared" si="86"/>
        <v>0</v>
      </c>
      <c r="TL17" s="135">
        <f t="shared" si="86"/>
        <v>0</v>
      </c>
      <c r="TM17" s="135">
        <f t="shared" si="67"/>
        <v>0</v>
      </c>
      <c r="TN17" s="135">
        <f t="shared" si="67"/>
        <v>0</v>
      </c>
      <c r="TO17" s="135">
        <f t="shared" si="67"/>
        <v>0</v>
      </c>
      <c r="TP17" s="135">
        <f t="shared" si="67"/>
        <v>0</v>
      </c>
      <c r="TQ17" s="135">
        <f t="shared" si="67"/>
        <v>0</v>
      </c>
      <c r="TR17" s="135">
        <f t="shared" si="67"/>
        <v>0</v>
      </c>
      <c r="TS17" s="135">
        <f t="shared" si="67"/>
        <v>0</v>
      </c>
      <c r="TT17" s="135">
        <f t="shared" si="67"/>
        <v>0</v>
      </c>
      <c r="TU17" s="135">
        <f t="shared" si="67"/>
        <v>0</v>
      </c>
      <c r="TV17" s="135">
        <f t="shared" si="67"/>
        <v>0</v>
      </c>
      <c r="TW17" s="135">
        <f t="shared" si="67"/>
        <v>0</v>
      </c>
      <c r="TX17" s="135">
        <f t="shared" si="67"/>
        <v>0</v>
      </c>
      <c r="TY17" s="135">
        <f t="shared" si="67"/>
        <v>0</v>
      </c>
      <c r="TZ17" s="135">
        <f t="shared" si="67"/>
        <v>0</v>
      </c>
      <c r="UA17" s="135">
        <f t="shared" si="67"/>
        <v>0</v>
      </c>
      <c r="UB17" s="135">
        <f t="shared" si="67"/>
        <v>0</v>
      </c>
      <c r="UC17" s="135">
        <f t="shared" si="67"/>
        <v>0</v>
      </c>
      <c r="UD17" s="135">
        <f t="shared" si="67"/>
        <v>0</v>
      </c>
      <c r="UE17" s="135">
        <f t="shared" si="67"/>
        <v>0</v>
      </c>
      <c r="UF17" s="135">
        <f t="shared" si="67"/>
        <v>0</v>
      </c>
      <c r="UG17" s="135">
        <f t="shared" si="67"/>
        <v>0</v>
      </c>
      <c r="UH17" s="135">
        <f t="shared" si="67"/>
        <v>0</v>
      </c>
      <c r="UI17" s="135">
        <f t="shared" si="67"/>
        <v>0</v>
      </c>
      <c r="UJ17" s="135">
        <f t="shared" si="67"/>
        <v>0</v>
      </c>
      <c r="UK17" s="135">
        <f t="shared" si="67"/>
        <v>0</v>
      </c>
    </row>
    <row r="18" spans="2:557">
      <c r="B18" t="str">
        <f>IF(Samenvatting!$F119&lt;&gt;0,Samenvatting!C119,"")</f>
        <v/>
      </c>
      <c r="C18" t="str">
        <f>IF(Samenvatting!$F119&lt;&gt;0,Samenvatting!D119,"")</f>
        <v/>
      </c>
      <c r="D18" t="str">
        <f>IF(Samenvatting!$F119&lt;&gt;0,Samenvatting!E119,"")</f>
        <v/>
      </c>
      <c r="E18" t="str">
        <f>IF(Samenvatting!$F119&lt;&gt;0,Samenvatting!F119,"")</f>
        <v/>
      </c>
      <c r="F18" t="str">
        <f>IF(Samenvatting!$F119&lt;&gt;0,Samenvatting!H119,"")</f>
        <v/>
      </c>
      <c r="G18" s="134" t="str">
        <f>IF(Samenvatting!$F119&lt;&gt;0,Samenvatting!I119,"")</f>
        <v/>
      </c>
      <c r="H18" t="str">
        <f>IF(Samenvatting!$F119&lt;&gt;0,Samenvatting!J119,"")</f>
        <v/>
      </c>
      <c r="I18" s="134" t="str">
        <f>IF(Samenvatting!$F119&lt;&gt;0,Samenvatting!K119,"")</f>
        <v/>
      </c>
      <c r="J18" s="135">
        <f t="shared" si="0"/>
        <v>0</v>
      </c>
      <c r="K18" s="135">
        <f t="shared" si="84"/>
        <v>0</v>
      </c>
      <c r="L18" s="135">
        <f t="shared" si="84"/>
        <v>0</v>
      </c>
      <c r="M18" s="135">
        <f t="shared" si="84"/>
        <v>0</v>
      </c>
      <c r="N18" s="135">
        <f t="shared" si="84"/>
        <v>0</v>
      </c>
      <c r="O18" s="135">
        <f t="shared" si="84"/>
        <v>0</v>
      </c>
      <c r="P18" s="135">
        <f t="shared" si="84"/>
        <v>0</v>
      </c>
      <c r="Q18" s="135">
        <f t="shared" si="84"/>
        <v>0</v>
      </c>
      <c r="R18" s="135">
        <f t="shared" si="84"/>
        <v>0</v>
      </c>
      <c r="S18" s="135">
        <f t="shared" si="84"/>
        <v>0</v>
      </c>
      <c r="T18" s="135">
        <f t="shared" si="84"/>
        <v>0</v>
      </c>
      <c r="U18" s="135">
        <f t="shared" si="84"/>
        <v>0</v>
      </c>
      <c r="V18" s="135">
        <f t="shared" si="84"/>
        <v>0</v>
      </c>
      <c r="W18" s="135">
        <f t="shared" si="84"/>
        <v>0</v>
      </c>
      <c r="X18" s="135">
        <f t="shared" si="84"/>
        <v>0</v>
      </c>
      <c r="Y18" s="135">
        <f t="shared" si="84"/>
        <v>0</v>
      </c>
      <c r="Z18" s="135">
        <f t="shared" si="84"/>
        <v>0</v>
      </c>
      <c r="AA18" s="135">
        <f t="shared" si="84"/>
        <v>0</v>
      </c>
      <c r="AB18" s="135">
        <f t="shared" si="84"/>
        <v>0</v>
      </c>
      <c r="AC18" s="135">
        <f t="shared" si="84"/>
        <v>0</v>
      </c>
      <c r="AD18" s="135">
        <f t="shared" si="84"/>
        <v>0</v>
      </c>
      <c r="AE18" s="135">
        <f t="shared" si="84"/>
        <v>0</v>
      </c>
      <c r="AF18" s="135">
        <f t="shared" si="84"/>
        <v>0</v>
      </c>
      <c r="AG18" s="135">
        <f t="shared" si="84"/>
        <v>0</v>
      </c>
      <c r="AH18" s="135">
        <f t="shared" si="84"/>
        <v>0</v>
      </c>
      <c r="AI18" s="135">
        <f t="shared" si="84"/>
        <v>0</v>
      </c>
      <c r="AJ18" s="135">
        <f t="shared" si="84"/>
        <v>0</v>
      </c>
      <c r="AK18" s="135">
        <f t="shared" si="84"/>
        <v>0</v>
      </c>
      <c r="AL18" s="135">
        <f t="shared" si="84"/>
        <v>0</v>
      </c>
      <c r="AM18" s="135">
        <f t="shared" si="84"/>
        <v>0</v>
      </c>
      <c r="AN18" s="135">
        <f t="shared" si="84"/>
        <v>0</v>
      </c>
      <c r="AO18" s="135">
        <f t="shared" si="84"/>
        <v>0</v>
      </c>
      <c r="AP18" s="135">
        <f t="shared" si="84"/>
        <v>0</v>
      </c>
      <c r="AQ18" s="135">
        <f t="shared" si="84"/>
        <v>0</v>
      </c>
      <c r="AR18" s="135">
        <f t="shared" si="84"/>
        <v>0</v>
      </c>
      <c r="AS18" s="135">
        <f t="shared" si="84"/>
        <v>0</v>
      </c>
      <c r="AT18" s="135">
        <f t="shared" si="84"/>
        <v>0</v>
      </c>
      <c r="AU18" s="135">
        <f t="shared" si="84"/>
        <v>0</v>
      </c>
      <c r="AV18" s="135">
        <f t="shared" si="84"/>
        <v>0</v>
      </c>
      <c r="AW18" s="135">
        <f t="shared" si="84"/>
        <v>0</v>
      </c>
      <c r="AX18" s="135">
        <f t="shared" si="84"/>
        <v>0</v>
      </c>
      <c r="AY18" s="135">
        <f t="shared" si="84"/>
        <v>0</v>
      </c>
      <c r="AZ18" s="135">
        <f t="shared" si="84"/>
        <v>0</v>
      </c>
      <c r="BA18" s="135">
        <f t="shared" si="84"/>
        <v>0</v>
      </c>
      <c r="BB18" s="135">
        <f t="shared" si="84"/>
        <v>0</v>
      </c>
      <c r="BC18" s="135">
        <f t="shared" si="84"/>
        <v>0</v>
      </c>
      <c r="BD18" s="135">
        <f t="shared" si="84"/>
        <v>0</v>
      </c>
      <c r="BE18" s="135">
        <f t="shared" si="84"/>
        <v>0</v>
      </c>
      <c r="BF18" s="135">
        <f t="shared" si="84"/>
        <v>0</v>
      </c>
      <c r="BG18" s="135">
        <f t="shared" si="84"/>
        <v>0</v>
      </c>
      <c r="BH18" s="135">
        <f t="shared" si="84"/>
        <v>0</v>
      </c>
      <c r="BI18" s="135">
        <f t="shared" si="84"/>
        <v>0</v>
      </c>
      <c r="BJ18" s="135">
        <f t="shared" si="84"/>
        <v>0</v>
      </c>
      <c r="BK18" s="135">
        <f t="shared" si="84"/>
        <v>0</v>
      </c>
      <c r="BL18" s="135">
        <f t="shared" si="84"/>
        <v>0</v>
      </c>
      <c r="BM18" s="135">
        <f t="shared" si="84"/>
        <v>0</v>
      </c>
      <c r="BN18" s="135">
        <f t="shared" si="84"/>
        <v>0</v>
      </c>
      <c r="BO18" s="135">
        <f t="shared" si="84"/>
        <v>0</v>
      </c>
      <c r="BP18" s="135">
        <f t="shared" si="84"/>
        <v>0</v>
      </c>
      <c r="BQ18" s="135">
        <f t="shared" si="84"/>
        <v>0</v>
      </c>
      <c r="BR18" s="135">
        <f t="shared" si="84"/>
        <v>0</v>
      </c>
      <c r="BS18" s="135">
        <f t="shared" si="84"/>
        <v>0</v>
      </c>
      <c r="BT18" s="135">
        <f t="shared" si="84"/>
        <v>0</v>
      </c>
      <c r="BU18" s="135">
        <f t="shared" si="84"/>
        <v>0</v>
      </c>
      <c r="BV18" s="135">
        <f t="shared" si="84"/>
        <v>0</v>
      </c>
      <c r="BW18" s="135">
        <f t="shared" si="73"/>
        <v>0</v>
      </c>
      <c r="BX18" s="135">
        <f t="shared" si="73"/>
        <v>0</v>
      </c>
      <c r="BY18" s="135">
        <f t="shared" si="73"/>
        <v>0</v>
      </c>
      <c r="BZ18" s="135">
        <f t="shared" si="73"/>
        <v>0</v>
      </c>
      <c r="CA18" s="135">
        <f t="shared" si="73"/>
        <v>0</v>
      </c>
      <c r="CB18" s="135">
        <f t="shared" si="73"/>
        <v>0</v>
      </c>
      <c r="CC18" s="135">
        <f t="shared" si="73"/>
        <v>0</v>
      </c>
      <c r="CD18" s="135">
        <f t="shared" si="73"/>
        <v>0</v>
      </c>
      <c r="CE18" s="135">
        <f t="shared" si="73"/>
        <v>0</v>
      </c>
      <c r="CF18" s="135">
        <f t="shared" si="73"/>
        <v>0</v>
      </c>
      <c r="CG18" s="135">
        <f t="shared" si="73"/>
        <v>0</v>
      </c>
      <c r="CH18" s="135">
        <f t="shared" si="73"/>
        <v>0</v>
      </c>
      <c r="CI18" s="135">
        <f t="shared" si="73"/>
        <v>0</v>
      </c>
      <c r="CJ18" s="135">
        <f t="shared" si="73"/>
        <v>0</v>
      </c>
      <c r="CK18" s="135">
        <f t="shared" si="73"/>
        <v>0</v>
      </c>
      <c r="CL18" s="135">
        <f t="shared" si="73"/>
        <v>0</v>
      </c>
      <c r="CM18" s="135">
        <f t="shared" si="73"/>
        <v>0</v>
      </c>
      <c r="CN18" s="135">
        <f t="shared" si="73"/>
        <v>0</v>
      </c>
      <c r="CO18" s="135">
        <f t="shared" si="73"/>
        <v>0</v>
      </c>
      <c r="CP18" s="135">
        <f t="shared" si="73"/>
        <v>0</v>
      </c>
      <c r="CQ18" s="135">
        <f t="shared" si="73"/>
        <v>0</v>
      </c>
      <c r="CR18" s="135">
        <f t="shared" si="73"/>
        <v>0</v>
      </c>
      <c r="CS18" s="135">
        <f t="shared" si="73"/>
        <v>0</v>
      </c>
      <c r="CT18" s="135">
        <f t="shared" si="73"/>
        <v>0</v>
      </c>
      <c r="CU18" s="135">
        <f t="shared" si="73"/>
        <v>0</v>
      </c>
      <c r="CV18" s="135">
        <f t="shared" si="73"/>
        <v>0</v>
      </c>
      <c r="CW18" s="135">
        <f t="shared" si="73"/>
        <v>0</v>
      </c>
      <c r="CX18" s="135">
        <f t="shared" si="73"/>
        <v>0</v>
      </c>
      <c r="CY18" s="135">
        <f t="shared" si="73"/>
        <v>0</v>
      </c>
      <c r="CZ18" s="135">
        <f t="shared" si="73"/>
        <v>0</v>
      </c>
      <c r="DA18" s="135">
        <f t="shared" si="73"/>
        <v>0</v>
      </c>
      <c r="DB18" s="135">
        <f t="shared" si="73"/>
        <v>0</v>
      </c>
      <c r="DC18" s="135">
        <f t="shared" si="73"/>
        <v>0</v>
      </c>
      <c r="DD18" s="135">
        <f t="shared" si="73"/>
        <v>0</v>
      </c>
      <c r="DE18" s="135">
        <f t="shared" si="73"/>
        <v>0</v>
      </c>
      <c r="DF18" s="135">
        <f t="shared" si="73"/>
        <v>0</v>
      </c>
      <c r="DG18" s="135">
        <f t="shared" si="73"/>
        <v>0</v>
      </c>
      <c r="DH18" s="135">
        <f t="shared" si="73"/>
        <v>0</v>
      </c>
      <c r="DI18" s="135">
        <f t="shared" si="73"/>
        <v>0</v>
      </c>
      <c r="DJ18" s="135">
        <f t="shared" si="73"/>
        <v>0</v>
      </c>
      <c r="DK18" s="135">
        <f t="shared" si="73"/>
        <v>0</v>
      </c>
      <c r="DL18" s="135">
        <f t="shared" si="73"/>
        <v>0</v>
      </c>
      <c r="DM18" s="135">
        <f t="shared" si="73"/>
        <v>0</v>
      </c>
      <c r="DN18" s="135">
        <f t="shared" si="73"/>
        <v>0</v>
      </c>
      <c r="DO18" s="135">
        <f t="shared" si="73"/>
        <v>0</v>
      </c>
      <c r="DP18" s="135">
        <f t="shared" si="73"/>
        <v>0</v>
      </c>
      <c r="DQ18" s="135">
        <f t="shared" si="73"/>
        <v>0</v>
      </c>
      <c r="DR18" s="135">
        <f t="shared" si="73"/>
        <v>0</v>
      </c>
      <c r="DS18" s="135">
        <f t="shared" si="73"/>
        <v>0</v>
      </c>
      <c r="DT18" s="135">
        <f t="shared" si="73"/>
        <v>0</v>
      </c>
      <c r="DU18" s="135">
        <f t="shared" si="73"/>
        <v>0</v>
      </c>
      <c r="DV18" s="135">
        <f t="shared" si="73"/>
        <v>0</v>
      </c>
      <c r="DW18" s="135">
        <f t="shared" si="73"/>
        <v>0</v>
      </c>
      <c r="DX18" s="135">
        <f t="shared" si="73"/>
        <v>0</v>
      </c>
      <c r="DY18" s="135">
        <f t="shared" si="73"/>
        <v>0</v>
      </c>
      <c r="DZ18" s="135">
        <f t="shared" si="73"/>
        <v>0</v>
      </c>
      <c r="EA18" s="135">
        <f t="shared" si="73"/>
        <v>0</v>
      </c>
      <c r="EB18" s="135">
        <f t="shared" si="73"/>
        <v>0</v>
      </c>
      <c r="EC18" s="135">
        <f t="shared" si="73"/>
        <v>0</v>
      </c>
      <c r="ED18" s="135">
        <f t="shared" si="73"/>
        <v>0</v>
      </c>
      <c r="EE18" s="135">
        <f t="shared" si="73"/>
        <v>0</v>
      </c>
      <c r="EF18" s="135">
        <f t="shared" si="73"/>
        <v>0</v>
      </c>
      <c r="EG18" s="135">
        <f t="shared" si="73"/>
        <v>0</v>
      </c>
      <c r="EH18" s="135">
        <f t="shared" si="37"/>
        <v>0</v>
      </c>
      <c r="EI18" s="135">
        <f t="shared" ref="EI18:GT21" si="89">IFERROR(IF(EI$1=EOMONTH($G18,0),(-$E18+($E18*(DAY($G18)/DAY(EOMONTH(EI$1,0)))*$F18/12*(1-0.269))),IF(EI$1=$G18,($E18+($E18*(DAY($I18)/DAY(EOMONTH(EI$1,0)))*$F18/12*(1-0.269))),IFERROR(IF($I18&lt;EI$1,0,IF(EI$1&gt;$I18,(($F18/12)*$E18)*(DAY($I18)/DAY(EOMONTH(EI$1,0)))*(1-26.9/100)+$E18,IF(AND(EI$1&gt;=$G18,EI$1&lt;$I18),(($F18/12)*$E18)*(1-26.9/100),""))-IF(EI$1=EOMONTH($G18,0),$E18,"0")),0)+IF(EI$1=EOMONTH($I18,0),($E18+($E18*(DAY($I18)/DAY(EOMONTH(EI$1,0)))*$F18/12*(1-0.269))),"0"))),0)</f>
        <v>0</v>
      </c>
      <c r="EJ18" s="135">
        <f t="shared" si="89"/>
        <v>0</v>
      </c>
      <c r="EK18" s="135">
        <f t="shared" si="89"/>
        <v>0</v>
      </c>
      <c r="EL18" s="135">
        <f t="shared" si="89"/>
        <v>0</v>
      </c>
      <c r="EM18" s="135">
        <f t="shared" si="89"/>
        <v>0</v>
      </c>
      <c r="EN18" s="135">
        <f t="shared" si="89"/>
        <v>0</v>
      </c>
      <c r="EO18" s="135">
        <f t="shared" si="89"/>
        <v>0</v>
      </c>
      <c r="EP18" s="135">
        <f t="shared" si="89"/>
        <v>0</v>
      </c>
      <c r="EQ18" s="135">
        <f t="shared" si="89"/>
        <v>0</v>
      </c>
      <c r="ER18" s="135">
        <f t="shared" si="89"/>
        <v>0</v>
      </c>
      <c r="ES18" s="135">
        <f t="shared" si="89"/>
        <v>0</v>
      </c>
      <c r="ET18" s="135">
        <f t="shared" si="89"/>
        <v>0</v>
      </c>
      <c r="EU18" s="135">
        <f t="shared" si="89"/>
        <v>0</v>
      </c>
      <c r="EV18" s="135">
        <f t="shared" si="89"/>
        <v>0</v>
      </c>
      <c r="EW18" s="135">
        <f t="shared" si="89"/>
        <v>0</v>
      </c>
      <c r="EX18" s="135">
        <f t="shared" si="89"/>
        <v>0</v>
      </c>
      <c r="EY18" s="135">
        <f t="shared" si="89"/>
        <v>0</v>
      </c>
      <c r="EZ18" s="135">
        <f t="shared" si="89"/>
        <v>0</v>
      </c>
      <c r="FA18" s="135">
        <f t="shared" si="89"/>
        <v>0</v>
      </c>
      <c r="FB18" s="135">
        <f t="shared" si="89"/>
        <v>0</v>
      </c>
      <c r="FC18" s="135">
        <f t="shared" si="89"/>
        <v>0</v>
      </c>
      <c r="FD18" s="135">
        <f t="shared" si="89"/>
        <v>0</v>
      </c>
      <c r="FE18" s="135">
        <f t="shared" si="89"/>
        <v>0</v>
      </c>
      <c r="FF18" s="135">
        <f t="shared" si="89"/>
        <v>0</v>
      </c>
      <c r="FG18" s="135">
        <f t="shared" si="89"/>
        <v>0</v>
      </c>
      <c r="FH18" s="135">
        <f t="shared" si="89"/>
        <v>0</v>
      </c>
      <c r="FI18" s="135">
        <f t="shared" si="89"/>
        <v>0</v>
      </c>
      <c r="FJ18" s="135">
        <f t="shared" si="89"/>
        <v>0</v>
      </c>
      <c r="FK18" s="135">
        <f t="shared" si="89"/>
        <v>0</v>
      </c>
      <c r="FL18" s="135">
        <f t="shared" si="89"/>
        <v>0</v>
      </c>
      <c r="FM18" s="135">
        <f t="shared" si="89"/>
        <v>0</v>
      </c>
      <c r="FN18" s="135">
        <f t="shared" si="89"/>
        <v>0</v>
      </c>
      <c r="FO18" s="135">
        <f t="shared" si="89"/>
        <v>0</v>
      </c>
      <c r="FP18" s="135">
        <f t="shared" si="89"/>
        <v>0</v>
      </c>
      <c r="FQ18" s="135">
        <f t="shared" si="89"/>
        <v>0</v>
      </c>
      <c r="FR18" s="135">
        <f t="shared" si="89"/>
        <v>0</v>
      </c>
      <c r="FS18" s="135">
        <f t="shared" si="89"/>
        <v>0</v>
      </c>
      <c r="FT18" s="135">
        <f t="shared" si="89"/>
        <v>0</v>
      </c>
      <c r="FU18" s="135">
        <f t="shared" si="89"/>
        <v>0</v>
      </c>
      <c r="FV18" s="135">
        <f t="shared" si="89"/>
        <v>0</v>
      </c>
      <c r="FW18" s="135">
        <f t="shared" si="89"/>
        <v>0</v>
      </c>
      <c r="FX18" s="135">
        <f t="shared" si="89"/>
        <v>0</v>
      </c>
      <c r="FY18" s="135">
        <f t="shared" si="89"/>
        <v>0</v>
      </c>
      <c r="FZ18" s="135">
        <f t="shared" si="89"/>
        <v>0</v>
      </c>
      <c r="GA18" s="135">
        <f t="shared" si="89"/>
        <v>0</v>
      </c>
      <c r="GB18" s="135">
        <f t="shared" si="89"/>
        <v>0</v>
      </c>
      <c r="GC18" s="135">
        <f t="shared" si="89"/>
        <v>0</v>
      </c>
      <c r="GD18" s="135">
        <f t="shared" si="89"/>
        <v>0</v>
      </c>
      <c r="GE18" s="135">
        <f t="shared" si="89"/>
        <v>0</v>
      </c>
      <c r="GF18" s="135">
        <f t="shared" si="89"/>
        <v>0</v>
      </c>
      <c r="GG18" s="135">
        <f t="shared" si="89"/>
        <v>0</v>
      </c>
      <c r="GH18" s="135">
        <f t="shared" si="89"/>
        <v>0</v>
      </c>
      <c r="GI18" s="135">
        <f t="shared" si="89"/>
        <v>0</v>
      </c>
      <c r="GJ18" s="135">
        <f t="shared" si="89"/>
        <v>0</v>
      </c>
      <c r="GK18" s="135">
        <f t="shared" si="89"/>
        <v>0</v>
      </c>
      <c r="GL18" s="135">
        <f t="shared" si="89"/>
        <v>0</v>
      </c>
      <c r="GM18" s="135">
        <f t="shared" si="89"/>
        <v>0</v>
      </c>
      <c r="GN18" s="135">
        <f t="shared" si="89"/>
        <v>0</v>
      </c>
      <c r="GO18" s="135">
        <f t="shared" si="89"/>
        <v>0</v>
      </c>
      <c r="GP18" s="135">
        <f t="shared" si="89"/>
        <v>0</v>
      </c>
      <c r="GQ18" s="135">
        <f t="shared" si="89"/>
        <v>0</v>
      </c>
      <c r="GR18" s="135">
        <f t="shared" si="89"/>
        <v>0</v>
      </c>
      <c r="GS18" s="135">
        <f t="shared" si="89"/>
        <v>0</v>
      </c>
      <c r="GT18" s="135">
        <f t="shared" si="89"/>
        <v>0</v>
      </c>
      <c r="GU18" s="135">
        <f t="shared" si="87"/>
        <v>0</v>
      </c>
      <c r="GV18" s="135">
        <f t="shared" si="87"/>
        <v>0</v>
      </c>
      <c r="GW18" s="135">
        <f t="shared" si="87"/>
        <v>0</v>
      </c>
      <c r="GX18" s="135">
        <f t="shared" si="87"/>
        <v>0</v>
      </c>
      <c r="GY18" s="135">
        <f t="shared" si="87"/>
        <v>0</v>
      </c>
      <c r="GZ18" s="135">
        <f t="shared" si="87"/>
        <v>0</v>
      </c>
      <c r="HA18" s="135">
        <f t="shared" si="87"/>
        <v>0</v>
      </c>
      <c r="HB18" s="135">
        <f t="shared" si="87"/>
        <v>0</v>
      </c>
      <c r="HC18" s="135">
        <f t="shared" si="87"/>
        <v>0</v>
      </c>
      <c r="HD18" s="135">
        <f t="shared" si="87"/>
        <v>0</v>
      </c>
      <c r="HE18" s="135">
        <f t="shared" si="87"/>
        <v>0</v>
      </c>
      <c r="HF18" s="135">
        <f t="shared" si="87"/>
        <v>0</v>
      </c>
      <c r="HG18" s="135">
        <f t="shared" si="87"/>
        <v>0</v>
      </c>
      <c r="HH18" s="135">
        <f t="shared" si="87"/>
        <v>0</v>
      </c>
      <c r="HI18" s="135">
        <f t="shared" si="87"/>
        <v>0</v>
      </c>
      <c r="HJ18" s="135">
        <f t="shared" si="87"/>
        <v>0</v>
      </c>
      <c r="HK18" s="135">
        <f t="shared" si="87"/>
        <v>0</v>
      </c>
      <c r="HL18" s="135">
        <f t="shared" si="87"/>
        <v>0</v>
      </c>
      <c r="HM18" s="135">
        <f t="shared" si="87"/>
        <v>0</v>
      </c>
      <c r="HN18" s="135">
        <f t="shared" si="87"/>
        <v>0</v>
      </c>
      <c r="HO18" s="135">
        <f t="shared" si="87"/>
        <v>0</v>
      </c>
      <c r="HP18" s="135">
        <f t="shared" si="87"/>
        <v>0</v>
      </c>
      <c r="HQ18" s="135">
        <f t="shared" si="87"/>
        <v>0</v>
      </c>
      <c r="HR18" s="135">
        <f t="shared" si="87"/>
        <v>0</v>
      </c>
      <c r="HS18" s="135">
        <f t="shared" si="87"/>
        <v>0</v>
      </c>
      <c r="HT18" s="135">
        <f t="shared" si="87"/>
        <v>0</v>
      </c>
      <c r="HU18" s="135">
        <f t="shared" si="87"/>
        <v>0</v>
      </c>
      <c r="HV18" s="135">
        <f t="shared" si="87"/>
        <v>0</v>
      </c>
      <c r="HW18" s="135">
        <f t="shared" si="87"/>
        <v>0</v>
      </c>
      <c r="HX18" s="135">
        <f t="shared" si="87"/>
        <v>0</v>
      </c>
      <c r="HY18" s="135">
        <f t="shared" si="87"/>
        <v>0</v>
      </c>
      <c r="HZ18" s="135">
        <f t="shared" si="87"/>
        <v>0</v>
      </c>
      <c r="IA18" s="135">
        <f t="shared" si="87"/>
        <v>0</v>
      </c>
      <c r="IB18" s="135">
        <f t="shared" si="87"/>
        <v>0</v>
      </c>
      <c r="IC18" s="135">
        <f t="shared" si="87"/>
        <v>0</v>
      </c>
      <c r="ID18" s="135">
        <f t="shared" si="87"/>
        <v>0</v>
      </c>
      <c r="IE18" s="135">
        <f t="shared" si="87"/>
        <v>0</v>
      </c>
      <c r="IF18" s="135">
        <f t="shared" si="87"/>
        <v>0</v>
      </c>
      <c r="IG18" s="135">
        <f t="shared" si="87"/>
        <v>0</v>
      </c>
      <c r="IH18" s="135">
        <f t="shared" si="87"/>
        <v>0</v>
      </c>
      <c r="II18" s="135">
        <f t="shared" si="87"/>
        <v>0</v>
      </c>
      <c r="IJ18" s="135">
        <f t="shared" si="87"/>
        <v>0</v>
      </c>
      <c r="IK18" s="135">
        <f t="shared" si="87"/>
        <v>0</v>
      </c>
      <c r="IL18" s="135">
        <f t="shared" si="87"/>
        <v>0</v>
      </c>
      <c r="IM18" s="135">
        <f t="shared" si="87"/>
        <v>0</v>
      </c>
      <c r="IN18" s="135">
        <f t="shared" si="87"/>
        <v>0</v>
      </c>
      <c r="IO18" s="135">
        <f t="shared" si="87"/>
        <v>0</v>
      </c>
      <c r="IP18" s="135">
        <f t="shared" si="87"/>
        <v>0</v>
      </c>
      <c r="IQ18" s="135">
        <f t="shared" si="87"/>
        <v>0</v>
      </c>
      <c r="IR18" s="135">
        <f t="shared" si="87"/>
        <v>0</v>
      </c>
      <c r="IS18" s="135">
        <f t="shared" si="87"/>
        <v>0</v>
      </c>
      <c r="IT18" s="135">
        <f t="shared" si="87"/>
        <v>0</v>
      </c>
      <c r="IU18" s="135">
        <f t="shared" si="87"/>
        <v>0</v>
      </c>
      <c r="IV18" s="135">
        <f t="shared" si="87"/>
        <v>0</v>
      </c>
      <c r="IW18" s="135">
        <f t="shared" si="87"/>
        <v>0</v>
      </c>
      <c r="IX18" s="135">
        <f t="shared" si="87"/>
        <v>0</v>
      </c>
      <c r="IY18" s="135">
        <f t="shared" si="87"/>
        <v>0</v>
      </c>
      <c r="IZ18" s="135">
        <f t="shared" si="87"/>
        <v>0</v>
      </c>
      <c r="JA18" s="135">
        <f t="shared" si="87"/>
        <v>0</v>
      </c>
      <c r="JB18" s="135">
        <f t="shared" si="87"/>
        <v>0</v>
      </c>
      <c r="JC18" s="135">
        <f t="shared" si="87"/>
        <v>0</v>
      </c>
      <c r="JD18" s="135">
        <f t="shared" si="87"/>
        <v>0</v>
      </c>
      <c r="JE18" s="135">
        <f t="shared" si="87"/>
        <v>0</v>
      </c>
      <c r="JF18" s="135">
        <f t="shared" si="62"/>
        <v>0</v>
      </c>
      <c r="JG18" s="135">
        <f t="shared" si="62"/>
        <v>0</v>
      </c>
      <c r="JH18" s="135">
        <f t="shared" si="62"/>
        <v>0</v>
      </c>
      <c r="JI18" s="135">
        <f t="shared" si="62"/>
        <v>0</v>
      </c>
      <c r="JJ18" s="135">
        <f t="shared" ref="JJ18:LU21" si="90">IFERROR(IF(JJ$1=EOMONTH($G18,0),(-$E18+($E18*(DAY($G18)/DAY(EOMONTH(JJ$1,0)))*$F18/12*(1-0.269))),IF(JJ$1=$G18,($E18+($E18*(DAY($I18)/DAY(EOMONTH(JJ$1,0)))*$F18/12*(1-0.269))),IFERROR(IF($I18&lt;JJ$1,0,IF(JJ$1&gt;$I18,(($F18/12)*$E18)*(DAY($I18)/DAY(EOMONTH(JJ$1,0)))*(1-26.9/100)+$E18,IF(AND(JJ$1&gt;=$G18,JJ$1&lt;$I18),(($F18/12)*$E18)*(1-26.9/100),""))-IF(JJ$1=EOMONTH($G18,0),$E18,"0")),0)+IF(JJ$1=EOMONTH($I18,0),($E18+($E18*(DAY($I18)/DAY(EOMONTH(JJ$1,0)))*$F18/12*(1-0.269))),"0"))),0)</f>
        <v>0</v>
      </c>
      <c r="JK18" s="135">
        <f t="shared" si="90"/>
        <v>0</v>
      </c>
      <c r="JL18" s="135">
        <f t="shared" si="90"/>
        <v>0</v>
      </c>
      <c r="JM18" s="135">
        <f t="shared" si="90"/>
        <v>0</v>
      </c>
      <c r="JN18" s="135">
        <f t="shared" si="90"/>
        <v>0</v>
      </c>
      <c r="JO18" s="135">
        <f t="shared" si="90"/>
        <v>0</v>
      </c>
      <c r="JP18" s="135">
        <f t="shared" si="90"/>
        <v>0</v>
      </c>
      <c r="JQ18" s="135">
        <f t="shared" si="90"/>
        <v>0</v>
      </c>
      <c r="JR18" s="135">
        <f t="shared" si="90"/>
        <v>0</v>
      </c>
      <c r="JS18" s="135">
        <f t="shared" si="90"/>
        <v>0</v>
      </c>
      <c r="JT18" s="135">
        <f t="shared" si="90"/>
        <v>0</v>
      </c>
      <c r="JU18" s="135">
        <f t="shared" si="90"/>
        <v>0</v>
      </c>
      <c r="JV18" s="135">
        <f t="shared" si="90"/>
        <v>0</v>
      </c>
      <c r="JW18" s="135">
        <f t="shared" si="90"/>
        <v>0</v>
      </c>
      <c r="JX18" s="135">
        <f t="shared" si="90"/>
        <v>0</v>
      </c>
      <c r="JY18" s="135">
        <f t="shared" si="90"/>
        <v>0</v>
      </c>
      <c r="JZ18" s="135">
        <f t="shared" si="90"/>
        <v>0</v>
      </c>
      <c r="KA18" s="135">
        <f t="shared" si="90"/>
        <v>0</v>
      </c>
      <c r="KB18" s="135">
        <f t="shared" si="90"/>
        <v>0</v>
      </c>
      <c r="KC18" s="135">
        <f t="shared" si="90"/>
        <v>0</v>
      </c>
      <c r="KD18" s="135">
        <f t="shared" si="90"/>
        <v>0</v>
      </c>
      <c r="KE18" s="135">
        <f t="shared" si="90"/>
        <v>0</v>
      </c>
      <c r="KF18" s="135">
        <f t="shared" si="90"/>
        <v>0</v>
      </c>
      <c r="KG18" s="135">
        <f t="shared" si="90"/>
        <v>0</v>
      </c>
      <c r="KH18" s="135">
        <f t="shared" si="90"/>
        <v>0</v>
      </c>
      <c r="KI18" s="135">
        <f t="shared" si="90"/>
        <v>0</v>
      </c>
      <c r="KJ18" s="135">
        <f t="shared" si="90"/>
        <v>0</v>
      </c>
      <c r="KK18" s="135">
        <f t="shared" si="90"/>
        <v>0</v>
      </c>
      <c r="KL18" s="135">
        <f t="shared" si="90"/>
        <v>0</v>
      </c>
      <c r="KM18" s="135">
        <f t="shared" si="90"/>
        <v>0</v>
      </c>
      <c r="KN18" s="135">
        <f t="shared" si="90"/>
        <v>0</v>
      </c>
      <c r="KO18" s="135">
        <f t="shared" si="90"/>
        <v>0</v>
      </c>
      <c r="KP18" s="135">
        <f t="shared" si="90"/>
        <v>0</v>
      </c>
      <c r="KQ18" s="135">
        <f t="shared" si="90"/>
        <v>0</v>
      </c>
      <c r="KR18" s="135">
        <f t="shared" si="90"/>
        <v>0</v>
      </c>
      <c r="KS18" s="135">
        <f t="shared" si="90"/>
        <v>0</v>
      </c>
      <c r="KT18" s="135">
        <f t="shared" si="90"/>
        <v>0</v>
      </c>
      <c r="KU18" s="135">
        <f t="shared" si="90"/>
        <v>0</v>
      </c>
      <c r="KV18" s="135">
        <f t="shared" si="90"/>
        <v>0</v>
      </c>
      <c r="KW18" s="135">
        <f t="shared" si="90"/>
        <v>0</v>
      </c>
      <c r="KX18" s="135">
        <f t="shared" si="90"/>
        <v>0</v>
      </c>
      <c r="KY18" s="135">
        <f t="shared" si="90"/>
        <v>0</v>
      </c>
      <c r="KZ18" s="135">
        <f t="shared" si="90"/>
        <v>0</v>
      </c>
      <c r="LA18" s="135">
        <f t="shared" si="90"/>
        <v>0</v>
      </c>
      <c r="LB18" s="135">
        <f t="shared" si="90"/>
        <v>0</v>
      </c>
      <c r="LC18" s="135">
        <f t="shared" si="90"/>
        <v>0</v>
      </c>
      <c r="LD18" s="135">
        <f t="shared" si="90"/>
        <v>0</v>
      </c>
      <c r="LE18" s="135">
        <f t="shared" si="90"/>
        <v>0</v>
      </c>
      <c r="LF18" s="135">
        <f t="shared" si="90"/>
        <v>0</v>
      </c>
      <c r="LG18" s="135">
        <f t="shared" si="90"/>
        <v>0</v>
      </c>
      <c r="LH18" s="135">
        <f t="shared" si="90"/>
        <v>0</v>
      </c>
      <c r="LI18" s="135">
        <f t="shared" si="90"/>
        <v>0</v>
      </c>
      <c r="LJ18" s="135">
        <f t="shared" si="90"/>
        <v>0</v>
      </c>
      <c r="LK18" s="135">
        <f t="shared" si="90"/>
        <v>0</v>
      </c>
      <c r="LL18" s="135">
        <f t="shared" si="90"/>
        <v>0</v>
      </c>
      <c r="LM18" s="135">
        <f t="shared" si="90"/>
        <v>0</v>
      </c>
      <c r="LN18" s="135">
        <f t="shared" si="90"/>
        <v>0</v>
      </c>
      <c r="LO18" s="135">
        <f t="shared" si="90"/>
        <v>0</v>
      </c>
      <c r="LP18" s="135">
        <f t="shared" si="90"/>
        <v>0</v>
      </c>
      <c r="LQ18" s="135">
        <f t="shared" si="90"/>
        <v>0</v>
      </c>
      <c r="LR18" s="135">
        <f t="shared" si="90"/>
        <v>0</v>
      </c>
      <c r="LS18" s="135">
        <f t="shared" si="90"/>
        <v>0</v>
      </c>
      <c r="LT18" s="135">
        <f t="shared" si="90"/>
        <v>0</v>
      </c>
      <c r="LU18" s="135">
        <f t="shared" si="90"/>
        <v>0</v>
      </c>
      <c r="LV18" s="135">
        <f t="shared" si="88"/>
        <v>0</v>
      </c>
      <c r="LW18" s="135">
        <f t="shared" si="88"/>
        <v>0</v>
      </c>
      <c r="LX18" s="135">
        <f t="shared" si="88"/>
        <v>0</v>
      </c>
      <c r="LY18" s="135">
        <f t="shared" si="88"/>
        <v>0</v>
      </c>
      <c r="LZ18" s="135">
        <f t="shared" si="88"/>
        <v>0</v>
      </c>
      <c r="MA18" s="135">
        <f t="shared" si="88"/>
        <v>0</v>
      </c>
      <c r="MB18" s="135">
        <f t="shared" si="88"/>
        <v>0</v>
      </c>
      <c r="MC18" s="135">
        <f t="shared" si="88"/>
        <v>0</v>
      </c>
      <c r="MD18" s="135">
        <f t="shared" si="88"/>
        <v>0</v>
      </c>
      <c r="ME18" s="135">
        <f t="shared" si="88"/>
        <v>0</v>
      </c>
      <c r="MF18" s="135">
        <f t="shared" si="88"/>
        <v>0</v>
      </c>
      <c r="MG18" s="135">
        <f t="shared" si="88"/>
        <v>0</v>
      </c>
      <c r="MH18" s="135">
        <f t="shared" si="88"/>
        <v>0</v>
      </c>
      <c r="MI18" s="135">
        <f t="shared" si="88"/>
        <v>0</v>
      </c>
      <c r="MJ18" s="135">
        <f t="shared" si="88"/>
        <v>0</v>
      </c>
      <c r="MK18" s="135">
        <f t="shared" si="88"/>
        <v>0</v>
      </c>
      <c r="ML18" s="135">
        <f t="shared" si="88"/>
        <v>0</v>
      </c>
      <c r="MM18" s="135">
        <f t="shared" si="88"/>
        <v>0</v>
      </c>
      <c r="MN18" s="135">
        <f t="shared" si="88"/>
        <v>0</v>
      </c>
      <c r="MO18" s="135">
        <f t="shared" si="88"/>
        <v>0</v>
      </c>
      <c r="MP18" s="135">
        <f t="shared" si="88"/>
        <v>0</v>
      </c>
      <c r="MQ18" s="135">
        <f t="shared" si="88"/>
        <v>0</v>
      </c>
      <c r="MR18" s="135">
        <f t="shared" si="88"/>
        <v>0</v>
      </c>
      <c r="MS18" s="135">
        <f t="shared" si="88"/>
        <v>0</v>
      </c>
      <c r="MT18" s="135">
        <f t="shared" si="88"/>
        <v>0</v>
      </c>
      <c r="MU18" s="135">
        <f t="shared" si="88"/>
        <v>0</v>
      </c>
      <c r="MV18" s="135">
        <f t="shared" si="88"/>
        <v>0</v>
      </c>
      <c r="MW18" s="135">
        <f t="shared" si="88"/>
        <v>0</v>
      </c>
      <c r="MX18" s="135">
        <f t="shared" si="88"/>
        <v>0</v>
      </c>
      <c r="MY18" s="135">
        <f t="shared" si="88"/>
        <v>0</v>
      </c>
      <c r="MZ18" s="135">
        <f t="shared" si="88"/>
        <v>0</v>
      </c>
      <c r="NA18" s="135">
        <f t="shared" si="88"/>
        <v>0</v>
      </c>
      <c r="NB18" s="135">
        <f t="shared" si="88"/>
        <v>0</v>
      </c>
      <c r="NC18" s="135">
        <f t="shared" si="88"/>
        <v>0</v>
      </c>
      <c r="ND18" s="135">
        <f t="shared" si="88"/>
        <v>0</v>
      </c>
      <c r="NE18" s="135">
        <f t="shared" si="88"/>
        <v>0</v>
      </c>
      <c r="NF18" s="135">
        <f t="shared" si="88"/>
        <v>0</v>
      </c>
      <c r="NG18" s="135">
        <f t="shared" si="88"/>
        <v>0</v>
      </c>
      <c r="NH18" s="135">
        <f t="shared" si="88"/>
        <v>0</v>
      </c>
      <c r="NI18" s="135">
        <f t="shared" si="88"/>
        <v>0</v>
      </c>
      <c r="NJ18" s="135">
        <f t="shared" si="88"/>
        <v>0</v>
      </c>
      <c r="NK18" s="135">
        <f t="shared" si="88"/>
        <v>0</v>
      </c>
      <c r="NL18" s="135">
        <f t="shared" si="88"/>
        <v>0</v>
      </c>
      <c r="NM18" s="135">
        <f t="shared" si="88"/>
        <v>0</v>
      </c>
      <c r="NN18" s="135">
        <f t="shared" si="88"/>
        <v>0</v>
      </c>
      <c r="NO18" s="135">
        <f t="shared" si="88"/>
        <v>0</v>
      </c>
      <c r="NP18" s="135">
        <f t="shared" si="88"/>
        <v>0</v>
      </c>
      <c r="NQ18" s="135">
        <f t="shared" si="88"/>
        <v>0</v>
      </c>
      <c r="NR18" s="135">
        <f t="shared" si="88"/>
        <v>0</v>
      </c>
      <c r="NS18" s="135">
        <f t="shared" si="88"/>
        <v>0</v>
      </c>
      <c r="NT18" s="135">
        <f t="shared" si="88"/>
        <v>0</v>
      </c>
      <c r="NU18" s="135">
        <f t="shared" si="88"/>
        <v>0</v>
      </c>
      <c r="NV18" s="135">
        <f t="shared" si="88"/>
        <v>0</v>
      </c>
      <c r="NW18" s="135">
        <f t="shared" si="88"/>
        <v>0</v>
      </c>
      <c r="NX18" s="135">
        <f t="shared" si="88"/>
        <v>0</v>
      </c>
      <c r="NY18" s="135">
        <f t="shared" si="88"/>
        <v>0</v>
      </c>
      <c r="NZ18" s="135">
        <f t="shared" si="88"/>
        <v>0</v>
      </c>
      <c r="OA18" s="135">
        <f t="shared" si="88"/>
        <v>0</v>
      </c>
      <c r="OB18" s="135">
        <f t="shared" si="88"/>
        <v>0</v>
      </c>
      <c r="OC18" s="135">
        <f t="shared" si="88"/>
        <v>0</v>
      </c>
      <c r="OD18" s="135">
        <f t="shared" si="88"/>
        <v>0</v>
      </c>
      <c r="OE18" s="135">
        <f t="shared" si="88"/>
        <v>0</v>
      </c>
      <c r="OF18" s="135">
        <f t="shared" si="88"/>
        <v>0</v>
      </c>
      <c r="OG18" s="135">
        <f t="shared" si="57"/>
        <v>0</v>
      </c>
      <c r="OH18" s="135">
        <f t="shared" si="80"/>
        <v>0</v>
      </c>
      <c r="OI18" s="135">
        <f t="shared" si="80"/>
        <v>0</v>
      </c>
      <c r="OJ18" s="135">
        <f t="shared" si="80"/>
        <v>0</v>
      </c>
      <c r="OK18" s="135">
        <f t="shared" si="80"/>
        <v>0</v>
      </c>
      <c r="OL18" s="135">
        <f t="shared" si="80"/>
        <v>0</v>
      </c>
      <c r="OM18" s="135">
        <f t="shared" si="80"/>
        <v>0</v>
      </c>
      <c r="ON18" s="135">
        <f t="shared" si="80"/>
        <v>0</v>
      </c>
      <c r="OO18" s="135">
        <f t="shared" si="71"/>
        <v>0</v>
      </c>
      <c r="OP18" s="135">
        <f t="shared" si="71"/>
        <v>0</v>
      </c>
      <c r="OQ18" s="135">
        <f t="shared" si="71"/>
        <v>0</v>
      </c>
      <c r="OR18" s="135">
        <f t="shared" si="71"/>
        <v>0</v>
      </c>
      <c r="OS18" s="135">
        <f t="shared" si="71"/>
        <v>0</v>
      </c>
      <c r="OT18" s="135">
        <f t="shared" si="71"/>
        <v>0</v>
      </c>
      <c r="OU18" s="135">
        <f t="shared" si="71"/>
        <v>0</v>
      </c>
      <c r="OV18" s="135">
        <f t="shared" si="71"/>
        <v>0</v>
      </c>
      <c r="OW18" s="135">
        <f t="shared" si="71"/>
        <v>0</v>
      </c>
      <c r="OX18" s="135">
        <f t="shared" si="71"/>
        <v>0</v>
      </c>
      <c r="OY18" s="135">
        <f t="shared" si="71"/>
        <v>0</v>
      </c>
      <c r="OZ18" s="135">
        <f t="shared" si="71"/>
        <v>0</v>
      </c>
      <c r="PA18" s="135">
        <f t="shared" si="71"/>
        <v>0</v>
      </c>
      <c r="PB18" s="135">
        <f t="shared" si="71"/>
        <v>0</v>
      </c>
      <c r="PC18" s="135">
        <f t="shared" si="71"/>
        <v>0</v>
      </c>
      <c r="PD18" s="135">
        <f t="shared" si="71"/>
        <v>0</v>
      </c>
      <c r="PE18" s="135">
        <f t="shared" si="71"/>
        <v>0</v>
      </c>
      <c r="PF18" s="135">
        <f t="shared" si="71"/>
        <v>0</v>
      </c>
      <c r="PG18" s="135">
        <f t="shared" si="71"/>
        <v>0</v>
      </c>
      <c r="PH18" s="135">
        <f t="shared" si="71"/>
        <v>0</v>
      </c>
      <c r="PI18" s="135">
        <f t="shared" ref="PI18:QS18" si="91">IFERROR(IF(PI$1=EOMONTH($G18,0),(-$E18+($E18*(DAY($G18)/DAY(EOMONTH(PI$1,0)))*$F18/12*(1-0.269))),IF(PI$1=$G18,($E18+($E18*(DAY($I18)/DAY(EOMONTH(PI$1,0)))*$F18/12*(1-0.269))),IFERROR(IF($I18&lt;PI$1,0,IF(PI$1&gt;$I18,(($F18/12)*$E18)*(DAY($I18)/DAY(EOMONTH(PI$1,0)))*(1-26.9/100)+$E18,IF(AND(PI$1&gt;=$G18,PI$1&lt;$I18),(($F18/12)*$E18)*(1-26.9/100),""))-IF(PI$1=EOMONTH($G18,0),$E18,"0")),0)+IF(PI$1=EOMONTH($I18,0),($E18+($E18*(DAY($I18)/DAY(EOMONTH(PI$1,0)))*$F18/12*(1-0.269))),"0"))),0)</f>
        <v>0</v>
      </c>
      <c r="PJ18" s="135">
        <f t="shared" si="91"/>
        <v>0</v>
      </c>
      <c r="PK18" s="135">
        <f t="shared" si="91"/>
        <v>0</v>
      </c>
      <c r="PL18" s="135">
        <f t="shared" si="91"/>
        <v>0</v>
      </c>
      <c r="PM18" s="135">
        <f t="shared" si="91"/>
        <v>0</v>
      </c>
      <c r="PN18" s="135">
        <f t="shared" si="91"/>
        <v>0</v>
      </c>
      <c r="PO18" s="135">
        <f t="shared" si="91"/>
        <v>0</v>
      </c>
      <c r="PP18" s="135">
        <f t="shared" si="91"/>
        <v>0</v>
      </c>
      <c r="PQ18" s="135">
        <f t="shared" si="91"/>
        <v>0</v>
      </c>
      <c r="PR18" s="135">
        <f t="shared" si="91"/>
        <v>0</v>
      </c>
      <c r="PS18" s="135">
        <f t="shared" si="91"/>
        <v>0</v>
      </c>
      <c r="PT18" s="135">
        <f t="shared" si="91"/>
        <v>0</v>
      </c>
      <c r="PU18" s="135">
        <f t="shared" si="91"/>
        <v>0</v>
      </c>
      <c r="PV18" s="135">
        <f t="shared" si="91"/>
        <v>0</v>
      </c>
      <c r="PW18" s="135">
        <f t="shared" si="91"/>
        <v>0</v>
      </c>
      <c r="PX18" s="135">
        <f t="shared" si="91"/>
        <v>0</v>
      </c>
      <c r="PY18" s="135">
        <f t="shared" si="91"/>
        <v>0</v>
      </c>
      <c r="PZ18" s="135">
        <f t="shared" si="91"/>
        <v>0</v>
      </c>
      <c r="QA18" s="135">
        <f t="shared" si="91"/>
        <v>0</v>
      </c>
      <c r="QB18" s="135">
        <f t="shared" si="91"/>
        <v>0</v>
      </c>
      <c r="QC18" s="135">
        <f t="shared" si="91"/>
        <v>0</v>
      </c>
      <c r="QD18" s="135">
        <f t="shared" si="91"/>
        <v>0</v>
      </c>
      <c r="QE18" s="135">
        <f t="shared" si="91"/>
        <v>0</v>
      </c>
      <c r="QF18" s="135">
        <f t="shared" si="91"/>
        <v>0</v>
      </c>
      <c r="QG18" s="135">
        <f t="shared" si="91"/>
        <v>0</v>
      </c>
      <c r="QH18" s="135">
        <f t="shared" si="91"/>
        <v>0</v>
      </c>
      <c r="QI18" s="135">
        <f t="shared" si="91"/>
        <v>0</v>
      </c>
      <c r="QJ18" s="135">
        <f t="shared" si="91"/>
        <v>0</v>
      </c>
      <c r="QK18" s="135">
        <f t="shared" si="91"/>
        <v>0</v>
      </c>
      <c r="QL18" s="135">
        <f t="shared" si="91"/>
        <v>0</v>
      </c>
      <c r="QM18" s="135">
        <f t="shared" si="91"/>
        <v>0</v>
      </c>
      <c r="QN18" s="135">
        <f t="shared" si="91"/>
        <v>0</v>
      </c>
      <c r="QO18" s="135">
        <f t="shared" si="91"/>
        <v>0</v>
      </c>
      <c r="QP18" s="135">
        <f t="shared" si="91"/>
        <v>0</v>
      </c>
      <c r="QQ18" s="135">
        <f t="shared" si="91"/>
        <v>0</v>
      </c>
      <c r="QR18" s="135">
        <f t="shared" si="91"/>
        <v>0</v>
      </c>
      <c r="QS18" s="135">
        <f t="shared" si="91"/>
        <v>0</v>
      </c>
      <c r="QT18" s="135">
        <f t="shared" si="72"/>
        <v>0</v>
      </c>
      <c r="QU18" s="135">
        <f t="shared" si="72"/>
        <v>0</v>
      </c>
      <c r="QV18" s="135">
        <f t="shared" ref="QV18:RT18" si="92">IFERROR(IF(QV$1=EOMONTH($G18,0),(-$E18+($E18*(DAY($G18)/DAY(EOMONTH(QV$1,0)))*$F18/12*(1-0.269))),IF(QV$1=$G18,($E18+($E18*(DAY($I18)/DAY(EOMONTH(QV$1,0)))*$F18/12*(1-0.269))),IFERROR(IF($I18&lt;QV$1,0,IF(QV$1&gt;$I18,(($F18/12)*$E18)*(DAY($I18)/DAY(EOMONTH(QV$1,0)))*(1-26.9/100)+$E18,IF(AND(QV$1&gt;=$G18,QV$1&lt;$I18),(($F18/12)*$E18)*(1-26.9/100),""))-IF(QV$1=EOMONTH($G18,0),$E18,"0")),0)+IF(QV$1=EOMONTH($I18,0),($E18+($E18*(DAY($I18)/DAY(EOMONTH(QV$1,0)))*$F18/12*(1-0.269))),"0"))),0)</f>
        <v>0</v>
      </c>
      <c r="QW18" s="135">
        <f t="shared" si="92"/>
        <v>0</v>
      </c>
      <c r="QX18" s="135">
        <f t="shared" si="92"/>
        <v>0</v>
      </c>
      <c r="QY18" s="135">
        <f t="shared" si="92"/>
        <v>0</v>
      </c>
      <c r="QZ18" s="135">
        <f t="shared" si="92"/>
        <v>0</v>
      </c>
      <c r="RA18" s="135">
        <f t="shared" si="92"/>
        <v>0</v>
      </c>
      <c r="RB18" s="135">
        <f t="shared" si="92"/>
        <v>0</v>
      </c>
      <c r="RC18" s="135">
        <f t="shared" si="92"/>
        <v>0</v>
      </c>
      <c r="RD18" s="135">
        <f t="shared" si="92"/>
        <v>0</v>
      </c>
      <c r="RE18" s="135">
        <f t="shared" si="92"/>
        <v>0</v>
      </c>
      <c r="RF18" s="135">
        <f t="shared" si="92"/>
        <v>0</v>
      </c>
      <c r="RG18" s="135">
        <f t="shared" si="92"/>
        <v>0</v>
      </c>
      <c r="RH18" s="135">
        <f t="shared" si="92"/>
        <v>0</v>
      </c>
      <c r="RI18" s="135">
        <f t="shared" si="92"/>
        <v>0</v>
      </c>
      <c r="RJ18" s="135">
        <f t="shared" si="92"/>
        <v>0</v>
      </c>
      <c r="RK18" s="135">
        <f t="shared" si="92"/>
        <v>0</v>
      </c>
      <c r="RL18" s="135">
        <f t="shared" si="92"/>
        <v>0</v>
      </c>
      <c r="RM18" s="135">
        <f t="shared" si="92"/>
        <v>0</v>
      </c>
      <c r="RN18" s="135">
        <f t="shared" si="92"/>
        <v>0</v>
      </c>
      <c r="RO18" s="135">
        <f t="shared" si="92"/>
        <v>0</v>
      </c>
      <c r="RP18" s="135">
        <f t="shared" si="92"/>
        <v>0</v>
      </c>
      <c r="RQ18" s="135">
        <f t="shared" si="92"/>
        <v>0</v>
      </c>
      <c r="RR18" s="135">
        <f t="shared" si="92"/>
        <v>0</v>
      </c>
      <c r="RS18" s="135">
        <f t="shared" si="92"/>
        <v>0</v>
      </c>
      <c r="RT18" s="135">
        <f t="shared" si="92"/>
        <v>0</v>
      </c>
      <c r="RU18" s="135">
        <f t="shared" si="85"/>
        <v>0</v>
      </c>
      <c r="RV18" s="135">
        <f t="shared" si="85"/>
        <v>0</v>
      </c>
      <c r="RW18" s="135">
        <f t="shared" si="85"/>
        <v>0</v>
      </c>
      <c r="RX18" s="135">
        <f t="shared" si="85"/>
        <v>0</v>
      </c>
      <c r="RY18" s="135">
        <f t="shared" si="85"/>
        <v>0</v>
      </c>
      <c r="RZ18" s="135">
        <f t="shared" si="85"/>
        <v>0</v>
      </c>
      <c r="SA18" s="135">
        <f t="shared" si="85"/>
        <v>0</v>
      </c>
      <c r="SB18" s="135">
        <f t="shared" si="85"/>
        <v>0</v>
      </c>
      <c r="SC18" s="135">
        <f t="shared" si="85"/>
        <v>0</v>
      </c>
      <c r="SD18" s="135">
        <f t="shared" si="85"/>
        <v>0</v>
      </c>
      <c r="SE18" s="135">
        <f t="shared" si="85"/>
        <v>0</v>
      </c>
      <c r="SF18" s="135">
        <f t="shared" si="85"/>
        <v>0</v>
      </c>
      <c r="SG18" s="135">
        <f t="shared" si="85"/>
        <v>0</v>
      </c>
      <c r="SH18" s="135">
        <f t="shared" si="85"/>
        <v>0</v>
      </c>
      <c r="SI18" s="135">
        <f t="shared" si="85"/>
        <v>0</v>
      </c>
      <c r="SJ18" s="135">
        <f t="shared" si="85"/>
        <v>0</v>
      </c>
      <c r="SK18" s="135">
        <f t="shared" si="85"/>
        <v>0</v>
      </c>
      <c r="SL18" s="135">
        <f t="shared" si="85"/>
        <v>0</v>
      </c>
      <c r="SM18" s="135">
        <f t="shared" si="85"/>
        <v>0</v>
      </c>
      <c r="SN18" s="135">
        <f t="shared" si="85"/>
        <v>0</v>
      </c>
      <c r="SO18" s="135">
        <f t="shared" si="85"/>
        <v>0</v>
      </c>
      <c r="SP18" s="135">
        <f t="shared" si="85"/>
        <v>0</v>
      </c>
      <c r="SQ18" s="135">
        <f t="shared" si="85"/>
        <v>0</v>
      </c>
      <c r="SR18" s="135">
        <f t="shared" si="85"/>
        <v>0</v>
      </c>
      <c r="SS18" s="135">
        <f t="shared" si="85"/>
        <v>0</v>
      </c>
      <c r="ST18" s="135">
        <f t="shared" si="85"/>
        <v>0</v>
      </c>
      <c r="SU18" s="135">
        <f t="shared" si="85"/>
        <v>0</v>
      </c>
      <c r="SV18" s="135">
        <f t="shared" si="85"/>
        <v>0</v>
      </c>
      <c r="SW18" s="135">
        <f t="shared" si="85"/>
        <v>0</v>
      </c>
      <c r="SX18" s="135">
        <f t="shared" si="85"/>
        <v>0</v>
      </c>
      <c r="SY18" s="135">
        <f t="shared" si="85"/>
        <v>0</v>
      </c>
      <c r="SZ18" s="135">
        <f t="shared" si="85"/>
        <v>0</v>
      </c>
      <c r="TA18" s="135">
        <f t="shared" si="85"/>
        <v>0</v>
      </c>
      <c r="TB18" s="135">
        <f t="shared" si="85"/>
        <v>0</v>
      </c>
      <c r="TC18" s="135">
        <f t="shared" si="85"/>
        <v>0</v>
      </c>
      <c r="TD18" s="135">
        <f t="shared" si="85"/>
        <v>0</v>
      </c>
      <c r="TE18" s="135">
        <f t="shared" si="85"/>
        <v>0</v>
      </c>
      <c r="TF18" s="135">
        <f t="shared" si="85"/>
        <v>0</v>
      </c>
      <c r="TG18" s="135">
        <f t="shared" si="85"/>
        <v>0</v>
      </c>
      <c r="TH18" s="135">
        <f t="shared" si="86"/>
        <v>0</v>
      </c>
      <c r="TI18" s="135">
        <f t="shared" si="86"/>
        <v>0</v>
      </c>
      <c r="TJ18" s="135">
        <f t="shared" si="86"/>
        <v>0</v>
      </c>
      <c r="TK18" s="135">
        <f t="shared" si="86"/>
        <v>0</v>
      </c>
      <c r="TL18" s="135">
        <f t="shared" si="86"/>
        <v>0</v>
      </c>
      <c r="TM18" s="135">
        <f t="shared" si="67"/>
        <v>0</v>
      </c>
      <c r="TN18" s="135">
        <f t="shared" si="67"/>
        <v>0</v>
      </c>
      <c r="TO18" s="135">
        <f t="shared" si="67"/>
        <v>0</v>
      </c>
      <c r="TP18" s="135">
        <f t="shared" si="67"/>
        <v>0</v>
      </c>
      <c r="TQ18" s="135">
        <f t="shared" si="67"/>
        <v>0</v>
      </c>
      <c r="TR18" s="135">
        <f t="shared" si="67"/>
        <v>0</v>
      </c>
      <c r="TS18" s="135">
        <f t="shared" si="67"/>
        <v>0</v>
      </c>
      <c r="TT18" s="135">
        <f t="shared" si="67"/>
        <v>0</v>
      </c>
      <c r="TU18" s="135">
        <f t="shared" si="67"/>
        <v>0</v>
      </c>
      <c r="TV18" s="135">
        <f t="shared" si="67"/>
        <v>0</v>
      </c>
      <c r="TW18" s="135">
        <f t="shared" si="67"/>
        <v>0</v>
      </c>
      <c r="TX18" s="135">
        <f t="shared" si="67"/>
        <v>0</v>
      </c>
      <c r="TY18" s="135">
        <f t="shared" si="67"/>
        <v>0</v>
      </c>
      <c r="TZ18" s="135">
        <f t="shared" si="67"/>
        <v>0</v>
      </c>
      <c r="UA18" s="135">
        <f t="shared" si="67"/>
        <v>0</v>
      </c>
      <c r="UB18" s="135">
        <f t="shared" si="67"/>
        <v>0</v>
      </c>
      <c r="UC18" s="135">
        <f t="shared" si="67"/>
        <v>0</v>
      </c>
      <c r="UD18" s="135">
        <f t="shared" si="67"/>
        <v>0</v>
      </c>
      <c r="UE18" s="135">
        <f t="shared" si="67"/>
        <v>0</v>
      </c>
      <c r="UF18" s="135">
        <f t="shared" si="67"/>
        <v>0</v>
      </c>
      <c r="UG18" s="135">
        <f t="shared" si="67"/>
        <v>0</v>
      </c>
      <c r="UH18" s="135">
        <f t="shared" si="67"/>
        <v>0</v>
      </c>
      <c r="UI18" s="135">
        <f t="shared" si="67"/>
        <v>0</v>
      </c>
      <c r="UJ18" s="135">
        <f t="shared" si="67"/>
        <v>0</v>
      </c>
      <c r="UK18" s="135">
        <f t="shared" si="67"/>
        <v>0</v>
      </c>
    </row>
    <row r="19" spans="2:557">
      <c r="B19" t="str">
        <f>IF(Samenvatting!$F120&lt;&gt;0,Samenvatting!C120,"")</f>
        <v/>
      </c>
      <c r="C19" t="str">
        <f>IF(Samenvatting!$F120&lt;&gt;0,Samenvatting!D120,"")</f>
        <v/>
      </c>
      <c r="D19" t="str">
        <f>IF(Samenvatting!$F120&lt;&gt;0,Samenvatting!E120,"")</f>
        <v/>
      </c>
      <c r="E19" t="str">
        <f>IF(Samenvatting!$F120&lt;&gt;0,Samenvatting!F120,"")</f>
        <v/>
      </c>
      <c r="F19" t="str">
        <f>IF(Samenvatting!$F120&lt;&gt;0,Samenvatting!H120,"")</f>
        <v/>
      </c>
      <c r="G19" s="134" t="str">
        <f>IF(Samenvatting!$F120&lt;&gt;0,Samenvatting!I120,"")</f>
        <v/>
      </c>
      <c r="H19" t="str">
        <f>IF(Samenvatting!$F120&lt;&gt;0,Samenvatting!J120,"")</f>
        <v/>
      </c>
      <c r="I19" s="134" t="str">
        <f>IF(Samenvatting!$F120&lt;&gt;0,Samenvatting!K120,"")</f>
        <v/>
      </c>
      <c r="J19" s="135">
        <f t="shared" si="0"/>
        <v>0</v>
      </c>
      <c r="K19" s="135">
        <f t="shared" si="84"/>
        <v>0</v>
      </c>
      <c r="L19" s="135">
        <f t="shared" si="84"/>
        <v>0</v>
      </c>
      <c r="M19" s="135">
        <f t="shared" si="84"/>
        <v>0</v>
      </c>
      <c r="N19" s="135">
        <f t="shared" si="84"/>
        <v>0</v>
      </c>
      <c r="O19" s="135">
        <f t="shared" si="84"/>
        <v>0</v>
      </c>
      <c r="P19" s="135">
        <f t="shared" si="84"/>
        <v>0</v>
      </c>
      <c r="Q19" s="135">
        <f t="shared" si="84"/>
        <v>0</v>
      </c>
      <c r="R19" s="135">
        <f t="shared" si="84"/>
        <v>0</v>
      </c>
      <c r="S19" s="135">
        <f t="shared" si="84"/>
        <v>0</v>
      </c>
      <c r="T19" s="135">
        <f t="shared" si="84"/>
        <v>0</v>
      </c>
      <c r="U19" s="135">
        <f t="shared" si="84"/>
        <v>0</v>
      </c>
      <c r="V19" s="135">
        <f t="shared" si="84"/>
        <v>0</v>
      </c>
      <c r="W19" s="135">
        <f t="shared" si="84"/>
        <v>0</v>
      </c>
      <c r="X19" s="135">
        <f t="shared" si="84"/>
        <v>0</v>
      </c>
      <c r="Y19" s="135">
        <f t="shared" si="84"/>
        <v>0</v>
      </c>
      <c r="Z19" s="135">
        <f t="shared" si="84"/>
        <v>0</v>
      </c>
      <c r="AA19" s="135">
        <f t="shared" si="84"/>
        <v>0</v>
      </c>
      <c r="AB19" s="135">
        <f t="shared" si="84"/>
        <v>0</v>
      </c>
      <c r="AC19" s="135">
        <f t="shared" si="84"/>
        <v>0</v>
      </c>
      <c r="AD19" s="135">
        <f t="shared" si="84"/>
        <v>0</v>
      </c>
      <c r="AE19" s="135">
        <f t="shared" si="84"/>
        <v>0</v>
      </c>
      <c r="AF19" s="135">
        <f t="shared" si="84"/>
        <v>0</v>
      </c>
      <c r="AG19" s="135">
        <f t="shared" si="84"/>
        <v>0</v>
      </c>
      <c r="AH19" s="135">
        <f t="shared" si="84"/>
        <v>0</v>
      </c>
      <c r="AI19" s="135">
        <f t="shared" si="84"/>
        <v>0</v>
      </c>
      <c r="AJ19" s="135">
        <f t="shared" si="84"/>
        <v>0</v>
      </c>
      <c r="AK19" s="135">
        <f t="shared" si="84"/>
        <v>0</v>
      </c>
      <c r="AL19" s="135">
        <f t="shared" si="84"/>
        <v>0</v>
      </c>
      <c r="AM19" s="135">
        <f t="shared" si="84"/>
        <v>0</v>
      </c>
      <c r="AN19" s="135">
        <f t="shared" si="84"/>
        <v>0</v>
      </c>
      <c r="AO19" s="135">
        <f t="shared" si="84"/>
        <v>0</v>
      </c>
      <c r="AP19" s="135">
        <f t="shared" si="84"/>
        <v>0</v>
      </c>
      <c r="AQ19" s="135">
        <f t="shared" si="84"/>
        <v>0</v>
      </c>
      <c r="AR19" s="135">
        <f t="shared" si="84"/>
        <v>0</v>
      </c>
      <c r="AS19" s="135">
        <f t="shared" si="84"/>
        <v>0</v>
      </c>
      <c r="AT19" s="135">
        <f t="shared" si="84"/>
        <v>0</v>
      </c>
      <c r="AU19" s="135">
        <f t="shared" si="84"/>
        <v>0</v>
      </c>
      <c r="AV19" s="135">
        <f t="shared" si="84"/>
        <v>0</v>
      </c>
      <c r="AW19" s="135">
        <f t="shared" si="84"/>
        <v>0</v>
      </c>
      <c r="AX19" s="135">
        <f t="shared" si="84"/>
        <v>0</v>
      </c>
      <c r="AY19" s="135">
        <f t="shared" si="84"/>
        <v>0</v>
      </c>
      <c r="AZ19" s="135">
        <f t="shared" si="84"/>
        <v>0</v>
      </c>
      <c r="BA19" s="135">
        <f t="shared" si="84"/>
        <v>0</v>
      </c>
      <c r="BB19" s="135">
        <f t="shared" si="84"/>
        <v>0</v>
      </c>
      <c r="BC19" s="135">
        <f t="shared" si="84"/>
        <v>0</v>
      </c>
      <c r="BD19" s="135">
        <f t="shared" si="84"/>
        <v>0</v>
      </c>
      <c r="BE19" s="135">
        <f t="shared" si="84"/>
        <v>0</v>
      </c>
      <c r="BF19" s="135">
        <f t="shared" si="84"/>
        <v>0</v>
      </c>
      <c r="BG19" s="135">
        <f t="shared" si="84"/>
        <v>0</v>
      </c>
      <c r="BH19" s="135">
        <f t="shared" si="84"/>
        <v>0</v>
      </c>
      <c r="BI19" s="135">
        <f t="shared" si="84"/>
        <v>0</v>
      </c>
      <c r="BJ19" s="135">
        <f t="shared" si="84"/>
        <v>0</v>
      </c>
      <c r="BK19" s="135">
        <f t="shared" si="84"/>
        <v>0</v>
      </c>
      <c r="BL19" s="135">
        <f t="shared" si="84"/>
        <v>0</v>
      </c>
      <c r="BM19" s="135">
        <f t="shared" si="84"/>
        <v>0</v>
      </c>
      <c r="BN19" s="135">
        <f t="shared" si="84"/>
        <v>0</v>
      </c>
      <c r="BO19" s="135">
        <f t="shared" si="84"/>
        <v>0</v>
      </c>
      <c r="BP19" s="135">
        <f t="shared" si="84"/>
        <v>0</v>
      </c>
      <c r="BQ19" s="135">
        <f t="shared" si="84"/>
        <v>0</v>
      </c>
      <c r="BR19" s="135">
        <f t="shared" si="84"/>
        <v>0</v>
      </c>
      <c r="BS19" s="135">
        <f t="shared" si="84"/>
        <v>0</v>
      </c>
      <c r="BT19" s="135">
        <f t="shared" si="84"/>
        <v>0</v>
      </c>
      <c r="BU19" s="135">
        <f t="shared" si="84"/>
        <v>0</v>
      </c>
      <c r="BV19" s="135">
        <f t="shared" ref="BV19:EG22" si="93">IFERROR(IF(BV$1=EOMONTH($G19,0),(-$E19+($E19*(DAY($G19)/DAY(EOMONTH(BV$1,0)))*$F19/12*(1-0.269))),IF(BV$1=$G19,($E19+($E19*(DAY($I19)/DAY(EOMONTH(BV$1,0)))*$F19/12*(1-0.269))),IFERROR(IF($I19&lt;BV$1,0,IF(BV$1&gt;$I19,(($F19/12)*$E19)*(DAY($I19)/DAY(EOMONTH(BV$1,0)))*(1-26.9/100)+$E19,IF(AND(BV$1&gt;=$G19,BV$1&lt;$I19),(($F19/12)*$E19)*(1-26.9/100),""))-IF(BV$1=EOMONTH($G19,0),$E19,"0")),0)+IF(BV$1=EOMONTH($I19,0),($E19+($E19*(DAY($I19)/DAY(EOMONTH(BV$1,0)))*$F19/12*(1-0.269))),"0"))),0)</f>
        <v>0</v>
      </c>
      <c r="BW19" s="135">
        <f t="shared" si="93"/>
        <v>0</v>
      </c>
      <c r="BX19" s="135">
        <f t="shared" si="93"/>
        <v>0</v>
      </c>
      <c r="BY19" s="135">
        <f t="shared" si="93"/>
        <v>0</v>
      </c>
      <c r="BZ19" s="135">
        <f t="shared" si="93"/>
        <v>0</v>
      </c>
      <c r="CA19" s="135">
        <f t="shared" si="93"/>
        <v>0</v>
      </c>
      <c r="CB19" s="135">
        <f t="shared" si="93"/>
        <v>0</v>
      </c>
      <c r="CC19" s="135">
        <f t="shared" si="93"/>
        <v>0</v>
      </c>
      <c r="CD19" s="135">
        <f t="shared" si="93"/>
        <v>0</v>
      </c>
      <c r="CE19" s="135">
        <f t="shared" si="93"/>
        <v>0</v>
      </c>
      <c r="CF19" s="135">
        <f t="shared" si="93"/>
        <v>0</v>
      </c>
      <c r="CG19" s="135">
        <f t="shared" si="93"/>
        <v>0</v>
      </c>
      <c r="CH19" s="135">
        <f t="shared" si="93"/>
        <v>0</v>
      </c>
      <c r="CI19" s="135">
        <f t="shared" si="93"/>
        <v>0</v>
      </c>
      <c r="CJ19" s="135">
        <f t="shared" si="93"/>
        <v>0</v>
      </c>
      <c r="CK19" s="135">
        <f t="shared" si="93"/>
        <v>0</v>
      </c>
      <c r="CL19" s="135">
        <f t="shared" si="93"/>
        <v>0</v>
      </c>
      <c r="CM19" s="135">
        <f t="shared" si="93"/>
        <v>0</v>
      </c>
      <c r="CN19" s="135">
        <f t="shared" si="93"/>
        <v>0</v>
      </c>
      <c r="CO19" s="135">
        <f t="shared" si="93"/>
        <v>0</v>
      </c>
      <c r="CP19" s="135">
        <f t="shared" si="93"/>
        <v>0</v>
      </c>
      <c r="CQ19" s="135">
        <f t="shared" si="93"/>
        <v>0</v>
      </c>
      <c r="CR19" s="135">
        <f t="shared" si="93"/>
        <v>0</v>
      </c>
      <c r="CS19" s="135">
        <f t="shared" si="93"/>
        <v>0</v>
      </c>
      <c r="CT19" s="135">
        <f t="shared" si="93"/>
        <v>0</v>
      </c>
      <c r="CU19" s="135">
        <f t="shared" si="93"/>
        <v>0</v>
      </c>
      <c r="CV19" s="135">
        <f t="shared" si="93"/>
        <v>0</v>
      </c>
      <c r="CW19" s="135">
        <f t="shared" si="93"/>
        <v>0</v>
      </c>
      <c r="CX19" s="135">
        <f t="shared" si="93"/>
        <v>0</v>
      </c>
      <c r="CY19" s="135">
        <f t="shared" si="93"/>
        <v>0</v>
      </c>
      <c r="CZ19" s="135">
        <f t="shared" si="93"/>
        <v>0</v>
      </c>
      <c r="DA19" s="135">
        <f t="shared" si="93"/>
        <v>0</v>
      </c>
      <c r="DB19" s="135">
        <f t="shared" si="93"/>
        <v>0</v>
      </c>
      <c r="DC19" s="135">
        <f t="shared" si="93"/>
        <v>0</v>
      </c>
      <c r="DD19" s="135">
        <f t="shared" si="93"/>
        <v>0</v>
      </c>
      <c r="DE19" s="135">
        <f t="shared" si="93"/>
        <v>0</v>
      </c>
      <c r="DF19" s="135">
        <f t="shared" si="93"/>
        <v>0</v>
      </c>
      <c r="DG19" s="135">
        <f t="shared" si="93"/>
        <v>0</v>
      </c>
      <c r="DH19" s="135">
        <f t="shared" si="93"/>
        <v>0</v>
      </c>
      <c r="DI19" s="135">
        <f t="shared" si="93"/>
        <v>0</v>
      </c>
      <c r="DJ19" s="135">
        <f t="shared" si="93"/>
        <v>0</v>
      </c>
      <c r="DK19" s="135">
        <f t="shared" si="93"/>
        <v>0</v>
      </c>
      <c r="DL19" s="135">
        <f t="shared" si="93"/>
        <v>0</v>
      </c>
      <c r="DM19" s="135">
        <f t="shared" si="93"/>
        <v>0</v>
      </c>
      <c r="DN19" s="135">
        <f t="shared" si="93"/>
        <v>0</v>
      </c>
      <c r="DO19" s="135">
        <f t="shared" si="93"/>
        <v>0</v>
      </c>
      <c r="DP19" s="135">
        <f t="shared" si="93"/>
        <v>0</v>
      </c>
      <c r="DQ19" s="135">
        <f t="shared" si="93"/>
        <v>0</v>
      </c>
      <c r="DR19" s="135">
        <f t="shared" si="93"/>
        <v>0</v>
      </c>
      <c r="DS19" s="135">
        <f t="shared" si="93"/>
        <v>0</v>
      </c>
      <c r="DT19" s="135">
        <f t="shared" si="93"/>
        <v>0</v>
      </c>
      <c r="DU19" s="135">
        <f t="shared" si="93"/>
        <v>0</v>
      </c>
      <c r="DV19" s="135">
        <f t="shared" si="93"/>
        <v>0</v>
      </c>
      <c r="DW19" s="135">
        <f t="shared" si="93"/>
        <v>0</v>
      </c>
      <c r="DX19" s="135">
        <f t="shared" si="93"/>
        <v>0</v>
      </c>
      <c r="DY19" s="135">
        <f t="shared" si="93"/>
        <v>0</v>
      </c>
      <c r="DZ19" s="135">
        <f t="shared" si="93"/>
        <v>0</v>
      </c>
      <c r="EA19" s="135">
        <f t="shared" si="93"/>
        <v>0</v>
      </c>
      <c r="EB19" s="135">
        <f t="shared" si="93"/>
        <v>0</v>
      </c>
      <c r="EC19" s="135">
        <f t="shared" si="93"/>
        <v>0</v>
      </c>
      <c r="ED19" s="135">
        <f t="shared" si="93"/>
        <v>0</v>
      </c>
      <c r="EE19" s="135">
        <f t="shared" si="93"/>
        <v>0</v>
      </c>
      <c r="EF19" s="135">
        <f t="shared" si="93"/>
        <v>0</v>
      </c>
      <c r="EG19" s="135">
        <f t="shared" si="93"/>
        <v>0</v>
      </c>
      <c r="EH19" s="135">
        <f t="shared" si="37"/>
        <v>0</v>
      </c>
      <c r="EI19" s="135">
        <f t="shared" si="89"/>
        <v>0</v>
      </c>
      <c r="EJ19" s="135">
        <f t="shared" si="89"/>
        <v>0</v>
      </c>
      <c r="EK19" s="135">
        <f t="shared" si="89"/>
        <v>0</v>
      </c>
      <c r="EL19" s="135">
        <f t="shared" si="89"/>
        <v>0</v>
      </c>
      <c r="EM19" s="135">
        <f t="shared" si="89"/>
        <v>0</v>
      </c>
      <c r="EN19" s="135">
        <f t="shared" si="89"/>
        <v>0</v>
      </c>
      <c r="EO19" s="135">
        <f t="shared" si="89"/>
        <v>0</v>
      </c>
      <c r="EP19" s="135">
        <f t="shared" si="89"/>
        <v>0</v>
      </c>
      <c r="EQ19" s="135">
        <f t="shared" si="89"/>
        <v>0</v>
      </c>
      <c r="ER19" s="135">
        <f t="shared" si="89"/>
        <v>0</v>
      </c>
      <c r="ES19" s="135">
        <f t="shared" si="89"/>
        <v>0</v>
      </c>
      <c r="ET19" s="135">
        <f t="shared" si="89"/>
        <v>0</v>
      </c>
      <c r="EU19" s="135">
        <f t="shared" si="89"/>
        <v>0</v>
      </c>
      <c r="EV19" s="135">
        <f t="shared" si="89"/>
        <v>0</v>
      </c>
      <c r="EW19" s="135">
        <f t="shared" si="89"/>
        <v>0</v>
      </c>
      <c r="EX19" s="135">
        <f t="shared" si="89"/>
        <v>0</v>
      </c>
      <c r="EY19" s="135">
        <f t="shared" si="89"/>
        <v>0</v>
      </c>
      <c r="EZ19" s="135">
        <f t="shared" si="89"/>
        <v>0</v>
      </c>
      <c r="FA19" s="135">
        <f t="shared" si="89"/>
        <v>0</v>
      </c>
      <c r="FB19" s="135">
        <f t="shared" si="89"/>
        <v>0</v>
      </c>
      <c r="FC19" s="135">
        <f t="shared" si="89"/>
        <v>0</v>
      </c>
      <c r="FD19" s="135">
        <f t="shared" si="89"/>
        <v>0</v>
      </c>
      <c r="FE19" s="135">
        <f t="shared" si="89"/>
        <v>0</v>
      </c>
      <c r="FF19" s="135">
        <f t="shared" si="89"/>
        <v>0</v>
      </c>
      <c r="FG19" s="135">
        <f t="shared" si="89"/>
        <v>0</v>
      </c>
      <c r="FH19" s="135">
        <f t="shared" si="89"/>
        <v>0</v>
      </c>
      <c r="FI19" s="135">
        <f t="shared" si="89"/>
        <v>0</v>
      </c>
      <c r="FJ19" s="135">
        <f t="shared" si="89"/>
        <v>0</v>
      </c>
      <c r="FK19" s="135">
        <f t="shared" si="89"/>
        <v>0</v>
      </c>
      <c r="FL19" s="135">
        <f t="shared" si="89"/>
        <v>0</v>
      </c>
      <c r="FM19" s="135">
        <f t="shared" si="89"/>
        <v>0</v>
      </c>
      <c r="FN19" s="135">
        <f t="shared" si="89"/>
        <v>0</v>
      </c>
      <c r="FO19" s="135">
        <f t="shared" si="89"/>
        <v>0</v>
      </c>
      <c r="FP19" s="135">
        <f t="shared" si="89"/>
        <v>0</v>
      </c>
      <c r="FQ19" s="135">
        <f t="shared" si="89"/>
        <v>0</v>
      </c>
      <c r="FR19" s="135">
        <f t="shared" si="89"/>
        <v>0</v>
      </c>
      <c r="FS19" s="135">
        <f t="shared" si="89"/>
        <v>0</v>
      </c>
      <c r="FT19" s="135">
        <f t="shared" si="89"/>
        <v>0</v>
      </c>
      <c r="FU19" s="135">
        <f t="shared" si="89"/>
        <v>0</v>
      </c>
      <c r="FV19" s="135">
        <f t="shared" si="89"/>
        <v>0</v>
      </c>
      <c r="FW19" s="135">
        <f t="shared" si="89"/>
        <v>0</v>
      </c>
      <c r="FX19" s="135">
        <f t="shared" si="89"/>
        <v>0</v>
      </c>
      <c r="FY19" s="135">
        <f t="shared" si="89"/>
        <v>0</v>
      </c>
      <c r="FZ19" s="135">
        <f t="shared" si="89"/>
        <v>0</v>
      </c>
      <c r="GA19" s="135">
        <f t="shared" si="89"/>
        <v>0</v>
      </c>
      <c r="GB19" s="135">
        <f t="shared" si="89"/>
        <v>0</v>
      </c>
      <c r="GC19" s="135">
        <f t="shared" si="89"/>
        <v>0</v>
      </c>
      <c r="GD19" s="135">
        <f t="shared" si="89"/>
        <v>0</v>
      </c>
      <c r="GE19" s="135">
        <f t="shared" si="89"/>
        <v>0</v>
      </c>
      <c r="GF19" s="135">
        <f t="shared" si="89"/>
        <v>0</v>
      </c>
      <c r="GG19" s="135">
        <f t="shared" si="89"/>
        <v>0</v>
      </c>
      <c r="GH19" s="135">
        <f t="shared" si="89"/>
        <v>0</v>
      </c>
      <c r="GI19" s="135">
        <f t="shared" si="89"/>
        <v>0</v>
      </c>
      <c r="GJ19" s="135">
        <f t="shared" si="89"/>
        <v>0</v>
      </c>
      <c r="GK19" s="135">
        <f t="shared" si="89"/>
        <v>0</v>
      </c>
      <c r="GL19" s="135">
        <f t="shared" si="89"/>
        <v>0</v>
      </c>
      <c r="GM19" s="135">
        <f t="shared" si="89"/>
        <v>0</v>
      </c>
      <c r="GN19" s="135">
        <f t="shared" si="89"/>
        <v>0</v>
      </c>
      <c r="GO19" s="135">
        <f t="shared" si="89"/>
        <v>0</v>
      </c>
      <c r="GP19" s="135">
        <f t="shared" si="89"/>
        <v>0</v>
      </c>
      <c r="GQ19" s="135">
        <f t="shared" si="89"/>
        <v>0</v>
      </c>
      <c r="GR19" s="135">
        <f t="shared" si="89"/>
        <v>0</v>
      </c>
      <c r="GS19" s="135">
        <f t="shared" si="89"/>
        <v>0</v>
      </c>
      <c r="GT19" s="135">
        <f t="shared" si="89"/>
        <v>0</v>
      </c>
      <c r="GU19" s="135">
        <f t="shared" si="87"/>
        <v>0</v>
      </c>
      <c r="GV19" s="135">
        <f t="shared" si="87"/>
        <v>0</v>
      </c>
      <c r="GW19" s="135">
        <f t="shared" si="87"/>
        <v>0</v>
      </c>
      <c r="GX19" s="135">
        <f t="shared" si="87"/>
        <v>0</v>
      </c>
      <c r="GY19" s="135">
        <f t="shared" si="87"/>
        <v>0</v>
      </c>
      <c r="GZ19" s="135">
        <f t="shared" si="87"/>
        <v>0</v>
      </c>
      <c r="HA19" s="135">
        <f t="shared" si="87"/>
        <v>0</v>
      </c>
      <c r="HB19" s="135">
        <f t="shared" si="87"/>
        <v>0</v>
      </c>
      <c r="HC19" s="135">
        <f t="shared" si="87"/>
        <v>0</v>
      </c>
      <c r="HD19" s="135">
        <f t="shared" si="87"/>
        <v>0</v>
      </c>
      <c r="HE19" s="135">
        <f t="shared" si="87"/>
        <v>0</v>
      </c>
      <c r="HF19" s="135">
        <f t="shared" si="87"/>
        <v>0</v>
      </c>
      <c r="HG19" s="135">
        <f t="shared" si="87"/>
        <v>0</v>
      </c>
      <c r="HH19" s="135">
        <f t="shared" si="87"/>
        <v>0</v>
      </c>
      <c r="HI19" s="135">
        <f t="shared" si="87"/>
        <v>0</v>
      </c>
      <c r="HJ19" s="135">
        <f t="shared" si="87"/>
        <v>0</v>
      </c>
      <c r="HK19" s="135">
        <f t="shared" si="87"/>
        <v>0</v>
      </c>
      <c r="HL19" s="135">
        <f t="shared" si="87"/>
        <v>0</v>
      </c>
      <c r="HM19" s="135">
        <f t="shared" si="87"/>
        <v>0</v>
      </c>
      <c r="HN19" s="135">
        <f t="shared" si="87"/>
        <v>0</v>
      </c>
      <c r="HO19" s="135">
        <f t="shared" si="87"/>
        <v>0</v>
      </c>
      <c r="HP19" s="135">
        <f t="shared" si="87"/>
        <v>0</v>
      </c>
      <c r="HQ19" s="135">
        <f t="shared" si="87"/>
        <v>0</v>
      </c>
      <c r="HR19" s="135">
        <f t="shared" si="87"/>
        <v>0</v>
      </c>
      <c r="HS19" s="135">
        <f t="shared" si="87"/>
        <v>0</v>
      </c>
      <c r="HT19" s="135">
        <f t="shared" si="87"/>
        <v>0</v>
      </c>
      <c r="HU19" s="135">
        <f t="shared" si="87"/>
        <v>0</v>
      </c>
      <c r="HV19" s="135">
        <f t="shared" si="87"/>
        <v>0</v>
      </c>
      <c r="HW19" s="135">
        <f t="shared" si="87"/>
        <v>0</v>
      </c>
      <c r="HX19" s="135">
        <f t="shared" si="87"/>
        <v>0</v>
      </c>
      <c r="HY19" s="135">
        <f t="shared" si="87"/>
        <v>0</v>
      </c>
      <c r="HZ19" s="135">
        <f t="shared" si="87"/>
        <v>0</v>
      </c>
      <c r="IA19" s="135">
        <f t="shared" si="87"/>
        <v>0</v>
      </c>
      <c r="IB19" s="135">
        <f t="shared" si="87"/>
        <v>0</v>
      </c>
      <c r="IC19" s="135">
        <f t="shared" si="87"/>
        <v>0</v>
      </c>
      <c r="ID19" s="135">
        <f t="shared" si="87"/>
        <v>0</v>
      </c>
      <c r="IE19" s="135">
        <f t="shared" si="87"/>
        <v>0</v>
      </c>
      <c r="IF19" s="135">
        <f t="shared" si="87"/>
        <v>0</v>
      </c>
      <c r="IG19" s="135">
        <f t="shared" si="87"/>
        <v>0</v>
      </c>
      <c r="IH19" s="135">
        <f t="shared" si="87"/>
        <v>0</v>
      </c>
      <c r="II19" s="135">
        <f t="shared" si="87"/>
        <v>0</v>
      </c>
      <c r="IJ19" s="135">
        <f t="shared" si="87"/>
        <v>0</v>
      </c>
      <c r="IK19" s="135">
        <f t="shared" si="87"/>
        <v>0</v>
      </c>
      <c r="IL19" s="135">
        <f t="shared" si="87"/>
        <v>0</v>
      </c>
      <c r="IM19" s="135">
        <f t="shared" si="87"/>
        <v>0</v>
      </c>
      <c r="IN19" s="135">
        <f t="shared" si="87"/>
        <v>0</v>
      </c>
      <c r="IO19" s="135">
        <f t="shared" si="87"/>
        <v>0</v>
      </c>
      <c r="IP19" s="135">
        <f t="shared" si="87"/>
        <v>0</v>
      </c>
      <c r="IQ19" s="135">
        <f t="shared" si="87"/>
        <v>0</v>
      </c>
      <c r="IR19" s="135">
        <f t="shared" si="87"/>
        <v>0</v>
      </c>
      <c r="IS19" s="135">
        <f t="shared" si="87"/>
        <v>0</v>
      </c>
      <c r="IT19" s="135">
        <f t="shared" si="87"/>
        <v>0</v>
      </c>
      <c r="IU19" s="135">
        <f t="shared" si="87"/>
        <v>0</v>
      </c>
      <c r="IV19" s="135">
        <f t="shared" si="87"/>
        <v>0</v>
      </c>
      <c r="IW19" s="135">
        <f t="shared" si="87"/>
        <v>0</v>
      </c>
      <c r="IX19" s="135">
        <f t="shared" si="87"/>
        <v>0</v>
      </c>
      <c r="IY19" s="135">
        <f t="shared" si="87"/>
        <v>0</v>
      </c>
      <c r="IZ19" s="135">
        <f t="shared" si="87"/>
        <v>0</v>
      </c>
      <c r="JA19" s="135">
        <f t="shared" si="87"/>
        <v>0</v>
      </c>
      <c r="JB19" s="135">
        <f t="shared" si="87"/>
        <v>0</v>
      </c>
      <c r="JC19" s="135">
        <f t="shared" si="87"/>
        <v>0</v>
      </c>
      <c r="JD19" s="135">
        <f t="shared" si="87"/>
        <v>0</v>
      </c>
      <c r="JE19" s="135">
        <f t="shared" si="87"/>
        <v>0</v>
      </c>
      <c r="JF19" s="135">
        <f t="shared" si="62"/>
        <v>0</v>
      </c>
      <c r="JG19" s="135">
        <f t="shared" si="62"/>
        <v>0</v>
      </c>
      <c r="JH19" s="135">
        <f t="shared" si="62"/>
        <v>0</v>
      </c>
      <c r="JI19" s="135">
        <f t="shared" si="62"/>
        <v>0</v>
      </c>
      <c r="JJ19" s="135">
        <f t="shared" si="90"/>
        <v>0</v>
      </c>
      <c r="JK19" s="135">
        <f t="shared" si="90"/>
        <v>0</v>
      </c>
      <c r="JL19" s="135">
        <f t="shared" si="90"/>
        <v>0</v>
      </c>
      <c r="JM19" s="135">
        <f t="shared" si="90"/>
        <v>0</v>
      </c>
      <c r="JN19" s="135">
        <f t="shared" si="90"/>
        <v>0</v>
      </c>
      <c r="JO19" s="135">
        <f t="shared" si="90"/>
        <v>0</v>
      </c>
      <c r="JP19" s="135">
        <f t="shared" si="90"/>
        <v>0</v>
      </c>
      <c r="JQ19" s="135">
        <f t="shared" si="90"/>
        <v>0</v>
      </c>
      <c r="JR19" s="135">
        <f t="shared" si="90"/>
        <v>0</v>
      </c>
      <c r="JS19" s="135">
        <f t="shared" si="90"/>
        <v>0</v>
      </c>
      <c r="JT19" s="135">
        <f t="shared" si="90"/>
        <v>0</v>
      </c>
      <c r="JU19" s="135">
        <f t="shared" si="90"/>
        <v>0</v>
      </c>
      <c r="JV19" s="135">
        <f t="shared" si="90"/>
        <v>0</v>
      </c>
      <c r="JW19" s="135">
        <f t="shared" si="90"/>
        <v>0</v>
      </c>
      <c r="JX19" s="135">
        <f t="shared" si="90"/>
        <v>0</v>
      </c>
      <c r="JY19" s="135">
        <f t="shared" si="90"/>
        <v>0</v>
      </c>
      <c r="JZ19" s="135">
        <f t="shared" si="90"/>
        <v>0</v>
      </c>
      <c r="KA19" s="135">
        <f t="shared" si="90"/>
        <v>0</v>
      </c>
      <c r="KB19" s="135">
        <f t="shared" si="90"/>
        <v>0</v>
      </c>
      <c r="KC19" s="135">
        <f t="shared" si="90"/>
        <v>0</v>
      </c>
      <c r="KD19" s="135">
        <f t="shared" si="90"/>
        <v>0</v>
      </c>
      <c r="KE19" s="135">
        <f t="shared" si="90"/>
        <v>0</v>
      </c>
      <c r="KF19" s="135">
        <f t="shared" si="90"/>
        <v>0</v>
      </c>
      <c r="KG19" s="135">
        <f t="shared" si="90"/>
        <v>0</v>
      </c>
      <c r="KH19" s="135">
        <f t="shared" si="90"/>
        <v>0</v>
      </c>
      <c r="KI19" s="135">
        <f t="shared" si="90"/>
        <v>0</v>
      </c>
      <c r="KJ19" s="135">
        <f t="shared" si="90"/>
        <v>0</v>
      </c>
      <c r="KK19" s="135">
        <f t="shared" si="90"/>
        <v>0</v>
      </c>
      <c r="KL19" s="135">
        <f t="shared" si="90"/>
        <v>0</v>
      </c>
      <c r="KM19" s="135">
        <f t="shared" si="90"/>
        <v>0</v>
      </c>
      <c r="KN19" s="135">
        <f t="shared" si="90"/>
        <v>0</v>
      </c>
      <c r="KO19" s="135">
        <f t="shared" si="90"/>
        <v>0</v>
      </c>
      <c r="KP19" s="135">
        <f t="shared" si="90"/>
        <v>0</v>
      </c>
      <c r="KQ19" s="135">
        <f t="shared" si="90"/>
        <v>0</v>
      </c>
      <c r="KR19" s="135">
        <f t="shared" si="90"/>
        <v>0</v>
      </c>
      <c r="KS19" s="135">
        <f t="shared" si="90"/>
        <v>0</v>
      </c>
      <c r="KT19" s="135">
        <f t="shared" si="90"/>
        <v>0</v>
      </c>
      <c r="KU19" s="135">
        <f t="shared" si="90"/>
        <v>0</v>
      </c>
      <c r="KV19" s="135">
        <f t="shared" si="90"/>
        <v>0</v>
      </c>
      <c r="KW19" s="135">
        <f t="shared" si="90"/>
        <v>0</v>
      </c>
      <c r="KX19" s="135">
        <f t="shared" si="90"/>
        <v>0</v>
      </c>
      <c r="KY19" s="135">
        <f t="shared" si="90"/>
        <v>0</v>
      </c>
      <c r="KZ19" s="135">
        <f t="shared" si="90"/>
        <v>0</v>
      </c>
      <c r="LA19" s="135">
        <f t="shared" si="90"/>
        <v>0</v>
      </c>
      <c r="LB19" s="135">
        <f t="shared" si="90"/>
        <v>0</v>
      </c>
      <c r="LC19" s="135">
        <f t="shared" si="90"/>
        <v>0</v>
      </c>
      <c r="LD19" s="135">
        <f t="shared" si="90"/>
        <v>0</v>
      </c>
      <c r="LE19" s="135">
        <f t="shared" si="90"/>
        <v>0</v>
      </c>
      <c r="LF19" s="135">
        <f t="shared" si="90"/>
        <v>0</v>
      </c>
      <c r="LG19" s="135">
        <f t="shared" si="90"/>
        <v>0</v>
      </c>
      <c r="LH19" s="135">
        <f t="shared" si="90"/>
        <v>0</v>
      </c>
      <c r="LI19" s="135">
        <f t="shared" si="90"/>
        <v>0</v>
      </c>
      <c r="LJ19" s="135">
        <f t="shared" si="90"/>
        <v>0</v>
      </c>
      <c r="LK19" s="135">
        <f t="shared" si="90"/>
        <v>0</v>
      </c>
      <c r="LL19" s="135">
        <f t="shared" si="90"/>
        <v>0</v>
      </c>
      <c r="LM19" s="135">
        <f t="shared" si="90"/>
        <v>0</v>
      </c>
      <c r="LN19" s="135">
        <f t="shared" si="90"/>
        <v>0</v>
      </c>
      <c r="LO19" s="135">
        <f t="shared" si="90"/>
        <v>0</v>
      </c>
      <c r="LP19" s="135">
        <f t="shared" si="90"/>
        <v>0</v>
      </c>
      <c r="LQ19" s="135">
        <f t="shared" si="90"/>
        <v>0</v>
      </c>
      <c r="LR19" s="135">
        <f t="shared" si="90"/>
        <v>0</v>
      </c>
      <c r="LS19" s="135">
        <f t="shared" si="90"/>
        <v>0</v>
      </c>
      <c r="LT19" s="135">
        <f t="shared" si="90"/>
        <v>0</v>
      </c>
      <c r="LU19" s="135">
        <f t="shared" si="90"/>
        <v>0</v>
      </c>
      <c r="LV19" s="135">
        <f t="shared" si="88"/>
        <v>0</v>
      </c>
      <c r="LW19" s="135">
        <f t="shared" si="88"/>
        <v>0</v>
      </c>
      <c r="LX19" s="135">
        <f t="shared" si="88"/>
        <v>0</v>
      </c>
      <c r="LY19" s="135">
        <f t="shared" si="88"/>
        <v>0</v>
      </c>
      <c r="LZ19" s="135">
        <f t="shared" si="88"/>
        <v>0</v>
      </c>
      <c r="MA19" s="135">
        <f t="shared" si="88"/>
        <v>0</v>
      </c>
      <c r="MB19" s="135">
        <f t="shared" si="88"/>
        <v>0</v>
      </c>
      <c r="MC19" s="135">
        <f t="shared" si="88"/>
        <v>0</v>
      </c>
      <c r="MD19" s="135">
        <f t="shared" si="88"/>
        <v>0</v>
      </c>
      <c r="ME19" s="135">
        <f t="shared" si="88"/>
        <v>0</v>
      </c>
      <c r="MF19" s="135">
        <f t="shared" si="88"/>
        <v>0</v>
      </c>
      <c r="MG19" s="135">
        <f t="shared" si="88"/>
        <v>0</v>
      </c>
      <c r="MH19" s="135">
        <f t="shared" si="88"/>
        <v>0</v>
      </c>
      <c r="MI19" s="135">
        <f t="shared" si="88"/>
        <v>0</v>
      </c>
      <c r="MJ19" s="135">
        <f t="shared" si="88"/>
        <v>0</v>
      </c>
      <c r="MK19" s="135">
        <f t="shared" si="88"/>
        <v>0</v>
      </c>
      <c r="ML19" s="135">
        <f t="shared" si="88"/>
        <v>0</v>
      </c>
      <c r="MM19" s="135">
        <f t="shared" si="88"/>
        <v>0</v>
      </c>
      <c r="MN19" s="135">
        <f t="shared" si="88"/>
        <v>0</v>
      </c>
      <c r="MO19" s="135">
        <f t="shared" si="88"/>
        <v>0</v>
      </c>
      <c r="MP19" s="135">
        <f t="shared" si="88"/>
        <v>0</v>
      </c>
      <c r="MQ19" s="135">
        <f t="shared" si="88"/>
        <v>0</v>
      </c>
      <c r="MR19" s="135">
        <f t="shared" si="88"/>
        <v>0</v>
      </c>
      <c r="MS19" s="135">
        <f t="shared" si="88"/>
        <v>0</v>
      </c>
      <c r="MT19" s="135">
        <f t="shared" si="88"/>
        <v>0</v>
      </c>
      <c r="MU19" s="135">
        <f t="shared" si="88"/>
        <v>0</v>
      </c>
      <c r="MV19" s="135">
        <f t="shared" si="88"/>
        <v>0</v>
      </c>
      <c r="MW19" s="135">
        <f t="shared" si="88"/>
        <v>0</v>
      </c>
      <c r="MX19" s="135">
        <f t="shared" si="88"/>
        <v>0</v>
      </c>
      <c r="MY19" s="135">
        <f t="shared" si="88"/>
        <v>0</v>
      </c>
      <c r="MZ19" s="135">
        <f t="shared" si="88"/>
        <v>0</v>
      </c>
      <c r="NA19" s="135">
        <f t="shared" si="88"/>
        <v>0</v>
      </c>
      <c r="NB19" s="135">
        <f t="shared" si="88"/>
        <v>0</v>
      </c>
      <c r="NC19" s="135">
        <f t="shared" si="88"/>
        <v>0</v>
      </c>
      <c r="ND19" s="135">
        <f t="shared" si="88"/>
        <v>0</v>
      </c>
      <c r="NE19" s="135">
        <f t="shared" si="88"/>
        <v>0</v>
      </c>
      <c r="NF19" s="135">
        <f t="shared" si="88"/>
        <v>0</v>
      </c>
      <c r="NG19" s="135">
        <f t="shared" si="88"/>
        <v>0</v>
      </c>
      <c r="NH19" s="135">
        <f t="shared" si="88"/>
        <v>0</v>
      </c>
      <c r="NI19" s="135">
        <f t="shared" si="88"/>
        <v>0</v>
      </c>
      <c r="NJ19" s="135">
        <f t="shared" si="88"/>
        <v>0</v>
      </c>
      <c r="NK19" s="135">
        <f t="shared" si="88"/>
        <v>0</v>
      </c>
      <c r="NL19" s="135">
        <f t="shared" si="88"/>
        <v>0</v>
      </c>
      <c r="NM19" s="135">
        <f t="shared" si="88"/>
        <v>0</v>
      </c>
      <c r="NN19" s="135">
        <f t="shared" si="88"/>
        <v>0</v>
      </c>
      <c r="NO19" s="135">
        <f t="shared" si="88"/>
        <v>0</v>
      </c>
      <c r="NP19" s="135">
        <f t="shared" si="88"/>
        <v>0</v>
      </c>
      <c r="NQ19" s="135">
        <f t="shared" si="88"/>
        <v>0</v>
      </c>
      <c r="NR19" s="135">
        <f t="shared" si="88"/>
        <v>0</v>
      </c>
      <c r="NS19" s="135">
        <f t="shared" si="88"/>
        <v>0</v>
      </c>
      <c r="NT19" s="135">
        <f t="shared" si="88"/>
        <v>0</v>
      </c>
      <c r="NU19" s="135">
        <f t="shared" si="88"/>
        <v>0</v>
      </c>
      <c r="NV19" s="135">
        <f t="shared" si="88"/>
        <v>0</v>
      </c>
      <c r="NW19" s="135">
        <f t="shared" si="88"/>
        <v>0</v>
      </c>
      <c r="NX19" s="135">
        <f t="shared" si="88"/>
        <v>0</v>
      </c>
      <c r="NY19" s="135">
        <f t="shared" si="88"/>
        <v>0</v>
      </c>
      <c r="NZ19" s="135">
        <f t="shared" si="88"/>
        <v>0</v>
      </c>
      <c r="OA19" s="135">
        <f t="shared" si="88"/>
        <v>0</v>
      </c>
      <c r="OB19" s="135">
        <f t="shared" si="88"/>
        <v>0</v>
      </c>
      <c r="OC19" s="135">
        <f t="shared" si="88"/>
        <v>0</v>
      </c>
      <c r="OD19" s="135">
        <f t="shared" si="88"/>
        <v>0</v>
      </c>
      <c r="OE19" s="135">
        <f t="shared" si="88"/>
        <v>0</v>
      </c>
      <c r="OF19" s="135">
        <f t="shared" si="88"/>
        <v>0</v>
      </c>
      <c r="OG19" s="135">
        <f t="shared" si="57"/>
        <v>0</v>
      </c>
      <c r="OH19" s="135">
        <f t="shared" si="80"/>
        <v>0</v>
      </c>
      <c r="OI19" s="135">
        <f t="shared" si="80"/>
        <v>0</v>
      </c>
      <c r="OJ19" s="135">
        <f t="shared" si="80"/>
        <v>0</v>
      </c>
      <c r="OK19" s="135">
        <f t="shared" si="80"/>
        <v>0</v>
      </c>
      <c r="OL19" s="135">
        <f t="shared" si="80"/>
        <v>0</v>
      </c>
      <c r="OM19" s="135">
        <f t="shared" si="80"/>
        <v>0</v>
      </c>
      <c r="ON19" s="135">
        <f t="shared" si="80"/>
        <v>0</v>
      </c>
      <c r="OO19" s="135">
        <f t="shared" ref="OO19:QZ22" si="94">IFERROR(IF(OO$1=EOMONTH($G19,0),(-$E19+($E19*(DAY($G19)/DAY(EOMONTH(OO$1,0)))*$F19/12*(1-0.269))),IF(OO$1=$G19,($E19+($E19*(DAY($I19)/DAY(EOMONTH(OO$1,0)))*$F19/12*(1-0.269))),IFERROR(IF($I19&lt;OO$1,0,IF(OO$1&gt;$I19,(($F19/12)*$E19)*(DAY($I19)/DAY(EOMONTH(OO$1,0)))*(1-26.9/100)+$E19,IF(AND(OO$1&gt;=$G19,OO$1&lt;$I19),(($F19/12)*$E19)*(1-26.9/100),""))-IF(OO$1=EOMONTH($G19,0),$E19,"0")),0)+IF(OO$1=EOMONTH($I19,0),($E19+($E19*(DAY($I19)/DAY(EOMONTH(OO$1,0)))*$F19/12*(1-0.269))),"0"))),0)</f>
        <v>0</v>
      </c>
      <c r="OP19" s="135">
        <f t="shared" si="94"/>
        <v>0</v>
      </c>
      <c r="OQ19" s="135">
        <f t="shared" si="94"/>
        <v>0</v>
      </c>
      <c r="OR19" s="135">
        <f t="shared" si="94"/>
        <v>0</v>
      </c>
      <c r="OS19" s="135">
        <f t="shared" si="94"/>
        <v>0</v>
      </c>
      <c r="OT19" s="135">
        <f t="shared" si="94"/>
        <v>0</v>
      </c>
      <c r="OU19" s="135">
        <f t="shared" si="94"/>
        <v>0</v>
      </c>
      <c r="OV19" s="135">
        <f t="shared" si="94"/>
        <v>0</v>
      </c>
      <c r="OW19" s="135">
        <f t="shared" si="94"/>
        <v>0</v>
      </c>
      <c r="OX19" s="135">
        <f t="shared" si="94"/>
        <v>0</v>
      </c>
      <c r="OY19" s="135">
        <f t="shared" si="94"/>
        <v>0</v>
      </c>
      <c r="OZ19" s="135">
        <f t="shared" si="94"/>
        <v>0</v>
      </c>
      <c r="PA19" s="135">
        <f t="shared" si="94"/>
        <v>0</v>
      </c>
      <c r="PB19" s="135">
        <f t="shared" si="94"/>
        <v>0</v>
      </c>
      <c r="PC19" s="135">
        <f t="shared" si="94"/>
        <v>0</v>
      </c>
      <c r="PD19" s="135">
        <f t="shared" si="94"/>
        <v>0</v>
      </c>
      <c r="PE19" s="135">
        <f t="shared" si="94"/>
        <v>0</v>
      </c>
      <c r="PF19" s="135">
        <f t="shared" si="94"/>
        <v>0</v>
      </c>
      <c r="PG19" s="135">
        <f t="shared" si="94"/>
        <v>0</v>
      </c>
      <c r="PH19" s="135">
        <f t="shared" si="94"/>
        <v>0</v>
      </c>
      <c r="PI19" s="135">
        <f t="shared" si="94"/>
        <v>0</v>
      </c>
      <c r="PJ19" s="135">
        <f t="shared" si="94"/>
        <v>0</v>
      </c>
      <c r="PK19" s="135">
        <f t="shared" si="94"/>
        <v>0</v>
      </c>
      <c r="PL19" s="135">
        <f t="shared" si="94"/>
        <v>0</v>
      </c>
      <c r="PM19" s="135">
        <f t="shared" si="94"/>
        <v>0</v>
      </c>
      <c r="PN19" s="135">
        <f t="shared" si="94"/>
        <v>0</v>
      </c>
      <c r="PO19" s="135">
        <f t="shared" si="94"/>
        <v>0</v>
      </c>
      <c r="PP19" s="135">
        <f t="shared" si="94"/>
        <v>0</v>
      </c>
      <c r="PQ19" s="135">
        <f t="shared" si="94"/>
        <v>0</v>
      </c>
      <c r="PR19" s="135">
        <f t="shared" si="94"/>
        <v>0</v>
      </c>
      <c r="PS19" s="135">
        <f t="shared" si="94"/>
        <v>0</v>
      </c>
      <c r="PT19" s="135">
        <f t="shared" si="94"/>
        <v>0</v>
      </c>
      <c r="PU19" s="135">
        <f t="shared" si="94"/>
        <v>0</v>
      </c>
      <c r="PV19" s="135">
        <f t="shared" si="94"/>
        <v>0</v>
      </c>
      <c r="PW19" s="135">
        <f t="shared" si="94"/>
        <v>0</v>
      </c>
      <c r="PX19" s="135">
        <f t="shared" si="94"/>
        <v>0</v>
      </c>
      <c r="PY19" s="135">
        <f t="shared" si="94"/>
        <v>0</v>
      </c>
      <c r="PZ19" s="135">
        <f t="shared" si="94"/>
        <v>0</v>
      </c>
      <c r="QA19" s="135">
        <f t="shared" si="94"/>
        <v>0</v>
      </c>
      <c r="QB19" s="135">
        <f t="shared" si="94"/>
        <v>0</v>
      </c>
      <c r="QC19" s="135">
        <f t="shared" si="94"/>
        <v>0</v>
      </c>
      <c r="QD19" s="135">
        <f t="shared" si="94"/>
        <v>0</v>
      </c>
      <c r="QE19" s="135">
        <f t="shared" si="94"/>
        <v>0</v>
      </c>
      <c r="QF19" s="135">
        <f t="shared" si="94"/>
        <v>0</v>
      </c>
      <c r="QG19" s="135">
        <f t="shared" si="94"/>
        <v>0</v>
      </c>
      <c r="QH19" s="135">
        <f t="shared" si="94"/>
        <v>0</v>
      </c>
      <c r="QI19" s="135">
        <f t="shared" si="94"/>
        <v>0</v>
      </c>
      <c r="QJ19" s="135">
        <f t="shared" si="94"/>
        <v>0</v>
      </c>
      <c r="QK19" s="135">
        <f t="shared" si="94"/>
        <v>0</v>
      </c>
      <c r="QL19" s="135">
        <f t="shared" si="94"/>
        <v>0</v>
      </c>
      <c r="QM19" s="135">
        <f t="shared" si="94"/>
        <v>0</v>
      </c>
      <c r="QN19" s="135">
        <f t="shared" si="94"/>
        <v>0</v>
      </c>
      <c r="QO19" s="135">
        <f t="shared" si="94"/>
        <v>0</v>
      </c>
      <c r="QP19" s="135">
        <f t="shared" si="94"/>
        <v>0</v>
      </c>
      <c r="QQ19" s="135">
        <f t="shared" si="94"/>
        <v>0</v>
      </c>
      <c r="QR19" s="135">
        <f t="shared" si="94"/>
        <v>0</v>
      </c>
      <c r="QS19" s="135">
        <f t="shared" si="94"/>
        <v>0</v>
      </c>
      <c r="QT19" s="135">
        <f t="shared" si="94"/>
        <v>0</v>
      </c>
      <c r="QU19" s="135">
        <f t="shared" si="94"/>
        <v>0</v>
      </c>
      <c r="QV19" s="135">
        <f t="shared" si="94"/>
        <v>0</v>
      </c>
      <c r="QW19" s="135">
        <f t="shared" si="94"/>
        <v>0</v>
      </c>
      <c r="QX19" s="135">
        <f t="shared" si="94"/>
        <v>0</v>
      </c>
      <c r="QY19" s="135">
        <f t="shared" si="94"/>
        <v>0</v>
      </c>
      <c r="QZ19" s="135">
        <f t="shared" si="94"/>
        <v>0</v>
      </c>
      <c r="RA19" s="135">
        <f t="shared" ref="RA19:RJ21" si="95">IFERROR(IF(RA$1=EOMONTH($G19,0),(-$E19+($E19*(DAY($G19)/DAY(EOMONTH(RA$1,0)))*$F19/12*(1-0.269))),IF(RA$1=$G19,($E19+($E19*(DAY($I19)/DAY(EOMONTH(RA$1,0)))*$F19/12*(1-0.269))),IFERROR(IF($I19&lt;RA$1,0,IF(RA$1&gt;$I19,(($F19/12)*$E19)*(DAY($I19)/DAY(EOMONTH(RA$1,0)))*(1-26.9/100)+$E19,IF(AND(RA$1&gt;=$G19,RA$1&lt;$I19),(($F19/12)*$E19)*(1-26.9/100),""))-IF(RA$1=EOMONTH($G19,0),$E19,"0")),0)+IF(RA$1=EOMONTH($I19,0),($E19+($E19*(DAY($I19)/DAY(EOMONTH(RA$1,0)))*$F19/12*(1-0.269))),"0"))),0)</f>
        <v>0</v>
      </c>
      <c r="RB19" s="135">
        <f t="shared" si="95"/>
        <v>0</v>
      </c>
      <c r="RC19" s="135">
        <f t="shared" si="95"/>
        <v>0</v>
      </c>
      <c r="RD19" s="135">
        <f t="shared" si="95"/>
        <v>0</v>
      </c>
      <c r="RE19" s="135">
        <f t="shared" si="95"/>
        <v>0</v>
      </c>
      <c r="RF19" s="135">
        <f t="shared" si="95"/>
        <v>0</v>
      </c>
      <c r="RG19" s="135">
        <f t="shared" si="95"/>
        <v>0</v>
      </c>
      <c r="RH19" s="135">
        <f t="shared" si="95"/>
        <v>0</v>
      </c>
      <c r="RI19" s="135">
        <f t="shared" si="95"/>
        <v>0</v>
      </c>
      <c r="RJ19" s="135">
        <f t="shared" si="95"/>
        <v>0</v>
      </c>
      <c r="RK19" s="135">
        <f t="shared" ref="RK19:RT21" si="96">IFERROR(IF(RK$1=EOMONTH($G19,0),(-$E19+($E19*(DAY($G19)/DAY(EOMONTH(RK$1,0)))*$F19/12*(1-0.269))),IF(RK$1=$G19,($E19+($E19*(DAY($I19)/DAY(EOMONTH(RK$1,0)))*$F19/12*(1-0.269))),IFERROR(IF($I19&lt;RK$1,0,IF(RK$1&gt;$I19,(($F19/12)*$E19)*(DAY($I19)/DAY(EOMONTH(RK$1,0)))*(1-26.9/100)+$E19,IF(AND(RK$1&gt;=$G19,RK$1&lt;$I19),(($F19/12)*$E19)*(1-26.9/100),""))-IF(RK$1=EOMONTH($G19,0),$E19,"0")),0)+IF(RK$1=EOMONTH($I19,0),($E19+($E19*(DAY($I19)/DAY(EOMONTH(RK$1,0)))*$F19/12*(1-0.269))),"0"))),0)</f>
        <v>0</v>
      </c>
      <c r="RL19" s="135">
        <f t="shared" si="96"/>
        <v>0</v>
      </c>
      <c r="RM19" s="135">
        <f t="shared" si="96"/>
        <v>0</v>
      </c>
      <c r="RN19" s="135">
        <f t="shared" si="96"/>
        <v>0</v>
      </c>
      <c r="RO19" s="135">
        <f t="shared" si="96"/>
        <v>0</v>
      </c>
      <c r="RP19" s="135">
        <f t="shared" si="96"/>
        <v>0</v>
      </c>
      <c r="RQ19" s="135">
        <f t="shared" si="96"/>
        <v>0</v>
      </c>
      <c r="RR19" s="135">
        <f t="shared" si="96"/>
        <v>0</v>
      </c>
      <c r="RS19" s="135">
        <f t="shared" si="96"/>
        <v>0</v>
      </c>
      <c r="RT19" s="135">
        <f t="shared" si="96"/>
        <v>0</v>
      </c>
      <c r="RU19" s="135">
        <f t="shared" si="85"/>
        <v>0</v>
      </c>
      <c r="RV19" s="135">
        <f t="shared" si="85"/>
        <v>0</v>
      </c>
      <c r="RW19" s="135">
        <f t="shared" si="85"/>
        <v>0</v>
      </c>
      <c r="RX19" s="135">
        <f t="shared" si="85"/>
        <v>0</v>
      </c>
      <c r="RY19" s="135">
        <f t="shared" si="85"/>
        <v>0</v>
      </c>
      <c r="RZ19" s="135">
        <f t="shared" si="85"/>
        <v>0</v>
      </c>
      <c r="SA19" s="135">
        <f t="shared" si="85"/>
        <v>0</v>
      </c>
      <c r="SB19" s="135">
        <f t="shared" si="85"/>
        <v>0</v>
      </c>
      <c r="SC19" s="135">
        <f t="shared" si="85"/>
        <v>0</v>
      </c>
      <c r="SD19" s="135">
        <f t="shared" si="85"/>
        <v>0</v>
      </c>
      <c r="SE19" s="135">
        <f t="shared" si="85"/>
        <v>0</v>
      </c>
      <c r="SF19" s="135">
        <f t="shared" si="85"/>
        <v>0</v>
      </c>
      <c r="SG19" s="135">
        <f t="shared" si="85"/>
        <v>0</v>
      </c>
      <c r="SH19" s="135">
        <f t="shared" si="85"/>
        <v>0</v>
      </c>
      <c r="SI19" s="135">
        <f t="shared" si="85"/>
        <v>0</v>
      </c>
      <c r="SJ19" s="135">
        <f t="shared" si="85"/>
        <v>0</v>
      </c>
      <c r="SK19" s="135">
        <f t="shared" si="85"/>
        <v>0</v>
      </c>
      <c r="SL19" s="135">
        <f t="shared" si="85"/>
        <v>0</v>
      </c>
      <c r="SM19" s="135">
        <f t="shared" si="85"/>
        <v>0</v>
      </c>
      <c r="SN19" s="135">
        <f t="shared" si="85"/>
        <v>0</v>
      </c>
      <c r="SO19" s="135">
        <f t="shared" si="85"/>
        <v>0</v>
      </c>
      <c r="SP19" s="135">
        <f t="shared" si="85"/>
        <v>0</v>
      </c>
      <c r="SQ19" s="135">
        <f t="shared" si="85"/>
        <v>0</v>
      </c>
      <c r="SR19" s="135">
        <f t="shared" si="85"/>
        <v>0</v>
      </c>
      <c r="SS19" s="135">
        <f t="shared" si="85"/>
        <v>0</v>
      </c>
      <c r="ST19" s="135">
        <f t="shared" si="85"/>
        <v>0</v>
      </c>
      <c r="SU19" s="135">
        <f t="shared" si="85"/>
        <v>0</v>
      </c>
      <c r="SV19" s="135">
        <f t="shared" si="85"/>
        <v>0</v>
      </c>
      <c r="SW19" s="135">
        <f t="shared" si="85"/>
        <v>0</v>
      </c>
      <c r="SX19" s="135">
        <f t="shared" si="85"/>
        <v>0</v>
      </c>
      <c r="SY19" s="135">
        <f t="shared" si="85"/>
        <v>0</v>
      </c>
      <c r="SZ19" s="135">
        <f t="shared" si="85"/>
        <v>0</v>
      </c>
      <c r="TA19" s="135">
        <f t="shared" si="85"/>
        <v>0</v>
      </c>
      <c r="TB19" s="135">
        <f t="shared" si="85"/>
        <v>0</v>
      </c>
      <c r="TC19" s="135">
        <f t="shared" si="85"/>
        <v>0</v>
      </c>
      <c r="TD19" s="135">
        <f t="shared" si="85"/>
        <v>0</v>
      </c>
      <c r="TE19" s="135">
        <f t="shared" si="85"/>
        <v>0</v>
      </c>
      <c r="TF19" s="135">
        <f t="shared" si="85"/>
        <v>0</v>
      </c>
      <c r="TG19" s="135">
        <f t="shared" si="85"/>
        <v>0</v>
      </c>
      <c r="TH19" s="135">
        <f t="shared" si="86"/>
        <v>0</v>
      </c>
      <c r="TI19" s="135">
        <f t="shared" si="86"/>
        <v>0</v>
      </c>
      <c r="TJ19" s="135">
        <f t="shared" si="86"/>
        <v>0</v>
      </c>
      <c r="TK19" s="135">
        <f t="shared" si="86"/>
        <v>0</v>
      </c>
      <c r="TL19" s="135">
        <f t="shared" si="86"/>
        <v>0</v>
      </c>
      <c r="TM19" s="135">
        <f t="shared" si="67"/>
        <v>0</v>
      </c>
      <c r="TN19" s="135">
        <f t="shared" si="67"/>
        <v>0</v>
      </c>
      <c r="TO19" s="135">
        <f t="shared" si="67"/>
        <v>0</v>
      </c>
      <c r="TP19" s="135">
        <f t="shared" si="67"/>
        <v>0</v>
      </c>
      <c r="TQ19" s="135">
        <f t="shared" si="67"/>
        <v>0</v>
      </c>
      <c r="TR19" s="135">
        <f t="shared" si="67"/>
        <v>0</v>
      </c>
      <c r="TS19" s="135">
        <f t="shared" si="67"/>
        <v>0</v>
      </c>
      <c r="TT19" s="135">
        <f t="shared" si="67"/>
        <v>0</v>
      </c>
      <c r="TU19" s="135">
        <f t="shared" si="67"/>
        <v>0</v>
      </c>
      <c r="TV19" s="135">
        <f t="shared" si="67"/>
        <v>0</v>
      </c>
      <c r="TW19" s="135">
        <f t="shared" si="67"/>
        <v>0</v>
      </c>
      <c r="TX19" s="135">
        <f t="shared" si="67"/>
        <v>0</v>
      </c>
      <c r="TY19" s="135">
        <f t="shared" si="67"/>
        <v>0</v>
      </c>
      <c r="TZ19" s="135">
        <f t="shared" si="67"/>
        <v>0</v>
      </c>
      <c r="UA19" s="135">
        <f t="shared" si="67"/>
        <v>0</v>
      </c>
      <c r="UB19" s="135">
        <f t="shared" si="67"/>
        <v>0</v>
      </c>
      <c r="UC19" s="135">
        <f t="shared" si="67"/>
        <v>0</v>
      </c>
      <c r="UD19" s="135">
        <f t="shared" si="67"/>
        <v>0</v>
      </c>
      <c r="UE19" s="135">
        <f t="shared" si="67"/>
        <v>0</v>
      </c>
      <c r="UF19" s="135">
        <f t="shared" si="67"/>
        <v>0</v>
      </c>
      <c r="UG19" s="135">
        <f t="shared" si="67"/>
        <v>0</v>
      </c>
      <c r="UH19" s="135">
        <f t="shared" si="67"/>
        <v>0</v>
      </c>
      <c r="UI19" s="135">
        <f t="shared" si="67"/>
        <v>0</v>
      </c>
      <c r="UJ19" s="135">
        <f t="shared" si="67"/>
        <v>0</v>
      </c>
      <c r="UK19" s="135">
        <f t="shared" si="67"/>
        <v>0</v>
      </c>
    </row>
    <row r="20" spans="2:557">
      <c r="B20" t="str">
        <f>IF(Samenvatting!$F121&lt;&gt;0,Samenvatting!C121,"")</f>
        <v/>
      </c>
      <c r="C20" t="str">
        <f>IF(Samenvatting!$F121&lt;&gt;0,Samenvatting!D121,"")</f>
        <v/>
      </c>
      <c r="D20" t="str">
        <f>IF(Samenvatting!$F121&lt;&gt;0,Samenvatting!E121,"")</f>
        <v/>
      </c>
      <c r="E20" t="str">
        <f>IF(Samenvatting!$F121&lt;&gt;0,Samenvatting!F121,"")</f>
        <v/>
      </c>
      <c r="F20" t="str">
        <f>IF(Samenvatting!$F121&lt;&gt;0,Samenvatting!H121,"")</f>
        <v/>
      </c>
      <c r="G20" s="134" t="str">
        <f>IF(Samenvatting!$F121&lt;&gt;0,Samenvatting!I121,"")</f>
        <v/>
      </c>
      <c r="H20" t="str">
        <f>IF(Samenvatting!$F121&lt;&gt;0,Samenvatting!J121,"")</f>
        <v/>
      </c>
      <c r="I20" s="134" t="str">
        <f>IF(Samenvatting!$F121&lt;&gt;0,Samenvatting!K121,"")</f>
        <v/>
      </c>
      <c r="J20" s="135">
        <f t="shared" si="0"/>
        <v>0</v>
      </c>
      <c r="K20" s="135">
        <f t="shared" ref="K20:BV23" si="97">IFERROR(IF(K$1=EOMONTH($G20,0),(-$E20+($E20*(DAY($G20)/DAY(EOMONTH(K$1,0)))*$F20/12*(1-0.269))),IF(K$1=$G20,($E20+($E20*(DAY($I20)/DAY(EOMONTH(K$1,0)))*$F20/12*(1-0.269))),IFERROR(IF($I20&lt;K$1,0,IF(K$1&gt;$I20,(($F20/12)*$E20)*(DAY($I20)/DAY(EOMONTH(K$1,0)))*(1-26.9/100)+$E20,IF(AND(K$1&gt;=$G20,K$1&lt;$I20),(($F20/12)*$E20)*(1-26.9/100),""))-IF(K$1=EOMONTH($G20,0),$E20,"0")),0)+IF(K$1=EOMONTH($I20,0),($E20+($E20*(DAY($I20)/DAY(EOMONTH(K$1,0)))*$F20/12*(1-0.269))),"0"))),0)</f>
        <v>0</v>
      </c>
      <c r="L20" s="135">
        <f t="shared" si="97"/>
        <v>0</v>
      </c>
      <c r="M20" s="135">
        <f t="shared" si="97"/>
        <v>0</v>
      </c>
      <c r="N20" s="135">
        <f t="shared" si="97"/>
        <v>0</v>
      </c>
      <c r="O20" s="135">
        <f t="shared" si="97"/>
        <v>0</v>
      </c>
      <c r="P20" s="135">
        <f t="shared" si="97"/>
        <v>0</v>
      </c>
      <c r="Q20" s="135">
        <f t="shared" si="97"/>
        <v>0</v>
      </c>
      <c r="R20" s="135">
        <f t="shared" si="97"/>
        <v>0</v>
      </c>
      <c r="S20" s="135">
        <f t="shared" si="97"/>
        <v>0</v>
      </c>
      <c r="T20" s="135">
        <f t="shared" si="97"/>
        <v>0</v>
      </c>
      <c r="U20" s="135">
        <f t="shared" si="97"/>
        <v>0</v>
      </c>
      <c r="V20" s="135">
        <f t="shared" si="97"/>
        <v>0</v>
      </c>
      <c r="W20" s="135">
        <f t="shared" si="97"/>
        <v>0</v>
      </c>
      <c r="X20" s="135">
        <f t="shared" si="97"/>
        <v>0</v>
      </c>
      <c r="Y20" s="135">
        <f t="shared" si="97"/>
        <v>0</v>
      </c>
      <c r="Z20" s="135">
        <f t="shared" si="97"/>
        <v>0</v>
      </c>
      <c r="AA20" s="135">
        <f t="shared" si="97"/>
        <v>0</v>
      </c>
      <c r="AB20" s="135">
        <f t="shared" si="97"/>
        <v>0</v>
      </c>
      <c r="AC20" s="135">
        <f t="shared" si="97"/>
        <v>0</v>
      </c>
      <c r="AD20" s="135">
        <f t="shared" si="97"/>
        <v>0</v>
      </c>
      <c r="AE20" s="135">
        <f t="shared" si="97"/>
        <v>0</v>
      </c>
      <c r="AF20" s="135">
        <f t="shared" si="97"/>
        <v>0</v>
      </c>
      <c r="AG20" s="135">
        <f t="shared" si="97"/>
        <v>0</v>
      </c>
      <c r="AH20" s="135">
        <f t="shared" si="97"/>
        <v>0</v>
      </c>
      <c r="AI20" s="135">
        <f t="shared" si="97"/>
        <v>0</v>
      </c>
      <c r="AJ20" s="135">
        <f t="shared" si="97"/>
        <v>0</v>
      </c>
      <c r="AK20" s="135">
        <f t="shared" si="97"/>
        <v>0</v>
      </c>
      <c r="AL20" s="135">
        <f t="shared" si="97"/>
        <v>0</v>
      </c>
      <c r="AM20" s="135">
        <f t="shared" si="97"/>
        <v>0</v>
      </c>
      <c r="AN20" s="135">
        <f t="shared" si="97"/>
        <v>0</v>
      </c>
      <c r="AO20" s="135">
        <f t="shared" si="97"/>
        <v>0</v>
      </c>
      <c r="AP20" s="135">
        <f t="shared" si="97"/>
        <v>0</v>
      </c>
      <c r="AQ20" s="135">
        <f t="shared" si="97"/>
        <v>0</v>
      </c>
      <c r="AR20" s="135">
        <f t="shared" si="97"/>
        <v>0</v>
      </c>
      <c r="AS20" s="135">
        <f t="shared" si="97"/>
        <v>0</v>
      </c>
      <c r="AT20" s="135">
        <f t="shared" si="97"/>
        <v>0</v>
      </c>
      <c r="AU20" s="135">
        <f t="shared" si="97"/>
        <v>0</v>
      </c>
      <c r="AV20" s="135">
        <f t="shared" si="97"/>
        <v>0</v>
      </c>
      <c r="AW20" s="135">
        <f t="shared" si="97"/>
        <v>0</v>
      </c>
      <c r="AX20" s="135">
        <f t="shared" si="97"/>
        <v>0</v>
      </c>
      <c r="AY20" s="135">
        <f t="shared" si="97"/>
        <v>0</v>
      </c>
      <c r="AZ20" s="135">
        <f t="shared" si="97"/>
        <v>0</v>
      </c>
      <c r="BA20" s="135">
        <f t="shared" si="97"/>
        <v>0</v>
      </c>
      <c r="BB20" s="135">
        <f t="shared" si="97"/>
        <v>0</v>
      </c>
      <c r="BC20" s="135">
        <f t="shared" si="97"/>
        <v>0</v>
      </c>
      <c r="BD20" s="135">
        <f t="shared" si="97"/>
        <v>0</v>
      </c>
      <c r="BE20" s="135">
        <f t="shared" si="97"/>
        <v>0</v>
      </c>
      <c r="BF20" s="135">
        <f t="shared" si="97"/>
        <v>0</v>
      </c>
      <c r="BG20" s="135">
        <f t="shared" si="97"/>
        <v>0</v>
      </c>
      <c r="BH20" s="135">
        <f t="shared" si="97"/>
        <v>0</v>
      </c>
      <c r="BI20" s="135">
        <f t="shared" si="97"/>
        <v>0</v>
      </c>
      <c r="BJ20" s="135">
        <f t="shared" si="97"/>
        <v>0</v>
      </c>
      <c r="BK20" s="135">
        <f t="shared" si="97"/>
        <v>0</v>
      </c>
      <c r="BL20" s="135">
        <f t="shared" si="97"/>
        <v>0</v>
      </c>
      <c r="BM20" s="135">
        <f t="shared" si="97"/>
        <v>0</v>
      </c>
      <c r="BN20" s="135">
        <f t="shared" si="97"/>
        <v>0</v>
      </c>
      <c r="BO20" s="135">
        <f t="shared" si="97"/>
        <v>0</v>
      </c>
      <c r="BP20" s="135">
        <f t="shared" si="97"/>
        <v>0</v>
      </c>
      <c r="BQ20" s="135">
        <f t="shared" si="97"/>
        <v>0</v>
      </c>
      <c r="BR20" s="135">
        <f t="shared" si="97"/>
        <v>0</v>
      </c>
      <c r="BS20" s="135">
        <f t="shared" si="97"/>
        <v>0</v>
      </c>
      <c r="BT20" s="135">
        <f t="shared" si="97"/>
        <v>0</v>
      </c>
      <c r="BU20" s="135">
        <f t="shared" si="97"/>
        <v>0</v>
      </c>
      <c r="BV20" s="135">
        <f t="shared" si="97"/>
        <v>0</v>
      </c>
      <c r="BW20" s="135">
        <f t="shared" si="93"/>
        <v>0</v>
      </c>
      <c r="BX20" s="135">
        <f t="shared" si="93"/>
        <v>0</v>
      </c>
      <c r="BY20" s="135">
        <f t="shared" si="93"/>
        <v>0</v>
      </c>
      <c r="BZ20" s="135">
        <f t="shared" si="93"/>
        <v>0</v>
      </c>
      <c r="CA20" s="135">
        <f t="shared" si="93"/>
        <v>0</v>
      </c>
      <c r="CB20" s="135">
        <f t="shared" si="93"/>
        <v>0</v>
      </c>
      <c r="CC20" s="135">
        <f t="shared" si="93"/>
        <v>0</v>
      </c>
      <c r="CD20" s="135">
        <f t="shared" si="93"/>
        <v>0</v>
      </c>
      <c r="CE20" s="135">
        <f t="shared" si="93"/>
        <v>0</v>
      </c>
      <c r="CF20" s="135">
        <f t="shared" si="93"/>
        <v>0</v>
      </c>
      <c r="CG20" s="135">
        <f t="shared" si="93"/>
        <v>0</v>
      </c>
      <c r="CH20" s="135">
        <f t="shared" si="93"/>
        <v>0</v>
      </c>
      <c r="CI20" s="135">
        <f t="shared" si="93"/>
        <v>0</v>
      </c>
      <c r="CJ20" s="135">
        <f t="shared" si="93"/>
        <v>0</v>
      </c>
      <c r="CK20" s="135">
        <f t="shared" si="93"/>
        <v>0</v>
      </c>
      <c r="CL20" s="135">
        <f t="shared" si="93"/>
        <v>0</v>
      </c>
      <c r="CM20" s="135">
        <f t="shared" si="93"/>
        <v>0</v>
      </c>
      <c r="CN20" s="135">
        <f t="shared" si="93"/>
        <v>0</v>
      </c>
      <c r="CO20" s="135">
        <f t="shared" si="93"/>
        <v>0</v>
      </c>
      <c r="CP20" s="135">
        <f t="shared" si="93"/>
        <v>0</v>
      </c>
      <c r="CQ20" s="135">
        <f t="shared" si="93"/>
        <v>0</v>
      </c>
      <c r="CR20" s="135">
        <f t="shared" si="93"/>
        <v>0</v>
      </c>
      <c r="CS20" s="135">
        <f t="shared" si="93"/>
        <v>0</v>
      </c>
      <c r="CT20" s="135">
        <f t="shared" si="93"/>
        <v>0</v>
      </c>
      <c r="CU20" s="135">
        <f t="shared" si="93"/>
        <v>0</v>
      </c>
      <c r="CV20" s="135">
        <f t="shared" si="93"/>
        <v>0</v>
      </c>
      <c r="CW20" s="135">
        <f t="shared" si="93"/>
        <v>0</v>
      </c>
      <c r="CX20" s="135">
        <f t="shared" si="93"/>
        <v>0</v>
      </c>
      <c r="CY20" s="135">
        <f t="shared" si="93"/>
        <v>0</v>
      </c>
      <c r="CZ20" s="135">
        <f t="shared" si="93"/>
        <v>0</v>
      </c>
      <c r="DA20" s="135">
        <f t="shared" si="93"/>
        <v>0</v>
      </c>
      <c r="DB20" s="135">
        <f t="shared" si="93"/>
        <v>0</v>
      </c>
      <c r="DC20" s="135">
        <f t="shared" si="93"/>
        <v>0</v>
      </c>
      <c r="DD20" s="135">
        <f t="shared" si="93"/>
        <v>0</v>
      </c>
      <c r="DE20" s="135">
        <f t="shared" si="93"/>
        <v>0</v>
      </c>
      <c r="DF20" s="135">
        <f t="shared" si="93"/>
        <v>0</v>
      </c>
      <c r="DG20" s="135">
        <f t="shared" si="93"/>
        <v>0</v>
      </c>
      <c r="DH20" s="135">
        <f t="shared" si="93"/>
        <v>0</v>
      </c>
      <c r="DI20" s="135">
        <f t="shared" si="93"/>
        <v>0</v>
      </c>
      <c r="DJ20" s="135">
        <f t="shared" si="93"/>
        <v>0</v>
      </c>
      <c r="DK20" s="135">
        <f t="shared" si="93"/>
        <v>0</v>
      </c>
      <c r="DL20" s="135">
        <f t="shared" si="93"/>
        <v>0</v>
      </c>
      <c r="DM20" s="135">
        <f t="shared" si="93"/>
        <v>0</v>
      </c>
      <c r="DN20" s="135">
        <f t="shared" si="93"/>
        <v>0</v>
      </c>
      <c r="DO20" s="135">
        <f t="shared" si="93"/>
        <v>0</v>
      </c>
      <c r="DP20" s="135">
        <f t="shared" si="93"/>
        <v>0</v>
      </c>
      <c r="DQ20" s="135">
        <f t="shared" si="93"/>
        <v>0</v>
      </c>
      <c r="DR20" s="135">
        <f t="shared" si="93"/>
        <v>0</v>
      </c>
      <c r="DS20" s="135">
        <f t="shared" si="93"/>
        <v>0</v>
      </c>
      <c r="DT20" s="135">
        <f t="shared" si="93"/>
        <v>0</v>
      </c>
      <c r="DU20" s="135">
        <f t="shared" si="93"/>
        <v>0</v>
      </c>
      <c r="DV20" s="135">
        <f t="shared" si="93"/>
        <v>0</v>
      </c>
      <c r="DW20" s="135">
        <f t="shared" si="93"/>
        <v>0</v>
      </c>
      <c r="DX20" s="135">
        <f t="shared" si="93"/>
        <v>0</v>
      </c>
      <c r="DY20" s="135">
        <f t="shared" si="93"/>
        <v>0</v>
      </c>
      <c r="DZ20" s="135">
        <f t="shared" si="93"/>
        <v>0</v>
      </c>
      <c r="EA20" s="135">
        <f t="shared" si="93"/>
        <v>0</v>
      </c>
      <c r="EB20" s="135">
        <f t="shared" si="93"/>
        <v>0</v>
      </c>
      <c r="EC20" s="135">
        <f t="shared" si="93"/>
        <v>0</v>
      </c>
      <c r="ED20" s="135">
        <f t="shared" si="93"/>
        <v>0</v>
      </c>
      <c r="EE20" s="135">
        <f t="shared" si="93"/>
        <v>0</v>
      </c>
      <c r="EF20" s="135">
        <f t="shared" si="93"/>
        <v>0</v>
      </c>
      <c r="EG20" s="135">
        <f t="shared" si="93"/>
        <v>0</v>
      </c>
      <c r="EH20" s="135">
        <f t="shared" si="37"/>
        <v>0</v>
      </c>
      <c r="EI20" s="135">
        <f t="shared" si="89"/>
        <v>0</v>
      </c>
      <c r="EJ20" s="135">
        <f t="shared" si="89"/>
        <v>0</v>
      </c>
      <c r="EK20" s="135">
        <f t="shared" si="89"/>
        <v>0</v>
      </c>
      <c r="EL20" s="135">
        <f t="shared" si="89"/>
        <v>0</v>
      </c>
      <c r="EM20" s="135">
        <f t="shared" si="89"/>
        <v>0</v>
      </c>
      <c r="EN20" s="135">
        <f t="shared" si="89"/>
        <v>0</v>
      </c>
      <c r="EO20" s="135">
        <f t="shared" si="89"/>
        <v>0</v>
      </c>
      <c r="EP20" s="135">
        <f t="shared" si="89"/>
        <v>0</v>
      </c>
      <c r="EQ20" s="135">
        <f t="shared" si="89"/>
        <v>0</v>
      </c>
      <c r="ER20" s="135">
        <f t="shared" si="89"/>
        <v>0</v>
      </c>
      <c r="ES20" s="135">
        <f t="shared" si="89"/>
        <v>0</v>
      </c>
      <c r="ET20" s="135">
        <f t="shared" si="89"/>
        <v>0</v>
      </c>
      <c r="EU20" s="135">
        <f t="shared" si="89"/>
        <v>0</v>
      </c>
      <c r="EV20" s="135">
        <f t="shared" si="89"/>
        <v>0</v>
      </c>
      <c r="EW20" s="135">
        <f t="shared" si="89"/>
        <v>0</v>
      </c>
      <c r="EX20" s="135">
        <f t="shared" si="89"/>
        <v>0</v>
      </c>
      <c r="EY20" s="135">
        <f t="shared" si="89"/>
        <v>0</v>
      </c>
      <c r="EZ20" s="135">
        <f t="shared" si="89"/>
        <v>0</v>
      </c>
      <c r="FA20" s="135">
        <f t="shared" si="89"/>
        <v>0</v>
      </c>
      <c r="FB20" s="135">
        <f t="shared" si="89"/>
        <v>0</v>
      </c>
      <c r="FC20" s="135">
        <f t="shared" si="89"/>
        <v>0</v>
      </c>
      <c r="FD20" s="135">
        <f t="shared" si="89"/>
        <v>0</v>
      </c>
      <c r="FE20" s="135">
        <f t="shared" si="89"/>
        <v>0</v>
      </c>
      <c r="FF20" s="135">
        <f t="shared" si="89"/>
        <v>0</v>
      </c>
      <c r="FG20" s="135">
        <f t="shared" si="89"/>
        <v>0</v>
      </c>
      <c r="FH20" s="135">
        <f t="shared" si="89"/>
        <v>0</v>
      </c>
      <c r="FI20" s="135">
        <f t="shared" si="89"/>
        <v>0</v>
      </c>
      <c r="FJ20" s="135">
        <f t="shared" si="89"/>
        <v>0</v>
      </c>
      <c r="FK20" s="135">
        <f t="shared" si="89"/>
        <v>0</v>
      </c>
      <c r="FL20" s="135">
        <f t="shared" si="89"/>
        <v>0</v>
      </c>
      <c r="FM20" s="135">
        <f t="shared" si="89"/>
        <v>0</v>
      </c>
      <c r="FN20" s="135">
        <f t="shared" si="89"/>
        <v>0</v>
      </c>
      <c r="FO20" s="135">
        <f t="shared" si="89"/>
        <v>0</v>
      </c>
      <c r="FP20" s="135">
        <f t="shared" si="89"/>
        <v>0</v>
      </c>
      <c r="FQ20" s="135">
        <f t="shared" si="89"/>
        <v>0</v>
      </c>
      <c r="FR20" s="135">
        <f t="shared" si="89"/>
        <v>0</v>
      </c>
      <c r="FS20" s="135">
        <f t="shared" si="89"/>
        <v>0</v>
      </c>
      <c r="FT20" s="135">
        <f t="shared" si="89"/>
        <v>0</v>
      </c>
      <c r="FU20" s="135">
        <f t="shared" si="89"/>
        <v>0</v>
      </c>
      <c r="FV20" s="135">
        <f t="shared" si="89"/>
        <v>0</v>
      </c>
      <c r="FW20" s="135">
        <f t="shared" si="89"/>
        <v>0</v>
      </c>
      <c r="FX20" s="135">
        <f t="shared" si="89"/>
        <v>0</v>
      </c>
      <c r="FY20" s="135">
        <f t="shared" si="89"/>
        <v>0</v>
      </c>
      <c r="FZ20" s="135">
        <f t="shared" si="89"/>
        <v>0</v>
      </c>
      <c r="GA20" s="135">
        <f t="shared" si="89"/>
        <v>0</v>
      </c>
      <c r="GB20" s="135">
        <f t="shared" si="89"/>
        <v>0</v>
      </c>
      <c r="GC20" s="135">
        <f t="shared" si="89"/>
        <v>0</v>
      </c>
      <c r="GD20" s="135">
        <f t="shared" si="89"/>
        <v>0</v>
      </c>
      <c r="GE20" s="135">
        <f t="shared" si="89"/>
        <v>0</v>
      </c>
      <c r="GF20" s="135">
        <f t="shared" si="89"/>
        <v>0</v>
      </c>
      <c r="GG20" s="135">
        <f t="shared" si="89"/>
        <v>0</v>
      </c>
      <c r="GH20" s="135">
        <f t="shared" si="89"/>
        <v>0</v>
      </c>
      <c r="GI20" s="135">
        <f t="shared" si="89"/>
        <v>0</v>
      </c>
      <c r="GJ20" s="135">
        <f t="shared" si="89"/>
        <v>0</v>
      </c>
      <c r="GK20" s="135">
        <f t="shared" si="89"/>
        <v>0</v>
      </c>
      <c r="GL20" s="135">
        <f t="shared" si="89"/>
        <v>0</v>
      </c>
      <c r="GM20" s="135">
        <f t="shared" si="89"/>
        <v>0</v>
      </c>
      <c r="GN20" s="135">
        <f t="shared" si="89"/>
        <v>0</v>
      </c>
      <c r="GO20" s="135">
        <f t="shared" si="89"/>
        <v>0</v>
      </c>
      <c r="GP20" s="135">
        <f t="shared" si="89"/>
        <v>0</v>
      </c>
      <c r="GQ20" s="135">
        <f t="shared" si="89"/>
        <v>0</v>
      </c>
      <c r="GR20" s="135">
        <f t="shared" si="89"/>
        <v>0</v>
      </c>
      <c r="GS20" s="135">
        <f t="shared" si="89"/>
        <v>0</v>
      </c>
      <c r="GT20" s="135">
        <f t="shared" si="89"/>
        <v>0</v>
      </c>
      <c r="GU20" s="135">
        <f t="shared" si="87"/>
        <v>0</v>
      </c>
      <c r="GV20" s="135">
        <f t="shared" si="87"/>
        <v>0</v>
      </c>
      <c r="GW20" s="135">
        <f t="shared" si="87"/>
        <v>0</v>
      </c>
      <c r="GX20" s="135">
        <f t="shared" si="87"/>
        <v>0</v>
      </c>
      <c r="GY20" s="135">
        <f t="shared" si="87"/>
        <v>0</v>
      </c>
      <c r="GZ20" s="135">
        <f t="shared" si="87"/>
        <v>0</v>
      </c>
      <c r="HA20" s="135">
        <f t="shared" si="87"/>
        <v>0</v>
      </c>
      <c r="HB20" s="135">
        <f t="shared" si="87"/>
        <v>0</v>
      </c>
      <c r="HC20" s="135">
        <f t="shared" si="87"/>
        <v>0</v>
      </c>
      <c r="HD20" s="135">
        <f t="shared" si="87"/>
        <v>0</v>
      </c>
      <c r="HE20" s="135">
        <f t="shared" si="87"/>
        <v>0</v>
      </c>
      <c r="HF20" s="135">
        <f t="shared" si="87"/>
        <v>0</v>
      </c>
      <c r="HG20" s="135">
        <f t="shared" si="87"/>
        <v>0</v>
      </c>
      <c r="HH20" s="135">
        <f t="shared" si="87"/>
        <v>0</v>
      </c>
      <c r="HI20" s="135">
        <f t="shared" si="87"/>
        <v>0</v>
      </c>
      <c r="HJ20" s="135">
        <f t="shared" si="87"/>
        <v>0</v>
      </c>
      <c r="HK20" s="135">
        <f t="shared" si="87"/>
        <v>0</v>
      </c>
      <c r="HL20" s="135">
        <f t="shared" si="87"/>
        <v>0</v>
      </c>
      <c r="HM20" s="135">
        <f t="shared" si="87"/>
        <v>0</v>
      </c>
      <c r="HN20" s="135">
        <f t="shared" si="87"/>
        <v>0</v>
      </c>
      <c r="HO20" s="135">
        <f t="shared" si="87"/>
        <v>0</v>
      </c>
      <c r="HP20" s="135">
        <f t="shared" si="87"/>
        <v>0</v>
      </c>
      <c r="HQ20" s="135">
        <f t="shared" si="87"/>
        <v>0</v>
      </c>
      <c r="HR20" s="135">
        <f t="shared" si="87"/>
        <v>0</v>
      </c>
      <c r="HS20" s="135">
        <f t="shared" si="87"/>
        <v>0</v>
      </c>
      <c r="HT20" s="135">
        <f t="shared" si="87"/>
        <v>0</v>
      </c>
      <c r="HU20" s="135">
        <f t="shared" si="87"/>
        <v>0</v>
      </c>
      <c r="HV20" s="135">
        <f t="shared" si="87"/>
        <v>0</v>
      </c>
      <c r="HW20" s="135">
        <f t="shared" si="87"/>
        <v>0</v>
      </c>
      <c r="HX20" s="135">
        <f t="shared" si="87"/>
        <v>0</v>
      </c>
      <c r="HY20" s="135">
        <f t="shared" si="87"/>
        <v>0</v>
      </c>
      <c r="HZ20" s="135">
        <f t="shared" si="87"/>
        <v>0</v>
      </c>
      <c r="IA20" s="135">
        <f t="shared" si="87"/>
        <v>0</v>
      </c>
      <c r="IB20" s="135">
        <f t="shared" si="87"/>
        <v>0</v>
      </c>
      <c r="IC20" s="135">
        <f t="shared" si="87"/>
        <v>0</v>
      </c>
      <c r="ID20" s="135">
        <f t="shared" si="87"/>
        <v>0</v>
      </c>
      <c r="IE20" s="135">
        <f t="shared" si="87"/>
        <v>0</v>
      </c>
      <c r="IF20" s="135">
        <f t="shared" si="87"/>
        <v>0</v>
      </c>
      <c r="IG20" s="135">
        <f t="shared" si="87"/>
        <v>0</v>
      </c>
      <c r="IH20" s="135">
        <f t="shared" si="87"/>
        <v>0</v>
      </c>
      <c r="II20" s="135">
        <f t="shared" si="87"/>
        <v>0</v>
      </c>
      <c r="IJ20" s="135">
        <f t="shared" si="87"/>
        <v>0</v>
      </c>
      <c r="IK20" s="135">
        <f t="shared" si="87"/>
        <v>0</v>
      </c>
      <c r="IL20" s="135">
        <f t="shared" si="87"/>
        <v>0</v>
      </c>
      <c r="IM20" s="135">
        <f t="shared" si="87"/>
        <v>0</v>
      </c>
      <c r="IN20" s="135">
        <f t="shared" si="87"/>
        <v>0</v>
      </c>
      <c r="IO20" s="135">
        <f t="shared" si="87"/>
        <v>0</v>
      </c>
      <c r="IP20" s="135">
        <f t="shared" si="87"/>
        <v>0</v>
      </c>
      <c r="IQ20" s="135">
        <f t="shared" si="87"/>
        <v>0</v>
      </c>
      <c r="IR20" s="135">
        <f t="shared" si="87"/>
        <v>0</v>
      </c>
      <c r="IS20" s="135">
        <f t="shared" si="87"/>
        <v>0</v>
      </c>
      <c r="IT20" s="135">
        <f t="shared" si="87"/>
        <v>0</v>
      </c>
      <c r="IU20" s="135">
        <f t="shared" si="87"/>
        <v>0</v>
      </c>
      <c r="IV20" s="135">
        <f t="shared" si="87"/>
        <v>0</v>
      </c>
      <c r="IW20" s="135">
        <f t="shared" si="87"/>
        <v>0</v>
      </c>
      <c r="IX20" s="135">
        <f t="shared" si="87"/>
        <v>0</v>
      </c>
      <c r="IY20" s="135">
        <f t="shared" si="87"/>
        <v>0</v>
      </c>
      <c r="IZ20" s="135">
        <f t="shared" si="87"/>
        <v>0</v>
      </c>
      <c r="JA20" s="135">
        <f t="shared" si="87"/>
        <v>0</v>
      </c>
      <c r="JB20" s="135">
        <f t="shared" si="87"/>
        <v>0</v>
      </c>
      <c r="JC20" s="135">
        <f t="shared" si="87"/>
        <v>0</v>
      </c>
      <c r="JD20" s="135">
        <f t="shared" si="87"/>
        <v>0</v>
      </c>
      <c r="JE20" s="135">
        <f t="shared" si="87"/>
        <v>0</v>
      </c>
      <c r="JF20" s="135">
        <f t="shared" si="62"/>
        <v>0</v>
      </c>
      <c r="JG20" s="135">
        <f t="shared" si="62"/>
        <v>0</v>
      </c>
      <c r="JH20" s="135">
        <f t="shared" si="62"/>
        <v>0</v>
      </c>
      <c r="JI20" s="135">
        <f t="shared" si="62"/>
        <v>0</v>
      </c>
      <c r="JJ20" s="135">
        <f t="shared" si="90"/>
        <v>0</v>
      </c>
      <c r="JK20" s="135">
        <f t="shared" si="90"/>
        <v>0</v>
      </c>
      <c r="JL20" s="135">
        <f t="shared" si="90"/>
        <v>0</v>
      </c>
      <c r="JM20" s="135">
        <f t="shared" si="90"/>
        <v>0</v>
      </c>
      <c r="JN20" s="135">
        <f t="shared" si="90"/>
        <v>0</v>
      </c>
      <c r="JO20" s="135">
        <f t="shared" si="90"/>
        <v>0</v>
      </c>
      <c r="JP20" s="135">
        <f t="shared" si="90"/>
        <v>0</v>
      </c>
      <c r="JQ20" s="135">
        <f t="shared" si="90"/>
        <v>0</v>
      </c>
      <c r="JR20" s="135">
        <f t="shared" si="90"/>
        <v>0</v>
      </c>
      <c r="JS20" s="135">
        <f t="shared" si="90"/>
        <v>0</v>
      </c>
      <c r="JT20" s="135">
        <f t="shared" si="90"/>
        <v>0</v>
      </c>
      <c r="JU20" s="135">
        <f t="shared" si="90"/>
        <v>0</v>
      </c>
      <c r="JV20" s="135">
        <f t="shared" si="90"/>
        <v>0</v>
      </c>
      <c r="JW20" s="135">
        <f t="shared" si="90"/>
        <v>0</v>
      </c>
      <c r="JX20" s="135">
        <f t="shared" si="90"/>
        <v>0</v>
      </c>
      <c r="JY20" s="135">
        <f t="shared" si="90"/>
        <v>0</v>
      </c>
      <c r="JZ20" s="135">
        <f t="shared" si="90"/>
        <v>0</v>
      </c>
      <c r="KA20" s="135">
        <f t="shared" si="90"/>
        <v>0</v>
      </c>
      <c r="KB20" s="135">
        <f t="shared" si="90"/>
        <v>0</v>
      </c>
      <c r="KC20" s="135">
        <f t="shared" si="90"/>
        <v>0</v>
      </c>
      <c r="KD20" s="135">
        <f t="shared" si="90"/>
        <v>0</v>
      </c>
      <c r="KE20" s="135">
        <f t="shared" si="90"/>
        <v>0</v>
      </c>
      <c r="KF20" s="135">
        <f t="shared" si="90"/>
        <v>0</v>
      </c>
      <c r="KG20" s="135">
        <f t="shared" si="90"/>
        <v>0</v>
      </c>
      <c r="KH20" s="135">
        <f t="shared" si="90"/>
        <v>0</v>
      </c>
      <c r="KI20" s="135">
        <f t="shared" si="90"/>
        <v>0</v>
      </c>
      <c r="KJ20" s="135">
        <f t="shared" si="90"/>
        <v>0</v>
      </c>
      <c r="KK20" s="135">
        <f t="shared" si="90"/>
        <v>0</v>
      </c>
      <c r="KL20" s="135">
        <f t="shared" si="90"/>
        <v>0</v>
      </c>
      <c r="KM20" s="135">
        <f t="shared" si="90"/>
        <v>0</v>
      </c>
      <c r="KN20" s="135">
        <f t="shared" si="90"/>
        <v>0</v>
      </c>
      <c r="KO20" s="135">
        <f t="shared" si="90"/>
        <v>0</v>
      </c>
      <c r="KP20" s="135">
        <f t="shared" si="90"/>
        <v>0</v>
      </c>
      <c r="KQ20" s="135">
        <f t="shared" si="90"/>
        <v>0</v>
      </c>
      <c r="KR20" s="135">
        <f t="shared" si="90"/>
        <v>0</v>
      </c>
      <c r="KS20" s="135">
        <f t="shared" si="90"/>
        <v>0</v>
      </c>
      <c r="KT20" s="135">
        <f t="shared" si="90"/>
        <v>0</v>
      </c>
      <c r="KU20" s="135">
        <f t="shared" si="90"/>
        <v>0</v>
      </c>
      <c r="KV20" s="135">
        <f t="shared" si="90"/>
        <v>0</v>
      </c>
      <c r="KW20" s="135">
        <f t="shared" si="90"/>
        <v>0</v>
      </c>
      <c r="KX20" s="135">
        <f t="shared" si="90"/>
        <v>0</v>
      </c>
      <c r="KY20" s="135">
        <f t="shared" si="90"/>
        <v>0</v>
      </c>
      <c r="KZ20" s="135">
        <f t="shared" si="90"/>
        <v>0</v>
      </c>
      <c r="LA20" s="135">
        <f t="shared" si="90"/>
        <v>0</v>
      </c>
      <c r="LB20" s="135">
        <f t="shared" si="90"/>
        <v>0</v>
      </c>
      <c r="LC20" s="135">
        <f t="shared" si="90"/>
        <v>0</v>
      </c>
      <c r="LD20" s="135">
        <f t="shared" si="90"/>
        <v>0</v>
      </c>
      <c r="LE20" s="135">
        <f t="shared" si="90"/>
        <v>0</v>
      </c>
      <c r="LF20" s="135">
        <f t="shared" si="90"/>
        <v>0</v>
      </c>
      <c r="LG20" s="135">
        <f t="shared" si="90"/>
        <v>0</v>
      </c>
      <c r="LH20" s="135">
        <f t="shared" si="90"/>
        <v>0</v>
      </c>
      <c r="LI20" s="135">
        <f t="shared" si="90"/>
        <v>0</v>
      </c>
      <c r="LJ20" s="135">
        <f t="shared" si="90"/>
        <v>0</v>
      </c>
      <c r="LK20" s="135">
        <f t="shared" si="90"/>
        <v>0</v>
      </c>
      <c r="LL20" s="135">
        <f t="shared" si="90"/>
        <v>0</v>
      </c>
      <c r="LM20" s="135">
        <f t="shared" si="90"/>
        <v>0</v>
      </c>
      <c r="LN20" s="135">
        <f t="shared" si="90"/>
        <v>0</v>
      </c>
      <c r="LO20" s="135">
        <f t="shared" si="90"/>
        <v>0</v>
      </c>
      <c r="LP20" s="135">
        <f t="shared" si="90"/>
        <v>0</v>
      </c>
      <c r="LQ20" s="135">
        <f t="shared" si="90"/>
        <v>0</v>
      </c>
      <c r="LR20" s="135">
        <f t="shared" si="90"/>
        <v>0</v>
      </c>
      <c r="LS20" s="135">
        <f t="shared" si="90"/>
        <v>0</v>
      </c>
      <c r="LT20" s="135">
        <f t="shared" si="90"/>
        <v>0</v>
      </c>
      <c r="LU20" s="135">
        <f t="shared" si="90"/>
        <v>0</v>
      </c>
      <c r="LV20" s="135">
        <f t="shared" si="88"/>
        <v>0</v>
      </c>
      <c r="LW20" s="135">
        <f t="shared" si="88"/>
        <v>0</v>
      </c>
      <c r="LX20" s="135">
        <f t="shared" si="88"/>
        <v>0</v>
      </c>
      <c r="LY20" s="135">
        <f t="shared" si="88"/>
        <v>0</v>
      </c>
      <c r="LZ20" s="135">
        <f t="shared" si="88"/>
        <v>0</v>
      </c>
      <c r="MA20" s="135">
        <f t="shared" si="88"/>
        <v>0</v>
      </c>
      <c r="MB20" s="135">
        <f t="shared" si="88"/>
        <v>0</v>
      </c>
      <c r="MC20" s="135">
        <f t="shared" si="88"/>
        <v>0</v>
      </c>
      <c r="MD20" s="135">
        <f t="shared" si="88"/>
        <v>0</v>
      </c>
      <c r="ME20" s="135">
        <f t="shared" si="88"/>
        <v>0</v>
      </c>
      <c r="MF20" s="135">
        <f t="shared" si="88"/>
        <v>0</v>
      </c>
      <c r="MG20" s="135">
        <f t="shared" si="88"/>
        <v>0</v>
      </c>
      <c r="MH20" s="135">
        <f t="shared" si="88"/>
        <v>0</v>
      </c>
      <c r="MI20" s="135">
        <f t="shared" si="88"/>
        <v>0</v>
      </c>
      <c r="MJ20" s="135">
        <f t="shared" si="88"/>
        <v>0</v>
      </c>
      <c r="MK20" s="135">
        <f t="shared" si="88"/>
        <v>0</v>
      </c>
      <c r="ML20" s="135">
        <f t="shared" si="88"/>
        <v>0</v>
      </c>
      <c r="MM20" s="135">
        <f t="shared" si="88"/>
        <v>0</v>
      </c>
      <c r="MN20" s="135">
        <f t="shared" si="88"/>
        <v>0</v>
      </c>
      <c r="MO20" s="135">
        <f t="shared" si="88"/>
        <v>0</v>
      </c>
      <c r="MP20" s="135">
        <f t="shared" si="88"/>
        <v>0</v>
      </c>
      <c r="MQ20" s="135">
        <f t="shared" si="88"/>
        <v>0</v>
      </c>
      <c r="MR20" s="135">
        <f t="shared" si="88"/>
        <v>0</v>
      </c>
      <c r="MS20" s="135">
        <f t="shared" si="88"/>
        <v>0</v>
      </c>
      <c r="MT20" s="135">
        <f t="shared" si="88"/>
        <v>0</v>
      </c>
      <c r="MU20" s="135">
        <f t="shared" si="88"/>
        <v>0</v>
      </c>
      <c r="MV20" s="135">
        <f t="shared" si="88"/>
        <v>0</v>
      </c>
      <c r="MW20" s="135">
        <f t="shared" si="88"/>
        <v>0</v>
      </c>
      <c r="MX20" s="135">
        <f t="shared" si="88"/>
        <v>0</v>
      </c>
      <c r="MY20" s="135">
        <f t="shared" si="88"/>
        <v>0</v>
      </c>
      <c r="MZ20" s="135">
        <f t="shared" si="88"/>
        <v>0</v>
      </c>
      <c r="NA20" s="135">
        <f t="shared" si="88"/>
        <v>0</v>
      </c>
      <c r="NB20" s="135">
        <f t="shared" si="88"/>
        <v>0</v>
      </c>
      <c r="NC20" s="135">
        <f t="shared" si="88"/>
        <v>0</v>
      </c>
      <c r="ND20" s="135">
        <f t="shared" si="88"/>
        <v>0</v>
      </c>
      <c r="NE20" s="135">
        <f t="shared" si="88"/>
        <v>0</v>
      </c>
      <c r="NF20" s="135">
        <f t="shared" si="88"/>
        <v>0</v>
      </c>
      <c r="NG20" s="135">
        <f t="shared" si="88"/>
        <v>0</v>
      </c>
      <c r="NH20" s="135">
        <f t="shared" si="88"/>
        <v>0</v>
      </c>
      <c r="NI20" s="135">
        <f t="shared" si="88"/>
        <v>0</v>
      </c>
      <c r="NJ20" s="135">
        <f t="shared" si="88"/>
        <v>0</v>
      </c>
      <c r="NK20" s="135">
        <f t="shared" si="88"/>
        <v>0</v>
      </c>
      <c r="NL20" s="135">
        <f t="shared" si="88"/>
        <v>0</v>
      </c>
      <c r="NM20" s="135">
        <f t="shared" si="88"/>
        <v>0</v>
      </c>
      <c r="NN20" s="135">
        <f t="shared" si="88"/>
        <v>0</v>
      </c>
      <c r="NO20" s="135">
        <f t="shared" si="88"/>
        <v>0</v>
      </c>
      <c r="NP20" s="135">
        <f t="shared" si="88"/>
        <v>0</v>
      </c>
      <c r="NQ20" s="135">
        <f t="shared" si="88"/>
        <v>0</v>
      </c>
      <c r="NR20" s="135">
        <f t="shared" si="88"/>
        <v>0</v>
      </c>
      <c r="NS20" s="135">
        <f t="shared" si="88"/>
        <v>0</v>
      </c>
      <c r="NT20" s="135">
        <f t="shared" si="88"/>
        <v>0</v>
      </c>
      <c r="NU20" s="135">
        <f t="shared" si="88"/>
        <v>0</v>
      </c>
      <c r="NV20" s="135">
        <f t="shared" si="88"/>
        <v>0</v>
      </c>
      <c r="NW20" s="135">
        <f t="shared" si="88"/>
        <v>0</v>
      </c>
      <c r="NX20" s="135">
        <f t="shared" si="88"/>
        <v>0</v>
      </c>
      <c r="NY20" s="135">
        <f t="shared" si="88"/>
        <v>0</v>
      </c>
      <c r="NZ20" s="135">
        <f t="shared" si="88"/>
        <v>0</v>
      </c>
      <c r="OA20" s="135">
        <f t="shared" si="88"/>
        <v>0</v>
      </c>
      <c r="OB20" s="135">
        <f t="shared" si="88"/>
        <v>0</v>
      </c>
      <c r="OC20" s="135">
        <f t="shared" si="88"/>
        <v>0</v>
      </c>
      <c r="OD20" s="135">
        <f t="shared" si="88"/>
        <v>0</v>
      </c>
      <c r="OE20" s="135">
        <f t="shared" si="88"/>
        <v>0</v>
      </c>
      <c r="OF20" s="135">
        <f t="shared" si="88"/>
        <v>0</v>
      </c>
      <c r="OG20" s="135">
        <f t="shared" si="57"/>
        <v>0</v>
      </c>
      <c r="OH20" s="135">
        <f t="shared" si="80"/>
        <v>0</v>
      </c>
      <c r="OI20" s="135">
        <f t="shared" si="80"/>
        <v>0</v>
      </c>
      <c r="OJ20" s="135">
        <f t="shared" si="80"/>
        <v>0</v>
      </c>
      <c r="OK20" s="135">
        <f t="shared" si="80"/>
        <v>0</v>
      </c>
      <c r="OL20" s="135">
        <f t="shared" si="80"/>
        <v>0</v>
      </c>
      <c r="OM20" s="135">
        <f t="shared" si="80"/>
        <v>0</v>
      </c>
      <c r="ON20" s="135">
        <f t="shared" si="80"/>
        <v>0</v>
      </c>
      <c r="OO20" s="135">
        <f t="shared" si="94"/>
        <v>0</v>
      </c>
      <c r="OP20" s="135">
        <f t="shared" si="94"/>
        <v>0</v>
      </c>
      <c r="OQ20" s="135">
        <f t="shared" si="94"/>
        <v>0</v>
      </c>
      <c r="OR20" s="135">
        <f t="shared" si="94"/>
        <v>0</v>
      </c>
      <c r="OS20" s="135">
        <f t="shared" si="94"/>
        <v>0</v>
      </c>
      <c r="OT20" s="135">
        <f t="shared" si="94"/>
        <v>0</v>
      </c>
      <c r="OU20" s="135">
        <f t="shared" si="94"/>
        <v>0</v>
      </c>
      <c r="OV20" s="135">
        <f t="shared" si="94"/>
        <v>0</v>
      </c>
      <c r="OW20" s="135">
        <f t="shared" si="94"/>
        <v>0</v>
      </c>
      <c r="OX20" s="135">
        <f t="shared" si="94"/>
        <v>0</v>
      </c>
      <c r="OY20" s="135">
        <f t="shared" si="94"/>
        <v>0</v>
      </c>
      <c r="OZ20" s="135">
        <f t="shared" si="94"/>
        <v>0</v>
      </c>
      <c r="PA20" s="135">
        <f t="shared" si="94"/>
        <v>0</v>
      </c>
      <c r="PB20" s="135">
        <f t="shared" si="94"/>
        <v>0</v>
      </c>
      <c r="PC20" s="135">
        <f t="shared" si="94"/>
        <v>0</v>
      </c>
      <c r="PD20" s="135">
        <f t="shared" si="94"/>
        <v>0</v>
      </c>
      <c r="PE20" s="135">
        <f t="shared" si="94"/>
        <v>0</v>
      </c>
      <c r="PF20" s="135">
        <f t="shared" si="94"/>
        <v>0</v>
      </c>
      <c r="PG20" s="135">
        <f t="shared" si="94"/>
        <v>0</v>
      </c>
      <c r="PH20" s="135">
        <f t="shared" si="94"/>
        <v>0</v>
      </c>
      <c r="PI20" s="135">
        <f t="shared" si="94"/>
        <v>0</v>
      </c>
      <c r="PJ20" s="135">
        <f t="shared" si="94"/>
        <v>0</v>
      </c>
      <c r="PK20" s="135">
        <f t="shared" si="94"/>
        <v>0</v>
      </c>
      <c r="PL20" s="135">
        <f t="shared" si="94"/>
        <v>0</v>
      </c>
      <c r="PM20" s="135">
        <f t="shared" si="94"/>
        <v>0</v>
      </c>
      <c r="PN20" s="135">
        <f t="shared" si="94"/>
        <v>0</v>
      </c>
      <c r="PO20" s="135">
        <f t="shared" si="94"/>
        <v>0</v>
      </c>
      <c r="PP20" s="135">
        <f t="shared" si="94"/>
        <v>0</v>
      </c>
      <c r="PQ20" s="135">
        <f t="shared" si="94"/>
        <v>0</v>
      </c>
      <c r="PR20" s="135">
        <f t="shared" si="94"/>
        <v>0</v>
      </c>
      <c r="PS20" s="135">
        <f t="shared" si="94"/>
        <v>0</v>
      </c>
      <c r="PT20" s="135">
        <f t="shared" si="94"/>
        <v>0</v>
      </c>
      <c r="PU20" s="135">
        <f t="shared" si="94"/>
        <v>0</v>
      </c>
      <c r="PV20" s="135">
        <f t="shared" si="94"/>
        <v>0</v>
      </c>
      <c r="PW20" s="135">
        <f t="shared" si="94"/>
        <v>0</v>
      </c>
      <c r="PX20" s="135">
        <f t="shared" si="94"/>
        <v>0</v>
      </c>
      <c r="PY20" s="135">
        <f t="shared" si="94"/>
        <v>0</v>
      </c>
      <c r="PZ20" s="135">
        <f t="shared" si="94"/>
        <v>0</v>
      </c>
      <c r="QA20" s="135">
        <f t="shared" si="94"/>
        <v>0</v>
      </c>
      <c r="QB20" s="135">
        <f t="shared" si="94"/>
        <v>0</v>
      </c>
      <c r="QC20" s="135">
        <f t="shared" si="94"/>
        <v>0</v>
      </c>
      <c r="QD20" s="135">
        <f t="shared" si="94"/>
        <v>0</v>
      </c>
      <c r="QE20" s="135">
        <f t="shared" si="94"/>
        <v>0</v>
      </c>
      <c r="QF20" s="135">
        <f t="shared" si="94"/>
        <v>0</v>
      </c>
      <c r="QG20" s="135">
        <f t="shared" si="94"/>
        <v>0</v>
      </c>
      <c r="QH20" s="135">
        <f t="shared" si="94"/>
        <v>0</v>
      </c>
      <c r="QI20" s="135">
        <f t="shared" si="94"/>
        <v>0</v>
      </c>
      <c r="QJ20" s="135">
        <f t="shared" si="94"/>
        <v>0</v>
      </c>
      <c r="QK20" s="135">
        <f t="shared" si="94"/>
        <v>0</v>
      </c>
      <c r="QL20" s="135">
        <f t="shared" si="94"/>
        <v>0</v>
      </c>
      <c r="QM20" s="135">
        <f t="shared" si="94"/>
        <v>0</v>
      </c>
      <c r="QN20" s="135">
        <f t="shared" si="94"/>
        <v>0</v>
      </c>
      <c r="QO20" s="135">
        <f t="shared" si="94"/>
        <v>0</v>
      </c>
      <c r="QP20" s="135">
        <f t="shared" si="94"/>
        <v>0</v>
      </c>
      <c r="QQ20" s="135">
        <f t="shared" si="94"/>
        <v>0</v>
      </c>
      <c r="QR20" s="135">
        <f t="shared" si="94"/>
        <v>0</v>
      </c>
      <c r="QS20" s="135">
        <f t="shared" si="94"/>
        <v>0</v>
      </c>
      <c r="QT20" s="135">
        <f t="shared" si="94"/>
        <v>0</v>
      </c>
      <c r="QU20" s="135">
        <f t="shared" si="94"/>
        <v>0</v>
      </c>
      <c r="QV20" s="135">
        <f t="shared" si="94"/>
        <v>0</v>
      </c>
      <c r="QW20" s="135">
        <f t="shared" si="94"/>
        <v>0</v>
      </c>
      <c r="QX20" s="135">
        <f t="shared" si="94"/>
        <v>0</v>
      </c>
      <c r="QY20" s="135">
        <f t="shared" si="94"/>
        <v>0</v>
      </c>
      <c r="QZ20" s="135">
        <f t="shared" si="94"/>
        <v>0</v>
      </c>
      <c r="RA20" s="135">
        <f t="shared" si="95"/>
        <v>0</v>
      </c>
      <c r="RB20" s="135">
        <f t="shared" si="95"/>
        <v>0</v>
      </c>
      <c r="RC20" s="135">
        <f t="shared" si="95"/>
        <v>0</v>
      </c>
      <c r="RD20" s="135">
        <f t="shared" si="95"/>
        <v>0</v>
      </c>
      <c r="RE20" s="135">
        <f t="shared" si="95"/>
        <v>0</v>
      </c>
      <c r="RF20" s="135">
        <f t="shared" si="95"/>
        <v>0</v>
      </c>
      <c r="RG20" s="135">
        <f t="shared" si="95"/>
        <v>0</v>
      </c>
      <c r="RH20" s="135">
        <f t="shared" si="95"/>
        <v>0</v>
      </c>
      <c r="RI20" s="135">
        <f t="shared" si="95"/>
        <v>0</v>
      </c>
      <c r="RJ20" s="135">
        <f t="shared" si="95"/>
        <v>0</v>
      </c>
      <c r="RK20" s="135">
        <f t="shared" si="96"/>
        <v>0</v>
      </c>
      <c r="RL20" s="135">
        <f t="shared" si="96"/>
        <v>0</v>
      </c>
      <c r="RM20" s="135">
        <f t="shared" si="96"/>
        <v>0</v>
      </c>
      <c r="RN20" s="135">
        <f t="shared" si="96"/>
        <v>0</v>
      </c>
      <c r="RO20" s="135">
        <f t="shared" si="96"/>
        <v>0</v>
      </c>
      <c r="RP20" s="135">
        <f t="shared" si="96"/>
        <v>0</v>
      </c>
      <c r="RQ20" s="135">
        <f t="shared" si="96"/>
        <v>0</v>
      </c>
      <c r="RR20" s="135">
        <f t="shared" si="96"/>
        <v>0</v>
      </c>
      <c r="RS20" s="135">
        <f t="shared" si="96"/>
        <v>0</v>
      </c>
      <c r="RT20" s="135">
        <f t="shared" si="96"/>
        <v>0</v>
      </c>
      <c r="RU20" s="135">
        <f t="shared" si="85"/>
        <v>0</v>
      </c>
      <c r="RV20" s="135">
        <f t="shared" si="85"/>
        <v>0</v>
      </c>
      <c r="RW20" s="135">
        <f t="shared" si="85"/>
        <v>0</v>
      </c>
      <c r="RX20" s="135">
        <f t="shared" si="85"/>
        <v>0</v>
      </c>
      <c r="RY20" s="135">
        <f t="shared" si="85"/>
        <v>0</v>
      </c>
      <c r="RZ20" s="135">
        <f t="shared" si="85"/>
        <v>0</v>
      </c>
      <c r="SA20" s="135">
        <f t="shared" si="85"/>
        <v>0</v>
      </c>
      <c r="SB20" s="135">
        <f t="shared" si="85"/>
        <v>0</v>
      </c>
      <c r="SC20" s="135">
        <f t="shared" si="85"/>
        <v>0</v>
      </c>
      <c r="SD20" s="135">
        <f t="shared" si="85"/>
        <v>0</v>
      </c>
      <c r="SE20" s="135">
        <f t="shared" si="85"/>
        <v>0</v>
      </c>
      <c r="SF20" s="135">
        <f t="shared" si="85"/>
        <v>0</v>
      </c>
      <c r="SG20" s="135">
        <f t="shared" si="85"/>
        <v>0</v>
      </c>
      <c r="SH20" s="135">
        <f t="shared" si="85"/>
        <v>0</v>
      </c>
      <c r="SI20" s="135">
        <f t="shared" si="85"/>
        <v>0</v>
      </c>
      <c r="SJ20" s="135">
        <f t="shared" si="85"/>
        <v>0</v>
      </c>
      <c r="SK20" s="135">
        <f t="shared" si="85"/>
        <v>0</v>
      </c>
      <c r="SL20" s="135">
        <f t="shared" si="85"/>
        <v>0</v>
      </c>
      <c r="SM20" s="135">
        <f t="shared" si="85"/>
        <v>0</v>
      </c>
      <c r="SN20" s="135">
        <f t="shared" si="85"/>
        <v>0</v>
      </c>
      <c r="SO20" s="135">
        <f t="shared" si="85"/>
        <v>0</v>
      </c>
      <c r="SP20" s="135">
        <f t="shared" si="85"/>
        <v>0</v>
      </c>
      <c r="SQ20" s="135">
        <f t="shared" si="85"/>
        <v>0</v>
      </c>
      <c r="SR20" s="135">
        <f t="shared" si="85"/>
        <v>0</v>
      </c>
      <c r="SS20" s="135">
        <f t="shared" si="85"/>
        <v>0</v>
      </c>
      <c r="ST20" s="135">
        <f t="shared" si="85"/>
        <v>0</v>
      </c>
      <c r="SU20" s="135">
        <f t="shared" si="85"/>
        <v>0</v>
      </c>
      <c r="SV20" s="135">
        <f t="shared" si="85"/>
        <v>0</v>
      </c>
      <c r="SW20" s="135">
        <f t="shared" si="85"/>
        <v>0</v>
      </c>
      <c r="SX20" s="135">
        <f t="shared" si="85"/>
        <v>0</v>
      </c>
      <c r="SY20" s="135">
        <f t="shared" si="85"/>
        <v>0</v>
      </c>
      <c r="SZ20" s="135">
        <f t="shared" si="85"/>
        <v>0</v>
      </c>
      <c r="TA20" s="135">
        <f t="shared" si="85"/>
        <v>0</v>
      </c>
      <c r="TB20" s="135">
        <f t="shared" si="85"/>
        <v>0</v>
      </c>
      <c r="TC20" s="135">
        <f t="shared" si="85"/>
        <v>0</v>
      </c>
      <c r="TD20" s="135">
        <f t="shared" si="85"/>
        <v>0</v>
      </c>
      <c r="TE20" s="135">
        <f t="shared" si="85"/>
        <v>0</v>
      </c>
      <c r="TF20" s="135">
        <f t="shared" si="85"/>
        <v>0</v>
      </c>
      <c r="TG20" s="135">
        <f t="shared" si="85"/>
        <v>0</v>
      </c>
      <c r="TH20" s="135">
        <f t="shared" si="86"/>
        <v>0</v>
      </c>
      <c r="TI20" s="135">
        <f t="shared" si="86"/>
        <v>0</v>
      </c>
      <c r="TJ20" s="135">
        <f t="shared" si="86"/>
        <v>0</v>
      </c>
      <c r="TK20" s="135">
        <f t="shared" si="86"/>
        <v>0</v>
      </c>
      <c r="TL20" s="135">
        <f t="shared" si="86"/>
        <v>0</v>
      </c>
      <c r="TM20" s="135">
        <f t="shared" si="67"/>
        <v>0</v>
      </c>
      <c r="TN20" s="135">
        <f t="shared" si="67"/>
        <v>0</v>
      </c>
      <c r="TO20" s="135">
        <f t="shared" si="67"/>
        <v>0</v>
      </c>
      <c r="TP20" s="135">
        <f t="shared" si="67"/>
        <v>0</v>
      </c>
      <c r="TQ20" s="135">
        <f t="shared" si="67"/>
        <v>0</v>
      </c>
      <c r="TR20" s="135">
        <f t="shared" si="67"/>
        <v>0</v>
      </c>
      <c r="TS20" s="135">
        <f t="shared" si="67"/>
        <v>0</v>
      </c>
      <c r="TT20" s="135">
        <f t="shared" si="67"/>
        <v>0</v>
      </c>
      <c r="TU20" s="135">
        <f t="shared" si="67"/>
        <v>0</v>
      </c>
      <c r="TV20" s="135">
        <f t="shared" si="67"/>
        <v>0</v>
      </c>
      <c r="TW20" s="135">
        <f t="shared" si="67"/>
        <v>0</v>
      </c>
      <c r="TX20" s="135">
        <f t="shared" si="67"/>
        <v>0</v>
      </c>
      <c r="TY20" s="135">
        <f t="shared" si="67"/>
        <v>0</v>
      </c>
      <c r="TZ20" s="135">
        <f t="shared" si="67"/>
        <v>0</v>
      </c>
      <c r="UA20" s="135">
        <f t="shared" si="67"/>
        <v>0</v>
      </c>
      <c r="UB20" s="135">
        <f t="shared" si="67"/>
        <v>0</v>
      </c>
      <c r="UC20" s="135">
        <f t="shared" si="67"/>
        <v>0</v>
      </c>
      <c r="UD20" s="135">
        <f t="shared" si="67"/>
        <v>0</v>
      </c>
      <c r="UE20" s="135">
        <f t="shared" si="67"/>
        <v>0</v>
      </c>
      <c r="UF20" s="135">
        <f t="shared" si="67"/>
        <v>0</v>
      </c>
      <c r="UG20" s="135">
        <f t="shared" si="67"/>
        <v>0</v>
      </c>
      <c r="UH20" s="135">
        <f t="shared" si="67"/>
        <v>0</v>
      </c>
      <c r="UI20" s="135">
        <f t="shared" si="67"/>
        <v>0</v>
      </c>
      <c r="UJ20" s="135">
        <f t="shared" si="67"/>
        <v>0</v>
      </c>
      <c r="UK20" s="135">
        <f t="shared" si="67"/>
        <v>0</v>
      </c>
    </row>
    <row r="21" spans="2:557">
      <c r="B21" t="str">
        <f>IF(Samenvatting!$F122&lt;&gt;0,Samenvatting!C122,"")</f>
        <v/>
      </c>
      <c r="C21" t="str">
        <f>IF(Samenvatting!$F122&lt;&gt;0,Samenvatting!D122,"")</f>
        <v/>
      </c>
      <c r="D21" t="str">
        <f>IF(Samenvatting!$F122&lt;&gt;0,Samenvatting!E122,"")</f>
        <v/>
      </c>
      <c r="E21" t="str">
        <f>IF(Samenvatting!$F122&lt;&gt;0,Samenvatting!F122,"")</f>
        <v/>
      </c>
      <c r="F21" t="str">
        <f>IF(Samenvatting!$F122&lt;&gt;0,Samenvatting!H122,"")</f>
        <v/>
      </c>
      <c r="G21" s="134" t="str">
        <f>IF(Samenvatting!$F122&lt;&gt;0,Samenvatting!I122,"")</f>
        <v/>
      </c>
      <c r="H21" t="str">
        <f>IF(Samenvatting!$F122&lt;&gt;0,Samenvatting!J122,"")</f>
        <v/>
      </c>
      <c r="I21" s="134" t="str">
        <f>IF(Samenvatting!$F122&lt;&gt;0,Samenvatting!K122,"")</f>
        <v/>
      </c>
      <c r="J21" s="135">
        <f t="shared" si="0"/>
        <v>0</v>
      </c>
      <c r="K21" s="135">
        <f t="shared" si="97"/>
        <v>0</v>
      </c>
      <c r="L21" s="135">
        <f t="shared" si="97"/>
        <v>0</v>
      </c>
      <c r="M21" s="135">
        <f t="shared" si="97"/>
        <v>0</v>
      </c>
      <c r="N21" s="135">
        <f t="shared" si="97"/>
        <v>0</v>
      </c>
      <c r="O21" s="135">
        <f t="shared" si="97"/>
        <v>0</v>
      </c>
      <c r="P21" s="135">
        <f t="shared" si="97"/>
        <v>0</v>
      </c>
      <c r="Q21" s="135">
        <f t="shared" si="97"/>
        <v>0</v>
      </c>
      <c r="R21" s="135">
        <f t="shared" si="97"/>
        <v>0</v>
      </c>
      <c r="S21" s="135">
        <f t="shared" si="97"/>
        <v>0</v>
      </c>
      <c r="T21" s="135">
        <f t="shared" si="97"/>
        <v>0</v>
      </c>
      <c r="U21" s="135">
        <f t="shared" si="97"/>
        <v>0</v>
      </c>
      <c r="V21" s="135">
        <f t="shared" si="97"/>
        <v>0</v>
      </c>
      <c r="W21" s="135">
        <f t="shared" si="97"/>
        <v>0</v>
      </c>
      <c r="X21" s="135">
        <f t="shared" si="97"/>
        <v>0</v>
      </c>
      <c r="Y21" s="135">
        <f t="shared" si="97"/>
        <v>0</v>
      </c>
      <c r="Z21" s="135">
        <f t="shared" si="97"/>
        <v>0</v>
      </c>
      <c r="AA21" s="135">
        <f t="shared" si="97"/>
        <v>0</v>
      </c>
      <c r="AB21" s="135">
        <f t="shared" si="97"/>
        <v>0</v>
      </c>
      <c r="AC21" s="135">
        <f t="shared" si="97"/>
        <v>0</v>
      </c>
      <c r="AD21" s="135">
        <f t="shared" si="97"/>
        <v>0</v>
      </c>
      <c r="AE21" s="135">
        <f t="shared" si="97"/>
        <v>0</v>
      </c>
      <c r="AF21" s="135">
        <f t="shared" si="97"/>
        <v>0</v>
      </c>
      <c r="AG21" s="135">
        <f t="shared" si="97"/>
        <v>0</v>
      </c>
      <c r="AH21" s="135">
        <f t="shared" si="97"/>
        <v>0</v>
      </c>
      <c r="AI21" s="135">
        <f t="shared" si="97"/>
        <v>0</v>
      </c>
      <c r="AJ21" s="135">
        <f t="shared" si="97"/>
        <v>0</v>
      </c>
      <c r="AK21" s="135">
        <f t="shared" si="97"/>
        <v>0</v>
      </c>
      <c r="AL21" s="135">
        <f t="shared" si="97"/>
        <v>0</v>
      </c>
      <c r="AM21" s="135">
        <f t="shared" si="97"/>
        <v>0</v>
      </c>
      <c r="AN21" s="135">
        <f t="shared" si="97"/>
        <v>0</v>
      </c>
      <c r="AO21" s="135">
        <f t="shared" si="97"/>
        <v>0</v>
      </c>
      <c r="AP21" s="135">
        <f t="shared" si="97"/>
        <v>0</v>
      </c>
      <c r="AQ21" s="135">
        <f t="shared" si="97"/>
        <v>0</v>
      </c>
      <c r="AR21" s="135">
        <f t="shared" si="97"/>
        <v>0</v>
      </c>
      <c r="AS21" s="135">
        <f t="shared" si="97"/>
        <v>0</v>
      </c>
      <c r="AT21" s="135">
        <f t="shared" si="97"/>
        <v>0</v>
      </c>
      <c r="AU21" s="135">
        <f t="shared" si="97"/>
        <v>0</v>
      </c>
      <c r="AV21" s="135">
        <f t="shared" si="97"/>
        <v>0</v>
      </c>
      <c r="AW21" s="135">
        <f t="shared" si="97"/>
        <v>0</v>
      </c>
      <c r="AX21" s="135">
        <f t="shared" si="97"/>
        <v>0</v>
      </c>
      <c r="AY21" s="135">
        <f t="shared" si="97"/>
        <v>0</v>
      </c>
      <c r="AZ21" s="135">
        <f t="shared" si="97"/>
        <v>0</v>
      </c>
      <c r="BA21" s="135">
        <f t="shared" si="97"/>
        <v>0</v>
      </c>
      <c r="BB21" s="135">
        <f t="shared" si="97"/>
        <v>0</v>
      </c>
      <c r="BC21" s="135">
        <f t="shared" si="97"/>
        <v>0</v>
      </c>
      <c r="BD21" s="135">
        <f t="shared" si="97"/>
        <v>0</v>
      </c>
      <c r="BE21" s="135">
        <f t="shared" si="97"/>
        <v>0</v>
      </c>
      <c r="BF21" s="135">
        <f t="shared" si="97"/>
        <v>0</v>
      </c>
      <c r="BG21" s="135">
        <f t="shared" si="97"/>
        <v>0</v>
      </c>
      <c r="BH21" s="135">
        <f t="shared" si="97"/>
        <v>0</v>
      </c>
      <c r="BI21" s="135">
        <f t="shared" si="97"/>
        <v>0</v>
      </c>
      <c r="BJ21" s="135">
        <f t="shared" si="97"/>
        <v>0</v>
      </c>
      <c r="BK21" s="135">
        <f t="shared" si="97"/>
        <v>0</v>
      </c>
      <c r="BL21" s="135">
        <f t="shared" si="97"/>
        <v>0</v>
      </c>
      <c r="BM21" s="135">
        <f t="shared" si="97"/>
        <v>0</v>
      </c>
      <c r="BN21" s="135">
        <f t="shared" si="97"/>
        <v>0</v>
      </c>
      <c r="BO21" s="135">
        <f t="shared" si="97"/>
        <v>0</v>
      </c>
      <c r="BP21" s="135">
        <f t="shared" si="97"/>
        <v>0</v>
      </c>
      <c r="BQ21" s="135">
        <f t="shared" si="97"/>
        <v>0</v>
      </c>
      <c r="BR21" s="135">
        <f t="shared" si="97"/>
        <v>0</v>
      </c>
      <c r="BS21" s="135">
        <f t="shared" si="97"/>
        <v>0</v>
      </c>
      <c r="BT21" s="135">
        <f t="shared" si="97"/>
        <v>0</v>
      </c>
      <c r="BU21" s="135">
        <f t="shared" si="97"/>
        <v>0</v>
      </c>
      <c r="BV21" s="135">
        <f t="shared" si="97"/>
        <v>0</v>
      </c>
      <c r="BW21" s="135">
        <f t="shared" si="93"/>
        <v>0</v>
      </c>
      <c r="BX21" s="135">
        <f t="shared" si="93"/>
        <v>0</v>
      </c>
      <c r="BY21" s="135">
        <f t="shared" si="93"/>
        <v>0</v>
      </c>
      <c r="BZ21" s="135">
        <f t="shared" si="93"/>
        <v>0</v>
      </c>
      <c r="CA21" s="135">
        <f t="shared" si="93"/>
        <v>0</v>
      </c>
      <c r="CB21" s="135">
        <f t="shared" si="93"/>
        <v>0</v>
      </c>
      <c r="CC21" s="135">
        <f t="shared" si="93"/>
        <v>0</v>
      </c>
      <c r="CD21" s="135">
        <f t="shared" si="93"/>
        <v>0</v>
      </c>
      <c r="CE21" s="135">
        <f t="shared" si="93"/>
        <v>0</v>
      </c>
      <c r="CF21" s="135">
        <f t="shared" si="93"/>
        <v>0</v>
      </c>
      <c r="CG21" s="135">
        <f t="shared" si="93"/>
        <v>0</v>
      </c>
      <c r="CH21" s="135">
        <f t="shared" si="93"/>
        <v>0</v>
      </c>
      <c r="CI21" s="135">
        <f t="shared" si="93"/>
        <v>0</v>
      </c>
      <c r="CJ21" s="135">
        <f t="shared" si="93"/>
        <v>0</v>
      </c>
      <c r="CK21" s="135">
        <f t="shared" si="93"/>
        <v>0</v>
      </c>
      <c r="CL21" s="135">
        <f t="shared" si="93"/>
        <v>0</v>
      </c>
      <c r="CM21" s="135">
        <f t="shared" si="93"/>
        <v>0</v>
      </c>
      <c r="CN21" s="135">
        <f t="shared" si="93"/>
        <v>0</v>
      </c>
      <c r="CO21" s="135">
        <f t="shared" si="93"/>
        <v>0</v>
      </c>
      <c r="CP21" s="135">
        <f t="shared" si="93"/>
        <v>0</v>
      </c>
      <c r="CQ21" s="135">
        <f t="shared" si="93"/>
        <v>0</v>
      </c>
      <c r="CR21" s="135">
        <f t="shared" si="93"/>
        <v>0</v>
      </c>
      <c r="CS21" s="135">
        <f t="shared" si="93"/>
        <v>0</v>
      </c>
      <c r="CT21" s="135">
        <f t="shared" si="93"/>
        <v>0</v>
      </c>
      <c r="CU21" s="135">
        <f t="shared" si="93"/>
        <v>0</v>
      </c>
      <c r="CV21" s="135">
        <f t="shared" si="93"/>
        <v>0</v>
      </c>
      <c r="CW21" s="135">
        <f t="shared" si="93"/>
        <v>0</v>
      </c>
      <c r="CX21" s="135">
        <f t="shared" si="93"/>
        <v>0</v>
      </c>
      <c r="CY21" s="135">
        <f t="shared" si="93"/>
        <v>0</v>
      </c>
      <c r="CZ21" s="135">
        <f t="shared" si="93"/>
        <v>0</v>
      </c>
      <c r="DA21" s="135">
        <f t="shared" si="93"/>
        <v>0</v>
      </c>
      <c r="DB21" s="135">
        <f t="shared" si="93"/>
        <v>0</v>
      </c>
      <c r="DC21" s="135">
        <f t="shared" si="93"/>
        <v>0</v>
      </c>
      <c r="DD21" s="135">
        <f t="shared" si="93"/>
        <v>0</v>
      </c>
      <c r="DE21" s="135">
        <f t="shared" si="93"/>
        <v>0</v>
      </c>
      <c r="DF21" s="135">
        <f t="shared" si="93"/>
        <v>0</v>
      </c>
      <c r="DG21" s="135">
        <f t="shared" si="93"/>
        <v>0</v>
      </c>
      <c r="DH21" s="135">
        <f t="shared" si="93"/>
        <v>0</v>
      </c>
      <c r="DI21" s="135">
        <f t="shared" si="93"/>
        <v>0</v>
      </c>
      <c r="DJ21" s="135">
        <f t="shared" si="93"/>
        <v>0</v>
      </c>
      <c r="DK21" s="135">
        <f t="shared" si="93"/>
        <v>0</v>
      </c>
      <c r="DL21" s="135">
        <f t="shared" si="93"/>
        <v>0</v>
      </c>
      <c r="DM21" s="135">
        <f t="shared" si="93"/>
        <v>0</v>
      </c>
      <c r="DN21" s="135">
        <f t="shared" si="93"/>
        <v>0</v>
      </c>
      <c r="DO21" s="135">
        <f t="shared" si="93"/>
        <v>0</v>
      </c>
      <c r="DP21" s="135">
        <f t="shared" si="93"/>
        <v>0</v>
      </c>
      <c r="DQ21" s="135">
        <f t="shared" si="93"/>
        <v>0</v>
      </c>
      <c r="DR21" s="135">
        <f t="shared" si="93"/>
        <v>0</v>
      </c>
      <c r="DS21" s="135">
        <f t="shared" si="93"/>
        <v>0</v>
      </c>
      <c r="DT21" s="135">
        <f t="shared" si="93"/>
        <v>0</v>
      </c>
      <c r="DU21" s="135">
        <f t="shared" si="93"/>
        <v>0</v>
      </c>
      <c r="DV21" s="135">
        <f t="shared" si="93"/>
        <v>0</v>
      </c>
      <c r="DW21" s="135">
        <f t="shared" si="93"/>
        <v>0</v>
      </c>
      <c r="DX21" s="135">
        <f t="shared" si="93"/>
        <v>0</v>
      </c>
      <c r="DY21" s="135">
        <f t="shared" si="93"/>
        <v>0</v>
      </c>
      <c r="DZ21" s="135">
        <f t="shared" si="93"/>
        <v>0</v>
      </c>
      <c r="EA21" s="135">
        <f t="shared" si="93"/>
        <v>0</v>
      </c>
      <c r="EB21" s="135">
        <f t="shared" si="93"/>
        <v>0</v>
      </c>
      <c r="EC21" s="135">
        <f t="shared" si="93"/>
        <v>0</v>
      </c>
      <c r="ED21" s="135">
        <f t="shared" si="93"/>
        <v>0</v>
      </c>
      <c r="EE21" s="135">
        <f t="shared" si="93"/>
        <v>0</v>
      </c>
      <c r="EF21" s="135">
        <f t="shared" si="93"/>
        <v>0</v>
      </c>
      <c r="EG21" s="135">
        <f t="shared" si="93"/>
        <v>0</v>
      </c>
      <c r="EH21" s="135">
        <f t="shared" si="37"/>
        <v>0</v>
      </c>
      <c r="EI21" s="135">
        <f t="shared" si="89"/>
        <v>0</v>
      </c>
      <c r="EJ21" s="135">
        <f t="shared" si="89"/>
        <v>0</v>
      </c>
      <c r="EK21" s="135">
        <f t="shared" si="89"/>
        <v>0</v>
      </c>
      <c r="EL21" s="135">
        <f t="shared" si="89"/>
        <v>0</v>
      </c>
      <c r="EM21" s="135">
        <f t="shared" si="89"/>
        <v>0</v>
      </c>
      <c r="EN21" s="135">
        <f t="shared" si="89"/>
        <v>0</v>
      </c>
      <c r="EO21" s="135">
        <f t="shared" si="89"/>
        <v>0</v>
      </c>
      <c r="EP21" s="135">
        <f t="shared" si="89"/>
        <v>0</v>
      </c>
      <c r="EQ21" s="135">
        <f t="shared" si="89"/>
        <v>0</v>
      </c>
      <c r="ER21" s="135">
        <f t="shared" si="89"/>
        <v>0</v>
      </c>
      <c r="ES21" s="135">
        <f t="shared" si="89"/>
        <v>0</v>
      </c>
      <c r="ET21" s="135">
        <f t="shared" si="89"/>
        <v>0</v>
      </c>
      <c r="EU21" s="135">
        <f t="shared" si="89"/>
        <v>0</v>
      </c>
      <c r="EV21" s="135">
        <f t="shared" si="89"/>
        <v>0</v>
      </c>
      <c r="EW21" s="135">
        <f t="shared" si="89"/>
        <v>0</v>
      </c>
      <c r="EX21" s="135">
        <f t="shared" si="89"/>
        <v>0</v>
      </c>
      <c r="EY21" s="135">
        <f t="shared" si="89"/>
        <v>0</v>
      </c>
      <c r="EZ21" s="135">
        <f t="shared" si="89"/>
        <v>0</v>
      </c>
      <c r="FA21" s="135">
        <f t="shared" si="89"/>
        <v>0</v>
      </c>
      <c r="FB21" s="135">
        <f t="shared" si="89"/>
        <v>0</v>
      </c>
      <c r="FC21" s="135">
        <f t="shared" si="89"/>
        <v>0</v>
      </c>
      <c r="FD21" s="135">
        <f t="shared" si="89"/>
        <v>0</v>
      </c>
      <c r="FE21" s="135">
        <f t="shared" si="89"/>
        <v>0</v>
      </c>
      <c r="FF21" s="135">
        <f t="shared" si="89"/>
        <v>0</v>
      </c>
      <c r="FG21" s="135">
        <f t="shared" si="89"/>
        <v>0</v>
      </c>
      <c r="FH21" s="135">
        <f t="shared" si="89"/>
        <v>0</v>
      </c>
      <c r="FI21" s="135">
        <f t="shared" si="89"/>
        <v>0</v>
      </c>
      <c r="FJ21" s="135">
        <f t="shared" si="89"/>
        <v>0</v>
      </c>
      <c r="FK21" s="135">
        <f t="shared" si="89"/>
        <v>0</v>
      </c>
      <c r="FL21" s="135">
        <f t="shared" si="89"/>
        <v>0</v>
      </c>
      <c r="FM21" s="135">
        <f t="shared" si="89"/>
        <v>0</v>
      </c>
      <c r="FN21" s="135">
        <f t="shared" si="89"/>
        <v>0</v>
      </c>
      <c r="FO21" s="135">
        <f t="shared" si="89"/>
        <v>0</v>
      </c>
      <c r="FP21" s="135">
        <f t="shared" si="89"/>
        <v>0</v>
      </c>
      <c r="FQ21" s="135">
        <f t="shared" si="89"/>
        <v>0</v>
      </c>
      <c r="FR21" s="135">
        <f t="shared" si="89"/>
        <v>0</v>
      </c>
      <c r="FS21" s="135">
        <f t="shared" si="89"/>
        <v>0</v>
      </c>
      <c r="FT21" s="135">
        <f t="shared" si="89"/>
        <v>0</v>
      </c>
      <c r="FU21" s="135">
        <f t="shared" si="89"/>
        <v>0</v>
      </c>
      <c r="FV21" s="135">
        <f t="shared" si="89"/>
        <v>0</v>
      </c>
      <c r="FW21" s="135">
        <f t="shared" si="89"/>
        <v>0</v>
      </c>
      <c r="FX21" s="135">
        <f t="shared" si="89"/>
        <v>0</v>
      </c>
      <c r="FY21" s="135">
        <f t="shared" si="89"/>
        <v>0</v>
      </c>
      <c r="FZ21" s="135">
        <f t="shared" si="89"/>
        <v>0</v>
      </c>
      <c r="GA21" s="135">
        <f t="shared" si="89"/>
        <v>0</v>
      </c>
      <c r="GB21" s="135">
        <f t="shared" si="89"/>
        <v>0</v>
      </c>
      <c r="GC21" s="135">
        <f t="shared" si="89"/>
        <v>0</v>
      </c>
      <c r="GD21" s="135">
        <f t="shared" si="89"/>
        <v>0</v>
      </c>
      <c r="GE21" s="135">
        <f t="shared" si="89"/>
        <v>0</v>
      </c>
      <c r="GF21" s="135">
        <f t="shared" si="89"/>
        <v>0</v>
      </c>
      <c r="GG21" s="135">
        <f t="shared" si="89"/>
        <v>0</v>
      </c>
      <c r="GH21" s="135">
        <f t="shared" si="89"/>
        <v>0</v>
      </c>
      <c r="GI21" s="135">
        <f t="shared" si="89"/>
        <v>0</v>
      </c>
      <c r="GJ21" s="135">
        <f t="shared" si="89"/>
        <v>0</v>
      </c>
      <c r="GK21" s="135">
        <f t="shared" si="89"/>
        <v>0</v>
      </c>
      <c r="GL21" s="135">
        <f t="shared" si="89"/>
        <v>0</v>
      </c>
      <c r="GM21" s="135">
        <f t="shared" si="89"/>
        <v>0</v>
      </c>
      <c r="GN21" s="135">
        <f t="shared" si="89"/>
        <v>0</v>
      </c>
      <c r="GO21" s="135">
        <f t="shared" si="89"/>
        <v>0</v>
      </c>
      <c r="GP21" s="135">
        <f t="shared" si="89"/>
        <v>0</v>
      </c>
      <c r="GQ21" s="135">
        <f t="shared" si="89"/>
        <v>0</v>
      </c>
      <c r="GR21" s="135">
        <f t="shared" si="89"/>
        <v>0</v>
      </c>
      <c r="GS21" s="135">
        <f t="shared" si="89"/>
        <v>0</v>
      </c>
      <c r="GT21" s="135">
        <f t="shared" ref="GT21:JE24" si="98">IFERROR(IF(GT$1=EOMONTH($G21,0),(-$E21+($E21*(DAY($G21)/DAY(EOMONTH(GT$1,0)))*$F21/12*(1-0.269))),IF(GT$1=$G21,($E21+($E21*(DAY($I21)/DAY(EOMONTH(GT$1,0)))*$F21/12*(1-0.269))),IFERROR(IF($I21&lt;GT$1,0,IF(GT$1&gt;$I21,(($F21/12)*$E21)*(DAY($I21)/DAY(EOMONTH(GT$1,0)))*(1-26.9/100)+$E21,IF(AND(GT$1&gt;=$G21,GT$1&lt;$I21),(($F21/12)*$E21)*(1-26.9/100),""))-IF(GT$1=EOMONTH($G21,0),$E21,"0")),0)+IF(GT$1=EOMONTH($I21,0),($E21+($E21*(DAY($I21)/DAY(EOMONTH(GT$1,0)))*$F21/12*(1-0.269))),"0"))),0)</f>
        <v>0</v>
      </c>
      <c r="GU21" s="135">
        <f t="shared" si="98"/>
        <v>0</v>
      </c>
      <c r="GV21" s="135">
        <f t="shared" si="98"/>
        <v>0</v>
      </c>
      <c r="GW21" s="135">
        <f t="shared" si="98"/>
        <v>0</v>
      </c>
      <c r="GX21" s="135">
        <f t="shared" si="98"/>
        <v>0</v>
      </c>
      <c r="GY21" s="135">
        <f t="shared" si="98"/>
        <v>0</v>
      </c>
      <c r="GZ21" s="135">
        <f t="shared" si="98"/>
        <v>0</v>
      </c>
      <c r="HA21" s="135">
        <f t="shared" si="98"/>
        <v>0</v>
      </c>
      <c r="HB21" s="135">
        <f t="shared" si="98"/>
        <v>0</v>
      </c>
      <c r="HC21" s="135">
        <f t="shared" si="98"/>
        <v>0</v>
      </c>
      <c r="HD21" s="135">
        <f t="shared" si="98"/>
        <v>0</v>
      </c>
      <c r="HE21" s="135">
        <f t="shared" si="98"/>
        <v>0</v>
      </c>
      <c r="HF21" s="135">
        <f t="shared" si="98"/>
        <v>0</v>
      </c>
      <c r="HG21" s="135">
        <f t="shared" si="98"/>
        <v>0</v>
      </c>
      <c r="HH21" s="135">
        <f t="shared" si="98"/>
        <v>0</v>
      </c>
      <c r="HI21" s="135">
        <f t="shared" si="98"/>
        <v>0</v>
      </c>
      <c r="HJ21" s="135">
        <f t="shared" si="98"/>
        <v>0</v>
      </c>
      <c r="HK21" s="135">
        <f t="shared" si="98"/>
        <v>0</v>
      </c>
      <c r="HL21" s="135">
        <f t="shared" si="98"/>
        <v>0</v>
      </c>
      <c r="HM21" s="135">
        <f t="shared" si="98"/>
        <v>0</v>
      </c>
      <c r="HN21" s="135">
        <f t="shared" si="98"/>
        <v>0</v>
      </c>
      <c r="HO21" s="135">
        <f t="shared" si="98"/>
        <v>0</v>
      </c>
      <c r="HP21" s="135">
        <f t="shared" si="98"/>
        <v>0</v>
      </c>
      <c r="HQ21" s="135">
        <f t="shared" si="98"/>
        <v>0</v>
      </c>
      <c r="HR21" s="135">
        <f t="shared" si="98"/>
        <v>0</v>
      </c>
      <c r="HS21" s="135">
        <f t="shared" si="98"/>
        <v>0</v>
      </c>
      <c r="HT21" s="135">
        <f t="shared" si="98"/>
        <v>0</v>
      </c>
      <c r="HU21" s="135">
        <f t="shared" si="98"/>
        <v>0</v>
      </c>
      <c r="HV21" s="135">
        <f t="shared" si="98"/>
        <v>0</v>
      </c>
      <c r="HW21" s="135">
        <f t="shared" si="98"/>
        <v>0</v>
      </c>
      <c r="HX21" s="135">
        <f t="shared" si="98"/>
        <v>0</v>
      </c>
      <c r="HY21" s="135">
        <f t="shared" si="98"/>
        <v>0</v>
      </c>
      <c r="HZ21" s="135">
        <f t="shared" si="98"/>
        <v>0</v>
      </c>
      <c r="IA21" s="135">
        <f t="shared" si="98"/>
        <v>0</v>
      </c>
      <c r="IB21" s="135">
        <f t="shared" si="98"/>
        <v>0</v>
      </c>
      <c r="IC21" s="135">
        <f t="shared" si="98"/>
        <v>0</v>
      </c>
      <c r="ID21" s="135">
        <f t="shared" si="98"/>
        <v>0</v>
      </c>
      <c r="IE21" s="135">
        <f t="shared" si="98"/>
        <v>0</v>
      </c>
      <c r="IF21" s="135">
        <f t="shared" si="98"/>
        <v>0</v>
      </c>
      <c r="IG21" s="135">
        <f t="shared" si="98"/>
        <v>0</v>
      </c>
      <c r="IH21" s="135">
        <f t="shared" si="98"/>
        <v>0</v>
      </c>
      <c r="II21" s="135">
        <f t="shared" si="98"/>
        <v>0</v>
      </c>
      <c r="IJ21" s="135">
        <f t="shared" si="98"/>
        <v>0</v>
      </c>
      <c r="IK21" s="135">
        <f t="shared" si="98"/>
        <v>0</v>
      </c>
      <c r="IL21" s="135">
        <f t="shared" si="98"/>
        <v>0</v>
      </c>
      <c r="IM21" s="135">
        <f t="shared" si="98"/>
        <v>0</v>
      </c>
      <c r="IN21" s="135">
        <f t="shared" si="98"/>
        <v>0</v>
      </c>
      <c r="IO21" s="135">
        <f t="shared" si="98"/>
        <v>0</v>
      </c>
      <c r="IP21" s="135">
        <f t="shared" si="98"/>
        <v>0</v>
      </c>
      <c r="IQ21" s="135">
        <f t="shared" si="98"/>
        <v>0</v>
      </c>
      <c r="IR21" s="135">
        <f t="shared" si="98"/>
        <v>0</v>
      </c>
      <c r="IS21" s="135">
        <f t="shared" si="98"/>
        <v>0</v>
      </c>
      <c r="IT21" s="135">
        <f t="shared" si="98"/>
        <v>0</v>
      </c>
      <c r="IU21" s="135">
        <f t="shared" si="98"/>
        <v>0</v>
      </c>
      <c r="IV21" s="135">
        <f t="shared" si="98"/>
        <v>0</v>
      </c>
      <c r="IW21" s="135">
        <f t="shared" si="98"/>
        <v>0</v>
      </c>
      <c r="IX21" s="135">
        <f t="shared" si="98"/>
        <v>0</v>
      </c>
      <c r="IY21" s="135">
        <f t="shared" si="98"/>
        <v>0</v>
      </c>
      <c r="IZ21" s="135">
        <f t="shared" si="98"/>
        <v>0</v>
      </c>
      <c r="JA21" s="135">
        <f t="shared" si="98"/>
        <v>0</v>
      </c>
      <c r="JB21" s="135">
        <f t="shared" si="98"/>
        <v>0</v>
      </c>
      <c r="JC21" s="135">
        <f t="shared" si="98"/>
        <v>0</v>
      </c>
      <c r="JD21" s="135">
        <f t="shared" si="98"/>
        <v>0</v>
      </c>
      <c r="JE21" s="135">
        <f t="shared" si="98"/>
        <v>0</v>
      </c>
      <c r="JF21" s="135">
        <f t="shared" si="62"/>
        <v>0</v>
      </c>
      <c r="JG21" s="135">
        <f t="shared" si="62"/>
        <v>0</v>
      </c>
      <c r="JH21" s="135">
        <f t="shared" si="62"/>
        <v>0</v>
      </c>
      <c r="JI21" s="135">
        <f t="shared" si="62"/>
        <v>0</v>
      </c>
      <c r="JJ21" s="135">
        <f t="shared" si="90"/>
        <v>0</v>
      </c>
      <c r="JK21" s="135">
        <f t="shared" si="90"/>
        <v>0</v>
      </c>
      <c r="JL21" s="135">
        <f t="shared" si="90"/>
        <v>0</v>
      </c>
      <c r="JM21" s="135">
        <f t="shared" si="90"/>
        <v>0</v>
      </c>
      <c r="JN21" s="135">
        <f t="shared" si="90"/>
        <v>0</v>
      </c>
      <c r="JO21" s="135">
        <f t="shared" si="90"/>
        <v>0</v>
      </c>
      <c r="JP21" s="135">
        <f t="shared" si="90"/>
        <v>0</v>
      </c>
      <c r="JQ21" s="135">
        <f t="shared" si="90"/>
        <v>0</v>
      </c>
      <c r="JR21" s="135">
        <f t="shared" si="90"/>
        <v>0</v>
      </c>
      <c r="JS21" s="135">
        <f t="shared" si="90"/>
        <v>0</v>
      </c>
      <c r="JT21" s="135">
        <f t="shared" si="90"/>
        <v>0</v>
      </c>
      <c r="JU21" s="135">
        <f t="shared" si="90"/>
        <v>0</v>
      </c>
      <c r="JV21" s="135">
        <f t="shared" si="90"/>
        <v>0</v>
      </c>
      <c r="JW21" s="135">
        <f t="shared" si="90"/>
        <v>0</v>
      </c>
      <c r="JX21" s="135">
        <f t="shared" si="90"/>
        <v>0</v>
      </c>
      <c r="JY21" s="135">
        <f t="shared" si="90"/>
        <v>0</v>
      </c>
      <c r="JZ21" s="135">
        <f t="shared" si="90"/>
        <v>0</v>
      </c>
      <c r="KA21" s="135">
        <f t="shared" si="90"/>
        <v>0</v>
      </c>
      <c r="KB21" s="135">
        <f t="shared" si="90"/>
        <v>0</v>
      </c>
      <c r="KC21" s="135">
        <f t="shared" si="90"/>
        <v>0</v>
      </c>
      <c r="KD21" s="135">
        <f t="shared" si="90"/>
        <v>0</v>
      </c>
      <c r="KE21" s="135">
        <f t="shared" si="90"/>
        <v>0</v>
      </c>
      <c r="KF21" s="135">
        <f t="shared" si="90"/>
        <v>0</v>
      </c>
      <c r="KG21" s="135">
        <f t="shared" si="90"/>
        <v>0</v>
      </c>
      <c r="KH21" s="135">
        <f t="shared" si="90"/>
        <v>0</v>
      </c>
      <c r="KI21" s="135">
        <f t="shared" si="90"/>
        <v>0</v>
      </c>
      <c r="KJ21" s="135">
        <f t="shared" si="90"/>
        <v>0</v>
      </c>
      <c r="KK21" s="135">
        <f t="shared" si="90"/>
        <v>0</v>
      </c>
      <c r="KL21" s="135">
        <f t="shared" si="90"/>
        <v>0</v>
      </c>
      <c r="KM21" s="135">
        <f t="shared" si="90"/>
        <v>0</v>
      </c>
      <c r="KN21" s="135">
        <f t="shared" si="90"/>
        <v>0</v>
      </c>
      <c r="KO21" s="135">
        <f t="shared" si="90"/>
        <v>0</v>
      </c>
      <c r="KP21" s="135">
        <f t="shared" si="90"/>
        <v>0</v>
      </c>
      <c r="KQ21" s="135">
        <f t="shared" si="90"/>
        <v>0</v>
      </c>
      <c r="KR21" s="135">
        <f t="shared" si="90"/>
        <v>0</v>
      </c>
      <c r="KS21" s="135">
        <f t="shared" si="90"/>
        <v>0</v>
      </c>
      <c r="KT21" s="135">
        <f t="shared" si="90"/>
        <v>0</v>
      </c>
      <c r="KU21" s="135">
        <f t="shared" si="90"/>
        <v>0</v>
      </c>
      <c r="KV21" s="135">
        <f t="shared" si="90"/>
        <v>0</v>
      </c>
      <c r="KW21" s="135">
        <f t="shared" si="90"/>
        <v>0</v>
      </c>
      <c r="KX21" s="135">
        <f t="shared" si="90"/>
        <v>0</v>
      </c>
      <c r="KY21" s="135">
        <f t="shared" si="90"/>
        <v>0</v>
      </c>
      <c r="KZ21" s="135">
        <f t="shared" si="90"/>
        <v>0</v>
      </c>
      <c r="LA21" s="135">
        <f t="shared" si="90"/>
        <v>0</v>
      </c>
      <c r="LB21" s="135">
        <f t="shared" si="90"/>
        <v>0</v>
      </c>
      <c r="LC21" s="135">
        <f t="shared" si="90"/>
        <v>0</v>
      </c>
      <c r="LD21" s="135">
        <f t="shared" si="90"/>
        <v>0</v>
      </c>
      <c r="LE21" s="135">
        <f t="shared" si="90"/>
        <v>0</v>
      </c>
      <c r="LF21" s="135">
        <f t="shared" si="90"/>
        <v>0</v>
      </c>
      <c r="LG21" s="135">
        <f t="shared" si="90"/>
        <v>0</v>
      </c>
      <c r="LH21" s="135">
        <f t="shared" si="90"/>
        <v>0</v>
      </c>
      <c r="LI21" s="135">
        <f t="shared" si="90"/>
        <v>0</v>
      </c>
      <c r="LJ21" s="135">
        <f t="shared" si="90"/>
        <v>0</v>
      </c>
      <c r="LK21" s="135">
        <f t="shared" si="90"/>
        <v>0</v>
      </c>
      <c r="LL21" s="135">
        <f t="shared" si="90"/>
        <v>0</v>
      </c>
      <c r="LM21" s="135">
        <f t="shared" si="90"/>
        <v>0</v>
      </c>
      <c r="LN21" s="135">
        <f t="shared" si="90"/>
        <v>0</v>
      </c>
      <c r="LO21" s="135">
        <f t="shared" si="90"/>
        <v>0</v>
      </c>
      <c r="LP21" s="135">
        <f t="shared" si="90"/>
        <v>0</v>
      </c>
      <c r="LQ21" s="135">
        <f t="shared" si="90"/>
        <v>0</v>
      </c>
      <c r="LR21" s="135">
        <f t="shared" si="90"/>
        <v>0</v>
      </c>
      <c r="LS21" s="135">
        <f t="shared" si="90"/>
        <v>0</v>
      </c>
      <c r="LT21" s="135">
        <f t="shared" si="90"/>
        <v>0</v>
      </c>
      <c r="LU21" s="135">
        <f t="shared" ref="LU21:OF25" si="99">IFERROR(IF(LU$1=EOMONTH($G21,0),(-$E21+($E21*(DAY($G21)/DAY(EOMONTH(LU$1,0)))*$F21/12*(1-0.269))),IF(LU$1=$G21,($E21+($E21*(DAY($I21)/DAY(EOMONTH(LU$1,0)))*$F21/12*(1-0.269))),IFERROR(IF($I21&lt;LU$1,0,IF(LU$1&gt;$I21,(($F21/12)*$E21)*(DAY($I21)/DAY(EOMONTH(LU$1,0)))*(1-26.9/100)+$E21,IF(AND(LU$1&gt;=$G21,LU$1&lt;$I21),(($F21/12)*$E21)*(1-26.9/100),""))-IF(LU$1=EOMONTH($G21,0),$E21,"0")),0)+IF(LU$1=EOMONTH($I21,0),($E21+($E21*(DAY($I21)/DAY(EOMONTH(LU$1,0)))*$F21/12*(1-0.269))),"0"))),0)</f>
        <v>0</v>
      </c>
      <c r="LV21" s="135">
        <f t="shared" si="99"/>
        <v>0</v>
      </c>
      <c r="LW21" s="135">
        <f t="shared" si="99"/>
        <v>0</v>
      </c>
      <c r="LX21" s="135">
        <f t="shared" si="99"/>
        <v>0</v>
      </c>
      <c r="LY21" s="135">
        <f t="shared" si="99"/>
        <v>0</v>
      </c>
      <c r="LZ21" s="135">
        <f t="shared" si="99"/>
        <v>0</v>
      </c>
      <c r="MA21" s="135">
        <f t="shared" si="99"/>
        <v>0</v>
      </c>
      <c r="MB21" s="135">
        <f t="shared" si="99"/>
        <v>0</v>
      </c>
      <c r="MC21" s="135">
        <f t="shared" si="99"/>
        <v>0</v>
      </c>
      <c r="MD21" s="135">
        <f t="shared" si="99"/>
        <v>0</v>
      </c>
      <c r="ME21" s="135">
        <f t="shared" si="99"/>
        <v>0</v>
      </c>
      <c r="MF21" s="135">
        <f t="shared" si="99"/>
        <v>0</v>
      </c>
      <c r="MG21" s="135">
        <f t="shared" si="99"/>
        <v>0</v>
      </c>
      <c r="MH21" s="135">
        <f t="shared" si="99"/>
        <v>0</v>
      </c>
      <c r="MI21" s="135">
        <f t="shared" si="99"/>
        <v>0</v>
      </c>
      <c r="MJ21" s="135">
        <f t="shared" si="99"/>
        <v>0</v>
      </c>
      <c r="MK21" s="135">
        <f t="shared" si="99"/>
        <v>0</v>
      </c>
      <c r="ML21" s="135">
        <f t="shared" si="99"/>
        <v>0</v>
      </c>
      <c r="MM21" s="135">
        <f t="shared" si="99"/>
        <v>0</v>
      </c>
      <c r="MN21" s="135">
        <f t="shared" si="99"/>
        <v>0</v>
      </c>
      <c r="MO21" s="135">
        <f t="shared" si="99"/>
        <v>0</v>
      </c>
      <c r="MP21" s="135">
        <f t="shared" si="99"/>
        <v>0</v>
      </c>
      <c r="MQ21" s="135">
        <f t="shared" si="99"/>
        <v>0</v>
      </c>
      <c r="MR21" s="135">
        <f t="shared" si="99"/>
        <v>0</v>
      </c>
      <c r="MS21" s="135">
        <f t="shared" si="99"/>
        <v>0</v>
      </c>
      <c r="MT21" s="135">
        <f t="shared" si="99"/>
        <v>0</v>
      </c>
      <c r="MU21" s="135">
        <f t="shared" si="99"/>
        <v>0</v>
      </c>
      <c r="MV21" s="135">
        <f t="shared" si="99"/>
        <v>0</v>
      </c>
      <c r="MW21" s="135">
        <f t="shared" si="99"/>
        <v>0</v>
      </c>
      <c r="MX21" s="135">
        <f t="shared" si="99"/>
        <v>0</v>
      </c>
      <c r="MY21" s="135">
        <f t="shared" si="99"/>
        <v>0</v>
      </c>
      <c r="MZ21" s="135">
        <f t="shared" si="99"/>
        <v>0</v>
      </c>
      <c r="NA21" s="135">
        <f t="shared" si="99"/>
        <v>0</v>
      </c>
      <c r="NB21" s="135">
        <f t="shared" si="99"/>
        <v>0</v>
      </c>
      <c r="NC21" s="135">
        <f t="shared" si="99"/>
        <v>0</v>
      </c>
      <c r="ND21" s="135">
        <f t="shared" si="99"/>
        <v>0</v>
      </c>
      <c r="NE21" s="135">
        <f t="shared" si="99"/>
        <v>0</v>
      </c>
      <c r="NF21" s="135">
        <f t="shared" si="99"/>
        <v>0</v>
      </c>
      <c r="NG21" s="135">
        <f t="shared" si="99"/>
        <v>0</v>
      </c>
      <c r="NH21" s="135">
        <f t="shared" si="99"/>
        <v>0</v>
      </c>
      <c r="NI21" s="135">
        <f t="shared" si="99"/>
        <v>0</v>
      </c>
      <c r="NJ21" s="135">
        <f t="shared" si="99"/>
        <v>0</v>
      </c>
      <c r="NK21" s="135">
        <f t="shared" si="99"/>
        <v>0</v>
      </c>
      <c r="NL21" s="135">
        <f t="shared" si="99"/>
        <v>0</v>
      </c>
      <c r="NM21" s="135">
        <f t="shared" si="99"/>
        <v>0</v>
      </c>
      <c r="NN21" s="135">
        <f t="shared" si="99"/>
        <v>0</v>
      </c>
      <c r="NO21" s="135">
        <f t="shared" si="99"/>
        <v>0</v>
      </c>
      <c r="NP21" s="135">
        <f t="shared" si="99"/>
        <v>0</v>
      </c>
      <c r="NQ21" s="135">
        <f t="shared" si="99"/>
        <v>0</v>
      </c>
      <c r="NR21" s="135">
        <f t="shared" si="99"/>
        <v>0</v>
      </c>
      <c r="NS21" s="135">
        <f t="shared" si="99"/>
        <v>0</v>
      </c>
      <c r="NT21" s="135">
        <f t="shared" si="99"/>
        <v>0</v>
      </c>
      <c r="NU21" s="135">
        <f t="shared" si="99"/>
        <v>0</v>
      </c>
      <c r="NV21" s="135">
        <f t="shared" si="99"/>
        <v>0</v>
      </c>
      <c r="NW21" s="135">
        <f t="shared" si="99"/>
        <v>0</v>
      </c>
      <c r="NX21" s="135">
        <f t="shared" si="99"/>
        <v>0</v>
      </c>
      <c r="NY21" s="135">
        <f t="shared" si="99"/>
        <v>0</v>
      </c>
      <c r="NZ21" s="135">
        <f t="shared" si="99"/>
        <v>0</v>
      </c>
      <c r="OA21" s="135">
        <f t="shared" si="99"/>
        <v>0</v>
      </c>
      <c r="OB21" s="135">
        <f t="shared" si="99"/>
        <v>0</v>
      </c>
      <c r="OC21" s="135">
        <f t="shared" si="99"/>
        <v>0</v>
      </c>
      <c r="OD21" s="135">
        <f t="shared" si="99"/>
        <v>0</v>
      </c>
      <c r="OE21" s="135">
        <f t="shared" si="99"/>
        <v>0</v>
      </c>
      <c r="OF21" s="135">
        <f t="shared" si="99"/>
        <v>0</v>
      </c>
      <c r="OG21" s="135">
        <f t="shared" si="57"/>
        <v>0</v>
      </c>
      <c r="OH21" s="135">
        <f t="shared" si="80"/>
        <v>0</v>
      </c>
      <c r="OI21" s="135">
        <f t="shared" si="80"/>
        <v>0</v>
      </c>
      <c r="OJ21" s="135">
        <f t="shared" si="80"/>
        <v>0</v>
      </c>
      <c r="OK21" s="135">
        <f t="shared" si="80"/>
        <v>0</v>
      </c>
      <c r="OL21" s="135">
        <f t="shared" si="80"/>
        <v>0</v>
      </c>
      <c r="OM21" s="135">
        <f t="shared" si="80"/>
        <v>0</v>
      </c>
      <c r="ON21" s="135">
        <f t="shared" si="80"/>
        <v>0</v>
      </c>
      <c r="OO21" s="135">
        <f t="shared" si="94"/>
        <v>0</v>
      </c>
      <c r="OP21" s="135">
        <f t="shared" si="94"/>
        <v>0</v>
      </c>
      <c r="OQ21" s="135">
        <f t="shared" si="94"/>
        <v>0</v>
      </c>
      <c r="OR21" s="135">
        <f t="shared" si="94"/>
        <v>0</v>
      </c>
      <c r="OS21" s="135">
        <f t="shared" si="94"/>
        <v>0</v>
      </c>
      <c r="OT21" s="135">
        <f t="shared" si="94"/>
        <v>0</v>
      </c>
      <c r="OU21" s="135">
        <f t="shared" si="94"/>
        <v>0</v>
      </c>
      <c r="OV21" s="135">
        <f t="shared" si="94"/>
        <v>0</v>
      </c>
      <c r="OW21" s="135">
        <f t="shared" si="94"/>
        <v>0</v>
      </c>
      <c r="OX21" s="135">
        <f t="shared" si="94"/>
        <v>0</v>
      </c>
      <c r="OY21" s="135">
        <f t="shared" si="94"/>
        <v>0</v>
      </c>
      <c r="OZ21" s="135">
        <f t="shared" si="94"/>
        <v>0</v>
      </c>
      <c r="PA21" s="135">
        <f t="shared" si="94"/>
        <v>0</v>
      </c>
      <c r="PB21" s="135">
        <f t="shared" si="94"/>
        <v>0</v>
      </c>
      <c r="PC21" s="135">
        <f t="shared" si="94"/>
        <v>0</v>
      </c>
      <c r="PD21" s="135">
        <f t="shared" si="94"/>
        <v>0</v>
      </c>
      <c r="PE21" s="135">
        <f t="shared" si="94"/>
        <v>0</v>
      </c>
      <c r="PF21" s="135">
        <f t="shared" si="94"/>
        <v>0</v>
      </c>
      <c r="PG21" s="135">
        <f t="shared" si="94"/>
        <v>0</v>
      </c>
      <c r="PH21" s="135">
        <f t="shared" si="94"/>
        <v>0</v>
      </c>
      <c r="PI21" s="135">
        <f t="shared" si="94"/>
        <v>0</v>
      </c>
      <c r="PJ21" s="135">
        <f t="shared" si="94"/>
        <v>0</v>
      </c>
      <c r="PK21" s="135">
        <f t="shared" si="94"/>
        <v>0</v>
      </c>
      <c r="PL21" s="135">
        <f t="shared" si="94"/>
        <v>0</v>
      </c>
      <c r="PM21" s="135">
        <f t="shared" si="94"/>
        <v>0</v>
      </c>
      <c r="PN21" s="135">
        <f t="shared" si="94"/>
        <v>0</v>
      </c>
      <c r="PO21" s="135">
        <f t="shared" si="94"/>
        <v>0</v>
      </c>
      <c r="PP21" s="135">
        <f t="shared" si="94"/>
        <v>0</v>
      </c>
      <c r="PQ21" s="135">
        <f t="shared" si="94"/>
        <v>0</v>
      </c>
      <c r="PR21" s="135">
        <f t="shared" si="94"/>
        <v>0</v>
      </c>
      <c r="PS21" s="135">
        <f t="shared" si="94"/>
        <v>0</v>
      </c>
      <c r="PT21" s="135">
        <f t="shared" si="94"/>
        <v>0</v>
      </c>
      <c r="PU21" s="135">
        <f t="shared" si="94"/>
        <v>0</v>
      </c>
      <c r="PV21" s="135">
        <f t="shared" si="94"/>
        <v>0</v>
      </c>
      <c r="PW21" s="135">
        <f t="shared" si="94"/>
        <v>0</v>
      </c>
      <c r="PX21" s="135">
        <f t="shared" si="94"/>
        <v>0</v>
      </c>
      <c r="PY21" s="135">
        <f t="shared" si="94"/>
        <v>0</v>
      </c>
      <c r="PZ21" s="135">
        <f t="shared" si="94"/>
        <v>0</v>
      </c>
      <c r="QA21" s="135">
        <f t="shared" si="94"/>
        <v>0</v>
      </c>
      <c r="QB21" s="135">
        <f t="shared" si="94"/>
        <v>0</v>
      </c>
      <c r="QC21" s="135">
        <f t="shared" si="94"/>
        <v>0</v>
      </c>
      <c r="QD21" s="135">
        <f t="shared" si="94"/>
        <v>0</v>
      </c>
      <c r="QE21" s="135">
        <f t="shared" si="94"/>
        <v>0</v>
      </c>
      <c r="QF21" s="135">
        <f t="shared" si="94"/>
        <v>0</v>
      </c>
      <c r="QG21" s="135">
        <f t="shared" si="94"/>
        <v>0</v>
      </c>
      <c r="QH21" s="135">
        <f t="shared" si="94"/>
        <v>0</v>
      </c>
      <c r="QI21" s="135">
        <f t="shared" si="94"/>
        <v>0</v>
      </c>
      <c r="QJ21" s="135">
        <f t="shared" si="94"/>
        <v>0</v>
      </c>
      <c r="QK21" s="135">
        <f t="shared" si="94"/>
        <v>0</v>
      </c>
      <c r="QL21" s="135">
        <f t="shared" si="94"/>
        <v>0</v>
      </c>
      <c r="QM21" s="135">
        <f t="shared" si="94"/>
        <v>0</v>
      </c>
      <c r="QN21" s="135">
        <f t="shared" si="94"/>
        <v>0</v>
      </c>
      <c r="QO21" s="135">
        <f t="shared" si="94"/>
        <v>0</v>
      </c>
      <c r="QP21" s="135">
        <f t="shared" si="94"/>
        <v>0</v>
      </c>
      <c r="QQ21" s="135">
        <f t="shared" si="94"/>
        <v>0</v>
      </c>
      <c r="QR21" s="135">
        <f t="shared" si="94"/>
        <v>0</v>
      </c>
      <c r="QS21" s="135">
        <f t="shared" si="94"/>
        <v>0</v>
      </c>
      <c r="QT21" s="135">
        <f t="shared" si="94"/>
        <v>0</v>
      </c>
      <c r="QU21" s="135">
        <f t="shared" si="94"/>
        <v>0</v>
      </c>
      <c r="QV21" s="135">
        <f t="shared" si="94"/>
        <v>0</v>
      </c>
      <c r="QW21" s="135">
        <f t="shared" si="94"/>
        <v>0</v>
      </c>
      <c r="QX21" s="135">
        <f t="shared" si="94"/>
        <v>0</v>
      </c>
      <c r="QY21" s="135">
        <f t="shared" si="94"/>
        <v>0</v>
      </c>
      <c r="QZ21" s="135">
        <f t="shared" si="94"/>
        <v>0</v>
      </c>
      <c r="RA21" s="135">
        <f t="shared" si="95"/>
        <v>0</v>
      </c>
      <c r="RB21" s="135">
        <f t="shared" si="95"/>
        <v>0</v>
      </c>
      <c r="RC21" s="135">
        <f t="shared" si="95"/>
        <v>0</v>
      </c>
      <c r="RD21" s="135">
        <f t="shared" si="95"/>
        <v>0</v>
      </c>
      <c r="RE21" s="135">
        <f t="shared" si="95"/>
        <v>0</v>
      </c>
      <c r="RF21" s="135">
        <f t="shared" si="95"/>
        <v>0</v>
      </c>
      <c r="RG21" s="135">
        <f t="shared" si="95"/>
        <v>0</v>
      </c>
      <c r="RH21" s="135">
        <f t="shared" si="95"/>
        <v>0</v>
      </c>
      <c r="RI21" s="135">
        <f t="shared" si="95"/>
        <v>0</v>
      </c>
      <c r="RJ21" s="135">
        <f t="shared" si="95"/>
        <v>0</v>
      </c>
      <c r="RK21" s="135">
        <f t="shared" si="96"/>
        <v>0</v>
      </c>
      <c r="RL21" s="135">
        <f t="shared" si="96"/>
        <v>0</v>
      </c>
      <c r="RM21" s="135">
        <f t="shared" si="96"/>
        <v>0</v>
      </c>
      <c r="RN21" s="135">
        <f t="shared" si="96"/>
        <v>0</v>
      </c>
      <c r="RO21" s="135">
        <f t="shared" si="96"/>
        <v>0</v>
      </c>
      <c r="RP21" s="135">
        <f t="shared" si="96"/>
        <v>0</v>
      </c>
      <c r="RQ21" s="135">
        <f t="shared" si="96"/>
        <v>0</v>
      </c>
      <c r="RR21" s="135">
        <f t="shared" si="96"/>
        <v>0</v>
      </c>
      <c r="RS21" s="135">
        <f t="shared" si="96"/>
        <v>0</v>
      </c>
      <c r="RT21" s="135">
        <f t="shared" si="96"/>
        <v>0</v>
      </c>
      <c r="RU21" s="135">
        <f t="shared" si="85"/>
        <v>0</v>
      </c>
      <c r="RV21" s="135">
        <f t="shared" si="85"/>
        <v>0</v>
      </c>
      <c r="RW21" s="135">
        <f t="shared" si="85"/>
        <v>0</v>
      </c>
      <c r="RX21" s="135">
        <f t="shared" si="85"/>
        <v>0</v>
      </c>
      <c r="RY21" s="135">
        <f t="shared" si="85"/>
        <v>0</v>
      </c>
      <c r="RZ21" s="135">
        <f t="shared" si="85"/>
        <v>0</v>
      </c>
      <c r="SA21" s="135">
        <f t="shared" si="85"/>
        <v>0</v>
      </c>
      <c r="SB21" s="135">
        <f t="shared" si="85"/>
        <v>0</v>
      </c>
      <c r="SC21" s="135">
        <f t="shared" si="85"/>
        <v>0</v>
      </c>
      <c r="SD21" s="135">
        <f t="shared" si="85"/>
        <v>0</v>
      </c>
      <c r="SE21" s="135">
        <f t="shared" ref="SE21:TG21" si="100">IFERROR(IF(SE$1=EOMONTH($G21,0),(-$E21+($E21*(DAY($G21)/DAY(EOMONTH(SE$1,0)))*$F21/12*(1-0.269))),IF(SE$1=$G21,($E21+($E21*(DAY($I21)/DAY(EOMONTH(SE$1,0)))*$F21/12*(1-0.269))),IFERROR(IF($I21&lt;SE$1,0,IF(SE$1&gt;$I21,(($F21/12)*$E21)*(DAY($I21)/DAY(EOMONTH(SE$1,0)))*(1-26.9/100)+$E21,IF(AND(SE$1&gt;=$G21,SE$1&lt;$I21),(($F21/12)*$E21)*(1-26.9/100),""))-IF(SE$1=EOMONTH($G21,0),$E21,"0")),0)+IF(SE$1=EOMONTH($I21,0),($E21+($E21*(DAY($I21)/DAY(EOMONTH(SE$1,0)))*$F21/12*(1-0.269))),"0"))),0)</f>
        <v>0</v>
      </c>
      <c r="SF21" s="135">
        <f t="shared" si="100"/>
        <v>0</v>
      </c>
      <c r="SG21" s="135">
        <f t="shared" si="100"/>
        <v>0</v>
      </c>
      <c r="SH21" s="135">
        <f t="shared" si="100"/>
        <v>0</v>
      </c>
      <c r="SI21" s="135">
        <f t="shared" si="100"/>
        <v>0</v>
      </c>
      <c r="SJ21" s="135">
        <f t="shared" si="100"/>
        <v>0</v>
      </c>
      <c r="SK21" s="135">
        <f t="shared" si="100"/>
        <v>0</v>
      </c>
      <c r="SL21" s="135">
        <f t="shared" si="100"/>
        <v>0</v>
      </c>
      <c r="SM21" s="135">
        <f t="shared" si="100"/>
        <v>0</v>
      </c>
      <c r="SN21" s="135">
        <f t="shared" si="100"/>
        <v>0</v>
      </c>
      <c r="SO21" s="135">
        <f t="shared" si="100"/>
        <v>0</v>
      </c>
      <c r="SP21" s="135">
        <f t="shared" si="100"/>
        <v>0</v>
      </c>
      <c r="SQ21" s="135">
        <f t="shared" si="100"/>
        <v>0</v>
      </c>
      <c r="SR21" s="135">
        <f t="shared" si="100"/>
        <v>0</v>
      </c>
      <c r="SS21" s="135">
        <f t="shared" si="100"/>
        <v>0</v>
      </c>
      <c r="ST21" s="135">
        <f t="shared" si="100"/>
        <v>0</v>
      </c>
      <c r="SU21" s="135">
        <f t="shared" si="100"/>
        <v>0</v>
      </c>
      <c r="SV21" s="135">
        <f t="shared" si="100"/>
        <v>0</v>
      </c>
      <c r="SW21" s="135">
        <f t="shared" si="100"/>
        <v>0</v>
      </c>
      <c r="SX21" s="135">
        <f t="shared" si="100"/>
        <v>0</v>
      </c>
      <c r="SY21" s="135">
        <f t="shared" si="100"/>
        <v>0</v>
      </c>
      <c r="SZ21" s="135">
        <f t="shared" si="100"/>
        <v>0</v>
      </c>
      <c r="TA21" s="135">
        <f t="shared" si="100"/>
        <v>0</v>
      </c>
      <c r="TB21" s="135">
        <f t="shared" si="100"/>
        <v>0</v>
      </c>
      <c r="TC21" s="135">
        <f t="shared" si="100"/>
        <v>0</v>
      </c>
      <c r="TD21" s="135">
        <f t="shared" si="100"/>
        <v>0</v>
      </c>
      <c r="TE21" s="135">
        <f t="shared" si="100"/>
        <v>0</v>
      </c>
      <c r="TF21" s="135">
        <f t="shared" si="100"/>
        <v>0</v>
      </c>
      <c r="TG21" s="135">
        <f t="shared" si="100"/>
        <v>0</v>
      </c>
      <c r="TH21" s="135">
        <f t="shared" si="86"/>
        <v>0</v>
      </c>
      <c r="TI21" s="135">
        <f t="shared" si="86"/>
        <v>0</v>
      </c>
      <c r="TJ21" s="135">
        <f t="shared" si="86"/>
        <v>0</v>
      </c>
      <c r="TK21" s="135">
        <f t="shared" si="86"/>
        <v>0</v>
      </c>
      <c r="TL21" s="135">
        <f t="shared" si="86"/>
        <v>0</v>
      </c>
      <c r="TM21" s="135">
        <f t="shared" ref="TM21:TV28" si="101">IFERROR(IF(TM$1=EOMONTH($G21,0),(-$E21+($E21*(DAY($G21)/DAY(EOMONTH(TM$1,0)))*$F21/12*(1-0.269))),IF(TM$1=$G21,($E21+($E21*(DAY($I21)/DAY(EOMONTH(TM$1,0)))*$F21/12*(1-0.269))),IFERROR(IF($I21&lt;TM$1,0,IF(TM$1&gt;$I21,(($F21/12)*$E21)*(DAY($I21)/DAY(EOMONTH(TM$1,0)))*(1-26.9/100)+$E21,IF(AND(TM$1&gt;=$G21,TM$1&lt;$I21),(($F21/12)*$E21)*(1-26.9/100),""))-IF(TM$1=EOMONTH($G21,0),$E21,"0")),0)+IF(TM$1=EOMONTH($I21,0),($E21+($E21*(DAY($I21)/DAY(EOMONTH(TM$1,0)))*$F21/12*(1-0.269))),"0"))),0)</f>
        <v>0</v>
      </c>
      <c r="TN21" s="135">
        <f t="shared" si="101"/>
        <v>0</v>
      </c>
      <c r="TO21" s="135">
        <f t="shared" si="101"/>
        <v>0</v>
      </c>
      <c r="TP21" s="135">
        <f t="shared" si="101"/>
        <v>0</v>
      </c>
      <c r="TQ21" s="135">
        <f t="shared" si="101"/>
        <v>0</v>
      </c>
      <c r="TR21" s="135">
        <f t="shared" si="101"/>
        <v>0</v>
      </c>
      <c r="TS21" s="135">
        <f t="shared" si="101"/>
        <v>0</v>
      </c>
      <c r="TT21" s="135">
        <f t="shared" si="101"/>
        <v>0</v>
      </c>
      <c r="TU21" s="135">
        <f t="shared" si="101"/>
        <v>0</v>
      </c>
      <c r="TV21" s="135">
        <f t="shared" si="101"/>
        <v>0</v>
      </c>
      <c r="TW21" s="135">
        <f t="shared" ref="TW21:UK28" si="102">IFERROR(IF(TW$1=EOMONTH($G21,0),(-$E21+($E21*(DAY($G21)/DAY(EOMONTH(TW$1,0)))*$F21/12*(1-0.269))),IF(TW$1=$G21,($E21+($E21*(DAY($I21)/DAY(EOMONTH(TW$1,0)))*$F21/12*(1-0.269))),IFERROR(IF($I21&lt;TW$1,0,IF(TW$1&gt;$I21,(($F21/12)*$E21)*(DAY($I21)/DAY(EOMONTH(TW$1,0)))*(1-26.9/100)+$E21,IF(AND(TW$1&gt;=$G21,TW$1&lt;$I21),(($F21/12)*$E21)*(1-26.9/100),""))-IF(TW$1=EOMONTH($G21,0),$E21,"0")),0)+IF(TW$1=EOMONTH($I21,0),($E21+($E21*(DAY($I21)/DAY(EOMONTH(TW$1,0)))*$F21/12*(1-0.269))),"0"))),0)</f>
        <v>0</v>
      </c>
      <c r="TX21" s="135">
        <f t="shared" si="102"/>
        <v>0</v>
      </c>
      <c r="TY21" s="135">
        <f t="shared" si="102"/>
        <v>0</v>
      </c>
      <c r="TZ21" s="135">
        <f t="shared" si="102"/>
        <v>0</v>
      </c>
      <c r="UA21" s="135">
        <f t="shared" si="102"/>
        <v>0</v>
      </c>
      <c r="UB21" s="135">
        <f t="shared" si="102"/>
        <v>0</v>
      </c>
      <c r="UC21" s="135">
        <f t="shared" si="102"/>
        <v>0</v>
      </c>
      <c r="UD21" s="135">
        <f t="shared" si="102"/>
        <v>0</v>
      </c>
      <c r="UE21" s="135">
        <f t="shared" si="102"/>
        <v>0</v>
      </c>
      <c r="UF21" s="135">
        <f t="shared" si="102"/>
        <v>0</v>
      </c>
      <c r="UG21" s="135">
        <f t="shared" si="102"/>
        <v>0</v>
      </c>
      <c r="UH21" s="135">
        <f t="shared" si="102"/>
        <v>0</v>
      </c>
      <c r="UI21" s="135">
        <f t="shared" si="102"/>
        <v>0</v>
      </c>
      <c r="UJ21" s="135">
        <f t="shared" si="102"/>
        <v>0</v>
      </c>
      <c r="UK21" s="135">
        <f t="shared" si="102"/>
        <v>0</v>
      </c>
    </row>
    <row r="22" spans="2:557">
      <c r="B22" t="str">
        <f>IF(Samenvatting!$F123&lt;&gt;0,Samenvatting!C123,"")</f>
        <v/>
      </c>
      <c r="C22" t="str">
        <f>IF(Samenvatting!$F123&lt;&gt;0,Samenvatting!D123,"")</f>
        <v/>
      </c>
      <c r="D22" t="str">
        <f>IF(Samenvatting!$F123&lt;&gt;0,Samenvatting!E123,"")</f>
        <v/>
      </c>
      <c r="E22" t="str">
        <f>IF(Samenvatting!$F123&lt;&gt;0,Samenvatting!F123,"")</f>
        <v/>
      </c>
      <c r="F22" t="str">
        <f>IF(Samenvatting!$F123&lt;&gt;0,Samenvatting!H123,"")</f>
        <v/>
      </c>
      <c r="G22" s="134" t="str">
        <f>IF(Samenvatting!$F123&lt;&gt;0,Samenvatting!I123,"")</f>
        <v/>
      </c>
      <c r="H22" t="str">
        <f>IF(Samenvatting!$F123&lt;&gt;0,Samenvatting!J123,"")</f>
        <v/>
      </c>
      <c r="I22" s="134" t="str">
        <f>IF(Samenvatting!$F123&lt;&gt;0,Samenvatting!K123,"")</f>
        <v/>
      </c>
      <c r="J22" s="135">
        <f t="shared" si="0"/>
        <v>0</v>
      </c>
      <c r="K22" s="135">
        <f t="shared" si="97"/>
        <v>0</v>
      </c>
      <c r="L22" s="135">
        <f t="shared" si="97"/>
        <v>0</v>
      </c>
      <c r="M22" s="135">
        <f t="shared" si="97"/>
        <v>0</v>
      </c>
      <c r="N22" s="135">
        <f t="shared" si="97"/>
        <v>0</v>
      </c>
      <c r="O22" s="135">
        <f t="shared" si="97"/>
        <v>0</v>
      </c>
      <c r="P22" s="135">
        <f t="shared" si="97"/>
        <v>0</v>
      </c>
      <c r="Q22" s="135">
        <f t="shared" si="97"/>
        <v>0</v>
      </c>
      <c r="R22" s="135">
        <f t="shared" si="97"/>
        <v>0</v>
      </c>
      <c r="S22" s="135">
        <f t="shared" si="97"/>
        <v>0</v>
      </c>
      <c r="T22" s="135">
        <f t="shared" si="97"/>
        <v>0</v>
      </c>
      <c r="U22" s="135">
        <f t="shared" si="97"/>
        <v>0</v>
      </c>
      <c r="V22" s="135">
        <f t="shared" si="97"/>
        <v>0</v>
      </c>
      <c r="W22" s="135">
        <f t="shared" si="97"/>
        <v>0</v>
      </c>
      <c r="X22" s="135">
        <f t="shared" si="97"/>
        <v>0</v>
      </c>
      <c r="Y22" s="135">
        <f t="shared" si="97"/>
        <v>0</v>
      </c>
      <c r="Z22" s="135">
        <f t="shared" si="97"/>
        <v>0</v>
      </c>
      <c r="AA22" s="135">
        <f t="shared" si="97"/>
        <v>0</v>
      </c>
      <c r="AB22" s="135">
        <f t="shared" si="97"/>
        <v>0</v>
      </c>
      <c r="AC22" s="135">
        <f t="shared" si="97"/>
        <v>0</v>
      </c>
      <c r="AD22" s="135">
        <f t="shared" si="97"/>
        <v>0</v>
      </c>
      <c r="AE22" s="135">
        <f t="shared" si="97"/>
        <v>0</v>
      </c>
      <c r="AF22" s="135">
        <f t="shared" si="97"/>
        <v>0</v>
      </c>
      <c r="AG22" s="135">
        <f t="shared" si="97"/>
        <v>0</v>
      </c>
      <c r="AH22" s="135">
        <f t="shared" si="97"/>
        <v>0</v>
      </c>
      <c r="AI22" s="135">
        <f t="shared" si="97"/>
        <v>0</v>
      </c>
      <c r="AJ22" s="135">
        <f t="shared" si="97"/>
        <v>0</v>
      </c>
      <c r="AK22" s="135">
        <f t="shared" si="97"/>
        <v>0</v>
      </c>
      <c r="AL22" s="135">
        <f t="shared" si="97"/>
        <v>0</v>
      </c>
      <c r="AM22" s="135">
        <f t="shared" si="97"/>
        <v>0</v>
      </c>
      <c r="AN22" s="135">
        <f t="shared" si="97"/>
        <v>0</v>
      </c>
      <c r="AO22" s="135">
        <f t="shared" si="97"/>
        <v>0</v>
      </c>
      <c r="AP22" s="135">
        <f t="shared" si="97"/>
        <v>0</v>
      </c>
      <c r="AQ22" s="135">
        <f t="shared" si="97"/>
        <v>0</v>
      </c>
      <c r="AR22" s="135">
        <f t="shared" si="97"/>
        <v>0</v>
      </c>
      <c r="AS22" s="135">
        <f t="shared" si="97"/>
        <v>0</v>
      </c>
      <c r="AT22" s="135">
        <f t="shared" si="97"/>
        <v>0</v>
      </c>
      <c r="AU22" s="135">
        <f t="shared" si="97"/>
        <v>0</v>
      </c>
      <c r="AV22" s="135">
        <f t="shared" si="97"/>
        <v>0</v>
      </c>
      <c r="AW22" s="135">
        <f t="shared" si="97"/>
        <v>0</v>
      </c>
      <c r="AX22" s="135">
        <f t="shared" si="97"/>
        <v>0</v>
      </c>
      <c r="AY22" s="135">
        <f t="shared" si="97"/>
        <v>0</v>
      </c>
      <c r="AZ22" s="135">
        <f t="shared" si="97"/>
        <v>0</v>
      </c>
      <c r="BA22" s="135">
        <f t="shared" si="97"/>
        <v>0</v>
      </c>
      <c r="BB22" s="135">
        <f t="shared" si="97"/>
        <v>0</v>
      </c>
      <c r="BC22" s="135">
        <f t="shared" si="97"/>
        <v>0</v>
      </c>
      <c r="BD22" s="135">
        <f t="shared" si="97"/>
        <v>0</v>
      </c>
      <c r="BE22" s="135">
        <f t="shared" si="97"/>
        <v>0</v>
      </c>
      <c r="BF22" s="135">
        <f t="shared" si="97"/>
        <v>0</v>
      </c>
      <c r="BG22" s="135">
        <f t="shared" si="97"/>
        <v>0</v>
      </c>
      <c r="BH22" s="135">
        <f t="shared" si="97"/>
        <v>0</v>
      </c>
      <c r="BI22" s="135">
        <f t="shared" si="97"/>
        <v>0</v>
      </c>
      <c r="BJ22" s="135">
        <f t="shared" si="97"/>
        <v>0</v>
      </c>
      <c r="BK22" s="135">
        <f t="shared" si="97"/>
        <v>0</v>
      </c>
      <c r="BL22" s="135">
        <f t="shared" si="97"/>
        <v>0</v>
      </c>
      <c r="BM22" s="135">
        <f t="shared" si="97"/>
        <v>0</v>
      </c>
      <c r="BN22" s="135">
        <f t="shared" si="97"/>
        <v>0</v>
      </c>
      <c r="BO22" s="135">
        <f t="shared" si="97"/>
        <v>0</v>
      </c>
      <c r="BP22" s="135">
        <f t="shared" si="97"/>
        <v>0</v>
      </c>
      <c r="BQ22" s="135">
        <f t="shared" si="97"/>
        <v>0</v>
      </c>
      <c r="BR22" s="135">
        <f t="shared" si="97"/>
        <v>0</v>
      </c>
      <c r="BS22" s="135">
        <f t="shared" si="97"/>
        <v>0</v>
      </c>
      <c r="BT22" s="135">
        <f t="shared" si="97"/>
        <v>0</v>
      </c>
      <c r="BU22" s="135">
        <f t="shared" si="97"/>
        <v>0</v>
      </c>
      <c r="BV22" s="135">
        <f t="shared" si="97"/>
        <v>0</v>
      </c>
      <c r="BW22" s="135">
        <f t="shared" si="93"/>
        <v>0</v>
      </c>
      <c r="BX22" s="135">
        <f t="shared" si="93"/>
        <v>0</v>
      </c>
      <c r="BY22" s="135">
        <f t="shared" si="93"/>
        <v>0</v>
      </c>
      <c r="BZ22" s="135">
        <f t="shared" si="93"/>
        <v>0</v>
      </c>
      <c r="CA22" s="135">
        <f t="shared" si="93"/>
        <v>0</v>
      </c>
      <c r="CB22" s="135">
        <f t="shared" si="93"/>
        <v>0</v>
      </c>
      <c r="CC22" s="135">
        <f t="shared" si="93"/>
        <v>0</v>
      </c>
      <c r="CD22" s="135">
        <f t="shared" si="93"/>
        <v>0</v>
      </c>
      <c r="CE22" s="135">
        <f t="shared" si="93"/>
        <v>0</v>
      </c>
      <c r="CF22" s="135">
        <f t="shared" si="93"/>
        <v>0</v>
      </c>
      <c r="CG22" s="135">
        <f t="shared" si="93"/>
        <v>0</v>
      </c>
      <c r="CH22" s="135">
        <f t="shared" si="93"/>
        <v>0</v>
      </c>
      <c r="CI22" s="135">
        <f t="shared" si="93"/>
        <v>0</v>
      </c>
      <c r="CJ22" s="135">
        <f t="shared" si="93"/>
        <v>0</v>
      </c>
      <c r="CK22" s="135">
        <f t="shared" si="93"/>
        <v>0</v>
      </c>
      <c r="CL22" s="135">
        <f t="shared" si="93"/>
        <v>0</v>
      </c>
      <c r="CM22" s="135">
        <f t="shared" si="93"/>
        <v>0</v>
      </c>
      <c r="CN22" s="135">
        <f t="shared" si="93"/>
        <v>0</v>
      </c>
      <c r="CO22" s="135">
        <f t="shared" si="93"/>
        <v>0</v>
      </c>
      <c r="CP22" s="135">
        <f t="shared" si="93"/>
        <v>0</v>
      </c>
      <c r="CQ22" s="135">
        <f t="shared" si="93"/>
        <v>0</v>
      </c>
      <c r="CR22" s="135">
        <f t="shared" si="93"/>
        <v>0</v>
      </c>
      <c r="CS22" s="135">
        <f t="shared" si="93"/>
        <v>0</v>
      </c>
      <c r="CT22" s="135">
        <f t="shared" si="93"/>
        <v>0</v>
      </c>
      <c r="CU22" s="135">
        <f t="shared" si="93"/>
        <v>0</v>
      </c>
      <c r="CV22" s="135">
        <f t="shared" si="93"/>
        <v>0</v>
      </c>
      <c r="CW22" s="135">
        <f t="shared" si="93"/>
        <v>0</v>
      </c>
      <c r="CX22" s="135">
        <f t="shared" si="93"/>
        <v>0</v>
      </c>
      <c r="CY22" s="135">
        <f t="shared" si="93"/>
        <v>0</v>
      </c>
      <c r="CZ22" s="135">
        <f t="shared" si="93"/>
        <v>0</v>
      </c>
      <c r="DA22" s="135">
        <f t="shared" si="93"/>
        <v>0</v>
      </c>
      <c r="DB22" s="135">
        <f t="shared" si="93"/>
        <v>0</v>
      </c>
      <c r="DC22" s="135">
        <f t="shared" si="93"/>
        <v>0</v>
      </c>
      <c r="DD22" s="135">
        <f t="shared" si="93"/>
        <v>0</v>
      </c>
      <c r="DE22" s="135">
        <f t="shared" si="93"/>
        <v>0</v>
      </c>
      <c r="DF22" s="135">
        <f t="shared" si="93"/>
        <v>0</v>
      </c>
      <c r="DG22" s="135">
        <f t="shared" si="93"/>
        <v>0</v>
      </c>
      <c r="DH22" s="135">
        <f t="shared" si="93"/>
        <v>0</v>
      </c>
      <c r="DI22" s="135">
        <f t="shared" si="93"/>
        <v>0</v>
      </c>
      <c r="DJ22" s="135">
        <f t="shared" si="93"/>
        <v>0</v>
      </c>
      <c r="DK22" s="135">
        <f t="shared" si="93"/>
        <v>0</v>
      </c>
      <c r="DL22" s="135">
        <f t="shared" si="93"/>
        <v>0</v>
      </c>
      <c r="DM22" s="135">
        <f t="shared" si="93"/>
        <v>0</v>
      </c>
      <c r="DN22" s="135">
        <f t="shared" si="93"/>
        <v>0</v>
      </c>
      <c r="DO22" s="135">
        <f t="shared" si="93"/>
        <v>0</v>
      </c>
      <c r="DP22" s="135">
        <f t="shared" si="93"/>
        <v>0</v>
      </c>
      <c r="DQ22" s="135">
        <f t="shared" si="93"/>
        <v>0</v>
      </c>
      <c r="DR22" s="135">
        <f t="shared" si="93"/>
        <v>0</v>
      </c>
      <c r="DS22" s="135">
        <f t="shared" si="93"/>
        <v>0</v>
      </c>
      <c r="DT22" s="135">
        <f t="shared" si="93"/>
        <v>0</v>
      </c>
      <c r="DU22" s="135">
        <f t="shared" si="93"/>
        <v>0</v>
      </c>
      <c r="DV22" s="135">
        <f t="shared" si="93"/>
        <v>0</v>
      </c>
      <c r="DW22" s="135">
        <f t="shared" si="93"/>
        <v>0</v>
      </c>
      <c r="DX22" s="135">
        <f t="shared" si="93"/>
        <v>0</v>
      </c>
      <c r="DY22" s="135">
        <f t="shared" si="93"/>
        <v>0</v>
      </c>
      <c r="DZ22" s="135">
        <f t="shared" si="93"/>
        <v>0</v>
      </c>
      <c r="EA22" s="135">
        <f t="shared" si="93"/>
        <v>0</v>
      </c>
      <c r="EB22" s="135">
        <f t="shared" si="93"/>
        <v>0</v>
      </c>
      <c r="EC22" s="135">
        <f t="shared" si="93"/>
        <v>0</v>
      </c>
      <c r="ED22" s="135">
        <f t="shared" si="93"/>
        <v>0</v>
      </c>
      <c r="EE22" s="135">
        <f t="shared" si="93"/>
        <v>0</v>
      </c>
      <c r="EF22" s="135">
        <f t="shared" si="93"/>
        <v>0</v>
      </c>
      <c r="EG22" s="135">
        <f t="shared" si="93"/>
        <v>0</v>
      </c>
      <c r="EH22" s="135">
        <f t="shared" ref="EH22:GS25" si="103">IFERROR(IF(EH$1=EOMONTH($G22,0),(-$E22+($E22*(DAY($G22)/DAY(EOMONTH(EH$1,0)))*$F22/12*(1-0.269))),IF(EH$1=$G22,($E22+($E22*(DAY($I22)/DAY(EOMONTH(EH$1,0)))*$F22/12*(1-0.269))),IFERROR(IF($I22&lt;EH$1,0,IF(EH$1&gt;$I22,(($F22/12)*$E22)*(DAY($I22)/DAY(EOMONTH(EH$1,0)))*(1-26.9/100)+$E22,IF(AND(EH$1&gt;=$G22,EH$1&lt;$I22),(($F22/12)*$E22)*(1-26.9/100),""))-IF(EH$1=EOMONTH($G22,0),$E22,"0")),0)+IF(EH$1=EOMONTH($I22,0),($E22+($E22*(DAY($I22)/DAY(EOMONTH(EH$1,0)))*$F22/12*(1-0.269))),"0"))),0)</f>
        <v>0</v>
      </c>
      <c r="EI22" s="135">
        <f t="shared" si="103"/>
        <v>0</v>
      </c>
      <c r="EJ22" s="135">
        <f t="shared" si="103"/>
        <v>0</v>
      </c>
      <c r="EK22" s="135">
        <f t="shared" si="103"/>
        <v>0</v>
      </c>
      <c r="EL22" s="135">
        <f t="shared" si="103"/>
        <v>0</v>
      </c>
      <c r="EM22" s="135">
        <f t="shared" si="103"/>
        <v>0</v>
      </c>
      <c r="EN22" s="135">
        <f t="shared" si="103"/>
        <v>0</v>
      </c>
      <c r="EO22" s="135">
        <f t="shared" si="103"/>
        <v>0</v>
      </c>
      <c r="EP22" s="135">
        <f t="shared" si="103"/>
        <v>0</v>
      </c>
      <c r="EQ22" s="135">
        <f t="shared" si="103"/>
        <v>0</v>
      </c>
      <c r="ER22" s="135">
        <f t="shared" si="103"/>
        <v>0</v>
      </c>
      <c r="ES22" s="135">
        <f t="shared" si="103"/>
        <v>0</v>
      </c>
      <c r="ET22" s="135">
        <f t="shared" si="103"/>
        <v>0</v>
      </c>
      <c r="EU22" s="135">
        <f t="shared" si="103"/>
        <v>0</v>
      </c>
      <c r="EV22" s="135">
        <f t="shared" si="103"/>
        <v>0</v>
      </c>
      <c r="EW22" s="135">
        <f t="shared" si="103"/>
        <v>0</v>
      </c>
      <c r="EX22" s="135">
        <f t="shared" si="103"/>
        <v>0</v>
      </c>
      <c r="EY22" s="135">
        <f t="shared" si="103"/>
        <v>0</v>
      </c>
      <c r="EZ22" s="135">
        <f t="shared" si="103"/>
        <v>0</v>
      </c>
      <c r="FA22" s="135">
        <f t="shared" si="103"/>
        <v>0</v>
      </c>
      <c r="FB22" s="135">
        <f t="shared" si="103"/>
        <v>0</v>
      </c>
      <c r="FC22" s="135">
        <f t="shared" si="103"/>
        <v>0</v>
      </c>
      <c r="FD22" s="135">
        <f t="shared" si="103"/>
        <v>0</v>
      </c>
      <c r="FE22" s="135">
        <f t="shared" si="103"/>
        <v>0</v>
      </c>
      <c r="FF22" s="135">
        <f t="shared" si="103"/>
        <v>0</v>
      </c>
      <c r="FG22" s="135">
        <f t="shared" si="103"/>
        <v>0</v>
      </c>
      <c r="FH22" s="135">
        <f t="shared" si="103"/>
        <v>0</v>
      </c>
      <c r="FI22" s="135">
        <f t="shared" si="103"/>
        <v>0</v>
      </c>
      <c r="FJ22" s="135">
        <f t="shared" si="103"/>
        <v>0</v>
      </c>
      <c r="FK22" s="135">
        <f t="shared" si="103"/>
        <v>0</v>
      </c>
      <c r="FL22" s="135">
        <f t="shared" si="103"/>
        <v>0</v>
      </c>
      <c r="FM22" s="135">
        <f t="shared" si="103"/>
        <v>0</v>
      </c>
      <c r="FN22" s="135">
        <f t="shared" si="103"/>
        <v>0</v>
      </c>
      <c r="FO22" s="135">
        <f t="shared" si="103"/>
        <v>0</v>
      </c>
      <c r="FP22" s="135">
        <f t="shared" si="103"/>
        <v>0</v>
      </c>
      <c r="FQ22" s="135">
        <f t="shared" si="103"/>
        <v>0</v>
      </c>
      <c r="FR22" s="135">
        <f t="shared" si="103"/>
        <v>0</v>
      </c>
      <c r="FS22" s="135">
        <f t="shared" si="103"/>
        <v>0</v>
      </c>
      <c r="FT22" s="135">
        <f t="shared" si="103"/>
        <v>0</v>
      </c>
      <c r="FU22" s="135">
        <f t="shared" si="103"/>
        <v>0</v>
      </c>
      <c r="FV22" s="135">
        <f t="shared" si="103"/>
        <v>0</v>
      </c>
      <c r="FW22" s="135">
        <f t="shared" si="103"/>
        <v>0</v>
      </c>
      <c r="FX22" s="135">
        <f t="shared" si="103"/>
        <v>0</v>
      </c>
      <c r="FY22" s="135">
        <f t="shared" si="103"/>
        <v>0</v>
      </c>
      <c r="FZ22" s="135">
        <f t="shared" si="103"/>
        <v>0</v>
      </c>
      <c r="GA22" s="135">
        <f t="shared" si="103"/>
        <v>0</v>
      </c>
      <c r="GB22" s="135">
        <f t="shared" si="103"/>
        <v>0</v>
      </c>
      <c r="GC22" s="135">
        <f t="shared" si="103"/>
        <v>0</v>
      </c>
      <c r="GD22" s="135">
        <f t="shared" si="103"/>
        <v>0</v>
      </c>
      <c r="GE22" s="135">
        <f t="shared" si="103"/>
        <v>0</v>
      </c>
      <c r="GF22" s="135">
        <f t="shared" si="103"/>
        <v>0</v>
      </c>
      <c r="GG22" s="135">
        <f t="shared" si="103"/>
        <v>0</v>
      </c>
      <c r="GH22" s="135">
        <f t="shared" si="103"/>
        <v>0</v>
      </c>
      <c r="GI22" s="135">
        <f t="shared" si="103"/>
        <v>0</v>
      </c>
      <c r="GJ22" s="135">
        <f t="shared" si="103"/>
        <v>0</v>
      </c>
      <c r="GK22" s="135">
        <f t="shared" si="103"/>
        <v>0</v>
      </c>
      <c r="GL22" s="135">
        <f t="shared" si="103"/>
        <v>0</v>
      </c>
      <c r="GM22" s="135">
        <f t="shared" si="103"/>
        <v>0</v>
      </c>
      <c r="GN22" s="135">
        <f t="shared" si="103"/>
        <v>0</v>
      </c>
      <c r="GO22" s="135">
        <f t="shared" si="103"/>
        <v>0</v>
      </c>
      <c r="GP22" s="135">
        <f t="shared" si="103"/>
        <v>0</v>
      </c>
      <c r="GQ22" s="135">
        <f t="shared" si="103"/>
        <v>0</v>
      </c>
      <c r="GR22" s="135">
        <f t="shared" si="103"/>
        <v>0</v>
      </c>
      <c r="GS22" s="135">
        <f t="shared" si="103"/>
        <v>0</v>
      </c>
      <c r="GT22" s="135">
        <f t="shared" si="98"/>
        <v>0</v>
      </c>
      <c r="GU22" s="135">
        <f t="shared" si="98"/>
        <v>0</v>
      </c>
      <c r="GV22" s="135">
        <f t="shared" si="98"/>
        <v>0</v>
      </c>
      <c r="GW22" s="135">
        <f t="shared" si="98"/>
        <v>0</v>
      </c>
      <c r="GX22" s="135">
        <f t="shared" si="98"/>
        <v>0</v>
      </c>
      <c r="GY22" s="135">
        <f t="shared" si="98"/>
        <v>0</v>
      </c>
      <c r="GZ22" s="135">
        <f t="shared" si="98"/>
        <v>0</v>
      </c>
      <c r="HA22" s="135">
        <f t="shared" si="98"/>
        <v>0</v>
      </c>
      <c r="HB22" s="135">
        <f t="shared" si="98"/>
        <v>0</v>
      </c>
      <c r="HC22" s="135">
        <f t="shared" si="98"/>
        <v>0</v>
      </c>
      <c r="HD22" s="135">
        <f t="shared" si="98"/>
        <v>0</v>
      </c>
      <c r="HE22" s="135">
        <f t="shared" si="98"/>
        <v>0</v>
      </c>
      <c r="HF22" s="135">
        <f t="shared" si="98"/>
        <v>0</v>
      </c>
      <c r="HG22" s="135">
        <f t="shared" si="98"/>
        <v>0</v>
      </c>
      <c r="HH22" s="135">
        <f t="shared" si="98"/>
        <v>0</v>
      </c>
      <c r="HI22" s="135">
        <f t="shared" si="98"/>
        <v>0</v>
      </c>
      <c r="HJ22" s="135">
        <f t="shared" si="98"/>
        <v>0</v>
      </c>
      <c r="HK22" s="135">
        <f t="shared" si="98"/>
        <v>0</v>
      </c>
      <c r="HL22" s="135">
        <f t="shared" si="98"/>
        <v>0</v>
      </c>
      <c r="HM22" s="135">
        <f t="shared" si="98"/>
        <v>0</v>
      </c>
      <c r="HN22" s="135">
        <f t="shared" si="98"/>
        <v>0</v>
      </c>
      <c r="HO22" s="135">
        <f t="shared" si="98"/>
        <v>0</v>
      </c>
      <c r="HP22" s="135">
        <f t="shared" si="98"/>
        <v>0</v>
      </c>
      <c r="HQ22" s="135">
        <f t="shared" si="98"/>
        <v>0</v>
      </c>
      <c r="HR22" s="135">
        <f t="shared" si="98"/>
        <v>0</v>
      </c>
      <c r="HS22" s="135">
        <f t="shared" si="98"/>
        <v>0</v>
      </c>
      <c r="HT22" s="135">
        <f t="shared" si="98"/>
        <v>0</v>
      </c>
      <c r="HU22" s="135">
        <f t="shared" si="98"/>
        <v>0</v>
      </c>
      <c r="HV22" s="135">
        <f t="shared" si="98"/>
        <v>0</v>
      </c>
      <c r="HW22" s="135">
        <f t="shared" si="98"/>
        <v>0</v>
      </c>
      <c r="HX22" s="135">
        <f t="shared" si="98"/>
        <v>0</v>
      </c>
      <c r="HY22" s="135">
        <f t="shared" si="98"/>
        <v>0</v>
      </c>
      <c r="HZ22" s="135">
        <f t="shared" si="98"/>
        <v>0</v>
      </c>
      <c r="IA22" s="135">
        <f t="shared" si="98"/>
        <v>0</v>
      </c>
      <c r="IB22" s="135">
        <f t="shared" si="98"/>
        <v>0</v>
      </c>
      <c r="IC22" s="135">
        <f t="shared" si="98"/>
        <v>0</v>
      </c>
      <c r="ID22" s="135">
        <f t="shared" si="98"/>
        <v>0</v>
      </c>
      <c r="IE22" s="135">
        <f t="shared" si="98"/>
        <v>0</v>
      </c>
      <c r="IF22" s="135">
        <f t="shared" si="98"/>
        <v>0</v>
      </c>
      <c r="IG22" s="135">
        <f t="shared" si="98"/>
        <v>0</v>
      </c>
      <c r="IH22" s="135">
        <f t="shared" si="98"/>
        <v>0</v>
      </c>
      <c r="II22" s="135">
        <f t="shared" si="98"/>
        <v>0</v>
      </c>
      <c r="IJ22" s="135">
        <f t="shared" si="98"/>
        <v>0</v>
      </c>
      <c r="IK22" s="135">
        <f t="shared" si="98"/>
        <v>0</v>
      </c>
      <c r="IL22" s="135">
        <f t="shared" si="98"/>
        <v>0</v>
      </c>
      <c r="IM22" s="135">
        <f t="shared" si="98"/>
        <v>0</v>
      </c>
      <c r="IN22" s="135">
        <f t="shared" si="98"/>
        <v>0</v>
      </c>
      <c r="IO22" s="135">
        <f t="shared" si="98"/>
        <v>0</v>
      </c>
      <c r="IP22" s="135">
        <f t="shared" si="98"/>
        <v>0</v>
      </c>
      <c r="IQ22" s="135">
        <f t="shared" si="98"/>
        <v>0</v>
      </c>
      <c r="IR22" s="135">
        <f t="shared" si="98"/>
        <v>0</v>
      </c>
      <c r="IS22" s="135">
        <f t="shared" si="98"/>
        <v>0</v>
      </c>
      <c r="IT22" s="135">
        <f t="shared" si="98"/>
        <v>0</v>
      </c>
      <c r="IU22" s="135">
        <f t="shared" si="98"/>
        <v>0</v>
      </c>
      <c r="IV22" s="135">
        <f t="shared" si="98"/>
        <v>0</v>
      </c>
      <c r="IW22" s="135">
        <f t="shared" si="98"/>
        <v>0</v>
      </c>
      <c r="IX22" s="135">
        <f t="shared" si="98"/>
        <v>0</v>
      </c>
      <c r="IY22" s="135">
        <f t="shared" si="98"/>
        <v>0</v>
      </c>
      <c r="IZ22" s="135">
        <f t="shared" si="98"/>
        <v>0</v>
      </c>
      <c r="JA22" s="135">
        <f t="shared" si="98"/>
        <v>0</v>
      </c>
      <c r="JB22" s="135">
        <f t="shared" si="98"/>
        <v>0</v>
      </c>
      <c r="JC22" s="135">
        <f t="shared" si="98"/>
        <v>0</v>
      </c>
      <c r="JD22" s="135">
        <f t="shared" si="98"/>
        <v>0</v>
      </c>
      <c r="JE22" s="135">
        <f t="shared" si="98"/>
        <v>0</v>
      </c>
      <c r="JF22" s="135">
        <f t="shared" si="62"/>
        <v>0</v>
      </c>
      <c r="JG22" s="135">
        <f t="shared" si="62"/>
        <v>0</v>
      </c>
      <c r="JH22" s="135">
        <f t="shared" si="62"/>
        <v>0</v>
      </c>
      <c r="JI22" s="135">
        <f t="shared" si="62"/>
        <v>0</v>
      </c>
      <c r="JJ22" s="135">
        <f t="shared" ref="JJ22:JS23" si="104">IFERROR(IF(JJ$1=EOMONTH($G22,0),(-$E22+($E22*(DAY($G22)/DAY(EOMONTH(JJ$1,0)))*$F22/12*(1-0.269))),IF(JJ$1=$G22,($E22+($E22*(DAY($I22)/DAY(EOMONTH(JJ$1,0)))*$F22/12*(1-0.269))),IFERROR(IF($I22&lt;JJ$1,0,IF(JJ$1&gt;$I22,(($F22/12)*$E22)*(DAY($I22)/DAY(EOMONTH(JJ$1,0)))*(1-26.9/100)+$E22,IF(AND(JJ$1&gt;=$G22,JJ$1&lt;$I22),(($F22/12)*$E22)*(1-26.9/100),""))-IF(JJ$1=EOMONTH($G22,0),$E22,"0")),0)+IF(JJ$1=EOMONTH($I22,0),($E22+($E22*(DAY($I22)/DAY(EOMONTH(JJ$1,0)))*$F22/12*(1-0.269))),"0"))),0)</f>
        <v>0</v>
      </c>
      <c r="JK22" s="135">
        <f t="shared" si="104"/>
        <v>0</v>
      </c>
      <c r="JL22" s="135">
        <f t="shared" si="104"/>
        <v>0</v>
      </c>
      <c r="JM22" s="135">
        <f t="shared" si="104"/>
        <v>0</v>
      </c>
      <c r="JN22" s="135">
        <f t="shared" si="104"/>
        <v>0</v>
      </c>
      <c r="JO22" s="135">
        <f t="shared" si="104"/>
        <v>0</v>
      </c>
      <c r="JP22" s="135">
        <f t="shared" si="104"/>
        <v>0</v>
      </c>
      <c r="JQ22" s="135">
        <f t="shared" si="104"/>
        <v>0</v>
      </c>
      <c r="JR22" s="135">
        <f t="shared" si="104"/>
        <v>0</v>
      </c>
      <c r="JS22" s="135">
        <f t="shared" si="104"/>
        <v>0</v>
      </c>
      <c r="JT22" s="135">
        <f t="shared" ref="JT22:KC23" si="105">IFERROR(IF(JT$1=EOMONTH($G22,0),(-$E22+($E22*(DAY($G22)/DAY(EOMONTH(JT$1,0)))*$F22/12*(1-0.269))),IF(JT$1=$G22,($E22+($E22*(DAY($I22)/DAY(EOMONTH(JT$1,0)))*$F22/12*(1-0.269))),IFERROR(IF($I22&lt;JT$1,0,IF(JT$1&gt;$I22,(($F22/12)*$E22)*(DAY($I22)/DAY(EOMONTH(JT$1,0)))*(1-26.9/100)+$E22,IF(AND(JT$1&gt;=$G22,JT$1&lt;$I22),(($F22/12)*$E22)*(1-26.9/100),""))-IF(JT$1=EOMONTH($G22,0),$E22,"0")),0)+IF(JT$1=EOMONTH($I22,0),($E22+($E22*(DAY($I22)/DAY(EOMONTH(JT$1,0)))*$F22/12*(1-0.269))),"0"))),0)</f>
        <v>0</v>
      </c>
      <c r="JU22" s="135">
        <f t="shared" si="105"/>
        <v>0</v>
      </c>
      <c r="JV22" s="135">
        <f t="shared" si="105"/>
        <v>0</v>
      </c>
      <c r="JW22" s="135">
        <f t="shared" si="105"/>
        <v>0</v>
      </c>
      <c r="JX22" s="135">
        <f t="shared" si="105"/>
        <v>0</v>
      </c>
      <c r="JY22" s="135">
        <f t="shared" si="105"/>
        <v>0</v>
      </c>
      <c r="JZ22" s="135">
        <f t="shared" si="105"/>
        <v>0</v>
      </c>
      <c r="KA22" s="135">
        <f t="shared" si="105"/>
        <v>0</v>
      </c>
      <c r="KB22" s="135">
        <f t="shared" si="105"/>
        <v>0</v>
      </c>
      <c r="KC22" s="135">
        <f t="shared" si="105"/>
        <v>0</v>
      </c>
      <c r="KD22" s="135">
        <f t="shared" ref="KD22:KM23" si="106">IFERROR(IF(KD$1=EOMONTH($G22,0),(-$E22+($E22*(DAY($G22)/DAY(EOMONTH(KD$1,0)))*$F22/12*(1-0.269))),IF(KD$1=$G22,($E22+($E22*(DAY($I22)/DAY(EOMONTH(KD$1,0)))*$F22/12*(1-0.269))),IFERROR(IF($I22&lt;KD$1,0,IF(KD$1&gt;$I22,(($F22/12)*$E22)*(DAY($I22)/DAY(EOMONTH(KD$1,0)))*(1-26.9/100)+$E22,IF(AND(KD$1&gt;=$G22,KD$1&lt;$I22),(($F22/12)*$E22)*(1-26.9/100),""))-IF(KD$1=EOMONTH($G22,0),$E22,"0")),0)+IF(KD$1=EOMONTH($I22,0),($E22+($E22*(DAY($I22)/DAY(EOMONTH(KD$1,0)))*$F22/12*(1-0.269))),"0"))),0)</f>
        <v>0</v>
      </c>
      <c r="KE22" s="135">
        <f t="shared" si="106"/>
        <v>0</v>
      </c>
      <c r="KF22" s="135">
        <f t="shared" si="106"/>
        <v>0</v>
      </c>
      <c r="KG22" s="135">
        <f t="shared" si="106"/>
        <v>0</v>
      </c>
      <c r="KH22" s="135">
        <f t="shared" si="106"/>
        <v>0</v>
      </c>
      <c r="KI22" s="135">
        <f t="shared" si="106"/>
        <v>0</v>
      </c>
      <c r="KJ22" s="135">
        <f t="shared" si="106"/>
        <v>0</v>
      </c>
      <c r="KK22" s="135">
        <f t="shared" si="106"/>
        <v>0</v>
      </c>
      <c r="KL22" s="135">
        <f t="shared" si="106"/>
        <v>0</v>
      </c>
      <c r="KM22" s="135">
        <f t="shared" si="106"/>
        <v>0</v>
      </c>
      <c r="KN22" s="135">
        <f t="shared" ref="KN22:KW23" si="107">IFERROR(IF(KN$1=EOMONTH($G22,0),(-$E22+($E22*(DAY($G22)/DAY(EOMONTH(KN$1,0)))*$F22/12*(1-0.269))),IF(KN$1=$G22,($E22+($E22*(DAY($I22)/DAY(EOMONTH(KN$1,0)))*$F22/12*(1-0.269))),IFERROR(IF($I22&lt;KN$1,0,IF(KN$1&gt;$I22,(($F22/12)*$E22)*(DAY($I22)/DAY(EOMONTH(KN$1,0)))*(1-26.9/100)+$E22,IF(AND(KN$1&gt;=$G22,KN$1&lt;$I22),(($F22/12)*$E22)*(1-26.9/100),""))-IF(KN$1=EOMONTH($G22,0),$E22,"0")),0)+IF(KN$1=EOMONTH($I22,0),($E22+($E22*(DAY($I22)/DAY(EOMONTH(KN$1,0)))*$F22/12*(1-0.269))),"0"))),0)</f>
        <v>0</v>
      </c>
      <c r="KO22" s="135">
        <f t="shared" si="107"/>
        <v>0</v>
      </c>
      <c r="KP22" s="135">
        <f t="shared" si="107"/>
        <v>0</v>
      </c>
      <c r="KQ22" s="135">
        <f t="shared" si="107"/>
        <v>0</v>
      </c>
      <c r="KR22" s="135">
        <f t="shared" si="107"/>
        <v>0</v>
      </c>
      <c r="KS22" s="135">
        <f t="shared" si="107"/>
        <v>0</v>
      </c>
      <c r="KT22" s="135">
        <f t="shared" si="107"/>
        <v>0</v>
      </c>
      <c r="KU22" s="135">
        <f t="shared" si="107"/>
        <v>0</v>
      </c>
      <c r="KV22" s="135">
        <f t="shared" si="107"/>
        <v>0</v>
      </c>
      <c r="KW22" s="135">
        <f t="shared" si="107"/>
        <v>0</v>
      </c>
      <c r="KX22" s="135">
        <f t="shared" ref="KX22:LG23" si="108">IFERROR(IF(KX$1=EOMONTH($G22,0),(-$E22+($E22*(DAY($G22)/DAY(EOMONTH(KX$1,0)))*$F22/12*(1-0.269))),IF(KX$1=$G22,($E22+($E22*(DAY($I22)/DAY(EOMONTH(KX$1,0)))*$F22/12*(1-0.269))),IFERROR(IF($I22&lt;KX$1,0,IF(KX$1&gt;$I22,(($F22/12)*$E22)*(DAY($I22)/DAY(EOMONTH(KX$1,0)))*(1-26.9/100)+$E22,IF(AND(KX$1&gt;=$G22,KX$1&lt;$I22),(($F22/12)*$E22)*(1-26.9/100),""))-IF(KX$1=EOMONTH($G22,0),$E22,"0")),0)+IF(KX$1=EOMONTH($I22,0),($E22+($E22*(DAY($I22)/DAY(EOMONTH(KX$1,0)))*$F22/12*(1-0.269))),"0"))),0)</f>
        <v>0</v>
      </c>
      <c r="KY22" s="135">
        <f t="shared" si="108"/>
        <v>0</v>
      </c>
      <c r="KZ22" s="135">
        <f t="shared" si="108"/>
        <v>0</v>
      </c>
      <c r="LA22" s="135">
        <f t="shared" si="108"/>
        <v>0</v>
      </c>
      <c r="LB22" s="135">
        <f t="shared" si="108"/>
        <v>0</v>
      </c>
      <c r="LC22" s="135">
        <f t="shared" si="108"/>
        <v>0</v>
      </c>
      <c r="LD22" s="135">
        <f t="shared" si="108"/>
        <v>0</v>
      </c>
      <c r="LE22" s="135">
        <f t="shared" si="108"/>
        <v>0</v>
      </c>
      <c r="LF22" s="135">
        <f t="shared" si="108"/>
        <v>0</v>
      </c>
      <c r="LG22" s="135">
        <f t="shared" si="108"/>
        <v>0</v>
      </c>
      <c r="LH22" s="135">
        <f t="shared" ref="LH22:LU23" si="109">IFERROR(IF(LH$1=EOMONTH($G22,0),(-$E22+($E22*(DAY($G22)/DAY(EOMONTH(LH$1,0)))*$F22/12*(1-0.269))),IF(LH$1=$G22,($E22+($E22*(DAY($I22)/DAY(EOMONTH(LH$1,0)))*$F22/12*(1-0.269))),IFERROR(IF($I22&lt;LH$1,0,IF(LH$1&gt;$I22,(($F22/12)*$E22)*(DAY($I22)/DAY(EOMONTH(LH$1,0)))*(1-26.9/100)+$E22,IF(AND(LH$1&gt;=$G22,LH$1&lt;$I22),(($F22/12)*$E22)*(1-26.9/100),""))-IF(LH$1=EOMONTH($G22,0),$E22,"0")),0)+IF(LH$1=EOMONTH($I22,0),($E22+($E22*(DAY($I22)/DAY(EOMONTH(LH$1,0)))*$F22/12*(1-0.269))),"0"))),0)</f>
        <v>0</v>
      </c>
      <c r="LI22" s="135">
        <f t="shared" si="109"/>
        <v>0</v>
      </c>
      <c r="LJ22" s="135">
        <f t="shared" si="109"/>
        <v>0</v>
      </c>
      <c r="LK22" s="135">
        <f t="shared" si="109"/>
        <v>0</v>
      </c>
      <c r="LL22" s="135">
        <f t="shared" si="109"/>
        <v>0</v>
      </c>
      <c r="LM22" s="135">
        <f t="shared" si="109"/>
        <v>0</v>
      </c>
      <c r="LN22" s="135">
        <f t="shared" si="109"/>
        <v>0</v>
      </c>
      <c r="LO22" s="135">
        <f t="shared" si="109"/>
        <v>0</v>
      </c>
      <c r="LP22" s="135">
        <f t="shared" si="109"/>
        <v>0</v>
      </c>
      <c r="LQ22" s="135">
        <f t="shared" si="109"/>
        <v>0</v>
      </c>
      <c r="LR22" s="135">
        <f t="shared" si="109"/>
        <v>0</v>
      </c>
      <c r="LS22" s="135">
        <f t="shared" si="109"/>
        <v>0</v>
      </c>
      <c r="LT22" s="135">
        <f t="shared" si="109"/>
        <v>0</v>
      </c>
      <c r="LU22" s="135">
        <f t="shared" si="109"/>
        <v>0</v>
      </c>
      <c r="LV22" s="135">
        <f t="shared" si="99"/>
        <v>0</v>
      </c>
      <c r="LW22" s="135">
        <f t="shared" si="99"/>
        <v>0</v>
      </c>
      <c r="LX22" s="135">
        <f t="shared" si="99"/>
        <v>0</v>
      </c>
      <c r="LY22" s="135">
        <f t="shared" si="99"/>
        <v>0</v>
      </c>
      <c r="LZ22" s="135">
        <f t="shared" si="99"/>
        <v>0</v>
      </c>
      <c r="MA22" s="135">
        <f t="shared" si="99"/>
        <v>0</v>
      </c>
      <c r="MB22" s="135">
        <f t="shared" si="99"/>
        <v>0</v>
      </c>
      <c r="MC22" s="135">
        <f t="shared" si="99"/>
        <v>0</v>
      </c>
      <c r="MD22" s="135">
        <f t="shared" si="99"/>
        <v>0</v>
      </c>
      <c r="ME22" s="135">
        <f t="shared" si="99"/>
        <v>0</v>
      </c>
      <c r="MF22" s="135">
        <f t="shared" si="99"/>
        <v>0</v>
      </c>
      <c r="MG22" s="135">
        <f t="shared" si="99"/>
        <v>0</v>
      </c>
      <c r="MH22" s="135">
        <f t="shared" si="99"/>
        <v>0</v>
      </c>
      <c r="MI22" s="135">
        <f t="shared" si="99"/>
        <v>0</v>
      </c>
      <c r="MJ22" s="135">
        <f t="shared" si="99"/>
        <v>0</v>
      </c>
      <c r="MK22" s="135">
        <f t="shared" si="99"/>
        <v>0</v>
      </c>
      <c r="ML22" s="135">
        <f t="shared" si="99"/>
        <v>0</v>
      </c>
      <c r="MM22" s="135">
        <f t="shared" si="99"/>
        <v>0</v>
      </c>
      <c r="MN22" s="135">
        <f t="shared" si="99"/>
        <v>0</v>
      </c>
      <c r="MO22" s="135">
        <f t="shared" si="99"/>
        <v>0</v>
      </c>
      <c r="MP22" s="135">
        <f t="shared" si="99"/>
        <v>0</v>
      </c>
      <c r="MQ22" s="135">
        <f t="shared" si="99"/>
        <v>0</v>
      </c>
      <c r="MR22" s="135">
        <f t="shared" si="99"/>
        <v>0</v>
      </c>
      <c r="MS22" s="135">
        <f t="shared" si="99"/>
        <v>0</v>
      </c>
      <c r="MT22" s="135">
        <f t="shared" si="99"/>
        <v>0</v>
      </c>
      <c r="MU22" s="135">
        <f t="shared" si="99"/>
        <v>0</v>
      </c>
      <c r="MV22" s="135">
        <f t="shared" si="99"/>
        <v>0</v>
      </c>
      <c r="MW22" s="135">
        <f t="shared" si="99"/>
        <v>0</v>
      </c>
      <c r="MX22" s="135">
        <f t="shared" si="99"/>
        <v>0</v>
      </c>
      <c r="MY22" s="135">
        <f t="shared" si="99"/>
        <v>0</v>
      </c>
      <c r="MZ22" s="135">
        <f t="shared" si="99"/>
        <v>0</v>
      </c>
      <c r="NA22" s="135">
        <f t="shared" si="99"/>
        <v>0</v>
      </c>
      <c r="NB22" s="135">
        <f t="shared" si="99"/>
        <v>0</v>
      </c>
      <c r="NC22" s="135">
        <f t="shared" si="99"/>
        <v>0</v>
      </c>
      <c r="ND22" s="135">
        <f t="shared" si="99"/>
        <v>0</v>
      </c>
      <c r="NE22" s="135">
        <f t="shared" si="99"/>
        <v>0</v>
      </c>
      <c r="NF22" s="135">
        <f t="shared" si="99"/>
        <v>0</v>
      </c>
      <c r="NG22" s="135">
        <f t="shared" si="99"/>
        <v>0</v>
      </c>
      <c r="NH22" s="135">
        <f t="shared" si="99"/>
        <v>0</v>
      </c>
      <c r="NI22" s="135">
        <f t="shared" si="99"/>
        <v>0</v>
      </c>
      <c r="NJ22" s="135">
        <f t="shared" si="99"/>
        <v>0</v>
      </c>
      <c r="NK22" s="135">
        <f t="shared" si="99"/>
        <v>0</v>
      </c>
      <c r="NL22" s="135">
        <f t="shared" si="99"/>
        <v>0</v>
      </c>
      <c r="NM22" s="135">
        <f t="shared" si="99"/>
        <v>0</v>
      </c>
      <c r="NN22" s="135">
        <f t="shared" si="99"/>
        <v>0</v>
      </c>
      <c r="NO22" s="135">
        <f t="shared" si="99"/>
        <v>0</v>
      </c>
      <c r="NP22" s="135">
        <f t="shared" si="99"/>
        <v>0</v>
      </c>
      <c r="NQ22" s="135">
        <f t="shared" si="99"/>
        <v>0</v>
      </c>
      <c r="NR22" s="135">
        <f t="shared" si="99"/>
        <v>0</v>
      </c>
      <c r="NS22" s="135">
        <f t="shared" si="99"/>
        <v>0</v>
      </c>
      <c r="NT22" s="135">
        <f t="shared" si="99"/>
        <v>0</v>
      </c>
      <c r="NU22" s="135">
        <f t="shared" si="99"/>
        <v>0</v>
      </c>
      <c r="NV22" s="135">
        <f t="shared" si="99"/>
        <v>0</v>
      </c>
      <c r="NW22" s="135">
        <f t="shared" si="99"/>
        <v>0</v>
      </c>
      <c r="NX22" s="135">
        <f t="shared" si="99"/>
        <v>0</v>
      </c>
      <c r="NY22" s="135">
        <f t="shared" si="99"/>
        <v>0</v>
      </c>
      <c r="NZ22" s="135">
        <f t="shared" si="99"/>
        <v>0</v>
      </c>
      <c r="OA22" s="135">
        <f t="shared" si="99"/>
        <v>0</v>
      </c>
      <c r="OB22" s="135">
        <f t="shared" si="99"/>
        <v>0</v>
      </c>
      <c r="OC22" s="135">
        <f t="shared" si="99"/>
        <v>0</v>
      </c>
      <c r="OD22" s="135">
        <f t="shared" si="99"/>
        <v>0</v>
      </c>
      <c r="OE22" s="135">
        <f t="shared" si="99"/>
        <v>0</v>
      </c>
      <c r="OF22" s="135">
        <f t="shared" si="99"/>
        <v>0</v>
      </c>
      <c r="OG22" s="135">
        <f t="shared" si="57"/>
        <v>0</v>
      </c>
      <c r="OH22" s="135">
        <f t="shared" si="80"/>
        <v>0</v>
      </c>
      <c r="OI22" s="135">
        <f t="shared" si="80"/>
        <v>0</v>
      </c>
      <c r="OJ22" s="135">
        <f t="shared" si="80"/>
        <v>0</v>
      </c>
      <c r="OK22" s="135">
        <f t="shared" si="80"/>
        <v>0</v>
      </c>
      <c r="OL22" s="135">
        <f t="shared" si="80"/>
        <v>0</v>
      </c>
      <c r="OM22" s="135">
        <f t="shared" si="80"/>
        <v>0</v>
      </c>
      <c r="ON22" s="135">
        <f t="shared" si="80"/>
        <v>0</v>
      </c>
      <c r="OO22" s="135">
        <f t="shared" si="94"/>
        <v>0</v>
      </c>
      <c r="OP22" s="135">
        <f t="shared" si="94"/>
        <v>0</v>
      </c>
      <c r="OQ22" s="135">
        <f t="shared" si="94"/>
        <v>0</v>
      </c>
      <c r="OR22" s="135">
        <f t="shared" si="94"/>
        <v>0</v>
      </c>
      <c r="OS22" s="135">
        <f t="shared" si="94"/>
        <v>0</v>
      </c>
      <c r="OT22" s="135">
        <f t="shared" si="94"/>
        <v>0</v>
      </c>
      <c r="OU22" s="135">
        <f t="shared" si="94"/>
        <v>0</v>
      </c>
      <c r="OV22" s="135">
        <f t="shared" si="94"/>
        <v>0</v>
      </c>
      <c r="OW22" s="135">
        <f t="shared" si="94"/>
        <v>0</v>
      </c>
      <c r="OX22" s="135">
        <f t="shared" si="94"/>
        <v>0</v>
      </c>
      <c r="OY22" s="135">
        <f t="shared" si="94"/>
        <v>0</v>
      </c>
      <c r="OZ22" s="135">
        <f t="shared" si="94"/>
        <v>0</v>
      </c>
      <c r="PA22" s="135">
        <f t="shared" si="94"/>
        <v>0</v>
      </c>
      <c r="PB22" s="135">
        <f t="shared" si="94"/>
        <v>0</v>
      </c>
      <c r="PC22" s="135">
        <f t="shared" si="94"/>
        <v>0</v>
      </c>
      <c r="PD22" s="135">
        <f t="shared" si="94"/>
        <v>0</v>
      </c>
      <c r="PE22" s="135">
        <f t="shared" si="94"/>
        <v>0</v>
      </c>
      <c r="PF22" s="135">
        <f t="shared" si="94"/>
        <v>0</v>
      </c>
      <c r="PG22" s="135">
        <f t="shared" si="94"/>
        <v>0</v>
      </c>
      <c r="PH22" s="135">
        <f t="shared" si="94"/>
        <v>0</v>
      </c>
      <c r="PI22" s="135">
        <f t="shared" si="94"/>
        <v>0</v>
      </c>
      <c r="PJ22" s="135">
        <f t="shared" si="94"/>
        <v>0</v>
      </c>
      <c r="PK22" s="135">
        <f t="shared" si="94"/>
        <v>0</v>
      </c>
      <c r="PL22" s="135">
        <f t="shared" si="94"/>
        <v>0</v>
      </c>
      <c r="PM22" s="135">
        <f t="shared" si="94"/>
        <v>0</v>
      </c>
      <c r="PN22" s="135">
        <f t="shared" si="94"/>
        <v>0</v>
      </c>
      <c r="PO22" s="135">
        <f t="shared" si="94"/>
        <v>0</v>
      </c>
      <c r="PP22" s="135">
        <f t="shared" si="94"/>
        <v>0</v>
      </c>
      <c r="PQ22" s="135">
        <f t="shared" si="94"/>
        <v>0</v>
      </c>
      <c r="PR22" s="135">
        <f t="shared" si="94"/>
        <v>0</v>
      </c>
      <c r="PS22" s="135">
        <f t="shared" si="94"/>
        <v>0</v>
      </c>
      <c r="PT22" s="135">
        <f t="shared" si="94"/>
        <v>0</v>
      </c>
      <c r="PU22" s="135">
        <f t="shared" si="94"/>
        <v>0</v>
      </c>
      <c r="PV22" s="135">
        <f t="shared" si="94"/>
        <v>0</v>
      </c>
      <c r="PW22" s="135">
        <f t="shared" si="94"/>
        <v>0</v>
      </c>
      <c r="PX22" s="135">
        <f t="shared" si="94"/>
        <v>0</v>
      </c>
      <c r="PY22" s="135">
        <f t="shared" si="94"/>
        <v>0</v>
      </c>
      <c r="PZ22" s="135">
        <f t="shared" si="94"/>
        <v>0</v>
      </c>
      <c r="QA22" s="135">
        <f t="shared" si="94"/>
        <v>0</v>
      </c>
      <c r="QB22" s="135">
        <f t="shared" si="94"/>
        <v>0</v>
      </c>
      <c r="QC22" s="135">
        <f t="shared" si="94"/>
        <v>0</v>
      </c>
      <c r="QD22" s="135">
        <f t="shared" si="94"/>
        <v>0</v>
      </c>
      <c r="QE22" s="135">
        <f t="shared" si="94"/>
        <v>0</v>
      </c>
      <c r="QF22" s="135">
        <f t="shared" si="94"/>
        <v>0</v>
      </c>
      <c r="QG22" s="135">
        <f t="shared" si="94"/>
        <v>0</v>
      </c>
      <c r="QH22" s="135">
        <f t="shared" si="94"/>
        <v>0</v>
      </c>
      <c r="QI22" s="135">
        <f t="shared" si="94"/>
        <v>0</v>
      </c>
      <c r="QJ22" s="135">
        <f t="shared" si="94"/>
        <v>0</v>
      </c>
      <c r="QK22" s="135">
        <f t="shared" si="94"/>
        <v>0</v>
      </c>
      <c r="QL22" s="135">
        <f t="shared" si="94"/>
        <v>0</v>
      </c>
      <c r="QM22" s="135">
        <f t="shared" si="94"/>
        <v>0</v>
      </c>
      <c r="QN22" s="135">
        <f t="shared" si="94"/>
        <v>0</v>
      </c>
      <c r="QO22" s="135">
        <f t="shared" si="94"/>
        <v>0</v>
      </c>
      <c r="QP22" s="135">
        <f t="shared" si="94"/>
        <v>0</v>
      </c>
      <c r="QQ22" s="135">
        <f t="shared" si="94"/>
        <v>0</v>
      </c>
      <c r="QR22" s="135">
        <f t="shared" si="94"/>
        <v>0</v>
      </c>
      <c r="QS22" s="135">
        <f t="shared" si="94"/>
        <v>0</v>
      </c>
      <c r="QT22" s="135">
        <f t="shared" si="94"/>
        <v>0</v>
      </c>
      <c r="QU22" s="135">
        <f t="shared" si="94"/>
        <v>0</v>
      </c>
      <c r="QV22" s="135">
        <f t="shared" si="94"/>
        <v>0</v>
      </c>
      <c r="QW22" s="135">
        <f t="shared" si="94"/>
        <v>0</v>
      </c>
      <c r="QX22" s="135">
        <f t="shared" si="94"/>
        <v>0</v>
      </c>
      <c r="QY22" s="135">
        <f t="shared" si="94"/>
        <v>0</v>
      </c>
      <c r="QZ22" s="135">
        <f t="shared" ref="QZ22:TK25" si="110">IFERROR(IF(QZ$1=EOMONTH($G22,0),(-$E22+($E22*(DAY($G22)/DAY(EOMONTH(QZ$1,0)))*$F22/12*(1-0.269))),IF(QZ$1=$G22,($E22+($E22*(DAY($I22)/DAY(EOMONTH(QZ$1,0)))*$F22/12*(1-0.269))),IFERROR(IF($I22&lt;QZ$1,0,IF(QZ$1&gt;$I22,(($F22/12)*$E22)*(DAY($I22)/DAY(EOMONTH(QZ$1,0)))*(1-26.9/100)+$E22,IF(AND(QZ$1&gt;=$G22,QZ$1&lt;$I22),(($F22/12)*$E22)*(1-26.9/100),""))-IF(QZ$1=EOMONTH($G22,0),$E22,"0")),0)+IF(QZ$1=EOMONTH($I22,0),($E22+($E22*(DAY($I22)/DAY(EOMONTH(QZ$1,0)))*$F22/12*(1-0.269))),"0"))),0)</f>
        <v>0</v>
      </c>
      <c r="RA22" s="135">
        <f t="shared" si="110"/>
        <v>0</v>
      </c>
      <c r="RB22" s="135">
        <f t="shared" si="110"/>
        <v>0</v>
      </c>
      <c r="RC22" s="135">
        <f t="shared" si="110"/>
        <v>0</v>
      </c>
      <c r="RD22" s="135">
        <f t="shared" si="110"/>
        <v>0</v>
      </c>
      <c r="RE22" s="135">
        <f t="shared" si="110"/>
        <v>0</v>
      </c>
      <c r="RF22" s="135">
        <f t="shared" si="110"/>
        <v>0</v>
      </c>
      <c r="RG22" s="135">
        <f t="shared" si="110"/>
        <v>0</v>
      </c>
      <c r="RH22" s="135">
        <f t="shared" si="110"/>
        <v>0</v>
      </c>
      <c r="RI22" s="135">
        <f t="shared" si="110"/>
        <v>0</v>
      </c>
      <c r="RJ22" s="135">
        <f t="shared" si="110"/>
        <v>0</v>
      </c>
      <c r="RK22" s="135">
        <f t="shared" si="110"/>
        <v>0</v>
      </c>
      <c r="RL22" s="135">
        <f t="shared" si="110"/>
        <v>0</v>
      </c>
      <c r="RM22" s="135">
        <f t="shared" si="110"/>
        <v>0</v>
      </c>
      <c r="RN22" s="135">
        <f t="shared" si="110"/>
        <v>0</v>
      </c>
      <c r="RO22" s="135">
        <f t="shared" si="110"/>
        <v>0</v>
      </c>
      <c r="RP22" s="135">
        <f t="shared" si="110"/>
        <v>0</v>
      </c>
      <c r="RQ22" s="135">
        <f t="shared" si="110"/>
        <v>0</v>
      </c>
      <c r="RR22" s="135">
        <f t="shared" si="110"/>
        <v>0</v>
      </c>
      <c r="RS22" s="135">
        <f t="shared" si="110"/>
        <v>0</v>
      </c>
      <c r="RT22" s="135">
        <f t="shared" si="110"/>
        <v>0</v>
      </c>
      <c r="RU22" s="135">
        <f t="shared" si="110"/>
        <v>0</v>
      </c>
      <c r="RV22" s="135">
        <f t="shared" si="110"/>
        <v>0</v>
      </c>
      <c r="RW22" s="135">
        <f t="shared" si="110"/>
        <v>0</v>
      </c>
      <c r="RX22" s="135">
        <f t="shared" si="110"/>
        <v>0</v>
      </c>
      <c r="RY22" s="135">
        <f t="shared" si="110"/>
        <v>0</v>
      </c>
      <c r="RZ22" s="135">
        <f t="shared" si="110"/>
        <v>0</v>
      </c>
      <c r="SA22" s="135">
        <f t="shared" si="110"/>
        <v>0</v>
      </c>
      <c r="SB22" s="135">
        <f t="shared" si="110"/>
        <v>0</v>
      </c>
      <c r="SC22" s="135">
        <f t="shared" si="110"/>
        <v>0</v>
      </c>
      <c r="SD22" s="135">
        <f t="shared" si="110"/>
        <v>0</v>
      </c>
      <c r="SE22" s="135">
        <f t="shared" si="110"/>
        <v>0</v>
      </c>
      <c r="SF22" s="135">
        <f t="shared" si="110"/>
        <v>0</v>
      </c>
      <c r="SG22" s="135">
        <f t="shared" si="110"/>
        <v>0</v>
      </c>
      <c r="SH22" s="135">
        <f t="shared" si="110"/>
        <v>0</v>
      </c>
      <c r="SI22" s="135">
        <f t="shared" si="110"/>
        <v>0</v>
      </c>
      <c r="SJ22" s="135">
        <f t="shared" si="110"/>
        <v>0</v>
      </c>
      <c r="SK22" s="135">
        <f t="shared" si="110"/>
        <v>0</v>
      </c>
      <c r="SL22" s="135">
        <f t="shared" si="110"/>
        <v>0</v>
      </c>
      <c r="SM22" s="135">
        <f t="shared" si="110"/>
        <v>0</v>
      </c>
      <c r="SN22" s="135">
        <f t="shared" si="110"/>
        <v>0</v>
      </c>
      <c r="SO22" s="135">
        <f t="shared" si="110"/>
        <v>0</v>
      </c>
      <c r="SP22" s="135">
        <f t="shared" si="110"/>
        <v>0</v>
      </c>
      <c r="SQ22" s="135">
        <f t="shared" si="110"/>
        <v>0</v>
      </c>
      <c r="SR22" s="135">
        <f t="shared" si="110"/>
        <v>0</v>
      </c>
      <c r="SS22" s="135">
        <f t="shared" si="110"/>
        <v>0</v>
      </c>
      <c r="ST22" s="135">
        <f t="shared" si="110"/>
        <v>0</v>
      </c>
      <c r="SU22" s="135">
        <f t="shared" si="110"/>
        <v>0</v>
      </c>
      <c r="SV22" s="135">
        <f t="shared" si="110"/>
        <v>0</v>
      </c>
      <c r="SW22" s="135">
        <f t="shared" si="110"/>
        <v>0</v>
      </c>
      <c r="SX22" s="135">
        <f t="shared" si="110"/>
        <v>0</v>
      </c>
      <c r="SY22" s="135">
        <f t="shared" si="110"/>
        <v>0</v>
      </c>
      <c r="SZ22" s="135">
        <f t="shared" si="110"/>
        <v>0</v>
      </c>
      <c r="TA22" s="135">
        <f t="shared" si="110"/>
        <v>0</v>
      </c>
      <c r="TB22" s="135">
        <f t="shared" si="110"/>
        <v>0</v>
      </c>
      <c r="TC22" s="135">
        <f t="shared" si="110"/>
        <v>0</v>
      </c>
      <c r="TD22" s="135">
        <f t="shared" si="110"/>
        <v>0</v>
      </c>
      <c r="TE22" s="135">
        <f t="shared" si="110"/>
        <v>0</v>
      </c>
      <c r="TF22" s="135">
        <f t="shared" si="110"/>
        <v>0</v>
      </c>
      <c r="TG22" s="135">
        <f t="shared" si="110"/>
        <v>0</v>
      </c>
      <c r="TH22" s="135">
        <f t="shared" si="110"/>
        <v>0</v>
      </c>
      <c r="TI22" s="135">
        <f t="shared" si="110"/>
        <v>0</v>
      </c>
      <c r="TJ22" s="135">
        <f t="shared" si="110"/>
        <v>0</v>
      </c>
      <c r="TK22" s="135">
        <f t="shared" si="110"/>
        <v>0</v>
      </c>
      <c r="TL22" s="135">
        <f t="shared" ref="TL22:TL29" si="111">IFERROR(IF(TL$1=EOMONTH($G22,0),(-$E22+($E22*(DAY($G22)/DAY(EOMONTH(TL$1,0)))*$F22/12*(1-0.269))),IF(TL$1=$G22,($E22+($E22*(DAY($I22)/DAY(EOMONTH(TL$1,0)))*$F22/12*(1-0.269))),IFERROR(IF($I22&lt;TL$1,0,IF(TL$1&gt;$I22,(($F22/12)*$E22)*(DAY($I22)/DAY(EOMONTH(TL$1,0)))*(1-26.9/100)+$E22,IF(AND(TL$1&gt;=$G22,TL$1&lt;$I22),(($F22/12)*$E22)*(1-26.9/100),""))-IF(TL$1=EOMONTH($G22,0),$E22,"0")),0)+IF(TL$1=EOMONTH($I22,0),($E22+($E22*(DAY($I22)/DAY(EOMONTH(TL$1,0)))*$F22/12*(1-0.269))),"0"))),0)</f>
        <v>0</v>
      </c>
      <c r="TM22" s="135">
        <f t="shared" si="101"/>
        <v>0</v>
      </c>
      <c r="TN22" s="135">
        <f t="shared" si="101"/>
        <v>0</v>
      </c>
      <c r="TO22" s="135">
        <f t="shared" si="101"/>
        <v>0</v>
      </c>
      <c r="TP22" s="135">
        <f t="shared" si="101"/>
        <v>0</v>
      </c>
      <c r="TQ22" s="135">
        <f t="shared" si="101"/>
        <v>0</v>
      </c>
      <c r="TR22" s="135">
        <f t="shared" si="101"/>
        <v>0</v>
      </c>
      <c r="TS22" s="135">
        <f t="shared" si="101"/>
        <v>0</v>
      </c>
      <c r="TT22" s="135">
        <f t="shared" si="101"/>
        <v>0</v>
      </c>
      <c r="TU22" s="135">
        <f t="shared" si="101"/>
        <v>0</v>
      </c>
      <c r="TV22" s="135">
        <f t="shared" si="101"/>
        <v>0</v>
      </c>
      <c r="TW22" s="135">
        <f t="shared" si="102"/>
        <v>0</v>
      </c>
      <c r="TX22" s="135">
        <f t="shared" si="102"/>
        <v>0</v>
      </c>
      <c r="TY22" s="135">
        <f t="shared" si="102"/>
        <v>0</v>
      </c>
      <c r="TZ22" s="135">
        <f t="shared" si="102"/>
        <v>0</v>
      </c>
      <c r="UA22" s="135">
        <f t="shared" si="102"/>
        <v>0</v>
      </c>
      <c r="UB22" s="135">
        <f t="shared" si="102"/>
        <v>0</v>
      </c>
      <c r="UC22" s="135">
        <f t="shared" si="102"/>
        <v>0</v>
      </c>
      <c r="UD22" s="135">
        <f t="shared" si="102"/>
        <v>0</v>
      </c>
      <c r="UE22" s="135">
        <f t="shared" si="102"/>
        <v>0</v>
      </c>
      <c r="UF22" s="135">
        <f t="shared" si="102"/>
        <v>0</v>
      </c>
      <c r="UG22" s="135">
        <f t="shared" si="102"/>
        <v>0</v>
      </c>
      <c r="UH22" s="135">
        <f t="shared" si="102"/>
        <v>0</v>
      </c>
      <c r="UI22" s="135">
        <f t="shared" si="102"/>
        <v>0</v>
      </c>
      <c r="UJ22" s="135">
        <f t="shared" si="102"/>
        <v>0</v>
      </c>
      <c r="UK22" s="135">
        <f t="shared" si="102"/>
        <v>0</v>
      </c>
    </row>
    <row r="23" spans="2:557">
      <c r="B23" t="str">
        <f>IF(Samenvatting!$F124&lt;&gt;0,Samenvatting!C124,"")</f>
        <v/>
      </c>
      <c r="C23" t="str">
        <f>IF(Samenvatting!$F124&lt;&gt;0,Samenvatting!D124,"")</f>
        <v/>
      </c>
      <c r="D23" t="str">
        <f>IF(Samenvatting!$F124&lt;&gt;0,Samenvatting!E124,"")</f>
        <v/>
      </c>
      <c r="E23" t="str">
        <f>IF(Samenvatting!$F124&lt;&gt;0,Samenvatting!F124,"")</f>
        <v/>
      </c>
      <c r="F23" t="str">
        <f>IF(Samenvatting!$F124&lt;&gt;0,Samenvatting!H124,"")</f>
        <v/>
      </c>
      <c r="G23" s="134" t="str">
        <f>IF(Samenvatting!$F124&lt;&gt;0,Samenvatting!I124,"")</f>
        <v/>
      </c>
      <c r="H23" t="str">
        <f>IF(Samenvatting!$F124&lt;&gt;0,Samenvatting!J124,"")</f>
        <v/>
      </c>
      <c r="I23" s="134" t="str">
        <f>IF(Samenvatting!$F124&lt;&gt;0,Samenvatting!K124,"")</f>
        <v/>
      </c>
      <c r="J23" s="135">
        <f t="shared" si="0"/>
        <v>0</v>
      </c>
      <c r="K23" s="135">
        <f t="shared" si="97"/>
        <v>0</v>
      </c>
      <c r="L23" s="135">
        <f t="shared" si="97"/>
        <v>0</v>
      </c>
      <c r="M23" s="135">
        <f t="shared" si="97"/>
        <v>0</v>
      </c>
      <c r="N23" s="135">
        <f t="shared" si="97"/>
        <v>0</v>
      </c>
      <c r="O23" s="135">
        <f t="shared" si="97"/>
        <v>0</v>
      </c>
      <c r="P23" s="135">
        <f t="shared" si="97"/>
        <v>0</v>
      </c>
      <c r="Q23" s="135">
        <f t="shared" si="97"/>
        <v>0</v>
      </c>
      <c r="R23" s="135">
        <f t="shared" si="97"/>
        <v>0</v>
      </c>
      <c r="S23" s="135">
        <f t="shared" si="97"/>
        <v>0</v>
      </c>
      <c r="T23" s="135">
        <f t="shared" si="97"/>
        <v>0</v>
      </c>
      <c r="U23" s="135">
        <f t="shared" si="97"/>
        <v>0</v>
      </c>
      <c r="V23" s="135">
        <f t="shared" si="97"/>
        <v>0</v>
      </c>
      <c r="W23" s="135">
        <f t="shared" si="97"/>
        <v>0</v>
      </c>
      <c r="X23" s="135">
        <f t="shared" si="97"/>
        <v>0</v>
      </c>
      <c r="Y23" s="135">
        <f t="shared" si="97"/>
        <v>0</v>
      </c>
      <c r="Z23" s="135">
        <f t="shared" si="97"/>
        <v>0</v>
      </c>
      <c r="AA23" s="135">
        <f t="shared" si="97"/>
        <v>0</v>
      </c>
      <c r="AB23" s="135">
        <f t="shared" si="97"/>
        <v>0</v>
      </c>
      <c r="AC23" s="135">
        <f t="shared" si="97"/>
        <v>0</v>
      </c>
      <c r="AD23" s="135">
        <f t="shared" si="97"/>
        <v>0</v>
      </c>
      <c r="AE23" s="135">
        <f t="shared" si="97"/>
        <v>0</v>
      </c>
      <c r="AF23" s="135">
        <f t="shared" si="97"/>
        <v>0</v>
      </c>
      <c r="AG23" s="135">
        <f t="shared" si="97"/>
        <v>0</v>
      </c>
      <c r="AH23" s="135">
        <f t="shared" si="97"/>
        <v>0</v>
      </c>
      <c r="AI23" s="135">
        <f t="shared" si="97"/>
        <v>0</v>
      </c>
      <c r="AJ23" s="135">
        <f t="shared" si="97"/>
        <v>0</v>
      </c>
      <c r="AK23" s="135">
        <f t="shared" si="97"/>
        <v>0</v>
      </c>
      <c r="AL23" s="135">
        <f t="shared" si="97"/>
        <v>0</v>
      </c>
      <c r="AM23" s="135">
        <f t="shared" si="97"/>
        <v>0</v>
      </c>
      <c r="AN23" s="135">
        <f t="shared" si="97"/>
        <v>0</v>
      </c>
      <c r="AO23" s="135">
        <f t="shared" si="97"/>
        <v>0</v>
      </c>
      <c r="AP23" s="135">
        <f t="shared" si="97"/>
        <v>0</v>
      </c>
      <c r="AQ23" s="135">
        <f t="shared" si="97"/>
        <v>0</v>
      </c>
      <c r="AR23" s="135">
        <f t="shared" si="97"/>
        <v>0</v>
      </c>
      <c r="AS23" s="135">
        <f t="shared" si="97"/>
        <v>0</v>
      </c>
      <c r="AT23" s="135">
        <f t="shared" si="97"/>
        <v>0</v>
      </c>
      <c r="AU23" s="135">
        <f t="shared" si="97"/>
        <v>0</v>
      </c>
      <c r="AV23" s="135">
        <f t="shared" si="97"/>
        <v>0</v>
      </c>
      <c r="AW23" s="135">
        <f t="shared" si="97"/>
        <v>0</v>
      </c>
      <c r="AX23" s="135">
        <f t="shared" si="97"/>
        <v>0</v>
      </c>
      <c r="AY23" s="135">
        <f t="shared" si="97"/>
        <v>0</v>
      </c>
      <c r="AZ23" s="135">
        <f t="shared" si="97"/>
        <v>0</v>
      </c>
      <c r="BA23" s="135">
        <f t="shared" si="97"/>
        <v>0</v>
      </c>
      <c r="BB23" s="135">
        <f t="shared" si="97"/>
        <v>0</v>
      </c>
      <c r="BC23" s="135">
        <f t="shared" si="97"/>
        <v>0</v>
      </c>
      <c r="BD23" s="135">
        <f t="shared" si="97"/>
        <v>0</v>
      </c>
      <c r="BE23" s="135">
        <f t="shared" si="97"/>
        <v>0</v>
      </c>
      <c r="BF23" s="135">
        <f t="shared" si="97"/>
        <v>0</v>
      </c>
      <c r="BG23" s="135">
        <f t="shared" si="97"/>
        <v>0</v>
      </c>
      <c r="BH23" s="135">
        <f t="shared" si="97"/>
        <v>0</v>
      </c>
      <c r="BI23" s="135">
        <f t="shared" si="97"/>
        <v>0</v>
      </c>
      <c r="BJ23" s="135">
        <f t="shared" si="97"/>
        <v>0</v>
      </c>
      <c r="BK23" s="135">
        <f t="shared" si="97"/>
        <v>0</v>
      </c>
      <c r="BL23" s="135">
        <f t="shared" si="97"/>
        <v>0</v>
      </c>
      <c r="BM23" s="135">
        <f t="shared" si="97"/>
        <v>0</v>
      </c>
      <c r="BN23" s="135">
        <f t="shared" si="97"/>
        <v>0</v>
      </c>
      <c r="BO23" s="135">
        <f t="shared" si="97"/>
        <v>0</v>
      </c>
      <c r="BP23" s="135">
        <f t="shared" si="97"/>
        <v>0</v>
      </c>
      <c r="BQ23" s="135">
        <f t="shared" si="97"/>
        <v>0</v>
      </c>
      <c r="BR23" s="135">
        <f t="shared" si="97"/>
        <v>0</v>
      </c>
      <c r="BS23" s="135">
        <f t="shared" si="97"/>
        <v>0</v>
      </c>
      <c r="BT23" s="135">
        <f t="shared" si="97"/>
        <v>0</v>
      </c>
      <c r="BU23" s="135">
        <f t="shared" si="97"/>
        <v>0</v>
      </c>
      <c r="BV23" s="135">
        <f t="shared" ref="BV23:EG26" si="112">IFERROR(IF(BV$1=EOMONTH($G23,0),(-$E23+($E23*(DAY($G23)/DAY(EOMONTH(BV$1,0)))*$F23/12*(1-0.269))),IF(BV$1=$G23,($E23+($E23*(DAY($I23)/DAY(EOMONTH(BV$1,0)))*$F23/12*(1-0.269))),IFERROR(IF($I23&lt;BV$1,0,IF(BV$1&gt;$I23,(($F23/12)*$E23)*(DAY($I23)/DAY(EOMONTH(BV$1,0)))*(1-26.9/100)+$E23,IF(AND(BV$1&gt;=$G23,BV$1&lt;$I23),(($F23/12)*$E23)*(1-26.9/100),""))-IF(BV$1=EOMONTH($G23,0),$E23,"0")),0)+IF(BV$1=EOMONTH($I23,0),($E23+($E23*(DAY($I23)/DAY(EOMONTH(BV$1,0)))*$F23/12*(1-0.269))),"0"))),0)</f>
        <v>0</v>
      </c>
      <c r="BW23" s="135">
        <f t="shared" si="112"/>
        <v>0</v>
      </c>
      <c r="BX23" s="135">
        <f t="shared" si="112"/>
        <v>0</v>
      </c>
      <c r="BY23" s="135">
        <f t="shared" si="112"/>
        <v>0</v>
      </c>
      <c r="BZ23" s="135">
        <f t="shared" si="112"/>
        <v>0</v>
      </c>
      <c r="CA23" s="135">
        <f t="shared" si="112"/>
        <v>0</v>
      </c>
      <c r="CB23" s="135">
        <f t="shared" si="112"/>
        <v>0</v>
      </c>
      <c r="CC23" s="135">
        <f t="shared" si="112"/>
        <v>0</v>
      </c>
      <c r="CD23" s="135">
        <f t="shared" si="112"/>
        <v>0</v>
      </c>
      <c r="CE23" s="135">
        <f t="shared" si="112"/>
        <v>0</v>
      </c>
      <c r="CF23" s="135">
        <f t="shared" si="112"/>
        <v>0</v>
      </c>
      <c r="CG23" s="135">
        <f t="shared" si="112"/>
        <v>0</v>
      </c>
      <c r="CH23" s="135">
        <f t="shared" si="112"/>
        <v>0</v>
      </c>
      <c r="CI23" s="135">
        <f t="shared" si="112"/>
        <v>0</v>
      </c>
      <c r="CJ23" s="135">
        <f t="shared" si="112"/>
        <v>0</v>
      </c>
      <c r="CK23" s="135">
        <f t="shared" si="112"/>
        <v>0</v>
      </c>
      <c r="CL23" s="135">
        <f t="shared" si="112"/>
        <v>0</v>
      </c>
      <c r="CM23" s="135">
        <f t="shared" si="112"/>
        <v>0</v>
      </c>
      <c r="CN23" s="135">
        <f t="shared" si="112"/>
        <v>0</v>
      </c>
      <c r="CO23" s="135">
        <f t="shared" si="112"/>
        <v>0</v>
      </c>
      <c r="CP23" s="135">
        <f t="shared" si="112"/>
        <v>0</v>
      </c>
      <c r="CQ23" s="135">
        <f t="shared" si="112"/>
        <v>0</v>
      </c>
      <c r="CR23" s="135">
        <f t="shared" si="112"/>
        <v>0</v>
      </c>
      <c r="CS23" s="135">
        <f t="shared" si="112"/>
        <v>0</v>
      </c>
      <c r="CT23" s="135">
        <f t="shared" si="112"/>
        <v>0</v>
      </c>
      <c r="CU23" s="135">
        <f t="shared" si="112"/>
        <v>0</v>
      </c>
      <c r="CV23" s="135">
        <f t="shared" si="112"/>
        <v>0</v>
      </c>
      <c r="CW23" s="135">
        <f t="shared" si="112"/>
        <v>0</v>
      </c>
      <c r="CX23" s="135">
        <f t="shared" si="112"/>
        <v>0</v>
      </c>
      <c r="CY23" s="135">
        <f t="shared" si="112"/>
        <v>0</v>
      </c>
      <c r="CZ23" s="135">
        <f t="shared" si="112"/>
        <v>0</v>
      </c>
      <c r="DA23" s="135">
        <f t="shared" si="112"/>
        <v>0</v>
      </c>
      <c r="DB23" s="135">
        <f t="shared" si="112"/>
        <v>0</v>
      </c>
      <c r="DC23" s="135">
        <f t="shared" si="112"/>
        <v>0</v>
      </c>
      <c r="DD23" s="135">
        <f t="shared" si="112"/>
        <v>0</v>
      </c>
      <c r="DE23" s="135">
        <f t="shared" si="112"/>
        <v>0</v>
      </c>
      <c r="DF23" s="135">
        <f t="shared" si="112"/>
        <v>0</v>
      </c>
      <c r="DG23" s="135">
        <f t="shared" si="112"/>
        <v>0</v>
      </c>
      <c r="DH23" s="135">
        <f t="shared" si="112"/>
        <v>0</v>
      </c>
      <c r="DI23" s="135">
        <f t="shared" si="112"/>
        <v>0</v>
      </c>
      <c r="DJ23" s="135">
        <f t="shared" si="112"/>
        <v>0</v>
      </c>
      <c r="DK23" s="135">
        <f t="shared" si="112"/>
        <v>0</v>
      </c>
      <c r="DL23" s="135">
        <f t="shared" si="112"/>
        <v>0</v>
      </c>
      <c r="DM23" s="135">
        <f t="shared" si="112"/>
        <v>0</v>
      </c>
      <c r="DN23" s="135">
        <f t="shared" si="112"/>
        <v>0</v>
      </c>
      <c r="DO23" s="135">
        <f t="shared" si="112"/>
        <v>0</v>
      </c>
      <c r="DP23" s="135">
        <f t="shared" si="112"/>
        <v>0</v>
      </c>
      <c r="DQ23" s="135">
        <f t="shared" si="112"/>
        <v>0</v>
      </c>
      <c r="DR23" s="135">
        <f t="shared" si="112"/>
        <v>0</v>
      </c>
      <c r="DS23" s="135">
        <f t="shared" si="112"/>
        <v>0</v>
      </c>
      <c r="DT23" s="135">
        <f t="shared" si="112"/>
        <v>0</v>
      </c>
      <c r="DU23" s="135">
        <f t="shared" si="112"/>
        <v>0</v>
      </c>
      <c r="DV23" s="135">
        <f t="shared" si="112"/>
        <v>0</v>
      </c>
      <c r="DW23" s="135">
        <f t="shared" si="112"/>
        <v>0</v>
      </c>
      <c r="DX23" s="135">
        <f t="shared" si="112"/>
        <v>0</v>
      </c>
      <c r="DY23" s="135">
        <f t="shared" si="112"/>
        <v>0</v>
      </c>
      <c r="DZ23" s="135">
        <f t="shared" si="112"/>
        <v>0</v>
      </c>
      <c r="EA23" s="135">
        <f t="shared" si="112"/>
        <v>0</v>
      </c>
      <c r="EB23" s="135">
        <f t="shared" si="112"/>
        <v>0</v>
      </c>
      <c r="EC23" s="135">
        <f t="shared" si="112"/>
        <v>0</v>
      </c>
      <c r="ED23" s="135">
        <f t="shared" si="112"/>
        <v>0</v>
      </c>
      <c r="EE23" s="135">
        <f t="shared" si="112"/>
        <v>0</v>
      </c>
      <c r="EF23" s="135">
        <f t="shared" si="112"/>
        <v>0</v>
      </c>
      <c r="EG23" s="135">
        <f t="shared" si="112"/>
        <v>0</v>
      </c>
      <c r="EH23" s="135">
        <f t="shared" si="103"/>
        <v>0</v>
      </c>
      <c r="EI23" s="135">
        <f t="shared" si="103"/>
        <v>0</v>
      </c>
      <c r="EJ23" s="135">
        <f t="shared" si="103"/>
        <v>0</v>
      </c>
      <c r="EK23" s="135">
        <f t="shared" si="103"/>
        <v>0</v>
      </c>
      <c r="EL23" s="135">
        <f t="shared" si="103"/>
        <v>0</v>
      </c>
      <c r="EM23" s="135">
        <f t="shared" si="103"/>
        <v>0</v>
      </c>
      <c r="EN23" s="135">
        <f t="shared" si="103"/>
        <v>0</v>
      </c>
      <c r="EO23" s="135">
        <f t="shared" si="103"/>
        <v>0</v>
      </c>
      <c r="EP23" s="135">
        <f t="shared" si="103"/>
        <v>0</v>
      </c>
      <c r="EQ23" s="135">
        <f t="shared" si="103"/>
        <v>0</v>
      </c>
      <c r="ER23" s="135">
        <f t="shared" si="103"/>
        <v>0</v>
      </c>
      <c r="ES23" s="135">
        <f t="shared" si="103"/>
        <v>0</v>
      </c>
      <c r="ET23" s="135">
        <f t="shared" si="103"/>
        <v>0</v>
      </c>
      <c r="EU23" s="135">
        <f t="shared" si="103"/>
        <v>0</v>
      </c>
      <c r="EV23" s="135">
        <f t="shared" si="103"/>
        <v>0</v>
      </c>
      <c r="EW23" s="135">
        <f t="shared" si="103"/>
        <v>0</v>
      </c>
      <c r="EX23" s="135">
        <f t="shared" si="103"/>
        <v>0</v>
      </c>
      <c r="EY23" s="135">
        <f t="shared" si="103"/>
        <v>0</v>
      </c>
      <c r="EZ23" s="135">
        <f t="shared" si="103"/>
        <v>0</v>
      </c>
      <c r="FA23" s="135">
        <f t="shared" si="103"/>
        <v>0</v>
      </c>
      <c r="FB23" s="135">
        <f t="shared" si="103"/>
        <v>0</v>
      </c>
      <c r="FC23" s="135">
        <f t="shared" si="103"/>
        <v>0</v>
      </c>
      <c r="FD23" s="135">
        <f t="shared" si="103"/>
        <v>0</v>
      </c>
      <c r="FE23" s="135">
        <f t="shared" si="103"/>
        <v>0</v>
      </c>
      <c r="FF23" s="135">
        <f t="shared" si="103"/>
        <v>0</v>
      </c>
      <c r="FG23" s="135">
        <f t="shared" si="103"/>
        <v>0</v>
      </c>
      <c r="FH23" s="135">
        <f t="shared" si="103"/>
        <v>0</v>
      </c>
      <c r="FI23" s="135">
        <f t="shared" si="103"/>
        <v>0</v>
      </c>
      <c r="FJ23" s="135">
        <f t="shared" si="103"/>
        <v>0</v>
      </c>
      <c r="FK23" s="135">
        <f t="shared" si="103"/>
        <v>0</v>
      </c>
      <c r="FL23" s="135">
        <f t="shared" si="103"/>
        <v>0</v>
      </c>
      <c r="FM23" s="135">
        <f t="shared" si="103"/>
        <v>0</v>
      </c>
      <c r="FN23" s="135">
        <f t="shared" si="103"/>
        <v>0</v>
      </c>
      <c r="FO23" s="135">
        <f t="shared" si="103"/>
        <v>0</v>
      </c>
      <c r="FP23" s="135">
        <f t="shared" si="103"/>
        <v>0</v>
      </c>
      <c r="FQ23" s="135">
        <f t="shared" si="103"/>
        <v>0</v>
      </c>
      <c r="FR23" s="135">
        <f t="shared" si="103"/>
        <v>0</v>
      </c>
      <c r="FS23" s="135">
        <f t="shared" si="103"/>
        <v>0</v>
      </c>
      <c r="FT23" s="135">
        <f t="shared" si="103"/>
        <v>0</v>
      </c>
      <c r="FU23" s="135">
        <f t="shared" si="103"/>
        <v>0</v>
      </c>
      <c r="FV23" s="135">
        <f t="shared" si="103"/>
        <v>0</v>
      </c>
      <c r="FW23" s="135">
        <f t="shared" si="103"/>
        <v>0</v>
      </c>
      <c r="FX23" s="135">
        <f t="shared" si="103"/>
        <v>0</v>
      </c>
      <c r="FY23" s="135">
        <f t="shared" si="103"/>
        <v>0</v>
      </c>
      <c r="FZ23" s="135">
        <f t="shared" si="103"/>
        <v>0</v>
      </c>
      <c r="GA23" s="135">
        <f t="shared" si="103"/>
        <v>0</v>
      </c>
      <c r="GB23" s="135">
        <f t="shared" si="103"/>
        <v>0</v>
      </c>
      <c r="GC23" s="135">
        <f t="shared" si="103"/>
        <v>0</v>
      </c>
      <c r="GD23" s="135">
        <f t="shared" si="103"/>
        <v>0</v>
      </c>
      <c r="GE23" s="135">
        <f t="shared" si="103"/>
        <v>0</v>
      </c>
      <c r="GF23" s="135">
        <f t="shared" si="103"/>
        <v>0</v>
      </c>
      <c r="GG23" s="135">
        <f t="shared" si="103"/>
        <v>0</v>
      </c>
      <c r="GH23" s="135">
        <f t="shared" si="103"/>
        <v>0</v>
      </c>
      <c r="GI23" s="135">
        <f t="shared" si="103"/>
        <v>0</v>
      </c>
      <c r="GJ23" s="135">
        <f t="shared" si="103"/>
        <v>0</v>
      </c>
      <c r="GK23" s="135">
        <f t="shared" si="103"/>
        <v>0</v>
      </c>
      <c r="GL23" s="135">
        <f t="shared" si="103"/>
        <v>0</v>
      </c>
      <c r="GM23" s="135">
        <f t="shared" si="103"/>
        <v>0</v>
      </c>
      <c r="GN23" s="135">
        <f t="shared" si="103"/>
        <v>0</v>
      </c>
      <c r="GO23" s="135">
        <f t="shared" si="103"/>
        <v>0</v>
      </c>
      <c r="GP23" s="135">
        <f t="shared" si="103"/>
        <v>0</v>
      </c>
      <c r="GQ23" s="135">
        <f t="shared" si="103"/>
        <v>0</v>
      </c>
      <c r="GR23" s="135">
        <f t="shared" si="103"/>
        <v>0</v>
      </c>
      <c r="GS23" s="135">
        <f t="shared" si="103"/>
        <v>0</v>
      </c>
      <c r="GT23" s="135">
        <f t="shared" si="98"/>
        <v>0</v>
      </c>
      <c r="GU23" s="135">
        <f t="shared" si="98"/>
        <v>0</v>
      </c>
      <c r="GV23" s="135">
        <f t="shared" si="98"/>
        <v>0</v>
      </c>
      <c r="GW23" s="135">
        <f t="shared" si="98"/>
        <v>0</v>
      </c>
      <c r="GX23" s="135">
        <f t="shared" si="98"/>
        <v>0</v>
      </c>
      <c r="GY23" s="135">
        <f t="shared" si="98"/>
        <v>0</v>
      </c>
      <c r="GZ23" s="135">
        <f t="shared" si="98"/>
        <v>0</v>
      </c>
      <c r="HA23" s="135">
        <f t="shared" si="98"/>
        <v>0</v>
      </c>
      <c r="HB23" s="135">
        <f t="shared" si="98"/>
        <v>0</v>
      </c>
      <c r="HC23" s="135">
        <f t="shared" si="98"/>
        <v>0</v>
      </c>
      <c r="HD23" s="135">
        <f t="shared" si="98"/>
        <v>0</v>
      </c>
      <c r="HE23" s="135">
        <f t="shared" si="98"/>
        <v>0</v>
      </c>
      <c r="HF23" s="135">
        <f t="shared" si="98"/>
        <v>0</v>
      </c>
      <c r="HG23" s="135">
        <f t="shared" si="98"/>
        <v>0</v>
      </c>
      <c r="HH23" s="135">
        <f t="shared" si="98"/>
        <v>0</v>
      </c>
      <c r="HI23" s="135">
        <f t="shared" si="98"/>
        <v>0</v>
      </c>
      <c r="HJ23" s="135">
        <f t="shared" si="98"/>
        <v>0</v>
      </c>
      <c r="HK23" s="135">
        <f t="shared" si="98"/>
        <v>0</v>
      </c>
      <c r="HL23" s="135">
        <f t="shared" si="98"/>
        <v>0</v>
      </c>
      <c r="HM23" s="135">
        <f t="shared" si="98"/>
        <v>0</v>
      </c>
      <c r="HN23" s="135">
        <f t="shared" si="98"/>
        <v>0</v>
      </c>
      <c r="HO23" s="135">
        <f t="shared" si="98"/>
        <v>0</v>
      </c>
      <c r="HP23" s="135">
        <f t="shared" si="98"/>
        <v>0</v>
      </c>
      <c r="HQ23" s="135">
        <f t="shared" si="98"/>
        <v>0</v>
      </c>
      <c r="HR23" s="135">
        <f t="shared" si="98"/>
        <v>0</v>
      </c>
      <c r="HS23" s="135">
        <f t="shared" si="98"/>
        <v>0</v>
      </c>
      <c r="HT23" s="135">
        <f t="shared" si="98"/>
        <v>0</v>
      </c>
      <c r="HU23" s="135">
        <f t="shared" si="98"/>
        <v>0</v>
      </c>
      <c r="HV23" s="135">
        <f t="shared" si="98"/>
        <v>0</v>
      </c>
      <c r="HW23" s="135">
        <f t="shared" si="98"/>
        <v>0</v>
      </c>
      <c r="HX23" s="135">
        <f t="shared" si="98"/>
        <v>0</v>
      </c>
      <c r="HY23" s="135">
        <f t="shared" si="98"/>
        <v>0</v>
      </c>
      <c r="HZ23" s="135">
        <f t="shared" si="98"/>
        <v>0</v>
      </c>
      <c r="IA23" s="135">
        <f t="shared" si="98"/>
        <v>0</v>
      </c>
      <c r="IB23" s="135">
        <f t="shared" si="98"/>
        <v>0</v>
      </c>
      <c r="IC23" s="135">
        <f t="shared" si="98"/>
        <v>0</v>
      </c>
      <c r="ID23" s="135">
        <f t="shared" si="98"/>
        <v>0</v>
      </c>
      <c r="IE23" s="135">
        <f t="shared" si="98"/>
        <v>0</v>
      </c>
      <c r="IF23" s="135">
        <f t="shared" si="98"/>
        <v>0</v>
      </c>
      <c r="IG23" s="135">
        <f t="shared" si="98"/>
        <v>0</v>
      </c>
      <c r="IH23" s="135">
        <f t="shared" si="98"/>
        <v>0</v>
      </c>
      <c r="II23" s="135">
        <f t="shared" si="98"/>
        <v>0</v>
      </c>
      <c r="IJ23" s="135">
        <f t="shared" si="98"/>
        <v>0</v>
      </c>
      <c r="IK23" s="135">
        <f t="shared" si="98"/>
        <v>0</v>
      </c>
      <c r="IL23" s="135">
        <f t="shared" si="98"/>
        <v>0</v>
      </c>
      <c r="IM23" s="135">
        <f t="shared" si="98"/>
        <v>0</v>
      </c>
      <c r="IN23" s="135">
        <f t="shared" si="98"/>
        <v>0</v>
      </c>
      <c r="IO23" s="135">
        <f t="shared" si="98"/>
        <v>0</v>
      </c>
      <c r="IP23" s="135">
        <f t="shared" si="98"/>
        <v>0</v>
      </c>
      <c r="IQ23" s="135">
        <f t="shared" si="98"/>
        <v>0</v>
      </c>
      <c r="IR23" s="135">
        <f t="shared" si="98"/>
        <v>0</v>
      </c>
      <c r="IS23" s="135">
        <f t="shared" si="98"/>
        <v>0</v>
      </c>
      <c r="IT23" s="135">
        <f t="shared" si="98"/>
        <v>0</v>
      </c>
      <c r="IU23" s="135">
        <f t="shared" si="98"/>
        <v>0</v>
      </c>
      <c r="IV23" s="135">
        <f t="shared" si="98"/>
        <v>0</v>
      </c>
      <c r="IW23" s="135">
        <f t="shared" si="98"/>
        <v>0</v>
      </c>
      <c r="IX23" s="135">
        <f t="shared" si="98"/>
        <v>0</v>
      </c>
      <c r="IY23" s="135">
        <f t="shared" si="98"/>
        <v>0</v>
      </c>
      <c r="IZ23" s="135">
        <f t="shared" si="98"/>
        <v>0</v>
      </c>
      <c r="JA23" s="135">
        <f t="shared" si="98"/>
        <v>0</v>
      </c>
      <c r="JB23" s="135">
        <f t="shared" si="98"/>
        <v>0</v>
      </c>
      <c r="JC23" s="135">
        <f t="shared" si="98"/>
        <v>0</v>
      </c>
      <c r="JD23" s="135">
        <f t="shared" si="98"/>
        <v>0</v>
      </c>
      <c r="JE23" s="135">
        <f t="shared" si="98"/>
        <v>0</v>
      </c>
      <c r="JF23" s="135">
        <f t="shared" si="62"/>
        <v>0</v>
      </c>
      <c r="JG23" s="135">
        <f t="shared" si="62"/>
        <v>0</v>
      </c>
      <c r="JH23" s="135">
        <f t="shared" si="62"/>
        <v>0</v>
      </c>
      <c r="JI23" s="135">
        <f t="shared" si="62"/>
        <v>0</v>
      </c>
      <c r="JJ23" s="135">
        <f t="shared" si="104"/>
        <v>0</v>
      </c>
      <c r="JK23" s="135">
        <f t="shared" si="104"/>
        <v>0</v>
      </c>
      <c r="JL23" s="135">
        <f t="shared" si="104"/>
        <v>0</v>
      </c>
      <c r="JM23" s="135">
        <f t="shared" si="104"/>
        <v>0</v>
      </c>
      <c r="JN23" s="135">
        <f t="shared" si="104"/>
        <v>0</v>
      </c>
      <c r="JO23" s="135">
        <f t="shared" si="104"/>
        <v>0</v>
      </c>
      <c r="JP23" s="135">
        <f t="shared" si="104"/>
        <v>0</v>
      </c>
      <c r="JQ23" s="135">
        <f t="shared" si="104"/>
        <v>0</v>
      </c>
      <c r="JR23" s="135">
        <f t="shared" si="104"/>
        <v>0</v>
      </c>
      <c r="JS23" s="135">
        <f t="shared" si="104"/>
        <v>0</v>
      </c>
      <c r="JT23" s="135">
        <f t="shared" si="105"/>
        <v>0</v>
      </c>
      <c r="JU23" s="135">
        <f t="shared" si="105"/>
        <v>0</v>
      </c>
      <c r="JV23" s="135">
        <f t="shared" si="105"/>
        <v>0</v>
      </c>
      <c r="JW23" s="135">
        <f t="shared" si="105"/>
        <v>0</v>
      </c>
      <c r="JX23" s="135">
        <f t="shared" si="105"/>
        <v>0</v>
      </c>
      <c r="JY23" s="135">
        <f t="shared" si="105"/>
        <v>0</v>
      </c>
      <c r="JZ23" s="135">
        <f t="shared" si="105"/>
        <v>0</v>
      </c>
      <c r="KA23" s="135">
        <f t="shared" si="105"/>
        <v>0</v>
      </c>
      <c r="KB23" s="135">
        <f t="shared" si="105"/>
        <v>0</v>
      </c>
      <c r="KC23" s="135">
        <f t="shared" si="105"/>
        <v>0</v>
      </c>
      <c r="KD23" s="135">
        <f t="shared" si="106"/>
        <v>0</v>
      </c>
      <c r="KE23" s="135">
        <f t="shared" si="106"/>
        <v>0</v>
      </c>
      <c r="KF23" s="135">
        <f t="shared" si="106"/>
        <v>0</v>
      </c>
      <c r="KG23" s="135">
        <f t="shared" si="106"/>
        <v>0</v>
      </c>
      <c r="KH23" s="135">
        <f t="shared" si="106"/>
        <v>0</v>
      </c>
      <c r="KI23" s="135">
        <f t="shared" si="106"/>
        <v>0</v>
      </c>
      <c r="KJ23" s="135">
        <f t="shared" si="106"/>
        <v>0</v>
      </c>
      <c r="KK23" s="135">
        <f t="shared" si="106"/>
        <v>0</v>
      </c>
      <c r="KL23" s="135">
        <f t="shared" si="106"/>
        <v>0</v>
      </c>
      <c r="KM23" s="135">
        <f t="shared" si="106"/>
        <v>0</v>
      </c>
      <c r="KN23" s="135">
        <f t="shared" si="107"/>
        <v>0</v>
      </c>
      <c r="KO23" s="135">
        <f t="shared" si="107"/>
        <v>0</v>
      </c>
      <c r="KP23" s="135">
        <f t="shared" si="107"/>
        <v>0</v>
      </c>
      <c r="KQ23" s="135">
        <f t="shared" si="107"/>
        <v>0</v>
      </c>
      <c r="KR23" s="135">
        <f t="shared" si="107"/>
        <v>0</v>
      </c>
      <c r="KS23" s="135">
        <f t="shared" si="107"/>
        <v>0</v>
      </c>
      <c r="KT23" s="135">
        <f t="shared" si="107"/>
        <v>0</v>
      </c>
      <c r="KU23" s="135">
        <f t="shared" si="107"/>
        <v>0</v>
      </c>
      <c r="KV23" s="135">
        <f t="shared" si="107"/>
        <v>0</v>
      </c>
      <c r="KW23" s="135">
        <f t="shared" si="107"/>
        <v>0</v>
      </c>
      <c r="KX23" s="135">
        <f t="shared" si="108"/>
        <v>0</v>
      </c>
      <c r="KY23" s="135">
        <f t="shared" si="108"/>
        <v>0</v>
      </c>
      <c r="KZ23" s="135">
        <f t="shared" si="108"/>
        <v>0</v>
      </c>
      <c r="LA23" s="135">
        <f t="shared" si="108"/>
        <v>0</v>
      </c>
      <c r="LB23" s="135">
        <f t="shared" si="108"/>
        <v>0</v>
      </c>
      <c r="LC23" s="135">
        <f t="shared" si="108"/>
        <v>0</v>
      </c>
      <c r="LD23" s="135">
        <f t="shared" si="108"/>
        <v>0</v>
      </c>
      <c r="LE23" s="135">
        <f t="shared" si="108"/>
        <v>0</v>
      </c>
      <c r="LF23" s="135">
        <f t="shared" si="108"/>
        <v>0</v>
      </c>
      <c r="LG23" s="135">
        <f t="shared" si="108"/>
        <v>0</v>
      </c>
      <c r="LH23" s="135">
        <f t="shared" si="109"/>
        <v>0</v>
      </c>
      <c r="LI23" s="135">
        <f t="shared" si="109"/>
        <v>0</v>
      </c>
      <c r="LJ23" s="135">
        <f t="shared" si="109"/>
        <v>0</v>
      </c>
      <c r="LK23" s="135">
        <f t="shared" si="109"/>
        <v>0</v>
      </c>
      <c r="LL23" s="135">
        <f t="shared" si="109"/>
        <v>0</v>
      </c>
      <c r="LM23" s="135">
        <f t="shared" si="109"/>
        <v>0</v>
      </c>
      <c r="LN23" s="135">
        <f t="shared" si="109"/>
        <v>0</v>
      </c>
      <c r="LO23" s="135">
        <f t="shared" si="109"/>
        <v>0</v>
      </c>
      <c r="LP23" s="135">
        <f t="shared" si="109"/>
        <v>0</v>
      </c>
      <c r="LQ23" s="135">
        <f t="shared" si="109"/>
        <v>0</v>
      </c>
      <c r="LR23" s="135">
        <f t="shared" si="109"/>
        <v>0</v>
      </c>
      <c r="LS23" s="135">
        <f t="shared" si="109"/>
        <v>0</v>
      </c>
      <c r="LT23" s="135">
        <f t="shared" si="109"/>
        <v>0</v>
      </c>
      <c r="LU23" s="135">
        <f t="shared" si="109"/>
        <v>0</v>
      </c>
      <c r="LV23" s="135">
        <f t="shared" si="99"/>
        <v>0</v>
      </c>
      <c r="LW23" s="135">
        <f t="shared" si="99"/>
        <v>0</v>
      </c>
      <c r="LX23" s="135">
        <f t="shared" si="99"/>
        <v>0</v>
      </c>
      <c r="LY23" s="135">
        <f t="shared" si="99"/>
        <v>0</v>
      </c>
      <c r="LZ23" s="135">
        <f t="shared" si="99"/>
        <v>0</v>
      </c>
      <c r="MA23" s="135">
        <f t="shared" si="99"/>
        <v>0</v>
      </c>
      <c r="MB23" s="135">
        <f t="shared" si="99"/>
        <v>0</v>
      </c>
      <c r="MC23" s="135">
        <f t="shared" si="99"/>
        <v>0</v>
      </c>
      <c r="MD23" s="135">
        <f t="shared" si="99"/>
        <v>0</v>
      </c>
      <c r="ME23" s="135">
        <f t="shared" si="99"/>
        <v>0</v>
      </c>
      <c r="MF23" s="135">
        <f t="shared" si="99"/>
        <v>0</v>
      </c>
      <c r="MG23" s="135">
        <f t="shared" si="99"/>
        <v>0</v>
      </c>
      <c r="MH23" s="135">
        <f t="shared" si="99"/>
        <v>0</v>
      </c>
      <c r="MI23" s="135">
        <f t="shared" si="99"/>
        <v>0</v>
      </c>
      <c r="MJ23" s="135">
        <f t="shared" si="99"/>
        <v>0</v>
      </c>
      <c r="MK23" s="135">
        <f t="shared" si="99"/>
        <v>0</v>
      </c>
      <c r="ML23" s="135">
        <f t="shared" si="99"/>
        <v>0</v>
      </c>
      <c r="MM23" s="135">
        <f t="shared" si="99"/>
        <v>0</v>
      </c>
      <c r="MN23" s="135">
        <f t="shared" si="99"/>
        <v>0</v>
      </c>
      <c r="MO23" s="135">
        <f t="shared" si="99"/>
        <v>0</v>
      </c>
      <c r="MP23" s="135">
        <f t="shared" si="99"/>
        <v>0</v>
      </c>
      <c r="MQ23" s="135">
        <f t="shared" si="99"/>
        <v>0</v>
      </c>
      <c r="MR23" s="135">
        <f t="shared" si="99"/>
        <v>0</v>
      </c>
      <c r="MS23" s="135">
        <f t="shared" si="99"/>
        <v>0</v>
      </c>
      <c r="MT23" s="135">
        <f t="shared" si="99"/>
        <v>0</v>
      </c>
      <c r="MU23" s="135">
        <f t="shared" si="99"/>
        <v>0</v>
      </c>
      <c r="MV23" s="135">
        <f t="shared" si="99"/>
        <v>0</v>
      </c>
      <c r="MW23" s="135">
        <f t="shared" si="99"/>
        <v>0</v>
      </c>
      <c r="MX23" s="135">
        <f t="shared" si="99"/>
        <v>0</v>
      </c>
      <c r="MY23" s="135">
        <f t="shared" si="99"/>
        <v>0</v>
      </c>
      <c r="MZ23" s="135">
        <f t="shared" si="99"/>
        <v>0</v>
      </c>
      <c r="NA23" s="135">
        <f t="shared" si="99"/>
        <v>0</v>
      </c>
      <c r="NB23" s="135">
        <f t="shared" si="99"/>
        <v>0</v>
      </c>
      <c r="NC23" s="135">
        <f t="shared" si="99"/>
        <v>0</v>
      </c>
      <c r="ND23" s="135">
        <f t="shared" si="99"/>
        <v>0</v>
      </c>
      <c r="NE23" s="135">
        <f t="shared" si="99"/>
        <v>0</v>
      </c>
      <c r="NF23" s="135">
        <f t="shared" si="99"/>
        <v>0</v>
      </c>
      <c r="NG23" s="135">
        <f t="shared" si="99"/>
        <v>0</v>
      </c>
      <c r="NH23" s="135">
        <f t="shared" si="99"/>
        <v>0</v>
      </c>
      <c r="NI23" s="135">
        <f t="shared" si="99"/>
        <v>0</v>
      </c>
      <c r="NJ23" s="135">
        <f t="shared" si="99"/>
        <v>0</v>
      </c>
      <c r="NK23" s="135">
        <f t="shared" si="99"/>
        <v>0</v>
      </c>
      <c r="NL23" s="135">
        <f t="shared" si="99"/>
        <v>0</v>
      </c>
      <c r="NM23" s="135">
        <f t="shared" si="99"/>
        <v>0</v>
      </c>
      <c r="NN23" s="135">
        <f t="shared" si="99"/>
        <v>0</v>
      </c>
      <c r="NO23" s="135">
        <f t="shared" si="99"/>
        <v>0</v>
      </c>
      <c r="NP23" s="135">
        <f t="shared" si="99"/>
        <v>0</v>
      </c>
      <c r="NQ23" s="135">
        <f t="shared" si="99"/>
        <v>0</v>
      </c>
      <c r="NR23" s="135">
        <f t="shared" si="99"/>
        <v>0</v>
      </c>
      <c r="NS23" s="135">
        <f t="shared" si="99"/>
        <v>0</v>
      </c>
      <c r="NT23" s="135">
        <f t="shared" si="99"/>
        <v>0</v>
      </c>
      <c r="NU23" s="135">
        <f t="shared" si="99"/>
        <v>0</v>
      </c>
      <c r="NV23" s="135">
        <f t="shared" si="99"/>
        <v>0</v>
      </c>
      <c r="NW23" s="135">
        <f t="shared" si="99"/>
        <v>0</v>
      </c>
      <c r="NX23" s="135">
        <f t="shared" si="99"/>
        <v>0</v>
      </c>
      <c r="NY23" s="135">
        <f t="shared" si="99"/>
        <v>0</v>
      </c>
      <c r="NZ23" s="135">
        <f t="shared" si="99"/>
        <v>0</v>
      </c>
      <c r="OA23" s="135">
        <f t="shared" si="99"/>
        <v>0</v>
      </c>
      <c r="OB23" s="135">
        <f t="shared" si="99"/>
        <v>0</v>
      </c>
      <c r="OC23" s="135">
        <f t="shared" si="99"/>
        <v>0</v>
      </c>
      <c r="OD23" s="135">
        <f t="shared" si="99"/>
        <v>0</v>
      </c>
      <c r="OE23" s="135">
        <f t="shared" si="99"/>
        <v>0</v>
      </c>
      <c r="OF23" s="135">
        <f t="shared" si="99"/>
        <v>0</v>
      </c>
      <c r="OG23" s="135">
        <f t="shared" si="57"/>
        <v>0</v>
      </c>
      <c r="OH23" s="135">
        <f t="shared" si="80"/>
        <v>0</v>
      </c>
      <c r="OI23" s="135">
        <f t="shared" si="80"/>
        <v>0</v>
      </c>
      <c r="OJ23" s="135">
        <f t="shared" si="80"/>
        <v>0</v>
      </c>
      <c r="OK23" s="135">
        <f t="shared" si="80"/>
        <v>0</v>
      </c>
      <c r="OL23" s="135">
        <f t="shared" si="80"/>
        <v>0</v>
      </c>
      <c r="OM23" s="135">
        <f t="shared" si="80"/>
        <v>0</v>
      </c>
      <c r="ON23" s="135">
        <f t="shared" si="80"/>
        <v>0</v>
      </c>
      <c r="OO23" s="135">
        <f t="shared" ref="OO23:QZ26" si="113">IFERROR(IF(OO$1=EOMONTH($G23,0),(-$E23+($E23*(DAY($G23)/DAY(EOMONTH(OO$1,0)))*$F23/12*(1-0.269))),IF(OO$1=$G23,($E23+($E23*(DAY($I23)/DAY(EOMONTH(OO$1,0)))*$F23/12*(1-0.269))),IFERROR(IF($I23&lt;OO$1,0,IF(OO$1&gt;$I23,(($F23/12)*$E23)*(DAY($I23)/DAY(EOMONTH(OO$1,0)))*(1-26.9/100)+$E23,IF(AND(OO$1&gt;=$G23,OO$1&lt;$I23),(($F23/12)*$E23)*(1-26.9/100),""))-IF(OO$1=EOMONTH($G23,0),$E23,"0")),0)+IF(OO$1=EOMONTH($I23,0),($E23+($E23*(DAY($I23)/DAY(EOMONTH(OO$1,0)))*$F23/12*(1-0.269))),"0"))),0)</f>
        <v>0</v>
      </c>
      <c r="OP23" s="135">
        <f t="shared" si="113"/>
        <v>0</v>
      </c>
      <c r="OQ23" s="135">
        <f t="shared" si="113"/>
        <v>0</v>
      </c>
      <c r="OR23" s="135">
        <f t="shared" si="113"/>
        <v>0</v>
      </c>
      <c r="OS23" s="135">
        <f t="shared" si="113"/>
        <v>0</v>
      </c>
      <c r="OT23" s="135">
        <f t="shared" si="113"/>
        <v>0</v>
      </c>
      <c r="OU23" s="135">
        <f t="shared" si="113"/>
        <v>0</v>
      </c>
      <c r="OV23" s="135">
        <f t="shared" si="113"/>
        <v>0</v>
      </c>
      <c r="OW23" s="135">
        <f t="shared" si="113"/>
        <v>0</v>
      </c>
      <c r="OX23" s="135">
        <f t="shared" si="113"/>
        <v>0</v>
      </c>
      <c r="OY23" s="135">
        <f t="shared" si="113"/>
        <v>0</v>
      </c>
      <c r="OZ23" s="135">
        <f t="shared" si="113"/>
        <v>0</v>
      </c>
      <c r="PA23" s="135">
        <f t="shared" si="113"/>
        <v>0</v>
      </c>
      <c r="PB23" s="135">
        <f t="shared" si="113"/>
        <v>0</v>
      </c>
      <c r="PC23" s="135">
        <f t="shared" si="113"/>
        <v>0</v>
      </c>
      <c r="PD23" s="135">
        <f t="shared" si="113"/>
        <v>0</v>
      </c>
      <c r="PE23" s="135">
        <f t="shared" si="113"/>
        <v>0</v>
      </c>
      <c r="PF23" s="135">
        <f t="shared" si="113"/>
        <v>0</v>
      </c>
      <c r="PG23" s="135">
        <f t="shared" si="113"/>
        <v>0</v>
      </c>
      <c r="PH23" s="135">
        <f t="shared" si="113"/>
        <v>0</v>
      </c>
      <c r="PI23" s="135">
        <f t="shared" si="113"/>
        <v>0</v>
      </c>
      <c r="PJ23" s="135">
        <f t="shared" si="113"/>
        <v>0</v>
      </c>
      <c r="PK23" s="135">
        <f t="shared" si="113"/>
        <v>0</v>
      </c>
      <c r="PL23" s="135">
        <f t="shared" si="113"/>
        <v>0</v>
      </c>
      <c r="PM23" s="135">
        <f t="shared" si="113"/>
        <v>0</v>
      </c>
      <c r="PN23" s="135">
        <f t="shared" si="113"/>
        <v>0</v>
      </c>
      <c r="PO23" s="135">
        <f t="shared" si="113"/>
        <v>0</v>
      </c>
      <c r="PP23" s="135">
        <f t="shared" si="113"/>
        <v>0</v>
      </c>
      <c r="PQ23" s="135">
        <f t="shared" si="113"/>
        <v>0</v>
      </c>
      <c r="PR23" s="135">
        <f t="shared" si="113"/>
        <v>0</v>
      </c>
      <c r="PS23" s="135">
        <f t="shared" si="113"/>
        <v>0</v>
      </c>
      <c r="PT23" s="135">
        <f t="shared" si="113"/>
        <v>0</v>
      </c>
      <c r="PU23" s="135">
        <f t="shared" si="113"/>
        <v>0</v>
      </c>
      <c r="PV23" s="135">
        <f t="shared" si="113"/>
        <v>0</v>
      </c>
      <c r="PW23" s="135">
        <f t="shared" si="113"/>
        <v>0</v>
      </c>
      <c r="PX23" s="135">
        <f t="shared" si="113"/>
        <v>0</v>
      </c>
      <c r="PY23" s="135">
        <f t="shared" si="113"/>
        <v>0</v>
      </c>
      <c r="PZ23" s="135">
        <f t="shared" si="113"/>
        <v>0</v>
      </c>
      <c r="QA23" s="135">
        <f t="shared" si="113"/>
        <v>0</v>
      </c>
      <c r="QB23" s="135">
        <f t="shared" si="113"/>
        <v>0</v>
      </c>
      <c r="QC23" s="135">
        <f t="shared" si="113"/>
        <v>0</v>
      </c>
      <c r="QD23" s="135">
        <f t="shared" si="113"/>
        <v>0</v>
      </c>
      <c r="QE23" s="135">
        <f t="shared" si="113"/>
        <v>0</v>
      </c>
      <c r="QF23" s="135">
        <f t="shared" si="113"/>
        <v>0</v>
      </c>
      <c r="QG23" s="135">
        <f t="shared" si="113"/>
        <v>0</v>
      </c>
      <c r="QH23" s="135">
        <f t="shared" si="113"/>
        <v>0</v>
      </c>
      <c r="QI23" s="135">
        <f t="shared" si="113"/>
        <v>0</v>
      </c>
      <c r="QJ23" s="135">
        <f t="shared" si="113"/>
        <v>0</v>
      </c>
      <c r="QK23" s="135">
        <f t="shared" si="113"/>
        <v>0</v>
      </c>
      <c r="QL23" s="135">
        <f t="shared" si="113"/>
        <v>0</v>
      </c>
      <c r="QM23" s="135">
        <f t="shared" si="113"/>
        <v>0</v>
      </c>
      <c r="QN23" s="135">
        <f t="shared" si="113"/>
        <v>0</v>
      </c>
      <c r="QO23" s="135">
        <f t="shared" si="113"/>
        <v>0</v>
      </c>
      <c r="QP23" s="135">
        <f t="shared" si="113"/>
        <v>0</v>
      </c>
      <c r="QQ23" s="135">
        <f t="shared" si="113"/>
        <v>0</v>
      </c>
      <c r="QR23" s="135">
        <f t="shared" si="113"/>
        <v>0</v>
      </c>
      <c r="QS23" s="135">
        <f t="shared" si="113"/>
        <v>0</v>
      </c>
      <c r="QT23" s="135">
        <f t="shared" si="113"/>
        <v>0</v>
      </c>
      <c r="QU23" s="135">
        <f t="shared" si="113"/>
        <v>0</v>
      </c>
      <c r="QV23" s="135">
        <f t="shared" si="113"/>
        <v>0</v>
      </c>
      <c r="QW23" s="135">
        <f t="shared" si="113"/>
        <v>0</v>
      </c>
      <c r="QX23" s="135">
        <f t="shared" si="113"/>
        <v>0</v>
      </c>
      <c r="QY23" s="135">
        <f t="shared" si="113"/>
        <v>0</v>
      </c>
      <c r="QZ23" s="135">
        <f t="shared" si="113"/>
        <v>0</v>
      </c>
      <c r="RA23" s="135">
        <f t="shared" si="110"/>
        <v>0</v>
      </c>
      <c r="RB23" s="135">
        <f t="shared" si="110"/>
        <v>0</v>
      </c>
      <c r="RC23" s="135">
        <f t="shared" si="110"/>
        <v>0</v>
      </c>
      <c r="RD23" s="135">
        <f t="shared" si="110"/>
        <v>0</v>
      </c>
      <c r="RE23" s="135">
        <f t="shared" si="110"/>
        <v>0</v>
      </c>
      <c r="RF23" s="135">
        <f t="shared" si="110"/>
        <v>0</v>
      </c>
      <c r="RG23" s="135">
        <f t="shared" si="110"/>
        <v>0</v>
      </c>
      <c r="RH23" s="135">
        <f t="shared" si="110"/>
        <v>0</v>
      </c>
      <c r="RI23" s="135">
        <f t="shared" si="110"/>
        <v>0</v>
      </c>
      <c r="RJ23" s="135">
        <f t="shared" si="110"/>
        <v>0</v>
      </c>
      <c r="RK23" s="135">
        <f t="shared" si="110"/>
        <v>0</v>
      </c>
      <c r="RL23" s="135">
        <f t="shared" si="110"/>
        <v>0</v>
      </c>
      <c r="RM23" s="135">
        <f t="shared" si="110"/>
        <v>0</v>
      </c>
      <c r="RN23" s="135">
        <f t="shared" si="110"/>
        <v>0</v>
      </c>
      <c r="RO23" s="135">
        <f t="shared" si="110"/>
        <v>0</v>
      </c>
      <c r="RP23" s="135">
        <f t="shared" si="110"/>
        <v>0</v>
      </c>
      <c r="RQ23" s="135">
        <f t="shared" si="110"/>
        <v>0</v>
      </c>
      <c r="RR23" s="135">
        <f t="shared" si="110"/>
        <v>0</v>
      </c>
      <c r="RS23" s="135">
        <f t="shared" si="110"/>
        <v>0</v>
      </c>
      <c r="RT23" s="135">
        <f t="shared" si="110"/>
        <v>0</v>
      </c>
      <c r="RU23" s="135">
        <f t="shared" si="110"/>
        <v>0</v>
      </c>
      <c r="RV23" s="135">
        <f t="shared" si="110"/>
        <v>0</v>
      </c>
      <c r="RW23" s="135">
        <f t="shared" si="110"/>
        <v>0</v>
      </c>
      <c r="RX23" s="135">
        <f t="shared" si="110"/>
        <v>0</v>
      </c>
      <c r="RY23" s="135">
        <f t="shared" si="110"/>
        <v>0</v>
      </c>
      <c r="RZ23" s="135">
        <f t="shared" si="110"/>
        <v>0</v>
      </c>
      <c r="SA23" s="135">
        <f t="shared" si="110"/>
        <v>0</v>
      </c>
      <c r="SB23" s="135">
        <f t="shared" si="110"/>
        <v>0</v>
      </c>
      <c r="SC23" s="135">
        <f t="shared" si="110"/>
        <v>0</v>
      </c>
      <c r="SD23" s="135">
        <f t="shared" si="110"/>
        <v>0</v>
      </c>
      <c r="SE23" s="135">
        <f t="shared" si="110"/>
        <v>0</v>
      </c>
      <c r="SF23" s="135">
        <f t="shared" si="110"/>
        <v>0</v>
      </c>
      <c r="SG23" s="135">
        <f t="shared" si="110"/>
        <v>0</v>
      </c>
      <c r="SH23" s="135">
        <f t="shared" si="110"/>
        <v>0</v>
      </c>
      <c r="SI23" s="135">
        <f t="shared" si="110"/>
        <v>0</v>
      </c>
      <c r="SJ23" s="135">
        <f t="shared" si="110"/>
        <v>0</v>
      </c>
      <c r="SK23" s="135">
        <f t="shared" si="110"/>
        <v>0</v>
      </c>
      <c r="SL23" s="135">
        <f t="shared" si="110"/>
        <v>0</v>
      </c>
      <c r="SM23" s="135">
        <f t="shared" si="110"/>
        <v>0</v>
      </c>
      <c r="SN23" s="135">
        <f t="shared" si="110"/>
        <v>0</v>
      </c>
      <c r="SO23" s="135">
        <f t="shared" si="110"/>
        <v>0</v>
      </c>
      <c r="SP23" s="135">
        <f t="shared" si="110"/>
        <v>0</v>
      </c>
      <c r="SQ23" s="135">
        <f t="shared" si="110"/>
        <v>0</v>
      </c>
      <c r="SR23" s="135">
        <f t="shared" si="110"/>
        <v>0</v>
      </c>
      <c r="SS23" s="135">
        <f t="shared" si="110"/>
        <v>0</v>
      </c>
      <c r="ST23" s="135">
        <f t="shared" si="110"/>
        <v>0</v>
      </c>
      <c r="SU23" s="135">
        <f t="shared" si="110"/>
        <v>0</v>
      </c>
      <c r="SV23" s="135">
        <f t="shared" si="110"/>
        <v>0</v>
      </c>
      <c r="SW23" s="135">
        <f t="shared" si="110"/>
        <v>0</v>
      </c>
      <c r="SX23" s="135">
        <f t="shared" si="110"/>
        <v>0</v>
      </c>
      <c r="SY23" s="135">
        <f t="shared" si="110"/>
        <v>0</v>
      </c>
      <c r="SZ23" s="135">
        <f t="shared" si="110"/>
        <v>0</v>
      </c>
      <c r="TA23" s="135">
        <f t="shared" si="110"/>
        <v>0</v>
      </c>
      <c r="TB23" s="135">
        <f t="shared" si="110"/>
        <v>0</v>
      </c>
      <c r="TC23" s="135">
        <f t="shared" si="110"/>
        <v>0</v>
      </c>
      <c r="TD23" s="135">
        <f t="shared" si="110"/>
        <v>0</v>
      </c>
      <c r="TE23" s="135">
        <f t="shared" si="110"/>
        <v>0</v>
      </c>
      <c r="TF23" s="135">
        <f t="shared" si="110"/>
        <v>0</v>
      </c>
      <c r="TG23" s="135">
        <f t="shared" si="110"/>
        <v>0</v>
      </c>
      <c r="TH23" s="135">
        <f t="shared" si="110"/>
        <v>0</v>
      </c>
      <c r="TI23" s="135">
        <f t="shared" si="110"/>
        <v>0</v>
      </c>
      <c r="TJ23" s="135">
        <f t="shared" si="110"/>
        <v>0</v>
      </c>
      <c r="TK23" s="135">
        <f t="shared" si="110"/>
        <v>0</v>
      </c>
      <c r="TL23" s="135">
        <f t="shared" si="111"/>
        <v>0</v>
      </c>
      <c r="TM23" s="135">
        <f t="shared" si="101"/>
        <v>0</v>
      </c>
      <c r="TN23" s="135">
        <f t="shared" si="101"/>
        <v>0</v>
      </c>
      <c r="TO23" s="135">
        <f t="shared" si="101"/>
        <v>0</v>
      </c>
      <c r="TP23" s="135">
        <f t="shared" si="101"/>
        <v>0</v>
      </c>
      <c r="TQ23" s="135">
        <f t="shared" si="101"/>
        <v>0</v>
      </c>
      <c r="TR23" s="135">
        <f t="shared" si="101"/>
        <v>0</v>
      </c>
      <c r="TS23" s="135">
        <f t="shared" si="101"/>
        <v>0</v>
      </c>
      <c r="TT23" s="135">
        <f t="shared" si="101"/>
        <v>0</v>
      </c>
      <c r="TU23" s="135">
        <f t="shared" si="101"/>
        <v>0</v>
      </c>
      <c r="TV23" s="135">
        <f t="shared" si="101"/>
        <v>0</v>
      </c>
      <c r="TW23" s="135">
        <f t="shared" si="102"/>
        <v>0</v>
      </c>
      <c r="TX23" s="135">
        <f t="shared" si="102"/>
        <v>0</v>
      </c>
      <c r="TY23" s="135">
        <f t="shared" si="102"/>
        <v>0</v>
      </c>
      <c r="TZ23" s="135">
        <f t="shared" si="102"/>
        <v>0</v>
      </c>
      <c r="UA23" s="135">
        <f t="shared" si="102"/>
        <v>0</v>
      </c>
      <c r="UB23" s="135">
        <f t="shared" si="102"/>
        <v>0</v>
      </c>
      <c r="UC23" s="135">
        <f t="shared" si="102"/>
        <v>0</v>
      </c>
      <c r="UD23" s="135">
        <f t="shared" si="102"/>
        <v>0</v>
      </c>
      <c r="UE23" s="135">
        <f t="shared" si="102"/>
        <v>0</v>
      </c>
      <c r="UF23" s="135">
        <f t="shared" si="102"/>
        <v>0</v>
      </c>
      <c r="UG23" s="135">
        <f t="shared" si="102"/>
        <v>0</v>
      </c>
      <c r="UH23" s="135">
        <f t="shared" si="102"/>
        <v>0</v>
      </c>
      <c r="UI23" s="135">
        <f t="shared" si="102"/>
        <v>0</v>
      </c>
      <c r="UJ23" s="135">
        <f t="shared" si="102"/>
        <v>0</v>
      </c>
      <c r="UK23" s="135">
        <f t="shared" si="102"/>
        <v>0</v>
      </c>
    </row>
    <row r="24" spans="2:557">
      <c r="B24" t="str">
        <f>IF(Samenvatting!$F125&lt;&gt;0,Samenvatting!C125,"")</f>
        <v/>
      </c>
      <c r="C24" t="str">
        <f>IF(Samenvatting!$F125&lt;&gt;0,Samenvatting!D125,"")</f>
        <v/>
      </c>
      <c r="D24" t="str">
        <f>IF(Samenvatting!$F125&lt;&gt;0,Samenvatting!E125,"")</f>
        <v/>
      </c>
      <c r="E24" t="str">
        <f>IF(Samenvatting!$F125&lt;&gt;0,Samenvatting!F125,"")</f>
        <v/>
      </c>
      <c r="F24" t="str">
        <f>IF(Samenvatting!$F125&lt;&gt;0,Samenvatting!H125,"")</f>
        <v/>
      </c>
      <c r="G24" s="134" t="str">
        <f>IF(Samenvatting!$F125&lt;&gt;0,Samenvatting!I125,"")</f>
        <v/>
      </c>
      <c r="H24" t="str">
        <f>IF(Samenvatting!$F125&lt;&gt;0,Samenvatting!J125,"")</f>
        <v/>
      </c>
      <c r="I24" s="134" t="str">
        <f>IF(Samenvatting!$F125&lt;&gt;0,Samenvatting!K125,"")</f>
        <v/>
      </c>
      <c r="J24" s="135">
        <f t="shared" si="0"/>
        <v>0</v>
      </c>
      <c r="K24" s="135">
        <f t="shared" ref="K24:BV27" si="114">IFERROR(IF(K$1=EOMONTH($G24,0),(-$E24+($E24*(DAY($G24)/DAY(EOMONTH(K$1,0)))*$F24/12*(1-0.269))),IF(K$1=$G24,($E24+($E24*(DAY($I24)/DAY(EOMONTH(K$1,0)))*$F24/12*(1-0.269))),IFERROR(IF($I24&lt;K$1,0,IF(K$1&gt;$I24,(($F24/12)*$E24)*(DAY($I24)/DAY(EOMONTH(K$1,0)))*(1-26.9/100)+$E24,IF(AND(K$1&gt;=$G24,K$1&lt;$I24),(($F24/12)*$E24)*(1-26.9/100),""))-IF(K$1=EOMONTH($G24,0),$E24,"0")),0)+IF(K$1=EOMONTH($I24,0),($E24+($E24*(DAY($I24)/DAY(EOMONTH(K$1,0)))*$F24/12*(1-0.269))),"0"))),0)</f>
        <v>0</v>
      </c>
      <c r="L24" s="135">
        <f t="shared" si="114"/>
        <v>0</v>
      </c>
      <c r="M24" s="135">
        <f t="shared" si="114"/>
        <v>0</v>
      </c>
      <c r="N24" s="135">
        <f t="shared" si="114"/>
        <v>0</v>
      </c>
      <c r="O24" s="135">
        <f t="shared" si="114"/>
        <v>0</v>
      </c>
      <c r="P24" s="135">
        <f t="shared" si="114"/>
        <v>0</v>
      </c>
      <c r="Q24" s="135">
        <f t="shared" si="114"/>
        <v>0</v>
      </c>
      <c r="R24" s="135">
        <f t="shared" si="114"/>
        <v>0</v>
      </c>
      <c r="S24" s="135">
        <f t="shared" si="114"/>
        <v>0</v>
      </c>
      <c r="T24" s="135">
        <f t="shared" si="114"/>
        <v>0</v>
      </c>
      <c r="U24" s="135">
        <f t="shared" si="114"/>
        <v>0</v>
      </c>
      <c r="V24" s="135">
        <f t="shared" si="114"/>
        <v>0</v>
      </c>
      <c r="W24" s="135">
        <f t="shared" si="114"/>
        <v>0</v>
      </c>
      <c r="X24" s="135">
        <f t="shared" si="114"/>
        <v>0</v>
      </c>
      <c r="Y24" s="135">
        <f t="shared" si="114"/>
        <v>0</v>
      </c>
      <c r="Z24" s="135">
        <f t="shared" si="114"/>
        <v>0</v>
      </c>
      <c r="AA24" s="135">
        <f t="shared" si="114"/>
        <v>0</v>
      </c>
      <c r="AB24" s="135">
        <f t="shared" si="114"/>
        <v>0</v>
      </c>
      <c r="AC24" s="135">
        <f t="shared" si="114"/>
        <v>0</v>
      </c>
      <c r="AD24" s="135">
        <f t="shared" si="114"/>
        <v>0</v>
      </c>
      <c r="AE24" s="135">
        <f t="shared" si="114"/>
        <v>0</v>
      </c>
      <c r="AF24" s="135">
        <f t="shared" si="114"/>
        <v>0</v>
      </c>
      <c r="AG24" s="135">
        <f t="shared" si="114"/>
        <v>0</v>
      </c>
      <c r="AH24" s="135">
        <f t="shared" si="114"/>
        <v>0</v>
      </c>
      <c r="AI24" s="135">
        <f t="shared" si="114"/>
        <v>0</v>
      </c>
      <c r="AJ24" s="135">
        <f t="shared" si="114"/>
        <v>0</v>
      </c>
      <c r="AK24" s="135">
        <f t="shared" si="114"/>
        <v>0</v>
      </c>
      <c r="AL24" s="135">
        <f t="shared" si="114"/>
        <v>0</v>
      </c>
      <c r="AM24" s="135">
        <f t="shared" si="114"/>
        <v>0</v>
      </c>
      <c r="AN24" s="135">
        <f t="shared" si="114"/>
        <v>0</v>
      </c>
      <c r="AO24" s="135">
        <f t="shared" si="114"/>
        <v>0</v>
      </c>
      <c r="AP24" s="135">
        <f t="shared" si="114"/>
        <v>0</v>
      </c>
      <c r="AQ24" s="135">
        <f t="shared" si="114"/>
        <v>0</v>
      </c>
      <c r="AR24" s="135">
        <f t="shared" si="114"/>
        <v>0</v>
      </c>
      <c r="AS24" s="135">
        <f t="shared" si="114"/>
        <v>0</v>
      </c>
      <c r="AT24" s="135">
        <f t="shared" si="114"/>
        <v>0</v>
      </c>
      <c r="AU24" s="135">
        <f t="shared" si="114"/>
        <v>0</v>
      </c>
      <c r="AV24" s="135">
        <f t="shared" si="114"/>
        <v>0</v>
      </c>
      <c r="AW24" s="135">
        <f t="shared" si="114"/>
        <v>0</v>
      </c>
      <c r="AX24" s="135">
        <f t="shared" si="114"/>
        <v>0</v>
      </c>
      <c r="AY24" s="135">
        <f t="shared" si="114"/>
        <v>0</v>
      </c>
      <c r="AZ24" s="135">
        <f t="shared" si="114"/>
        <v>0</v>
      </c>
      <c r="BA24" s="135">
        <f t="shared" si="114"/>
        <v>0</v>
      </c>
      <c r="BB24" s="135">
        <f t="shared" si="114"/>
        <v>0</v>
      </c>
      <c r="BC24" s="135">
        <f t="shared" si="114"/>
        <v>0</v>
      </c>
      <c r="BD24" s="135">
        <f t="shared" si="114"/>
        <v>0</v>
      </c>
      <c r="BE24" s="135">
        <f t="shared" si="114"/>
        <v>0</v>
      </c>
      <c r="BF24" s="135">
        <f t="shared" si="114"/>
        <v>0</v>
      </c>
      <c r="BG24" s="135">
        <f t="shared" si="114"/>
        <v>0</v>
      </c>
      <c r="BH24" s="135">
        <f t="shared" si="114"/>
        <v>0</v>
      </c>
      <c r="BI24" s="135">
        <f t="shared" si="114"/>
        <v>0</v>
      </c>
      <c r="BJ24" s="135">
        <f t="shared" si="114"/>
        <v>0</v>
      </c>
      <c r="BK24" s="135">
        <f t="shared" si="114"/>
        <v>0</v>
      </c>
      <c r="BL24" s="135">
        <f t="shared" si="114"/>
        <v>0</v>
      </c>
      <c r="BM24" s="135">
        <f t="shared" si="114"/>
        <v>0</v>
      </c>
      <c r="BN24" s="135">
        <f t="shared" si="114"/>
        <v>0</v>
      </c>
      <c r="BO24" s="135">
        <f t="shared" si="114"/>
        <v>0</v>
      </c>
      <c r="BP24" s="135">
        <f t="shared" si="114"/>
        <v>0</v>
      </c>
      <c r="BQ24" s="135">
        <f t="shared" si="114"/>
        <v>0</v>
      </c>
      <c r="BR24" s="135">
        <f t="shared" si="114"/>
        <v>0</v>
      </c>
      <c r="BS24" s="135">
        <f t="shared" si="114"/>
        <v>0</v>
      </c>
      <c r="BT24" s="135">
        <f t="shared" si="114"/>
        <v>0</v>
      </c>
      <c r="BU24" s="135">
        <f t="shared" si="114"/>
        <v>0</v>
      </c>
      <c r="BV24" s="135">
        <f t="shared" si="114"/>
        <v>0</v>
      </c>
      <c r="BW24" s="135">
        <f t="shared" si="112"/>
        <v>0</v>
      </c>
      <c r="BX24" s="135">
        <f t="shared" si="112"/>
        <v>0</v>
      </c>
      <c r="BY24" s="135">
        <f t="shared" si="112"/>
        <v>0</v>
      </c>
      <c r="BZ24" s="135">
        <f t="shared" si="112"/>
        <v>0</v>
      </c>
      <c r="CA24" s="135">
        <f t="shared" si="112"/>
        <v>0</v>
      </c>
      <c r="CB24" s="135">
        <f t="shared" si="112"/>
        <v>0</v>
      </c>
      <c r="CC24" s="135">
        <f t="shared" si="112"/>
        <v>0</v>
      </c>
      <c r="CD24" s="135">
        <f t="shared" si="112"/>
        <v>0</v>
      </c>
      <c r="CE24" s="135">
        <f t="shared" si="112"/>
        <v>0</v>
      </c>
      <c r="CF24" s="135">
        <f t="shared" si="112"/>
        <v>0</v>
      </c>
      <c r="CG24" s="135">
        <f t="shared" si="112"/>
        <v>0</v>
      </c>
      <c r="CH24" s="135">
        <f t="shared" si="112"/>
        <v>0</v>
      </c>
      <c r="CI24" s="135">
        <f t="shared" si="112"/>
        <v>0</v>
      </c>
      <c r="CJ24" s="135">
        <f t="shared" si="112"/>
        <v>0</v>
      </c>
      <c r="CK24" s="135">
        <f t="shared" si="112"/>
        <v>0</v>
      </c>
      <c r="CL24" s="135">
        <f t="shared" si="112"/>
        <v>0</v>
      </c>
      <c r="CM24" s="135">
        <f t="shared" si="112"/>
        <v>0</v>
      </c>
      <c r="CN24" s="135">
        <f t="shared" si="112"/>
        <v>0</v>
      </c>
      <c r="CO24" s="135">
        <f t="shared" si="112"/>
        <v>0</v>
      </c>
      <c r="CP24" s="135">
        <f t="shared" si="112"/>
        <v>0</v>
      </c>
      <c r="CQ24" s="135">
        <f t="shared" si="112"/>
        <v>0</v>
      </c>
      <c r="CR24" s="135">
        <f t="shared" si="112"/>
        <v>0</v>
      </c>
      <c r="CS24" s="135">
        <f t="shared" si="112"/>
        <v>0</v>
      </c>
      <c r="CT24" s="135">
        <f t="shared" si="112"/>
        <v>0</v>
      </c>
      <c r="CU24" s="135">
        <f t="shared" si="112"/>
        <v>0</v>
      </c>
      <c r="CV24" s="135">
        <f t="shared" si="112"/>
        <v>0</v>
      </c>
      <c r="CW24" s="135">
        <f t="shared" si="112"/>
        <v>0</v>
      </c>
      <c r="CX24" s="135">
        <f t="shared" si="112"/>
        <v>0</v>
      </c>
      <c r="CY24" s="135">
        <f t="shared" si="112"/>
        <v>0</v>
      </c>
      <c r="CZ24" s="135">
        <f t="shared" si="112"/>
        <v>0</v>
      </c>
      <c r="DA24" s="135">
        <f t="shared" si="112"/>
        <v>0</v>
      </c>
      <c r="DB24" s="135">
        <f t="shared" si="112"/>
        <v>0</v>
      </c>
      <c r="DC24" s="135">
        <f t="shared" si="112"/>
        <v>0</v>
      </c>
      <c r="DD24" s="135">
        <f t="shared" si="112"/>
        <v>0</v>
      </c>
      <c r="DE24" s="135">
        <f t="shared" si="112"/>
        <v>0</v>
      </c>
      <c r="DF24" s="135">
        <f t="shared" si="112"/>
        <v>0</v>
      </c>
      <c r="DG24" s="135">
        <f t="shared" si="112"/>
        <v>0</v>
      </c>
      <c r="DH24" s="135">
        <f t="shared" si="112"/>
        <v>0</v>
      </c>
      <c r="DI24" s="135">
        <f t="shared" si="112"/>
        <v>0</v>
      </c>
      <c r="DJ24" s="135">
        <f t="shared" si="112"/>
        <v>0</v>
      </c>
      <c r="DK24" s="135">
        <f t="shared" si="112"/>
        <v>0</v>
      </c>
      <c r="DL24" s="135">
        <f t="shared" si="112"/>
        <v>0</v>
      </c>
      <c r="DM24" s="135">
        <f t="shared" si="112"/>
        <v>0</v>
      </c>
      <c r="DN24" s="135">
        <f t="shared" si="112"/>
        <v>0</v>
      </c>
      <c r="DO24" s="135">
        <f t="shared" si="112"/>
        <v>0</v>
      </c>
      <c r="DP24" s="135">
        <f t="shared" si="112"/>
        <v>0</v>
      </c>
      <c r="DQ24" s="135">
        <f t="shared" si="112"/>
        <v>0</v>
      </c>
      <c r="DR24" s="135">
        <f t="shared" si="112"/>
        <v>0</v>
      </c>
      <c r="DS24" s="135">
        <f t="shared" si="112"/>
        <v>0</v>
      </c>
      <c r="DT24" s="135">
        <f t="shared" si="112"/>
        <v>0</v>
      </c>
      <c r="DU24" s="135">
        <f t="shared" si="112"/>
        <v>0</v>
      </c>
      <c r="DV24" s="135">
        <f t="shared" si="112"/>
        <v>0</v>
      </c>
      <c r="DW24" s="135">
        <f t="shared" si="112"/>
        <v>0</v>
      </c>
      <c r="DX24" s="135">
        <f t="shared" si="112"/>
        <v>0</v>
      </c>
      <c r="DY24" s="135">
        <f t="shared" si="112"/>
        <v>0</v>
      </c>
      <c r="DZ24" s="135">
        <f t="shared" si="112"/>
        <v>0</v>
      </c>
      <c r="EA24" s="135">
        <f t="shared" si="112"/>
        <v>0</v>
      </c>
      <c r="EB24" s="135">
        <f t="shared" si="112"/>
        <v>0</v>
      </c>
      <c r="EC24" s="135">
        <f t="shared" si="112"/>
        <v>0</v>
      </c>
      <c r="ED24" s="135">
        <f t="shared" si="112"/>
        <v>0</v>
      </c>
      <c r="EE24" s="135">
        <f t="shared" si="112"/>
        <v>0</v>
      </c>
      <c r="EF24" s="135">
        <f t="shared" si="112"/>
        <v>0</v>
      </c>
      <c r="EG24" s="135">
        <f t="shared" si="112"/>
        <v>0</v>
      </c>
      <c r="EH24" s="135">
        <f t="shared" si="103"/>
        <v>0</v>
      </c>
      <c r="EI24" s="135">
        <f t="shared" si="103"/>
        <v>0</v>
      </c>
      <c r="EJ24" s="135">
        <f t="shared" si="103"/>
        <v>0</v>
      </c>
      <c r="EK24" s="135">
        <f t="shared" si="103"/>
        <v>0</v>
      </c>
      <c r="EL24" s="135">
        <f t="shared" si="103"/>
        <v>0</v>
      </c>
      <c r="EM24" s="135">
        <f t="shared" si="103"/>
        <v>0</v>
      </c>
      <c r="EN24" s="135">
        <f t="shared" si="103"/>
        <v>0</v>
      </c>
      <c r="EO24" s="135">
        <f t="shared" si="103"/>
        <v>0</v>
      </c>
      <c r="EP24" s="135">
        <f t="shared" si="103"/>
        <v>0</v>
      </c>
      <c r="EQ24" s="135">
        <f t="shared" si="103"/>
        <v>0</v>
      </c>
      <c r="ER24" s="135">
        <f t="shared" si="103"/>
        <v>0</v>
      </c>
      <c r="ES24" s="135">
        <f t="shared" si="103"/>
        <v>0</v>
      </c>
      <c r="ET24" s="135">
        <f t="shared" si="103"/>
        <v>0</v>
      </c>
      <c r="EU24" s="135">
        <f t="shared" si="103"/>
        <v>0</v>
      </c>
      <c r="EV24" s="135">
        <f t="shared" si="103"/>
        <v>0</v>
      </c>
      <c r="EW24" s="135">
        <f t="shared" si="103"/>
        <v>0</v>
      </c>
      <c r="EX24" s="135">
        <f t="shared" si="103"/>
        <v>0</v>
      </c>
      <c r="EY24" s="135">
        <f t="shared" si="103"/>
        <v>0</v>
      </c>
      <c r="EZ24" s="135">
        <f t="shared" si="103"/>
        <v>0</v>
      </c>
      <c r="FA24" s="135">
        <f t="shared" si="103"/>
        <v>0</v>
      </c>
      <c r="FB24" s="135">
        <f t="shared" si="103"/>
        <v>0</v>
      </c>
      <c r="FC24" s="135">
        <f t="shared" si="103"/>
        <v>0</v>
      </c>
      <c r="FD24" s="135">
        <f t="shared" si="103"/>
        <v>0</v>
      </c>
      <c r="FE24" s="135">
        <f t="shared" si="103"/>
        <v>0</v>
      </c>
      <c r="FF24" s="135">
        <f t="shared" si="103"/>
        <v>0</v>
      </c>
      <c r="FG24" s="135">
        <f t="shared" si="103"/>
        <v>0</v>
      </c>
      <c r="FH24" s="135">
        <f t="shared" si="103"/>
        <v>0</v>
      </c>
      <c r="FI24" s="135">
        <f t="shared" si="103"/>
        <v>0</v>
      </c>
      <c r="FJ24" s="135">
        <f t="shared" si="103"/>
        <v>0</v>
      </c>
      <c r="FK24" s="135">
        <f t="shared" si="103"/>
        <v>0</v>
      </c>
      <c r="FL24" s="135">
        <f t="shared" si="103"/>
        <v>0</v>
      </c>
      <c r="FM24" s="135">
        <f t="shared" si="103"/>
        <v>0</v>
      </c>
      <c r="FN24" s="135">
        <f t="shared" si="103"/>
        <v>0</v>
      </c>
      <c r="FO24" s="135">
        <f t="shared" si="103"/>
        <v>0</v>
      </c>
      <c r="FP24" s="135">
        <f t="shared" si="103"/>
        <v>0</v>
      </c>
      <c r="FQ24" s="135">
        <f t="shared" si="103"/>
        <v>0</v>
      </c>
      <c r="FR24" s="135">
        <f t="shared" si="103"/>
        <v>0</v>
      </c>
      <c r="FS24" s="135">
        <f t="shared" si="103"/>
        <v>0</v>
      </c>
      <c r="FT24" s="135">
        <f t="shared" si="103"/>
        <v>0</v>
      </c>
      <c r="FU24" s="135">
        <f t="shared" si="103"/>
        <v>0</v>
      </c>
      <c r="FV24" s="135">
        <f t="shared" si="103"/>
        <v>0</v>
      </c>
      <c r="FW24" s="135">
        <f t="shared" si="103"/>
        <v>0</v>
      </c>
      <c r="FX24" s="135">
        <f t="shared" si="103"/>
        <v>0</v>
      </c>
      <c r="FY24" s="135">
        <f t="shared" si="103"/>
        <v>0</v>
      </c>
      <c r="FZ24" s="135">
        <f t="shared" si="103"/>
        <v>0</v>
      </c>
      <c r="GA24" s="135">
        <f t="shared" si="103"/>
        <v>0</v>
      </c>
      <c r="GB24" s="135">
        <f t="shared" si="103"/>
        <v>0</v>
      </c>
      <c r="GC24" s="135">
        <f t="shared" si="103"/>
        <v>0</v>
      </c>
      <c r="GD24" s="135">
        <f t="shared" si="103"/>
        <v>0</v>
      </c>
      <c r="GE24" s="135">
        <f t="shared" si="103"/>
        <v>0</v>
      </c>
      <c r="GF24" s="135">
        <f t="shared" si="103"/>
        <v>0</v>
      </c>
      <c r="GG24" s="135">
        <f t="shared" si="103"/>
        <v>0</v>
      </c>
      <c r="GH24" s="135">
        <f t="shared" si="103"/>
        <v>0</v>
      </c>
      <c r="GI24" s="135">
        <f t="shared" si="103"/>
        <v>0</v>
      </c>
      <c r="GJ24" s="135">
        <f t="shared" si="103"/>
        <v>0</v>
      </c>
      <c r="GK24" s="135">
        <f t="shared" si="103"/>
        <v>0</v>
      </c>
      <c r="GL24" s="135">
        <f t="shared" si="103"/>
        <v>0</v>
      </c>
      <c r="GM24" s="135">
        <f t="shared" si="103"/>
        <v>0</v>
      </c>
      <c r="GN24" s="135">
        <f t="shared" si="103"/>
        <v>0</v>
      </c>
      <c r="GO24" s="135">
        <f t="shared" si="103"/>
        <v>0</v>
      </c>
      <c r="GP24" s="135">
        <f t="shared" si="103"/>
        <v>0</v>
      </c>
      <c r="GQ24" s="135">
        <f t="shared" si="103"/>
        <v>0</v>
      </c>
      <c r="GR24" s="135">
        <f t="shared" si="103"/>
        <v>0</v>
      </c>
      <c r="GS24" s="135">
        <f t="shared" si="103"/>
        <v>0</v>
      </c>
      <c r="GT24" s="135">
        <f t="shared" si="98"/>
        <v>0</v>
      </c>
      <c r="GU24" s="135">
        <f t="shared" si="98"/>
        <v>0</v>
      </c>
      <c r="GV24" s="135">
        <f t="shared" si="98"/>
        <v>0</v>
      </c>
      <c r="GW24" s="135">
        <f t="shared" si="98"/>
        <v>0</v>
      </c>
      <c r="GX24" s="135">
        <f t="shared" si="98"/>
        <v>0</v>
      </c>
      <c r="GY24" s="135">
        <f t="shared" si="98"/>
        <v>0</v>
      </c>
      <c r="GZ24" s="135">
        <f t="shared" si="98"/>
        <v>0</v>
      </c>
      <c r="HA24" s="135">
        <f t="shared" si="98"/>
        <v>0</v>
      </c>
      <c r="HB24" s="135">
        <f t="shared" si="98"/>
        <v>0</v>
      </c>
      <c r="HC24" s="135">
        <f t="shared" si="98"/>
        <v>0</v>
      </c>
      <c r="HD24" s="135">
        <f t="shared" si="98"/>
        <v>0</v>
      </c>
      <c r="HE24" s="135">
        <f t="shared" si="98"/>
        <v>0</v>
      </c>
      <c r="HF24" s="135">
        <f t="shared" si="98"/>
        <v>0</v>
      </c>
      <c r="HG24" s="135">
        <f t="shared" si="98"/>
        <v>0</v>
      </c>
      <c r="HH24" s="135">
        <f t="shared" si="98"/>
        <v>0</v>
      </c>
      <c r="HI24" s="135">
        <f t="shared" si="98"/>
        <v>0</v>
      </c>
      <c r="HJ24" s="135">
        <f t="shared" si="98"/>
        <v>0</v>
      </c>
      <c r="HK24" s="135">
        <f t="shared" si="98"/>
        <v>0</v>
      </c>
      <c r="HL24" s="135">
        <f t="shared" si="98"/>
        <v>0</v>
      </c>
      <c r="HM24" s="135">
        <f t="shared" si="98"/>
        <v>0</v>
      </c>
      <c r="HN24" s="135">
        <f t="shared" si="98"/>
        <v>0</v>
      </c>
      <c r="HO24" s="135">
        <f t="shared" si="98"/>
        <v>0</v>
      </c>
      <c r="HP24" s="135">
        <f t="shared" si="98"/>
        <v>0</v>
      </c>
      <c r="HQ24" s="135">
        <f t="shared" si="98"/>
        <v>0</v>
      </c>
      <c r="HR24" s="135">
        <f t="shared" si="98"/>
        <v>0</v>
      </c>
      <c r="HS24" s="135">
        <f t="shared" si="98"/>
        <v>0</v>
      </c>
      <c r="HT24" s="135">
        <f t="shared" si="98"/>
        <v>0</v>
      </c>
      <c r="HU24" s="135">
        <f t="shared" si="98"/>
        <v>0</v>
      </c>
      <c r="HV24" s="135">
        <f t="shared" si="98"/>
        <v>0</v>
      </c>
      <c r="HW24" s="135">
        <f t="shared" si="98"/>
        <v>0</v>
      </c>
      <c r="HX24" s="135">
        <f t="shared" si="98"/>
        <v>0</v>
      </c>
      <c r="HY24" s="135">
        <f t="shared" si="98"/>
        <v>0</v>
      </c>
      <c r="HZ24" s="135">
        <f t="shared" si="98"/>
        <v>0</v>
      </c>
      <c r="IA24" s="135">
        <f t="shared" si="98"/>
        <v>0</v>
      </c>
      <c r="IB24" s="135">
        <f t="shared" si="98"/>
        <v>0</v>
      </c>
      <c r="IC24" s="135">
        <f t="shared" si="98"/>
        <v>0</v>
      </c>
      <c r="ID24" s="135">
        <f t="shared" si="98"/>
        <v>0</v>
      </c>
      <c r="IE24" s="135">
        <f t="shared" si="98"/>
        <v>0</v>
      </c>
      <c r="IF24" s="135">
        <f t="shared" si="98"/>
        <v>0</v>
      </c>
      <c r="IG24" s="135">
        <f t="shared" si="98"/>
        <v>0</v>
      </c>
      <c r="IH24" s="135">
        <f t="shared" si="98"/>
        <v>0</v>
      </c>
      <c r="II24" s="135">
        <f t="shared" si="98"/>
        <v>0</v>
      </c>
      <c r="IJ24" s="135">
        <f t="shared" si="98"/>
        <v>0</v>
      </c>
      <c r="IK24" s="135">
        <f t="shared" si="98"/>
        <v>0</v>
      </c>
      <c r="IL24" s="135">
        <f t="shared" si="98"/>
        <v>0</v>
      </c>
      <c r="IM24" s="135">
        <f t="shared" si="98"/>
        <v>0</v>
      </c>
      <c r="IN24" s="135">
        <f t="shared" si="98"/>
        <v>0</v>
      </c>
      <c r="IO24" s="135">
        <f t="shared" si="98"/>
        <v>0</v>
      </c>
      <c r="IP24" s="135">
        <f t="shared" si="98"/>
        <v>0</v>
      </c>
      <c r="IQ24" s="135">
        <f t="shared" si="98"/>
        <v>0</v>
      </c>
      <c r="IR24" s="135">
        <f t="shared" si="98"/>
        <v>0</v>
      </c>
      <c r="IS24" s="135">
        <f t="shared" si="98"/>
        <v>0</v>
      </c>
      <c r="IT24" s="135">
        <f t="shared" si="98"/>
        <v>0</v>
      </c>
      <c r="IU24" s="135">
        <f t="shared" si="98"/>
        <v>0</v>
      </c>
      <c r="IV24" s="135">
        <f t="shared" si="98"/>
        <v>0</v>
      </c>
      <c r="IW24" s="135">
        <f t="shared" si="98"/>
        <v>0</v>
      </c>
      <c r="IX24" s="135">
        <f t="shared" si="98"/>
        <v>0</v>
      </c>
      <c r="IY24" s="135">
        <f t="shared" si="98"/>
        <v>0</v>
      </c>
      <c r="IZ24" s="135">
        <f t="shared" si="98"/>
        <v>0</v>
      </c>
      <c r="JA24" s="135">
        <f t="shared" si="98"/>
        <v>0</v>
      </c>
      <c r="JB24" s="135">
        <f t="shared" si="98"/>
        <v>0</v>
      </c>
      <c r="JC24" s="135">
        <f t="shared" si="98"/>
        <v>0</v>
      </c>
      <c r="JD24" s="135">
        <f t="shared" si="98"/>
        <v>0</v>
      </c>
      <c r="JE24" s="135">
        <f t="shared" ref="JE24:LP27" si="115">IFERROR(IF(JE$1=EOMONTH($G24,0),(-$E24+($E24*(DAY($G24)/DAY(EOMONTH(JE$1,0)))*$F24/12*(1-0.269))),IF(JE$1=$G24,($E24+($E24*(DAY($I24)/DAY(EOMONTH(JE$1,0)))*$F24/12*(1-0.269))),IFERROR(IF($I24&lt;JE$1,0,IF(JE$1&gt;$I24,(($F24/12)*$E24)*(DAY($I24)/DAY(EOMONTH(JE$1,0)))*(1-26.9/100)+$E24,IF(AND(JE$1&gt;=$G24,JE$1&lt;$I24),(($F24/12)*$E24)*(1-26.9/100),""))-IF(JE$1=EOMONTH($G24,0),$E24,"0")),0)+IF(JE$1=EOMONTH($I24,0),($E24+($E24*(DAY($I24)/DAY(EOMONTH(JE$1,0)))*$F24/12*(1-0.269))),"0"))),0)</f>
        <v>0</v>
      </c>
      <c r="JF24" s="135">
        <f t="shared" si="115"/>
        <v>0</v>
      </c>
      <c r="JG24" s="135">
        <f t="shared" si="115"/>
        <v>0</v>
      </c>
      <c r="JH24" s="135">
        <f t="shared" si="115"/>
        <v>0</v>
      </c>
      <c r="JI24" s="135">
        <f t="shared" si="115"/>
        <v>0</v>
      </c>
      <c r="JJ24" s="135">
        <f t="shared" si="115"/>
        <v>0</v>
      </c>
      <c r="JK24" s="135">
        <f t="shared" si="115"/>
        <v>0</v>
      </c>
      <c r="JL24" s="135">
        <f t="shared" si="115"/>
        <v>0</v>
      </c>
      <c r="JM24" s="135">
        <f t="shared" si="115"/>
        <v>0</v>
      </c>
      <c r="JN24" s="135">
        <f t="shared" si="115"/>
        <v>0</v>
      </c>
      <c r="JO24" s="135">
        <f t="shared" si="115"/>
        <v>0</v>
      </c>
      <c r="JP24" s="135">
        <f t="shared" si="115"/>
        <v>0</v>
      </c>
      <c r="JQ24" s="135">
        <f t="shared" si="115"/>
        <v>0</v>
      </c>
      <c r="JR24" s="135">
        <f t="shared" si="115"/>
        <v>0</v>
      </c>
      <c r="JS24" s="135">
        <f t="shared" si="115"/>
        <v>0</v>
      </c>
      <c r="JT24" s="135">
        <f t="shared" si="115"/>
        <v>0</v>
      </c>
      <c r="JU24" s="135">
        <f t="shared" si="115"/>
        <v>0</v>
      </c>
      <c r="JV24" s="135">
        <f t="shared" si="115"/>
        <v>0</v>
      </c>
      <c r="JW24" s="135">
        <f t="shared" si="115"/>
        <v>0</v>
      </c>
      <c r="JX24" s="135">
        <f t="shared" si="115"/>
        <v>0</v>
      </c>
      <c r="JY24" s="135">
        <f t="shared" si="115"/>
        <v>0</v>
      </c>
      <c r="JZ24" s="135">
        <f t="shared" si="115"/>
        <v>0</v>
      </c>
      <c r="KA24" s="135">
        <f t="shared" si="115"/>
        <v>0</v>
      </c>
      <c r="KB24" s="135">
        <f t="shared" si="115"/>
        <v>0</v>
      </c>
      <c r="KC24" s="135">
        <f t="shared" si="115"/>
        <v>0</v>
      </c>
      <c r="KD24" s="135">
        <f t="shared" si="115"/>
        <v>0</v>
      </c>
      <c r="KE24" s="135">
        <f t="shared" si="115"/>
        <v>0</v>
      </c>
      <c r="KF24" s="135">
        <f t="shared" si="115"/>
        <v>0</v>
      </c>
      <c r="KG24" s="135">
        <f t="shared" si="115"/>
        <v>0</v>
      </c>
      <c r="KH24" s="135">
        <f t="shared" si="115"/>
        <v>0</v>
      </c>
      <c r="KI24" s="135">
        <f t="shared" si="115"/>
        <v>0</v>
      </c>
      <c r="KJ24" s="135">
        <f t="shared" si="115"/>
        <v>0</v>
      </c>
      <c r="KK24" s="135">
        <f t="shared" si="115"/>
        <v>0</v>
      </c>
      <c r="KL24" s="135">
        <f t="shared" si="115"/>
        <v>0</v>
      </c>
      <c r="KM24" s="135">
        <f t="shared" si="115"/>
        <v>0</v>
      </c>
      <c r="KN24" s="135">
        <f t="shared" si="115"/>
        <v>0</v>
      </c>
      <c r="KO24" s="135">
        <f t="shared" si="115"/>
        <v>0</v>
      </c>
      <c r="KP24" s="135">
        <f t="shared" si="115"/>
        <v>0</v>
      </c>
      <c r="KQ24" s="135">
        <f t="shared" si="115"/>
        <v>0</v>
      </c>
      <c r="KR24" s="135">
        <f t="shared" si="115"/>
        <v>0</v>
      </c>
      <c r="KS24" s="135">
        <f t="shared" si="115"/>
        <v>0</v>
      </c>
      <c r="KT24" s="135">
        <f t="shared" si="115"/>
        <v>0</v>
      </c>
      <c r="KU24" s="135">
        <f t="shared" si="115"/>
        <v>0</v>
      </c>
      <c r="KV24" s="135">
        <f t="shared" si="115"/>
        <v>0</v>
      </c>
      <c r="KW24" s="135">
        <f t="shared" si="115"/>
        <v>0</v>
      </c>
      <c r="KX24" s="135">
        <f t="shared" si="115"/>
        <v>0</v>
      </c>
      <c r="KY24" s="135">
        <f t="shared" si="115"/>
        <v>0</v>
      </c>
      <c r="KZ24" s="135">
        <f t="shared" si="115"/>
        <v>0</v>
      </c>
      <c r="LA24" s="135">
        <f t="shared" si="115"/>
        <v>0</v>
      </c>
      <c r="LB24" s="135">
        <f t="shared" si="115"/>
        <v>0</v>
      </c>
      <c r="LC24" s="135">
        <f t="shared" si="115"/>
        <v>0</v>
      </c>
      <c r="LD24" s="135">
        <f t="shared" si="115"/>
        <v>0</v>
      </c>
      <c r="LE24" s="135">
        <f t="shared" si="115"/>
        <v>0</v>
      </c>
      <c r="LF24" s="135">
        <f t="shared" si="115"/>
        <v>0</v>
      </c>
      <c r="LG24" s="135">
        <f t="shared" si="115"/>
        <v>0</v>
      </c>
      <c r="LH24" s="135">
        <f t="shared" si="115"/>
        <v>0</v>
      </c>
      <c r="LI24" s="135">
        <f t="shared" si="115"/>
        <v>0</v>
      </c>
      <c r="LJ24" s="135">
        <f t="shared" si="115"/>
        <v>0</v>
      </c>
      <c r="LK24" s="135">
        <f t="shared" si="115"/>
        <v>0</v>
      </c>
      <c r="LL24" s="135">
        <f t="shared" si="115"/>
        <v>0</v>
      </c>
      <c r="LM24" s="135">
        <f t="shared" si="115"/>
        <v>0</v>
      </c>
      <c r="LN24" s="135">
        <f t="shared" si="115"/>
        <v>0</v>
      </c>
      <c r="LO24" s="135">
        <f t="shared" si="115"/>
        <v>0</v>
      </c>
      <c r="LP24" s="135">
        <f t="shared" si="115"/>
        <v>0</v>
      </c>
      <c r="LQ24" s="135">
        <f t="shared" ref="LQ24:LU26" si="116">IFERROR(IF(LQ$1=EOMONTH($G24,0),(-$E24+($E24*(DAY($G24)/DAY(EOMONTH(LQ$1,0)))*$F24/12*(1-0.269))),IF(LQ$1=$G24,($E24+($E24*(DAY($I24)/DAY(EOMONTH(LQ$1,0)))*$F24/12*(1-0.269))),IFERROR(IF($I24&lt;LQ$1,0,IF(LQ$1&gt;$I24,(($F24/12)*$E24)*(DAY($I24)/DAY(EOMONTH(LQ$1,0)))*(1-26.9/100)+$E24,IF(AND(LQ$1&gt;=$G24,LQ$1&lt;$I24),(($F24/12)*$E24)*(1-26.9/100),""))-IF(LQ$1=EOMONTH($G24,0),$E24,"0")),0)+IF(LQ$1=EOMONTH($I24,0),($E24+($E24*(DAY($I24)/DAY(EOMONTH(LQ$1,0)))*$F24/12*(1-0.269))),"0"))),0)</f>
        <v>0</v>
      </c>
      <c r="LR24" s="135">
        <f t="shared" si="116"/>
        <v>0</v>
      </c>
      <c r="LS24" s="135">
        <f t="shared" si="116"/>
        <v>0</v>
      </c>
      <c r="LT24" s="135">
        <f t="shared" si="116"/>
        <v>0</v>
      </c>
      <c r="LU24" s="135">
        <f t="shared" si="116"/>
        <v>0</v>
      </c>
      <c r="LV24" s="135">
        <f t="shared" si="99"/>
        <v>0</v>
      </c>
      <c r="LW24" s="135">
        <f t="shared" si="99"/>
        <v>0</v>
      </c>
      <c r="LX24" s="135">
        <f t="shared" si="99"/>
        <v>0</v>
      </c>
      <c r="LY24" s="135">
        <f t="shared" si="99"/>
        <v>0</v>
      </c>
      <c r="LZ24" s="135">
        <f t="shared" si="99"/>
        <v>0</v>
      </c>
      <c r="MA24" s="135">
        <f t="shared" si="99"/>
        <v>0</v>
      </c>
      <c r="MB24" s="135">
        <f t="shared" si="99"/>
        <v>0</v>
      </c>
      <c r="MC24" s="135">
        <f t="shared" si="99"/>
        <v>0</v>
      </c>
      <c r="MD24" s="135">
        <f t="shared" si="99"/>
        <v>0</v>
      </c>
      <c r="ME24" s="135">
        <f t="shared" si="99"/>
        <v>0</v>
      </c>
      <c r="MF24" s="135">
        <f t="shared" si="99"/>
        <v>0</v>
      </c>
      <c r="MG24" s="135">
        <f t="shared" si="99"/>
        <v>0</v>
      </c>
      <c r="MH24" s="135">
        <f t="shared" si="99"/>
        <v>0</v>
      </c>
      <c r="MI24" s="135">
        <f t="shared" si="99"/>
        <v>0</v>
      </c>
      <c r="MJ24" s="135">
        <f t="shared" si="99"/>
        <v>0</v>
      </c>
      <c r="MK24" s="135">
        <f t="shared" si="99"/>
        <v>0</v>
      </c>
      <c r="ML24" s="135">
        <f t="shared" si="99"/>
        <v>0</v>
      </c>
      <c r="MM24" s="135">
        <f t="shared" si="99"/>
        <v>0</v>
      </c>
      <c r="MN24" s="135">
        <f t="shared" si="99"/>
        <v>0</v>
      </c>
      <c r="MO24" s="135">
        <f t="shared" si="99"/>
        <v>0</v>
      </c>
      <c r="MP24" s="135">
        <f t="shared" si="99"/>
        <v>0</v>
      </c>
      <c r="MQ24" s="135">
        <f t="shared" si="99"/>
        <v>0</v>
      </c>
      <c r="MR24" s="135">
        <f t="shared" si="99"/>
        <v>0</v>
      </c>
      <c r="MS24" s="135">
        <f t="shared" si="99"/>
        <v>0</v>
      </c>
      <c r="MT24" s="135">
        <f t="shared" si="99"/>
        <v>0</v>
      </c>
      <c r="MU24" s="135">
        <f t="shared" si="99"/>
        <v>0</v>
      </c>
      <c r="MV24" s="135">
        <f t="shared" si="99"/>
        <v>0</v>
      </c>
      <c r="MW24" s="135">
        <f t="shared" si="99"/>
        <v>0</v>
      </c>
      <c r="MX24" s="135">
        <f t="shared" si="99"/>
        <v>0</v>
      </c>
      <c r="MY24" s="135">
        <f t="shared" si="99"/>
        <v>0</v>
      </c>
      <c r="MZ24" s="135">
        <f t="shared" si="99"/>
        <v>0</v>
      </c>
      <c r="NA24" s="135">
        <f t="shared" si="99"/>
        <v>0</v>
      </c>
      <c r="NB24" s="135">
        <f t="shared" si="99"/>
        <v>0</v>
      </c>
      <c r="NC24" s="135">
        <f t="shared" si="99"/>
        <v>0</v>
      </c>
      <c r="ND24" s="135">
        <f t="shared" si="99"/>
        <v>0</v>
      </c>
      <c r="NE24" s="135">
        <f t="shared" si="99"/>
        <v>0</v>
      </c>
      <c r="NF24" s="135">
        <f t="shared" si="99"/>
        <v>0</v>
      </c>
      <c r="NG24" s="135">
        <f t="shared" si="99"/>
        <v>0</v>
      </c>
      <c r="NH24" s="135">
        <f t="shared" si="99"/>
        <v>0</v>
      </c>
      <c r="NI24" s="135">
        <f t="shared" si="99"/>
        <v>0</v>
      </c>
      <c r="NJ24" s="135">
        <f t="shared" si="99"/>
        <v>0</v>
      </c>
      <c r="NK24" s="135">
        <f t="shared" si="99"/>
        <v>0</v>
      </c>
      <c r="NL24" s="135">
        <f t="shared" si="99"/>
        <v>0</v>
      </c>
      <c r="NM24" s="135">
        <f t="shared" si="99"/>
        <v>0</v>
      </c>
      <c r="NN24" s="135">
        <f t="shared" si="99"/>
        <v>0</v>
      </c>
      <c r="NO24" s="135">
        <f t="shared" si="99"/>
        <v>0</v>
      </c>
      <c r="NP24" s="135">
        <f t="shared" si="99"/>
        <v>0</v>
      </c>
      <c r="NQ24" s="135">
        <f t="shared" si="99"/>
        <v>0</v>
      </c>
      <c r="NR24" s="135">
        <f t="shared" si="99"/>
        <v>0</v>
      </c>
      <c r="NS24" s="135">
        <f t="shared" si="99"/>
        <v>0</v>
      </c>
      <c r="NT24" s="135">
        <f t="shared" si="99"/>
        <v>0</v>
      </c>
      <c r="NU24" s="135">
        <f t="shared" si="99"/>
        <v>0</v>
      </c>
      <c r="NV24" s="135">
        <f t="shared" si="99"/>
        <v>0</v>
      </c>
      <c r="NW24" s="135">
        <f t="shared" si="99"/>
        <v>0</v>
      </c>
      <c r="NX24" s="135">
        <f t="shared" si="99"/>
        <v>0</v>
      </c>
      <c r="NY24" s="135">
        <f t="shared" si="99"/>
        <v>0</v>
      </c>
      <c r="NZ24" s="135">
        <f t="shared" si="99"/>
        <v>0</v>
      </c>
      <c r="OA24" s="135">
        <f t="shared" si="99"/>
        <v>0</v>
      </c>
      <c r="OB24" s="135">
        <f t="shared" si="99"/>
        <v>0</v>
      </c>
      <c r="OC24" s="135">
        <f t="shared" si="99"/>
        <v>0</v>
      </c>
      <c r="OD24" s="135">
        <f t="shared" si="99"/>
        <v>0</v>
      </c>
      <c r="OE24" s="135">
        <f t="shared" si="99"/>
        <v>0</v>
      </c>
      <c r="OF24" s="135">
        <f t="shared" si="99"/>
        <v>0</v>
      </c>
      <c r="OG24" s="135">
        <f t="shared" si="57"/>
        <v>0</v>
      </c>
      <c r="OH24" s="135">
        <f t="shared" si="80"/>
        <v>0</v>
      </c>
      <c r="OI24" s="135">
        <f t="shared" si="80"/>
        <v>0</v>
      </c>
      <c r="OJ24" s="135">
        <f t="shared" si="80"/>
        <v>0</v>
      </c>
      <c r="OK24" s="135">
        <f t="shared" si="80"/>
        <v>0</v>
      </c>
      <c r="OL24" s="135">
        <f t="shared" si="80"/>
        <v>0</v>
      </c>
      <c r="OM24" s="135">
        <f t="shared" si="80"/>
        <v>0</v>
      </c>
      <c r="ON24" s="135">
        <f t="shared" si="80"/>
        <v>0</v>
      </c>
      <c r="OO24" s="135">
        <f t="shared" si="113"/>
        <v>0</v>
      </c>
      <c r="OP24" s="135">
        <f t="shared" si="113"/>
        <v>0</v>
      </c>
      <c r="OQ24" s="135">
        <f t="shared" si="113"/>
        <v>0</v>
      </c>
      <c r="OR24" s="135">
        <f t="shared" si="113"/>
        <v>0</v>
      </c>
      <c r="OS24" s="135">
        <f t="shared" si="113"/>
        <v>0</v>
      </c>
      <c r="OT24" s="135">
        <f t="shared" si="113"/>
        <v>0</v>
      </c>
      <c r="OU24" s="135">
        <f t="shared" si="113"/>
        <v>0</v>
      </c>
      <c r="OV24" s="135">
        <f t="shared" si="113"/>
        <v>0</v>
      </c>
      <c r="OW24" s="135">
        <f t="shared" si="113"/>
        <v>0</v>
      </c>
      <c r="OX24" s="135">
        <f t="shared" si="113"/>
        <v>0</v>
      </c>
      <c r="OY24" s="135">
        <f t="shared" si="113"/>
        <v>0</v>
      </c>
      <c r="OZ24" s="135">
        <f t="shared" si="113"/>
        <v>0</v>
      </c>
      <c r="PA24" s="135">
        <f t="shared" si="113"/>
        <v>0</v>
      </c>
      <c r="PB24" s="135">
        <f t="shared" si="113"/>
        <v>0</v>
      </c>
      <c r="PC24" s="135">
        <f t="shared" si="113"/>
        <v>0</v>
      </c>
      <c r="PD24" s="135">
        <f t="shared" si="113"/>
        <v>0</v>
      </c>
      <c r="PE24" s="135">
        <f t="shared" si="113"/>
        <v>0</v>
      </c>
      <c r="PF24" s="135">
        <f t="shared" si="113"/>
        <v>0</v>
      </c>
      <c r="PG24" s="135">
        <f t="shared" si="113"/>
        <v>0</v>
      </c>
      <c r="PH24" s="135">
        <f t="shared" si="113"/>
        <v>0</v>
      </c>
      <c r="PI24" s="135">
        <f t="shared" si="113"/>
        <v>0</v>
      </c>
      <c r="PJ24" s="135">
        <f t="shared" si="113"/>
        <v>0</v>
      </c>
      <c r="PK24" s="135">
        <f t="shared" si="113"/>
        <v>0</v>
      </c>
      <c r="PL24" s="135">
        <f t="shared" si="113"/>
        <v>0</v>
      </c>
      <c r="PM24" s="135">
        <f t="shared" si="113"/>
        <v>0</v>
      </c>
      <c r="PN24" s="135">
        <f t="shared" si="113"/>
        <v>0</v>
      </c>
      <c r="PO24" s="135">
        <f t="shared" si="113"/>
        <v>0</v>
      </c>
      <c r="PP24" s="135">
        <f t="shared" si="113"/>
        <v>0</v>
      </c>
      <c r="PQ24" s="135">
        <f t="shared" si="113"/>
        <v>0</v>
      </c>
      <c r="PR24" s="135">
        <f t="shared" si="113"/>
        <v>0</v>
      </c>
      <c r="PS24" s="135">
        <f t="shared" si="113"/>
        <v>0</v>
      </c>
      <c r="PT24" s="135">
        <f t="shared" si="113"/>
        <v>0</v>
      </c>
      <c r="PU24" s="135">
        <f t="shared" si="113"/>
        <v>0</v>
      </c>
      <c r="PV24" s="135">
        <f t="shared" si="113"/>
        <v>0</v>
      </c>
      <c r="PW24" s="135">
        <f t="shared" si="113"/>
        <v>0</v>
      </c>
      <c r="PX24" s="135">
        <f t="shared" si="113"/>
        <v>0</v>
      </c>
      <c r="PY24" s="135">
        <f t="shared" si="113"/>
        <v>0</v>
      </c>
      <c r="PZ24" s="135">
        <f t="shared" si="113"/>
        <v>0</v>
      </c>
      <c r="QA24" s="135">
        <f t="shared" si="113"/>
        <v>0</v>
      </c>
      <c r="QB24" s="135">
        <f t="shared" si="113"/>
        <v>0</v>
      </c>
      <c r="QC24" s="135">
        <f t="shared" si="113"/>
        <v>0</v>
      </c>
      <c r="QD24" s="135">
        <f t="shared" si="113"/>
        <v>0</v>
      </c>
      <c r="QE24" s="135">
        <f t="shared" si="113"/>
        <v>0</v>
      </c>
      <c r="QF24" s="135">
        <f t="shared" si="113"/>
        <v>0</v>
      </c>
      <c r="QG24" s="135">
        <f t="shared" si="113"/>
        <v>0</v>
      </c>
      <c r="QH24" s="135">
        <f t="shared" si="113"/>
        <v>0</v>
      </c>
      <c r="QI24" s="135">
        <f t="shared" si="113"/>
        <v>0</v>
      </c>
      <c r="QJ24" s="135">
        <f t="shared" si="113"/>
        <v>0</v>
      </c>
      <c r="QK24" s="135">
        <f t="shared" si="113"/>
        <v>0</v>
      </c>
      <c r="QL24" s="135">
        <f t="shared" si="113"/>
        <v>0</v>
      </c>
      <c r="QM24" s="135">
        <f t="shared" si="113"/>
        <v>0</v>
      </c>
      <c r="QN24" s="135">
        <f t="shared" si="113"/>
        <v>0</v>
      </c>
      <c r="QO24" s="135">
        <f t="shared" si="113"/>
        <v>0</v>
      </c>
      <c r="QP24" s="135">
        <f t="shared" si="113"/>
        <v>0</v>
      </c>
      <c r="QQ24" s="135">
        <f t="shared" si="113"/>
        <v>0</v>
      </c>
      <c r="QR24" s="135">
        <f t="shared" si="113"/>
        <v>0</v>
      </c>
      <c r="QS24" s="135">
        <f t="shared" si="113"/>
        <v>0</v>
      </c>
      <c r="QT24" s="135">
        <f t="shared" si="113"/>
        <v>0</v>
      </c>
      <c r="QU24" s="135">
        <f t="shared" si="113"/>
        <v>0</v>
      </c>
      <c r="QV24" s="135">
        <f t="shared" si="113"/>
        <v>0</v>
      </c>
      <c r="QW24" s="135">
        <f t="shared" si="113"/>
        <v>0</v>
      </c>
      <c r="QX24" s="135">
        <f t="shared" si="113"/>
        <v>0</v>
      </c>
      <c r="QY24" s="135">
        <f t="shared" si="113"/>
        <v>0</v>
      </c>
      <c r="QZ24" s="135">
        <f t="shared" si="113"/>
        <v>0</v>
      </c>
      <c r="RA24" s="135">
        <f t="shared" si="110"/>
        <v>0</v>
      </c>
      <c r="RB24" s="135">
        <f t="shared" si="110"/>
        <v>0</v>
      </c>
      <c r="RC24" s="135">
        <f t="shared" si="110"/>
        <v>0</v>
      </c>
      <c r="RD24" s="135">
        <f t="shared" si="110"/>
        <v>0</v>
      </c>
      <c r="RE24" s="135">
        <f t="shared" si="110"/>
        <v>0</v>
      </c>
      <c r="RF24" s="135">
        <f t="shared" si="110"/>
        <v>0</v>
      </c>
      <c r="RG24" s="135">
        <f t="shared" si="110"/>
        <v>0</v>
      </c>
      <c r="RH24" s="135">
        <f t="shared" si="110"/>
        <v>0</v>
      </c>
      <c r="RI24" s="135">
        <f t="shared" si="110"/>
        <v>0</v>
      </c>
      <c r="RJ24" s="135">
        <f t="shared" si="110"/>
        <v>0</v>
      </c>
      <c r="RK24" s="135">
        <f t="shared" si="110"/>
        <v>0</v>
      </c>
      <c r="RL24" s="135">
        <f t="shared" si="110"/>
        <v>0</v>
      </c>
      <c r="RM24" s="135">
        <f t="shared" si="110"/>
        <v>0</v>
      </c>
      <c r="RN24" s="135">
        <f t="shared" si="110"/>
        <v>0</v>
      </c>
      <c r="RO24" s="135">
        <f t="shared" si="110"/>
        <v>0</v>
      </c>
      <c r="RP24" s="135">
        <f t="shared" si="110"/>
        <v>0</v>
      </c>
      <c r="RQ24" s="135">
        <f t="shared" si="110"/>
        <v>0</v>
      </c>
      <c r="RR24" s="135">
        <f t="shared" si="110"/>
        <v>0</v>
      </c>
      <c r="RS24" s="135">
        <f t="shared" si="110"/>
        <v>0</v>
      </c>
      <c r="RT24" s="135">
        <f t="shared" si="110"/>
        <v>0</v>
      </c>
      <c r="RU24" s="135">
        <f t="shared" si="110"/>
        <v>0</v>
      </c>
      <c r="RV24" s="135">
        <f t="shared" si="110"/>
        <v>0</v>
      </c>
      <c r="RW24" s="135">
        <f t="shared" si="110"/>
        <v>0</v>
      </c>
      <c r="RX24" s="135">
        <f t="shared" si="110"/>
        <v>0</v>
      </c>
      <c r="RY24" s="135">
        <f t="shared" si="110"/>
        <v>0</v>
      </c>
      <c r="RZ24" s="135">
        <f t="shared" si="110"/>
        <v>0</v>
      </c>
      <c r="SA24" s="135">
        <f t="shared" si="110"/>
        <v>0</v>
      </c>
      <c r="SB24" s="135">
        <f t="shared" si="110"/>
        <v>0</v>
      </c>
      <c r="SC24" s="135">
        <f t="shared" si="110"/>
        <v>0</v>
      </c>
      <c r="SD24" s="135">
        <f t="shared" si="110"/>
        <v>0</v>
      </c>
      <c r="SE24" s="135">
        <f t="shared" si="110"/>
        <v>0</v>
      </c>
      <c r="SF24" s="135">
        <f t="shared" si="110"/>
        <v>0</v>
      </c>
      <c r="SG24" s="135">
        <f t="shared" si="110"/>
        <v>0</v>
      </c>
      <c r="SH24" s="135">
        <f t="shared" si="110"/>
        <v>0</v>
      </c>
      <c r="SI24" s="135">
        <f t="shared" si="110"/>
        <v>0</v>
      </c>
      <c r="SJ24" s="135">
        <f t="shared" si="110"/>
        <v>0</v>
      </c>
      <c r="SK24" s="135">
        <f t="shared" si="110"/>
        <v>0</v>
      </c>
      <c r="SL24" s="135">
        <f t="shared" si="110"/>
        <v>0</v>
      </c>
      <c r="SM24" s="135">
        <f t="shared" si="110"/>
        <v>0</v>
      </c>
      <c r="SN24" s="135">
        <f t="shared" si="110"/>
        <v>0</v>
      </c>
      <c r="SO24" s="135">
        <f t="shared" si="110"/>
        <v>0</v>
      </c>
      <c r="SP24" s="135">
        <f t="shared" si="110"/>
        <v>0</v>
      </c>
      <c r="SQ24" s="135">
        <f t="shared" si="110"/>
        <v>0</v>
      </c>
      <c r="SR24" s="135">
        <f t="shared" si="110"/>
        <v>0</v>
      </c>
      <c r="SS24" s="135">
        <f t="shared" si="110"/>
        <v>0</v>
      </c>
      <c r="ST24" s="135">
        <f t="shared" si="110"/>
        <v>0</v>
      </c>
      <c r="SU24" s="135">
        <f t="shared" si="110"/>
        <v>0</v>
      </c>
      <c r="SV24" s="135">
        <f t="shared" si="110"/>
        <v>0</v>
      </c>
      <c r="SW24" s="135">
        <f t="shared" si="110"/>
        <v>0</v>
      </c>
      <c r="SX24" s="135">
        <f t="shared" si="110"/>
        <v>0</v>
      </c>
      <c r="SY24" s="135">
        <f t="shared" si="110"/>
        <v>0</v>
      </c>
      <c r="SZ24" s="135">
        <f t="shared" si="110"/>
        <v>0</v>
      </c>
      <c r="TA24" s="135">
        <f t="shared" si="110"/>
        <v>0</v>
      </c>
      <c r="TB24" s="135">
        <f t="shared" si="110"/>
        <v>0</v>
      </c>
      <c r="TC24" s="135">
        <f t="shared" si="110"/>
        <v>0</v>
      </c>
      <c r="TD24" s="135">
        <f t="shared" si="110"/>
        <v>0</v>
      </c>
      <c r="TE24" s="135">
        <f t="shared" si="110"/>
        <v>0</v>
      </c>
      <c r="TF24" s="135">
        <f t="shared" si="110"/>
        <v>0</v>
      </c>
      <c r="TG24" s="135">
        <f t="shared" si="110"/>
        <v>0</v>
      </c>
      <c r="TH24" s="135">
        <f t="shared" si="110"/>
        <v>0</v>
      </c>
      <c r="TI24" s="135">
        <f t="shared" si="110"/>
        <v>0</v>
      </c>
      <c r="TJ24" s="135">
        <f t="shared" si="110"/>
        <v>0</v>
      </c>
      <c r="TK24" s="135">
        <f t="shared" si="110"/>
        <v>0</v>
      </c>
      <c r="TL24" s="135">
        <f t="shared" si="111"/>
        <v>0</v>
      </c>
      <c r="TM24" s="135">
        <f t="shared" si="101"/>
        <v>0</v>
      </c>
      <c r="TN24" s="135">
        <f t="shared" si="101"/>
        <v>0</v>
      </c>
      <c r="TO24" s="135">
        <f t="shared" si="101"/>
        <v>0</v>
      </c>
      <c r="TP24" s="135">
        <f t="shared" si="101"/>
        <v>0</v>
      </c>
      <c r="TQ24" s="135">
        <f t="shared" si="101"/>
        <v>0</v>
      </c>
      <c r="TR24" s="135">
        <f t="shared" si="101"/>
        <v>0</v>
      </c>
      <c r="TS24" s="135">
        <f t="shared" si="101"/>
        <v>0</v>
      </c>
      <c r="TT24" s="135">
        <f t="shared" si="101"/>
        <v>0</v>
      </c>
      <c r="TU24" s="135">
        <f t="shared" si="101"/>
        <v>0</v>
      </c>
      <c r="TV24" s="135">
        <f t="shared" si="101"/>
        <v>0</v>
      </c>
      <c r="TW24" s="135">
        <f t="shared" si="102"/>
        <v>0</v>
      </c>
      <c r="TX24" s="135">
        <f t="shared" si="102"/>
        <v>0</v>
      </c>
      <c r="TY24" s="135">
        <f t="shared" si="102"/>
        <v>0</v>
      </c>
      <c r="TZ24" s="135">
        <f t="shared" si="102"/>
        <v>0</v>
      </c>
      <c r="UA24" s="135">
        <f t="shared" si="102"/>
        <v>0</v>
      </c>
      <c r="UB24" s="135">
        <f t="shared" si="102"/>
        <v>0</v>
      </c>
      <c r="UC24" s="135">
        <f t="shared" si="102"/>
        <v>0</v>
      </c>
      <c r="UD24" s="135">
        <f t="shared" si="102"/>
        <v>0</v>
      </c>
      <c r="UE24" s="135">
        <f t="shared" si="102"/>
        <v>0</v>
      </c>
      <c r="UF24" s="135">
        <f t="shared" si="102"/>
        <v>0</v>
      </c>
      <c r="UG24" s="135">
        <f t="shared" si="102"/>
        <v>0</v>
      </c>
      <c r="UH24" s="135">
        <f t="shared" si="102"/>
        <v>0</v>
      </c>
      <c r="UI24" s="135">
        <f t="shared" si="102"/>
        <v>0</v>
      </c>
      <c r="UJ24" s="135">
        <f t="shared" si="102"/>
        <v>0</v>
      </c>
      <c r="UK24" s="135">
        <f t="shared" si="102"/>
        <v>0</v>
      </c>
    </row>
    <row r="25" spans="2:557">
      <c r="B25" t="str">
        <f>IF(Samenvatting!$F126&lt;&gt;0,Samenvatting!C126,"")</f>
        <v/>
      </c>
      <c r="C25" t="str">
        <f>IF(Samenvatting!$F126&lt;&gt;0,Samenvatting!D126,"")</f>
        <v/>
      </c>
      <c r="D25" t="str">
        <f>IF(Samenvatting!$F126&lt;&gt;0,Samenvatting!E126,"")</f>
        <v/>
      </c>
      <c r="E25" t="str">
        <f>IF(Samenvatting!$F126&lt;&gt;0,Samenvatting!F126,"")</f>
        <v/>
      </c>
      <c r="F25" t="str">
        <f>IF(Samenvatting!$F126&lt;&gt;0,Samenvatting!H126,"")</f>
        <v/>
      </c>
      <c r="G25" s="134" t="str">
        <f>IF(Samenvatting!$F126&lt;&gt;0,Samenvatting!I126,"")</f>
        <v/>
      </c>
      <c r="H25" t="str">
        <f>IF(Samenvatting!$F126&lt;&gt;0,Samenvatting!J126,"")</f>
        <v/>
      </c>
      <c r="I25" s="134" t="str">
        <f>IF(Samenvatting!$F126&lt;&gt;0,Samenvatting!K126,"")</f>
        <v/>
      </c>
      <c r="J25" s="135">
        <f t="shared" si="0"/>
        <v>0</v>
      </c>
      <c r="K25" s="135">
        <f t="shared" si="114"/>
        <v>0</v>
      </c>
      <c r="L25" s="135">
        <f t="shared" si="114"/>
        <v>0</v>
      </c>
      <c r="M25" s="135">
        <f t="shared" si="114"/>
        <v>0</v>
      </c>
      <c r="N25" s="135">
        <f t="shared" si="114"/>
        <v>0</v>
      </c>
      <c r="O25" s="135">
        <f t="shared" si="114"/>
        <v>0</v>
      </c>
      <c r="P25" s="135">
        <f t="shared" si="114"/>
        <v>0</v>
      </c>
      <c r="Q25" s="135">
        <f t="shared" si="114"/>
        <v>0</v>
      </c>
      <c r="R25" s="135">
        <f t="shared" si="114"/>
        <v>0</v>
      </c>
      <c r="S25" s="135">
        <f t="shared" si="114"/>
        <v>0</v>
      </c>
      <c r="T25" s="135">
        <f t="shared" si="114"/>
        <v>0</v>
      </c>
      <c r="U25" s="135">
        <f t="shared" si="114"/>
        <v>0</v>
      </c>
      <c r="V25" s="135">
        <f t="shared" si="114"/>
        <v>0</v>
      </c>
      <c r="W25" s="135">
        <f t="shared" si="114"/>
        <v>0</v>
      </c>
      <c r="X25" s="135">
        <f t="shared" si="114"/>
        <v>0</v>
      </c>
      <c r="Y25" s="135">
        <f t="shared" si="114"/>
        <v>0</v>
      </c>
      <c r="Z25" s="135">
        <f t="shared" si="114"/>
        <v>0</v>
      </c>
      <c r="AA25" s="135">
        <f t="shared" si="114"/>
        <v>0</v>
      </c>
      <c r="AB25" s="135">
        <f t="shared" si="114"/>
        <v>0</v>
      </c>
      <c r="AC25" s="135">
        <f t="shared" si="114"/>
        <v>0</v>
      </c>
      <c r="AD25" s="135">
        <f t="shared" si="114"/>
        <v>0</v>
      </c>
      <c r="AE25" s="135">
        <f t="shared" si="114"/>
        <v>0</v>
      </c>
      <c r="AF25" s="135">
        <f t="shared" si="114"/>
        <v>0</v>
      </c>
      <c r="AG25" s="135">
        <f t="shared" si="114"/>
        <v>0</v>
      </c>
      <c r="AH25" s="135">
        <f t="shared" si="114"/>
        <v>0</v>
      </c>
      <c r="AI25" s="135">
        <f t="shared" si="114"/>
        <v>0</v>
      </c>
      <c r="AJ25" s="135">
        <f t="shared" si="114"/>
        <v>0</v>
      </c>
      <c r="AK25" s="135">
        <f t="shared" si="114"/>
        <v>0</v>
      </c>
      <c r="AL25" s="135">
        <f t="shared" si="114"/>
        <v>0</v>
      </c>
      <c r="AM25" s="135">
        <f t="shared" si="114"/>
        <v>0</v>
      </c>
      <c r="AN25" s="135">
        <f t="shared" si="114"/>
        <v>0</v>
      </c>
      <c r="AO25" s="135">
        <f t="shared" si="114"/>
        <v>0</v>
      </c>
      <c r="AP25" s="135">
        <f t="shared" si="114"/>
        <v>0</v>
      </c>
      <c r="AQ25" s="135">
        <f t="shared" si="114"/>
        <v>0</v>
      </c>
      <c r="AR25" s="135">
        <f t="shared" si="114"/>
        <v>0</v>
      </c>
      <c r="AS25" s="135">
        <f t="shared" si="114"/>
        <v>0</v>
      </c>
      <c r="AT25" s="135">
        <f t="shared" si="114"/>
        <v>0</v>
      </c>
      <c r="AU25" s="135">
        <f t="shared" si="114"/>
        <v>0</v>
      </c>
      <c r="AV25" s="135">
        <f t="shared" si="114"/>
        <v>0</v>
      </c>
      <c r="AW25" s="135">
        <f t="shared" si="114"/>
        <v>0</v>
      </c>
      <c r="AX25" s="135">
        <f t="shared" si="114"/>
        <v>0</v>
      </c>
      <c r="AY25" s="135">
        <f t="shared" si="114"/>
        <v>0</v>
      </c>
      <c r="AZ25" s="135">
        <f t="shared" si="114"/>
        <v>0</v>
      </c>
      <c r="BA25" s="135">
        <f t="shared" si="114"/>
        <v>0</v>
      </c>
      <c r="BB25" s="135">
        <f t="shared" si="114"/>
        <v>0</v>
      </c>
      <c r="BC25" s="135">
        <f t="shared" si="114"/>
        <v>0</v>
      </c>
      <c r="BD25" s="135">
        <f t="shared" si="114"/>
        <v>0</v>
      </c>
      <c r="BE25" s="135">
        <f t="shared" si="114"/>
        <v>0</v>
      </c>
      <c r="BF25" s="135">
        <f t="shared" si="114"/>
        <v>0</v>
      </c>
      <c r="BG25" s="135">
        <f t="shared" si="114"/>
        <v>0</v>
      </c>
      <c r="BH25" s="135">
        <f t="shared" si="114"/>
        <v>0</v>
      </c>
      <c r="BI25" s="135">
        <f t="shared" si="114"/>
        <v>0</v>
      </c>
      <c r="BJ25" s="135">
        <f t="shared" si="114"/>
        <v>0</v>
      </c>
      <c r="BK25" s="135">
        <f t="shared" si="114"/>
        <v>0</v>
      </c>
      <c r="BL25" s="135">
        <f t="shared" si="114"/>
        <v>0</v>
      </c>
      <c r="BM25" s="135">
        <f t="shared" si="114"/>
        <v>0</v>
      </c>
      <c r="BN25" s="135">
        <f t="shared" si="114"/>
        <v>0</v>
      </c>
      <c r="BO25" s="135">
        <f t="shared" si="114"/>
        <v>0</v>
      </c>
      <c r="BP25" s="135">
        <f t="shared" si="114"/>
        <v>0</v>
      </c>
      <c r="BQ25" s="135">
        <f t="shared" si="114"/>
        <v>0</v>
      </c>
      <c r="BR25" s="135">
        <f t="shared" si="114"/>
        <v>0</v>
      </c>
      <c r="BS25" s="135">
        <f t="shared" si="114"/>
        <v>0</v>
      </c>
      <c r="BT25" s="135">
        <f t="shared" si="114"/>
        <v>0</v>
      </c>
      <c r="BU25" s="135">
        <f t="shared" si="114"/>
        <v>0</v>
      </c>
      <c r="BV25" s="135">
        <f t="shared" si="114"/>
        <v>0</v>
      </c>
      <c r="BW25" s="135">
        <f t="shared" si="112"/>
        <v>0</v>
      </c>
      <c r="BX25" s="135">
        <f t="shared" si="112"/>
        <v>0</v>
      </c>
      <c r="BY25" s="135">
        <f t="shared" si="112"/>
        <v>0</v>
      </c>
      <c r="BZ25" s="135">
        <f t="shared" si="112"/>
        <v>0</v>
      </c>
      <c r="CA25" s="135">
        <f t="shared" si="112"/>
        <v>0</v>
      </c>
      <c r="CB25" s="135">
        <f t="shared" si="112"/>
        <v>0</v>
      </c>
      <c r="CC25" s="135">
        <f t="shared" si="112"/>
        <v>0</v>
      </c>
      <c r="CD25" s="135">
        <f t="shared" si="112"/>
        <v>0</v>
      </c>
      <c r="CE25" s="135">
        <f t="shared" si="112"/>
        <v>0</v>
      </c>
      <c r="CF25" s="135">
        <f t="shared" si="112"/>
        <v>0</v>
      </c>
      <c r="CG25" s="135">
        <f t="shared" si="112"/>
        <v>0</v>
      </c>
      <c r="CH25" s="135">
        <f t="shared" si="112"/>
        <v>0</v>
      </c>
      <c r="CI25" s="135">
        <f t="shared" si="112"/>
        <v>0</v>
      </c>
      <c r="CJ25" s="135">
        <f t="shared" si="112"/>
        <v>0</v>
      </c>
      <c r="CK25" s="135">
        <f t="shared" si="112"/>
        <v>0</v>
      </c>
      <c r="CL25" s="135">
        <f t="shared" si="112"/>
        <v>0</v>
      </c>
      <c r="CM25" s="135">
        <f t="shared" si="112"/>
        <v>0</v>
      </c>
      <c r="CN25" s="135">
        <f t="shared" si="112"/>
        <v>0</v>
      </c>
      <c r="CO25" s="135">
        <f t="shared" si="112"/>
        <v>0</v>
      </c>
      <c r="CP25" s="135">
        <f t="shared" si="112"/>
        <v>0</v>
      </c>
      <c r="CQ25" s="135">
        <f t="shared" si="112"/>
        <v>0</v>
      </c>
      <c r="CR25" s="135">
        <f t="shared" si="112"/>
        <v>0</v>
      </c>
      <c r="CS25" s="135">
        <f t="shared" si="112"/>
        <v>0</v>
      </c>
      <c r="CT25" s="135">
        <f t="shared" si="112"/>
        <v>0</v>
      </c>
      <c r="CU25" s="135">
        <f t="shared" si="112"/>
        <v>0</v>
      </c>
      <c r="CV25" s="135">
        <f t="shared" si="112"/>
        <v>0</v>
      </c>
      <c r="CW25" s="135">
        <f t="shared" si="112"/>
        <v>0</v>
      </c>
      <c r="CX25" s="135">
        <f t="shared" si="112"/>
        <v>0</v>
      </c>
      <c r="CY25" s="135">
        <f t="shared" si="112"/>
        <v>0</v>
      </c>
      <c r="CZ25" s="135">
        <f t="shared" si="112"/>
        <v>0</v>
      </c>
      <c r="DA25" s="135">
        <f t="shared" si="112"/>
        <v>0</v>
      </c>
      <c r="DB25" s="135">
        <f t="shared" si="112"/>
        <v>0</v>
      </c>
      <c r="DC25" s="135">
        <f t="shared" si="112"/>
        <v>0</v>
      </c>
      <c r="DD25" s="135">
        <f t="shared" si="112"/>
        <v>0</v>
      </c>
      <c r="DE25" s="135">
        <f t="shared" si="112"/>
        <v>0</v>
      </c>
      <c r="DF25" s="135">
        <f t="shared" si="112"/>
        <v>0</v>
      </c>
      <c r="DG25" s="135">
        <f t="shared" si="112"/>
        <v>0</v>
      </c>
      <c r="DH25" s="135">
        <f t="shared" si="112"/>
        <v>0</v>
      </c>
      <c r="DI25" s="135">
        <f t="shared" si="112"/>
        <v>0</v>
      </c>
      <c r="DJ25" s="135">
        <f t="shared" si="112"/>
        <v>0</v>
      </c>
      <c r="DK25" s="135">
        <f t="shared" si="112"/>
        <v>0</v>
      </c>
      <c r="DL25" s="135">
        <f t="shared" si="112"/>
        <v>0</v>
      </c>
      <c r="DM25" s="135">
        <f t="shared" si="112"/>
        <v>0</v>
      </c>
      <c r="DN25" s="135">
        <f t="shared" si="112"/>
        <v>0</v>
      </c>
      <c r="DO25" s="135">
        <f t="shared" si="112"/>
        <v>0</v>
      </c>
      <c r="DP25" s="135">
        <f t="shared" si="112"/>
        <v>0</v>
      </c>
      <c r="DQ25" s="135">
        <f t="shared" si="112"/>
        <v>0</v>
      </c>
      <c r="DR25" s="135">
        <f t="shared" si="112"/>
        <v>0</v>
      </c>
      <c r="DS25" s="135">
        <f t="shared" si="112"/>
        <v>0</v>
      </c>
      <c r="DT25" s="135">
        <f t="shared" si="112"/>
        <v>0</v>
      </c>
      <c r="DU25" s="135">
        <f t="shared" si="112"/>
        <v>0</v>
      </c>
      <c r="DV25" s="135">
        <f t="shared" si="112"/>
        <v>0</v>
      </c>
      <c r="DW25" s="135">
        <f t="shared" si="112"/>
        <v>0</v>
      </c>
      <c r="DX25" s="135">
        <f t="shared" si="112"/>
        <v>0</v>
      </c>
      <c r="DY25" s="135">
        <f t="shared" si="112"/>
        <v>0</v>
      </c>
      <c r="DZ25" s="135">
        <f t="shared" si="112"/>
        <v>0</v>
      </c>
      <c r="EA25" s="135">
        <f t="shared" si="112"/>
        <v>0</v>
      </c>
      <c r="EB25" s="135">
        <f t="shared" si="112"/>
        <v>0</v>
      </c>
      <c r="EC25" s="135">
        <f t="shared" si="112"/>
        <v>0</v>
      </c>
      <c r="ED25" s="135">
        <f t="shared" si="112"/>
        <v>0</v>
      </c>
      <c r="EE25" s="135">
        <f t="shared" si="112"/>
        <v>0</v>
      </c>
      <c r="EF25" s="135">
        <f t="shared" si="112"/>
        <v>0</v>
      </c>
      <c r="EG25" s="135">
        <f t="shared" si="112"/>
        <v>0</v>
      </c>
      <c r="EH25" s="135">
        <f t="shared" si="103"/>
        <v>0</v>
      </c>
      <c r="EI25" s="135">
        <f t="shared" si="103"/>
        <v>0</v>
      </c>
      <c r="EJ25" s="135">
        <f t="shared" si="103"/>
        <v>0</v>
      </c>
      <c r="EK25" s="135">
        <f t="shared" si="103"/>
        <v>0</v>
      </c>
      <c r="EL25" s="135">
        <f t="shared" si="103"/>
        <v>0</v>
      </c>
      <c r="EM25" s="135">
        <f t="shared" si="103"/>
        <v>0</v>
      </c>
      <c r="EN25" s="135">
        <f t="shared" si="103"/>
        <v>0</v>
      </c>
      <c r="EO25" s="135">
        <f t="shared" si="103"/>
        <v>0</v>
      </c>
      <c r="EP25" s="135">
        <f t="shared" si="103"/>
        <v>0</v>
      </c>
      <c r="EQ25" s="135">
        <f t="shared" si="103"/>
        <v>0</v>
      </c>
      <c r="ER25" s="135">
        <f t="shared" si="103"/>
        <v>0</v>
      </c>
      <c r="ES25" s="135">
        <f t="shared" si="103"/>
        <v>0</v>
      </c>
      <c r="ET25" s="135">
        <f t="shared" si="103"/>
        <v>0</v>
      </c>
      <c r="EU25" s="135">
        <f t="shared" si="103"/>
        <v>0</v>
      </c>
      <c r="EV25" s="135">
        <f t="shared" si="103"/>
        <v>0</v>
      </c>
      <c r="EW25" s="135">
        <f t="shared" si="103"/>
        <v>0</v>
      </c>
      <c r="EX25" s="135">
        <f t="shared" si="103"/>
        <v>0</v>
      </c>
      <c r="EY25" s="135">
        <f t="shared" si="103"/>
        <v>0</v>
      </c>
      <c r="EZ25" s="135">
        <f t="shared" si="103"/>
        <v>0</v>
      </c>
      <c r="FA25" s="135">
        <f t="shared" si="103"/>
        <v>0</v>
      </c>
      <c r="FB25" s="135">
        <f t="shared" si="103"/>
        <v>0</v>
      </c>
      <c r="FC25" s="135">
        <f t="shared" si="103"/>
        <v>0</v>
      </c>
      <c r="FD25" s="135">
        <f t="shared" si="103"/>
        <v>0</v>
      </c>
      <c r="FE25" s="135">
        <f t="shared" si="103"/>
        <v>0</v>
      </c>
      <c r="FF25" s="135">
        <f t="shared" si="103"/>
        <v>0</v>
      </c>
      <c r="FG25" s="135">
        <f t="shared" si="103"/>
        <v>0</v>
      </c>
      <c r="FH25" s="135">
        <f t="shared" si="103"/>
        <v>0</v>
      </c>
      <c r="FI25" s="135">
        <f t="shared" si="103"/>
        <v>0</v>
      </c>
      <c r="FJ25" s="135">
        <f t="shared" si="103"/>
        <v>0</v>
      </c>
      <c r="FK25" s="135">
        <f t="shared" si="103"/>
        <v>0</v>
      </c>
      <c r="FL25" s="135">
        <f t="shared" si="103"/>
        <v>0</v>
      </c>
      <c r="FM25" s="135">
        <f t="shared" si="103"/>
        <v>0</v>
      </c>
      <c r="FN25" s="135">
        <f t="shared" si="103"/>
        <v>0</v>
      </c>
      <c r="FO25" s="135">
        <f t="shared" si="103"/>
        <v>0</v>
      </c>
      <c r="FP25" s="135">
        <f t="shared" si="103"/>
        <v>0</v>
      </c>
      <c r="FQ25" s="135">
        <f t="shared" si="103"/>
        <v>0</v>
      </c>
      <c r="FR25" s="135">
        <f t="shared" si="103"/>
        <v>0</v>
      </c>
      <c r="FS25" s="135">
        <f t="shared" si="103"/>
        <v>0</v>
      </c>
      <c r="FT25" s="135">
        <f t="shared" si="103"/>
        <v>0</v>
      </c>
      <c r="FU25" s="135">
        <f t="shared" si="103"/>
        <v>0</v>
      </c>
      <c r="FV25" s="135">
        <f t="shared" si="103"/>
        <v>0</v>
      </c>
      <c r="FW25" s="135">
        <f t="shared" si="103"/>
        <v>0</v>
      </c>
      <c r="FX25" s="135">
        <f t="shared" si="103"/>
        <v>0</v>
      </c>
      <c r="FY25" s="135">
        <f t="shared" si="103"/>
        <v>0</v>
      </c>
      <c r="FZ25" s="135">
        <f t="shared" si="103"/>
        <v>0</v>
      </c>
      <c r="GA25" s="135">
        <f t="shared" si="103"/>
        <v>0</v>
      </c>
      <c r="GB25" s="135">
        <f t="shared" si="103"/>
        <v>0</v>
      </c>
      <c r="GC25" s="135">
        <f t="shared" si="103"/>
        <v>0</v>
      </c>
      <c r="GD25" s="135">
        <f t="shared" si="103"/>
        <v>0</v>
      </c>
      <c r="GE25" s="135">
        <f t="shared" si="103"/>
        <v>0</v>
      </c>
      <c r="GF25" s="135">
        <f t="shared" si="103"/>
        <v>0</v>
      </c>
      <c r="GG25" s="135">
        <f t="shared" si="103"/>
        <v>0</v>
      </c>
      <c r="GH25" s="135">
        <f t="shared" si="103"/>
        <v>0</v>
      </c>
      <c r="GI25" s="135">
        <f t="shared" si="103"/>
        <v>0</v>
      </c>
      <c r="GJ25" s="135">
        <f t="shared" si="103"/>
        <v>0</v>
      </c>
      <c r="GK25" s="135">
        <f t="shared" si="103"/>
        <v>0</v>
      </c>
      <c r="GL25" s="135">
        <f t="shared" si="103"/>
        <v>0</v>
      </c>
      <c r="GM25" s="135">
        <f t="shared" si="103"/>
        <v>0</v>
      </c>
      <c r="GN25" s="135">
        <f t="shared" si="103"/>
        <v>0</v>
      </c>
      <c r="GO25" s="135">
        <f t="shared" si="103"/>
        <v>0</v>
      </c>
      <c r="GP25" s="135">
        <f t="shared" si="103"/>
        <v>0</v>
      </c>
      <c r="GQ25" s="135">
        <f t="shared" si="103"/>
        <v>0</v>
      </c>
      <c r="GR25" s="135">
        <f t="shared" si="103"/>
        <v>0</v>
      </c>
      <c r="GS25" s="135">
        <f t="shared" ref="GS25:JD28" si="117">IFERROR(IF(GS$1=EOMONTH($G25,0),(-$E25+($E25*(DAY($G25)/DAY(EOMONTH(GS$1,0)))*$F25/12*(1-0.269))),IF(GS$1=$G25,($E25+($E25*(DAY($I25)/DAY(EOMONTH(GS$1,0)))*$F25/12*(1-0.269))),IFERROR(IF($I25&lt;GS$1,0,IF(GS$1&gt;$I25,(($F25/12)*$E25)*(DAY($I25)/DAY(EOMONTH(GS$1,0)))*(1-26.9/100)+$E25,IF(AND(GS$1&gt;=$G25,GS$1&lt;$I25),(($F25/12)*$E25)*(1-26.9/100),""))-IF(GS$1=EOMONTH($G25,0),$E25,"0")),0)+IF(GS$1=EOMONTH($I25,0),($E25+($E25*(DAY($I25)/DAY(EOMONTH(GS$1,0)))*$F25/12*(1-0.269))),"0"))),0)</f>
        <v>0</v>
      </c>
      <c r="GT25" s="135">
        <f t="shared" si="117"/>
        <v>0</v>
      </c>
      <c r="GU25" s="135">
        <f t="shared" si="117"/>
        <v>0</v>
      </c>
      <c r="GV25" s="135">
        <f t="shared" si="117"/>
        <v>0</v>
      </c>
      <c r="GW25" s="135">
        <f t="shared" si="117"/>
        <v>0</v>
      </c>
      <c r="GX25" s="135">
        <f t="shared" si="117"/>
        <v>0</v>
      </c>
      <c r="GY25" s="135">
        <f t="shared" si="117"/>
        <v>0</v>
      </c>
      <c r="GZ25" s="135">
        <f t="shared" si="117"/>
        <v>0</v>
      </c>
      <c r="HA25" s="135">
        <f t="shared" si="117"/>
        <v>0</v>
      </c>
      <c r="HB25" s="135">
        <f t="shared" si="117"/>
        <v>0</v>
      </c>
      <c r="HC25" s="135">
        <f t="shared" si="117"/>
        <v>0</v>
      </c>
      <c r="HD25" s="135">
        <f t="shared" si="117"/>
        <v>0</v>
      </c>
      <c r="HE25" s="135">
        <f t="shared" si="117"/>
        <v>0</v>
      </c>
      <c r="HF25" s="135">
        <f t="shared" si="117"/>
        <v>0</v>
      </c>
      <c r="HG25" s="135">
        <f t="shared" si="117"/>
        <v>0</v>
      </c>
      <c r="HH25" s="135">
        <f t="shared" si="117"/>
        <v>0</v>
      </c>
      <c r="HI25" s="135">
        <f t="shared" si="117"/>
        <v>0</v>
      </c>
      <c r="HJ25" s="135">
        <f t="shared" si="117"/>
        <v>0</v>
      </c>
      <c r="HK25" s="135">
        <f t="shared" si="117"/>
        <v>0</v>
      </c>
      <c r="HL25" s="135">
        <f t="shared" si="117"/>
        <v>0</v>
      </c>
      <c r="HM25" s="135">
        <f t="shared" si="117"/>
        <v>0</v>
      </c>
      <c r="HN25" s="135">
        <f t="shared" si="117"/>
        <v>0</v>
      </c>
      <c r="HO25" s="135">
        <f t="shared" si="117"/>
        <v>0</v>
      </c>
      <c r="HP25" s="135">
        <f t="shared" si="117"/>
        <v>0</v>
      </c>
      <c r="HQ25" s="135">
        <f t="shared" si="117"/>
        <v>0</v>
      </c>
      <c r="HR25" s="135">
        <f t="shared" si="117"/>
        <v>0</v>
      </c>
      <c r="HS25" s="135">
        <f t="shared" si="117"/>
        <v>0</v>
      </c>
      <c r="HT25" s="135">
        <f t="shared" si="117"/>
        <v>0</v>
      </c>
      <c r="HU25" s="135">
        <f t="shared" si="117"/>
        <v>0</v>
      </c>
      <c r="HV25" s="135">
        <f t="shared" si="117"/>
        <v>0</v>
      </c>
      <c r="HW25" s="135">
        <f t="shared" si="117"/>
        <v>0</v>
      </c>
      <c r="HX25" s="135">
        <f t="shared" si="117"/>
        <v>0</v>
      </c>
      <c r="HY25" s="135">
        <f t="shared" si="117"/>
        <v>0</v>
      </c>
      <c r="HZ25" s="135">
        <f t="shared" si="117"/>
        <v>0</v>
      </c>
      <c r="IA25" s="135">
        <f t="shared" si="117"/>
        <v>0</v>
      </c>
      <c r="IB25" s="135">
        <f t="shared" si="117"/>
        <v>0</v>
      </c>
      <c r="IC25" s="135">
        <f t="shared" si="117"/>
        <v>0</v>
      </c>
      <c r="ID25" s="135">
        <f t="shared" si="117"/>
        <v>0</v>
      </c>
      <c r="IE25" s="135">
        <f t="shared" si="117"/>
        <v>0</v>
      </c>
      <c r="IF25" s="135">
        <f t="shared" si="117"/>
        <v>0</v>
      </c>
      <c r="IG25" s="135">
        <f t="shared" si="117"/>
        <v>0</v>
      </c>
      <c r="IH25" s="135">
        <f t="shared" si="117"/>
        <v>0</v>
      </c>
      <c r="II25" s="135">
        <f t="shared" si="117"/>
        <v>0</v>
      </c>
      <c r="IJ25" s="135">
        <f t="shared" si="117"/>
        <v>0</v>
      </c>
      <c r="IK25" s="135">
        <f t="shared" si="117"/>
        <v>0</v>
      </c>
      <c r="IL25" s="135">
        <f t="shared" si="117"/>
        <v>0</v>
      </c>
      <c r="IM25" s="135">
        <f t="shared" si="117"/>
        <v>0</v>
      </c>
      <c r="IN25" s="135">
        <f t="shared" si="117"/>
        <v>0</v>
      </c>
      <c r="IO25" s="135">
        <f t="shared" si="117"/>
        <v>0</v>
      </c>
      <c r="IP25" s="135">
        <f t="shared" si="117"/>
        <v>0</v>
      </c>
      <c r="IQ25" s="135">
        <f t="shared" si="117"/>
        <v>0</v>
      </c>
      <c r="IR25" s="135">
        <f t="shared" si="117"/>
        <v>0</v>
      </c>
      <c r="IS25" s="135">
        <f t="shared" si="117"/>
        <v>0</v>
      </c>
      <c r="IT25" s="135">
        <f t="shared" si="117"/>
        <v>0</v>
      </c>
      <c r="IU25" s="135">
        <f t="shared" si="117"/>
        <v>0</v>
      </c>
      <c r="IV25" s="135">
        <f t="shared" si="117"/>
        <v>0</v>
      </c>
      <c r="IW25" s="135">
        <f t="shared" si="117"/>
        <v>0</v>
      </c>
      <c r="IX25" s="135">
        <f t="shared" si="117"/>
        <v>0</v>
      </c>
      <c r="IY25" s="135">
        <f t="shared" si="117"/>
        <v>0</v>
      </c>
      <c r="IZ25" s="135">
        <f t="shared" si="117"/>
        <v>0</v>
      </c>
      <c r="JA25" s="135">
        <f t="shared" si="117"/>
        <v>0</v>
      </c>
      <c r="JB25" s="135">
        <f t="shared" si="117"/>
        <v>0</v>
      </c>
      <c r="JC25" s="135">
        <f t="shared" si="117"/>
        <v>0</v>
      </c>
      <c r="JD25" s="135">
        <f t="shared" si="117"/>
        <v>0</v>
      </c>
      <c r="JE25" s="135">
        <f t="shared" si="115"/>
        <v>0</v>
      </c>
      <c r="JF25" s="135">
        <f t="shared" si="115"/>
        <v>0</v>
      </c>
      <c r="JG25" s="135">
        <f t="shared" si="115"/>
        <v>0</v>
      </c>
      <c r="JH25" s="135">
        <f t="shared" si="115"/>
        <v>0</v>
      </c>
      <c r="JI25" s="135">
        <f t="shared" si="115"/>
        <v>0</v>
      </c>
      <c r="JJ25" s="135">
        <f t="shared" si="115"/>
        <v>0</v>
      </c>
      <c r="JK25" s="135">
        <f t="shared" si="115"/>
        <v>0</v>
      </c>
      <c r="JL25" s="135">
        <f t="shared" si="115"/>
        <v>0</v>
      </c>
      <c r="JM25" s="135">
        <f t="shared" si="115"/>
        <v>0</v>
      </c>
      <c r="JN25" s="135">
        <f t="shared" si="115"/>
        <v>0</v>
      </c>
      <c r="JO25" s="135">
        <f t="shared" si="115"/>
        <v>0</v>
      </c>
      <c r="JP25" s="135">
        <f t="shared" si="115"/>
        <v>0</v>
      </c>
      <c r="JQ25" s="135">
        <f t="shared" si="115"/>
        <v>0</v>
      </c>
      <c r="JR25" s="135">
        <f t="shared" si="115"/>
        <v>0</v>
      </c>
      <c r="JS25" s="135">
        <f t="shared" si="115"/>
        <v>0</v>
      </c>
      <c r="JT25" s="135">
        <f t="shared" si="115"/>
        <v>0</v>
      </c>
      <c r="JU25" s="135">
        <f t="shared" si="115"/>
        <v>0</v>
      </c>
      <c r="JV25" s="135">
        <f t="shared" si="115"/>
        <v>0</v>
      </c>
      <c r="JW25" s="135">
        <f t="shared" si="115"/>
        <v>0</v>
      </c>
      <c r="JX25" s="135">
        <f t="shared" si="115"/>
        <v>0</v>
      </c>
      <c r="JY25" s="135">
        <f t="shared" si="115"/>
        <v>0</v>
      </c>
      <c r="JZ25" s="135">
        <f t="shared" si="115"/>
        <v>0</v>
      </c>
      <c r="KA25" s="135">
        <f t="shared" si="115"/>
        <v>0</v>
      </c>
      <c r="KB25" s="135">
        <f t="shared" si="115"/>
        <v>0</v>
      </c>
      <c r="KC25" s="135">
        <f t="shared" si="115"/>
        <v>0</v>
      </c>
      <c r="KD25" s="135">
        <f t="shared" si="115"/>
        <v>0</v>
      </c>
      <c r="KE25" s="135">
        <f t="shared" si="115"/>
        <v>0</v>
      </c>
      <c r="KF25" s="135">
        <f t="shared" si="115"/>
        <v>0</v>
      </c>
      <c r="KG25" s="135">
        <f t="shared" si="115"/>
        <v>0</v>
      </c>
      <c r="KH25" s="135">
        <f t="shared" si="115"/>
        <v>0</v>
      </c>
      <c r="KI25" s="135">
        <f t="shared" si="115"/>
        <v>0</v>
      </c>
      <c r="KJ25" s="135">
        <f t="shared" si="115"/>
        <v>0</v>
      </c>
      <c r="KK25" s="135">
        <f t="shared" si="115"/>
        <v>0</v>
      </c>
      <c r="KL25" s="135">
        <f t="shared" si="115"/>
        <v>0</v>
      </c>
      <c r="KM25" s="135">
        <f t="shared" si="115"/>
        <v>0</v>
      </c>
      <c r="KN25" s="135">
        <f t="shared" si="115"/>
        <v>0</v>
      </c>
      <c r="KO25" s="135">
        <f t="shared" si="115"/>
        <v>0</v>
      </c>
      <c r="KP25" s="135">
        <f t="shared" si="115"/>
        <v>0</v>
      </c>
      <c r="KQ25" s="135">
        <f t="shared" si="115"/>
        <v>0</v>
      </c>
      <c r="KR25" s="135">
        <f t="shared" si="115"/>
        <v>0</v>
      </c>
      <c r="KS25" s="135">
        <f t="shared" si="115"/>
        <v>0</v>
      </c>
      <c r="KT25" s="135">
        <f t="shared" si="115"/>
        <v>0</v>
      </c>
      <c r="KU25" s="135">
        <f t="shared" si="115"/>
        <v>0</v>
      </c>
      <c r="KV25" s="135">
        <f t="shared" si="115"/>
        <v>0</v>
      </c>
      <c r="KW25" s="135">
        <f t="shared" si="115"/>
        <v>0</v>
      </c>
      <c r="KX25" s="135">
        <f t="shared" si="115"/>
        <v>0</v>
      </c>
      <c r="KY25" s="135">
        <f t="shared" si="115"/>
        <v>0</v>
      </c>
      <c r="KZ25" s="135">
        <f t="shared" si="115"/>
        <v>0</v>
      </c>
      <c r="LA25" s="135">
        <f t="shared" si="115"/>
        <v>0</v>
      </c>
      <c r="LB25" s="135">
        <f t="shared" si="115"/>
        <v>0</v>
      </c>
      <c r="LC25" s="135">
        <f t="shared" si="115"/>
        <v>0</v>
      </c>
      <c r="LD25" s="135">
        <f t="shared" si="115"/>
        <v>0</v>
      </c>
      <c r="LE25" s="135">
        <f t="shared" si="115"/>
        <v>0</v>
      </c>
      <c r="LF25" s="135">
        <f t="shared" si="115"/>
        <v>0</v>
      </c>
      <c r="LG25" s="135">
        <f t="shared" si="115"/>
        <v>0</v>
      </c>
      <c r="LH25" s="135">
        <f t="shared" si="115"/>
        <v>0</v>
      </c>
      <c r="LI25" s="135">
        <f t="shared" si="115"/>
        <v>0</v>
      </c>
      <c r="LJ25" s="135">
        <f t="shared" si="115"/>
        <v>0</v>
      </c>
      <c r="LK25" s="135">
        <f t="shared" si="115"/>
        <v>0</v>
      </c>
      <c r="LL25" s="135">
        <f t="shared" si="115"/>
        <v>0</v>
      </c>
      <c r="LM25" s="135">
        <f t="shared" si="115"/>
        <v>0</v>
      </c>
      <c r="LN25" s="135">
        <f t="shared" si="115"/>
        <v>0</v>
      </c>
      <c r="LO25" s="135">
        <f t="shared" si="115"/>
        <v>0</v>
      </c>
      <c r="LP25" s="135">
        <f t="shared" si="115"/>
        <v>0</v>
      </c>
      <c r="LQ25" s="135">
        <f t="shared" si="116"/>
        <v>0</v>
      </c>
      <c r="LR25" s="135">
        <f t="shared" si="116"/>
        <v>0</v>
      </c>
      <c r="LS25" s="135">
        <f t="shared" si="116"/>
        <v>0</v>
      </c>
      <c r="LT25" s="135">
        <f t="shared" si="116"/>
        <v>0</v>
      </c>
      <c r="LU25" s="135">
        <f t="shared" si="116"/>
        <v>0</v>
      </c>
      <c r="LV25" s="135">
        <f t="shared" si="99"/>
        <v>0</v>
      </c>
      <c r="LW25" s="135">
        <f t="shared" si="99"/>
        <v>0</v>
      </c>
      <c r="LX25" s="135">
        <f t="shared" ref="LX25:MG26" si="118">IFERROR(IF(LX$1=EOMONTH($G25,0),(-$E25+($E25*(DAY($G25)/DAY(EOMONTH(LX$1,0)))*$F25/12*(1-0.269))),IF(LX$1=$G25,($E25+($E25*(DAY($I25)/DAY(EOMONTH(LX$1,0)))*$F25/12*(1-0.269))),IFERROR(IF($I25&lt;LX$1,0,IF(LX$1&gt;$I25,(($F25/12)*$E25)*(DAY($I25)/DAY(EOMONTH(LX$1,0)))*(1-26.9/100)+$E25,IF(AND(LX$1&gt;=$G25,LX$1&lt;$I25),(($F25/12)*$E25)*(1-26.9/100),""))-IF(LX$1=EOMONTH($G25,0),$E25,"0")),0)+IF(LX$1=EOMONTH($I25,0),($E25+($E25*(DAY($I25)/DAY(EOMONTH(LX$1,0)))*$F25/12*(1-0.269))),"0"))),0)</f>
        <v>0</v>
      </c>
      <c r="LY25" s="135">
        <f t="shared" si="118"/>
        <v>0</v>
      </c>
      <c r="LZ25" s="135">
        <f t="shared" si="118"/>
        <v>0</v>
      </c>
      <c r="MA25" s="135">
        <f t="shared" si="118"/>
        <v>0</v>
      </c>
      <c r="MB25" s="135">
        <f t="shared" si="118"/>
        <v>0</v>
      </c>
      <c r="MC25" s="135">
        <f t="shared" si="118"/>
        <v>0</v>
      </c>
      <c r="MD25" s="135">
        <f t="shared" si="118"/>
        <v>0</v>
      </c>
      <c r="ME25" s="135">
        <f t="shared" si="118"/>
        <v>0</v>
      </c>
      <c r="MF25" s="135">
        <f t="shared" si="118"/>
        <v>0</v>
      </c>
      <c r="MG25" s="135">
        <f t="shared" si="118"/>
        <v>0</v>
      </c>
      <c r="MH25" s="135">
        <f t="shared" ref="MH25:MQ26" si="119">IFERROR(IF(MH$1=EOMONTH($G25,0),(-$E25+($E25*(DAY($G25)/DAY(EOMONTH(MH$1,0)))*$F25/12*(1-0.269))),IF(MH$1=$G25,($E25+($E25*(DAY($I25)/DAY(EOMONTH(MH$1,0)))*$F25/12*(1-0.269))),IFERROR(IF($I25&lt;MH$1,0,IF(MH$1&gt;$I25,(($F25/12)*$E25)*(DAY($I25)/DAY(EOMONTH(MH$1,0)))*(1-26.9/100)+$E25,IF(AND(MH$1&gt;=$G25,MH$1&lt;$I25),(($F25/12)*$E25)*(1-26.9/100),""))-IF(MH$1=EOMONTH($G25,0),$E25,"0")),0)+IF(MH$1=EOMONTH($I25,0),($E25+($E25*(DAY($I25)/DAY(EOMONTH(MH$1,0)))*$F25/12*(1-0.269))),"0"))),0)</f>
        <v>0</v>
      </c>
      <c r="MI25" s="135">
        <f t="shared" si="119"/>
        <v>0</v>
      </c>
      <c r="MJ25" s="135">
        <f t="shared" si="119"/>
        <v>0</v>
      </c>
      <c r="MK25" s="135">
        <f t="shared" si="119"/>
        <v>0</v>
      </c>
      <c r="ML25" s="135">
        <f t="shared" si="119"/>
        <v>0</v>
      </c>
      <c r="MM25" s="135">
        <f t="shared" si="119"/>
        <v>0</v>
      </c>
      <c r="MN25" s="135">
        <f t="shared" si="119"/>
        <v>0</v>
      </c>
      <c r="MO25" s="135">
        <f t="shared" si="119"/>
        <v>0</v>
      </c>
      <c r="MP25" s="135">
        <f t="shared" si="119"/>
        <v>0</v>
      </c>
      <c r="MQ25" s="135">
        <f t="shared" si="119"/>
        <v>0</v>
      </c>
      <c r="MR25" s="135">
        <f t="shared" ref="MR25:NA26" si="120">IFERROR(IF(MR$1=EOMONTH($G25,0),(-$E25+($E25*(DAY($G25)/DAY(EOMONTH(MR$1,0)))*$F25/12*(1-0.269))),IF(MR$1=$G25,($E25+($E25*(DAY($I25)/DAY(EOMONTH(MR$1,0)))*$F25/12*(1-0.269))),IFERROR(IF($I25&lt;MR$1,0,IF(MR$1&gt;$I25,(($F25/12)*$E25)*(DAY($I25)/DAY(EOMONTH(MR$1,0)))*(1-26.9/100)+$E25,IF(AND(MR$1&gt;=$G25,MR$1&lt;$I25),(($F25/12)*$E25)*(1-26.9/100),""))-IF(MR$1=EOMONTH($G25,0),$E25,"0")),0)+IF(MR$1=EOMONTH($I25,0),($E25+($E25*(DAY($I25)/DAY(EOMONTH(MR$1,0)))*$F25/12*(1-0.269))),"0"))),0)</f>
        <v>0</v>
      </c>
      <c r="MS25" s="135">
        <f t="shared" si="120"/>
        <v>0</v>
      </c>
      <c r="MT25" s="135">
        <f t="shared" si="120"/>
        <v>0</v>
      </c>
      <c r="MU25" s="135">
        <f t="shared" si="120"/>
        <v>0</v>
      </c>
      <c r="MV25" s="135">
        <f t="shared" si="120"/>
        <v>0</v>
      </c>
      <c r="MW25" s="135">
        <f t="shared" si="120"/>
        <v>0</v>
      </c>
      <c r="MX25" s="135">
        <f t="shared" si="120"/>
        <v>0</v>
      </c>
      <c r="MY25" s="135">
        <f t="shared" si="120"/>
        <v>0</v>
      </c>
      <c r="MZ25" s="135">
        <f t="shared" si="120"/>
        <v>0</v>
      </c>
      <c r="NA25" s="135">
        <f t="shared" si="120"/>
        <v>0</v>
      </c>
      <c r="NB25" s="135">
        <f t="shared" ref="NB25:NK26" si="121">IFERROR(IF(NB$1=EOMONTH($G25,0),(-$E25+($E25*(DAY($G25)/DAY(EOMONTH(NB$1,0)))*$F25/12*(1-0.269))),IF(NB$1=$G25,($E25+($E25*(DAY($I25)/DAY(EOMONTH(NB$1,0)))*$F25/12*(1-0.269))),IFERROR(IF($I25&lt;NB$1,0,IF(NB$1&gt;$I25,(($F25/12)*$E25)*(DAY($I25)/DAY(EOMONTH(NB$1,0)))*(1-26.9/100)+$E25,IF(AND(NB$1&gt;=$G25,NB$1&lt;$I25),(($F25/12)*$E25)*(1-26.9/100),""))-IF(NB$1=EOMONTH($G25,0),$E25,"0")),0)+IF(NB$1=EOMONTH($I25,0),($E25+($E25*(DAY($I25)/DAY(EOMONTH(NB$1,0)))*$F25/12*(1-0.269))),"0"))),0)</f>
        <v>0</v>
      </c>
      <c r="NC25" s="135">
        <f t="shared" si="121"/>
        <v>0</v>
      </c>
      <c r="ND25" s="135">
        <f t="shared" si="121"/>
        <v>0</v>
      </c>
      <c r="NE25" s="135">
        <f t="shared" si="121"/>
        <v>0</v>
      </c>
      <c r="NF25" s="135">
        <f t="shared" si="121"/>
        <v>0</v>
      </c>
      <c r="NG25" s="135">
        <f t="shared" si="121"/>
        <v>0</v>
      </c>
      <c r="NH25" s="135">
        <f t="shared" si="121"/>
        <v>0</v>
      </c>
      <c r="NI25" s="135">
        <f t="shared" si="121"/>
        <v>0</v>
      </c>
      <c r="NJ25" s="135">
        <f t="shared" si="121"/>
        <v>0</v>
      </c>
      <c r="NK25" s="135">
        <f t="shared" si="121"/>
        <v>0</v>
      </c>
      <c r="NL25" s="135">
        <f t="shared" ref="NL25:NU26" si="122">IFERROR(IF(NL$1=EOMONTH($G25,0),(-$E25+($E25*(DAY($G25)/DAY(EOMONTH(NL$1,0)))*$F25/12*(1-0.269))),IF(NL$1=$G25,($E25+($E25*(DAY($I25)/DAY(EOMONTH(NL$1,0)))*$F25/12*(1-0.269))),IFERROR(IF($I25&lt;NL$1,0,IF(NL$1&gt;$I25,(($F25/12)*$E25)*(DAY($I25)/DAY(EOMONTH(NL$1,0)))*(1-26.9/100)+$E25,IF(AND(NL$1&gt;=$G25,NL$1&lt;$I25),(($F25/12)*$E25)*(1-26.9/100),""))-IF(NL$1=EOMONTH($G25,0),$E25,"0")),0)+IF(NL$1=EOMONTH($I25,0),($E25+($E25*(DAY($I25)/DAY(EOMONTH(NL$1,0)))*$F25/12*(1-0.269))),"0"))),0)</f>
        <v>0</v>
      </c>
      <c r="NM25" s="135">
        <f t="shared" si="122"/>
        <v>0</v>
      </c>
      <c r="NN25" s="135">
        <f t="shared" si="122"/>
        <v>0</v>
      </c>
      <c r="NO25" s="135">
        <f t="shared" si="122"/>
        <v>0</v>
      </c>
      <c r="NP25" s="135">
        <f t="shared" si="122"/>
        <v>0</v>
      </c>
      <c r="NQ25" s="135">
        <f t="shared" si="122"/>
        <v>0</v>
      </c>
      <c r="NR25" s="135">
        <f t="shared" si="122"/>
        <v>0</v>
      </c>
      <c r="NS25" s="135">
        <f t="shared" si="122"/>
        <v>0</v>
      </c>
      <c r="NT25" s="135">
        <f t="shared" si="122"/>
        <v>0</v>
      </c>
      <c r="NU25" s="135">
        <f t="shared" si="122"/>
        <v>0</v>
      </c>
      <c r="NV25" s="135">
        <f t="shared" ref="NV25:OF26" si="123">IFERROR(IF(NV$1=EOMONTH($G25,0),(-$E25+($E25*(DAY($G25)/DAY(EOMONTH(NV$1,0)))*$F25/12*(1-0.269))),IF(NV$1=$G25,($E25+($E25*(DAY($I25)/DAY(EOMONTH(NV$1,0)))*$F25/12*(1-0.269))),IFERROR(IF($I25&lt;NV$1,0,IF(NV$1&gt;$I25,(($F25/12)*$E25)*(DAY($I25)/DAY(EOMONTH(NV$1,0)))*(1-26.9/100)+$E25,IF(AND(NV$1&gt;=$G25,NV$1&lt;$I25),(($F25/12)*$E25)*(1-26.9/100),""))-IF(NV$1=EOMONTH($G25,0),$E25,"0")),0)+IF(NV$1=EOMONTH($I25,0),($E25+($E25*(DAY($I25)/DAY(EOMONTH(NV$1,0)))*$F25/12*(1-0.269))),"0"))),0)</f>
        <v>0</v>
      </c>
      <c r="NW25" s="135">
        <f t="shared" si="123"/>
        <v>0</v>
      </c>
      <c r="NX25" s="135">
        <f t="shared" si="123"/>
        <v>0</v>
      </c>
      <c r="NY25" s="135">
        <f t="shared" si="123"/>
        <v>0</v>
      </c>
      <c r="NZ25" s="135">
        <f t="shared" si="123"/>
        <v>0</v>
      </c>
      <c r="OA25" s="135">
        <f t="shared" si="123"/>
        <v>0</v>
      </c>
      <c r="OB25" s="135">
        <f t="shared" si="123"/>
        <v>0</v>
      </c>
      <c r="OC25" s="135">
        <f t="shared" si="123"/>
        <v>0</v>
      </c>
      <c r="OD25" s="135">
        <f t="shared" si="123"/>
        <v>0</v>
      </c>
      <c r="OE25" s="135">
        <f t="shared" si="123"/>
        <v>0</v>
      </c>
      <c r="OF25" s="135">
        <f t="shared" si="123"/>
        <v>0</v>
      </c>
      <c r="OG25" s="135">
        <f t="shared" si="57"/>
        <v>0</v>
      </c>
      <c r="OH25" s="135">
        <f t="shared" si="80"/>
        <v>0</v>
      </c>
      <c r="OI25" s="135">
        <f t="shared" si="80"/>
        <v>0</v>
      </c>
      <c r="OJ25" s="135">
        <f t="shared" si="80"/>
        <v>0</v>
      </c>
      <c r="OK25" s="135">
        <f t="shared" si="80"/>
        <v>0</v>
      </c>
      <c r="OL25" s="135">
        <f t="shared" si="80"/>
        <v>0</v>
      </c>
      <c r="OM25" s="135">
        <f t="shared" si="80"/>
        <v>0</v>
      </c>
      <c r="ON25" s="135">
        <f t="shared" si="80"/>
        <v>0</v>
      </c>
      <c r="OO25" s="135">
        <f t="shared" si="113"/>
        <v>0</v>
      </c>
      <c r="OP25" s="135">
        <f t="shared" si="113"/>
        <v>0</v>
      </c>
      <c r="OQ25" s="135">
        <f t="shared" si="113"/>
        <v>0</v>
      </c>
      <c r="OR25" s="135">
        <f t="shared" si="113"/>
        <v>0</v>
      </c>
      <c r="OS25" s="135">
        <f t="shared" si="113"/>
        <v>0</v>
      </c>
      <c r="OT25" s="135">
        <f t="shared" si="113"/>
        <v>0</v>
      </c>
      <c r="OU25" s="135">
        <f t="shared" si="113"/>
        <v>0</v>
      </c>
      <c r="OV25" s="135">
        <f t="shared" si="113"/>
        <v>0</v>
      </c>
      <c r="OW25" s="135">
        <f t="shared" si="113"/>
        <v>0</v>
      </c>
      <c r="OX25" s="135">
        <f t="shared" si="113"/>
        <v>0</v>
      </c>
      <c r="OY25" s="135">
        <f t="shared" si="113"/>
        <v>0</v>
      </c>
      <c r="OZ25" s="135">
        <f t="shared" si="113"/>
        <v>0</v>
      </c>
      <c r="PA25" s="135">
        <f t="shared" si="113"/>
        <v>0</v>
      </c>
      <c r="PB25" s="135">
        <f t="shared" si="113"/>
        <v>0</v>
      </c>
      <c r="PC25" s="135">
        <f t="shared" si="113"/>
        <v>0</v>
      </c>
      <c r="PD25" s="135">
        <f t="shared" si="113"/>
        <v>0</v>
      </c>
      <c r="PE25" s="135">
        <f t="shared" si="113"/>
        <v>0</v>
      </c>
      <c r="PF25" s="135">
        <f t="shared" si="113"/>
        <v>0</v>
      </c>
      <c r="PG25" s="135">
        <f t="shared" si="113"/>
        <v>0</v>
      </c>
      <c r="PH25" s="135">
        <f t="shared" si="113"/>
        <v>0</v>
      </c>
      <c r="PI25" s="135">
        <f t="shared" si="113"/>
        <v>0</v>
      </c>
      <c r="PJ25" s="135">
        <f t="shared" si="113"/>
        <v>0</v>
      </c>
      <c r="PK25" s="135">
        <f t="shared" si="113"/>
        <v>0</v>
      </c>
      <c r="PL25" s="135">
        <f t="shared" si="113"/>
        <v>0</v>
      </c>
      <c r="PM25" s="135">
        <f t="shared" si="113"/>
        <v>0</v>
      </c>
      <c r="PN25" s="135">
        <f t="shared" si="113"/>
        <v>0</v>
      </c>
      <c r="PO25" s="135">
        <f t="shared" si="113"/>
        <v>0</v>
      </c>
      <c r="PP25" s="135">
        <f t="shared" si="113"/>
        <v>0</v>
      </c>
      <c r="PQ25" s="135">
        <f t="shared" si="113"/>
        <v>0</v>
      </c>
      <c r="PR25" s="135">
        <f t="shared" si="113"/>
        <v>0</v>
      </c>
      <c r="PS25" s="135">
        <f t="shared" si="113"/>
        <v>0</v>
      </c>
      <c r="PT25" s="135">
        <f t="shared" si="113"/>
        <v>0</v>
      </c>
      <c r="PU25" s="135">
        <f t="shared" si="113"/>
        <v>0</v>
      </c>
      <c r="PV25" s="135">
        <f t="shared" si="113"/>
        <v>0</v>
      </c>
      <c r="PW25" s="135">
        <f t="shared" si="113"/>
        <v>0</v>
      </c>
      <c r="PX25" s="135">
        <f t="shared" si="113"/>
        <v>0</v>
      </c>
      <c r="PY25" s="135">
        <f t="shared" si="113"/>
        <v>0</v>
      </c>
      <c r="PZ25" s="135">
        <f t="shared" si="113"/>
        <v>0</v>
      </c>
      <c r="QA25" s="135">
        <f t="shared" si="113"/>
        <v>0</v>
      </c>
      <c r="QB25" s="135">
        <f t="shared" si="113"/>
        <v>0</v>
      </c>
      <c r="QC25" s="135">
        <f t="shared" si="113"/>
        <v>0</v>
      </c>
      <c r="QD25" s="135">
        <f t="shared" si="113"/>
        <v>0</v>
      </c>
      <c r="QE25" s="135">
        <f t="shared" si="113"/>
        <v>0</v>
      </c>
      <c r="QF25" s="135">
        <f t="shared" si="113"/>
        <v>0</v>
      </c>
      <c r="QG25" s="135">
        <f t="shared" si="113"/>
        <v>0</v>
      </c>
      <c r="QH25" s="135">
        <f t="shared" si="113"/>
        <v>0</v>
      </c>
      <c r="QI25" s="135">
        <f t="shared" si="113"/>
        <v>0</v>
      </c>
      <c r="QJ25" s="135">
        <f t="shared" si="113"/>
        <v>0</v>
      </c>
      <c r="QK25" s="135">
        <f t="shared" si="113"/>
        <v>0</v>
      </c>
      <c r="QL25" s="135">
        <f t="shared" si="113"/>
        <v>0</v>
      </c>
      <c r="QM25" s="135">
        <f t="shared" si="113"/>
        <v>0</v>
      </c>
      <c r="QN25" s="135">
        <f t="shared" si="113"/>
        <v>0</v>
      </c>
      <c r="QO25" s="135">
        <f t="shared" si="113"/>
        <v>0</v>
      </c>
      <c r="QP25" s="135">
        <f t="shared" si="113"/>
        <v>0</v>
      </c>
      <c r="QQ25" s="135">
        <f t="shared" si="113"/>
        <v>0</v>
      </c>
      <c r="QR25" s="135">
        <f t="shared" si="113"/>
        <v>0</v>
      </c>
      <c r="QS25" s="135">
        <f t="shared" si="113"/>
        <v>0</v>
      </c>
      <c r="QT25" s="135">
        <f t="shared" si="113"/>
        <v>0</v>
      </c>
      <c r="QU25" s="135">
        <f t="shared" si="113"/>
        <v>0</v>
      </c>
      <c r="QV25" s="135">
        <f t="shared" si="113"/>
        <v>0</v>
      </c>
      <c r="QW25" s="135">
        <f t="shared" si="113"/>
        <v>0</v>
      </c>
      <c r="QX25" s="135">
        <f t="shared" si="113"/>
        <v>0</v>
      </c>
      <c r="QY25" s="135">
        <f t="shared" si="113"/>
        <v>0</v>
      </c>
      <c r="QZ25" s="135">
        <f t="shared" si="113"/>
        <v>0</v>
      </c>
      <c r="RA25" s="135">
        <f t="shared" si="110"/>
        <v>0</v>
      </c>
      <c r="RB25" s="135">
        <f t="shared" si="110"/>
        <v>0</v>
      </c>
      <c r="RC25" s="135">
        <f t="shared" si="110"/>
        <v>0</v>
      </c>
      <c r="RD25" s="135">
        <f t="shared" si="110"/>
        <v>0</v>
      </c>
      <c r="RE25" s="135">
        <f t="shared" si="110"/>
        <v>0</v>
      </c>
      <c r="RF25" s="135">
        <f t="shared" si="110"/>
        <v>0</v>
      </c>
      <c r="RG25" s="135">
        <f t="shared" si="110"/>
        <v>0</v>
      </c>
      <c r="RH25" s="135">
        <f t="shared" si="110"/>
        <v>0</v>
      </c>
      <c r="RI25" s="135">
        <f t="shared" si="110"/>
        <v>0</v>
      </c>
      <c r="RJ25" s="135">
        <f t="shared" si="110"/>
        <v>0</v>
      </c>
      <c r="RK25" s="135">
        <f t="shared" si="110"/>
        <v>0</v>
      </c>
      <c r="RL25" s="135">
        <f t="shared" si="110"/>
        <v>0</v>
      </c>
      <c r="RM25" s="135">
        <f t="shared" si="110"/>
        <v>0</v>
      </c>
      <c r="RN25" s="135">
        <f t="shared" si="110"/>
        <v>0</v>
      </c>
      <c r="RO25" s="135">
        <f t="shared" si="110"/>
        <v>0</v>
      </c>
      <c r="RP25" s="135">
        <f t="shared" si="110"/>
        <v>0</v>
      </c>
      <c r="RQ25" s="135">
        <f t="shared" si="110"/>
        <v>0</v>
      </c>
      <c r="RR25" s="135">
        <f t="shared" si="110"/>
        <v>0</v>
      </c>
      <c r="RS25" s="135">
        <f t="shared" si="110"/>
        <v>0</v>
      </c>
      <c r="RT25" s="135">
        <f t="shared" si="110"/>
        <v>0</v>
      </c>
      <c r="RU25" s="135">
        <f t="shared" si="110"/>
        <v>0</v>
      </c>
      <c r="RV25" s="135">
        <f t="shared" si="110"/>
        <v>0</v>
      </c>
      <c r="RW25" s="135">
        <f t="shared" si="110"/>
        <v>0</v>
      </c>
      <c r="RX25" s="135">
        <f t="shared" si="110"/>
        <v>0</v>
      </c>
      <c r="RY25" s="135">
        <f t="shared" si="110"/>
        <v>0</v>
      </c>
      <c r="RZ25" s="135">
        <f t="shared" si="110"/>
        <v>0</v>
      </c>
      <c r="SA25" s="135">
        <f t="shared" si="110"/>
        <v>0</v>
      </c>
      <c r="SB25" s="135">
        <f t="shared" si="110"/>
        <v>0</v>
      </c>
      <c r="SC25" s="135">
        <f t="shared" si="110"/>
        <v>0</v>
      </c>
      <c r="SD25" s="135">
        <f t="shared" si="110"/>
        <v>0</v>
      </c>
      <c r="SE25" s="135">
        <f t="shared" si="110"/>
        <v>0</v>
      </c>
      <c r="SF25" s="135">
        <f t="shared" si="110"/>
        <v>0</v>
      </c>
      <c r="SG25" s="135">
        <f t="shared" si="110"/>
        <v>0</v>
      </c>
      <c r="SH25" s="135">
        <f t="shared" si="110"/>
        <v>0</v>
      </c>
      <c r="SI25" s="135">
        <f t="shared" si="110"/>
        <v>0</v>
      </c>
      <c r="SJ25" s="135">
        <f t="shared" si="110"/>
        <v>0</v>
      </c>
      <c r="SK25" s="135">
        <f t="shared" si="110"/>
        <v>0</v>
      </c>
      <c r="SL25" s="135">
        <f t="shared" si="110"/>
        <v>0</v>
      </c>
      <c r="SM25" s="135">
        <f t="shared" si="110"/>
        <v>0</v>
      </c>
      <c r="SN25" s="135">
        <f t="shared" si="110"/>
        <v>0</v>
      </c>
      <c r="SO25" s="135">
        <f t="shared" si="110"/>
        <v>0</v>
      </c>
      <c r="SP25" s="135">
        <f t="shared" si="110"/>
        <v>0</v>
      </c>
      <c r="SQ25" s="135">
        <f t="shared" si="110"/>
        <v>0</v>
      </c>
      <c r="SR25" s="135">
        <f t="shared" si="110"/>
        <v>0</v>
      </c>
      <c r="SS25" s="135">
        <f t="shared" si="110"/>
        <v>0</v>
      </c>
      <c r="ST25" s="135">
        <f t="shared" si="110"/>
        <v>0</v>
      </c>
      <c r="SU25" s="135">
        <f t="shared" si="110"/>
        <v>0</v>
      </c>
      <c r="SV25" s="135">
        <f t="shared" si="110"/>
        <v>0</v>
      </c>
      <c r="SW25" s="135">
        <f t="shared" si="110"/>
        <v>0</v>
      </c>
      <c r="SX25" s="135">
        <f t="shared" si="110"/>
        <v>0</v>
      </c>
      <c r="SY25" s="135">
        <f t="shared" si="110"/>
        <v>0</v>
      </c>
      <c r="SZ25" s="135">
        <f t="shared" si="110"/>
        <v>0</v>
      </c>
      <c r="TA25" s="135">
        <f t="shared" si="110"/>
        <v>0</v>
      </c>
      <c r="TB25" s="135">
        <f t="shared" si="110"/>
        <v>0</v>
      </c>
      <c r="TC25" s="135">
        <f t="shared" si="110"/>
        <v>0</v>
      </c>
      <c r="TD25" s="135">
        <f t="shared" si="110"/>
        <v>0</v>
      </c>
      <c r="TE25" s="135">
        <f t="shared" si="110"/>
        <v>0</v>
      </c>
      <c r="TF25" s="135">
        <f t="shared" si="110"/>
        <v>0</v>
      </c>
      <c r="TG25" s="135">
        <f t="shared" si="110"/>
        <v>0</v>
      </c>
      <c r="TH25" s="135">
        <f t="shared" si="110"/>
        <v>0</v>
      </c>
      <c r="TI25" s="135">
        <f t="shared" si="110"/>
        <v>0</v>
      </c>
      <c r="TJ25" s="135">
        <f t="shared" si="110"/>
        <v>0</v>
      </c>
      <c r="TK25" s="135">
        <f t="shared" si="110"/>
        <v>0</v>
      </c>
      <c r="TL25" s="135">
        <f t="shared" si="111"/>
        <v>0</v>
      </c>
      <c r="TM25" s="135">
        <f t="shared" si="101"/>
        <v>0</v>
      </c>
      <c r="TN25" s="135">
        <f t="shared" si="101"/>
        <v>0</v>
      </c>
      <c r="TO25" s="135">
        <f t="shared" si="101"/>
        <v>0</v>
      </c>
      <c r="TP25" s="135">
        <f t="shared" si="101"/>
        <v>0</v>
      </c>
      <c r="TQ25" s="135">
        <f t="shared" si="101"/>
        <v>0</v>
      </c>
      <c r="TR25" s="135">
        <f t="shared" si="101"/>
        <v>0</v>
      </c>
      <c r="TS25" s="135">
        <f t="shared" si="101"/>
        <v>0</v>
      </c>
      <c r="TT25" s="135">
        <f t="shared" si="101"/>
        <v>0</v>
      </c>
      <c r="TU25" s="135">
        <f t="shared" si="101"/>
        <v>0</v>
      </c>
      <c r="TV25" s="135">
        <f t="shared" si="101"/>
        <v>0</v>
      </c>
      <c r="TW25" s="135">
        <f t="shared" si="102"/>
        <v>0</v>
      </c>
      <c r="TX25" s="135">
        <f t="shared" si="102"/>
        <v>0</v>
      </c>
      <c r="TY25" s="135">
        <f t="shared" si="102"/>
        <v>0</v>
      </c>
      <c r="TZ25" s="135">
        <f t="shared" si="102"/>
        <v>0</v>
      </c>
      <c r="UA25" s="135">
        <f t="shared" si="102"/>
        <v>0</v>
      </c>
      <c r="UB25" s="135">
        <f t="shared" si="102"/>
        <v>0</v>
      </c>
      <c r="UC25" s="135">
        <f t="shared" si="102"/>
        <v>0</v>
      </c>
      <c r="UD25" s="135">
        <f t="shared" si="102"/>
        <v>0</v>
      </c>
      <c r="UE25" s="135">
        <f t="shared" si="102"/>
        <v>0</v>
      </c>
      <c r="UF25" s="135">
        <f t="shared" si="102"/>
        <v>0</v>
      </c>
      <c r="UG25" s="135">
        <f t="shared" si="102"/>
        <v>0</v>
      </c>
      <c r="UH25" s="135">
        <f t="shared" si="102"/>
        <v>0</v>
      </c>
      <c r="UI25" s="135">
        <f t="shared" si="102"/>
        <v>0</v>
      </c>
      <c r="UJ25" s="135">
        <f t="shared" si="102"/>
        <v>0</v>
      </c>
      <c r="UK25" s="135">
        <f t="shared" si="102"/>
        <v>0</v>
      </c>
    </row>
    <row r="26" spans="2:557">
      <c r="B26" t="str">
        <f>IF(Samenvatting!$F127&lt;&gt;0,Samenvatting!C127,"")</f>
        <v/>
      </c>
      <c r="C26" t="str">
        <f>IF(Samenvatting!$F127&lt;&gt;0,Samenvatting!D127,"")</f>
        <v/>
      </c>
      <c r="D26" t="str">
        <f>IF(Samenvatting!$F127&lt;&gt;0,Samenvatting!E127,"")</f>
        <v/>
      </c>
      <c r="E26" t="str">
        <f>IF(Samenvatting!$F127&lt;&gt;0,Samenvatting!F127,"")</f>
        <v/>
      </c>
      <c r="F26" t="str">
        <f>IF(Samenvatting!$F127&lt;&gt;0,Samenvatting!H127,"")</f>
        <v/>
      </c>
      <c r="G26" s="134" t="str">
        <f>IF(Samenvatting!$F127&lt;&gt;0,Samenvatting!I127,"")</f>
        <v/>
      </c>
      <c r="H26" t="str">
        <f>IF(Samenvatting!$F127&lt;&gt;0,Samenvatting!J127,"")</f>
        <v/>
      </c>
      <c r="I26" s="134" t="str">
        <f>IF(Samenvatting!$F127&lt;&gt;0,Samenvatting!K127,"")</f>
        <v/>
      </c>
      <c r="J26" s="135">
        <f t="shared" si="0"/>
        <v>0</v>
      </c>
      <c r="K26" s="135">
        <f t="shared" si="114"/>
        <v>0</v>
      </c>
      <c r="L26" s="135">
        <f t="shared" si="114"/>
        <v>0</v>
      </c>
      <c r="M26" s="135">
        <f t="shared" si="114"/>
        <v>0</v>
      </c>
      <c r="N26" s="135">
        <f t="shared" si="114"/>
        <v>0</v>
      </c>
      <c r="O26" s="135">
        <f t="shared" si="114"/>
        <v>0</v>
      </c>
      <c r="P26" s="135">
        <f t="shared" si="114"/>
        <v>0</v>
      </c>
      <c r="Q26" s="135">
        <f t="shared" si="114"/>
        <v>0</v>
      </c>
      <c r="R26" s="135">
        <f t="shared" si="114"/>
        <v>0</v>
      </c>
      <c r="S26" s="135">
        <f t="shared" si="114"/>
        <v>0</v>
      </c>
      <c r="T26" s="135">
        <f t="shared" si="114"/>
        <v>0</v>
      </c>
      <c r="U26" s="135">
        <f t="shared" si="114"/>
        <v>0</v>
      </c>
      <c r="V26" s="135">
        <f t="shared" si="114"/>
        <v>0</v>
      </c>
      <c r="W26" s="135">
        <f t="shared" si="114"/>
        <v>0</v>
      </c>
      <c r="X26" s="135">
        <f t="shared" si="114"/>
        <v>0</v>
      </c>
      <c r="Y26" s="135">
        <f t="shared" si="114"/>
        <v>0</v>
      </c>
      <c r="Z26" s="135">
        <f t="shared" si="114"/>
        <v>0</v>
      </c>
      <c r="AA26" s="135">
        <f t="shared" si="114"/>
        <v>0</v>
      </c>
      <c r="AB26" s="135">
        <f t="shared" si="114"/>
        <v>0</v>
      </c>
      <c r="AC26" s="135">
        <f t="shared" si="114"/>
        <v>0</v>
      </c>
      <c r="AD26" s="135">
        <f t="shared" si="114"/>
        <v>0</v>
      </c>
      <c r="AE26" s="135">
        <f t="shared" si="114"/>
        <v>0</v>
      </c>
      <c r="AF26" s="135">
        <f t="shared" si="114"/>
        <v>0</v>
      </c>
      <c r="AG26" s="135">
        <f t="shared" si="114"/>
        <v>0</v>
      </c>
      <c r="AH26" s="135">
        <f t="shared" si="114"/>
        <v>0</v>
      </c>
      <c r="AI26" s="135">
        <f t="shared" si="114"/>
        <v>0</v>
      </c>
      <c r="AJ26" s="135">
        <f t="shared" si="114"/>
        <v>0</v>
      </c>
      <c r="AK26" s="135">
        <f t="shared" si="114"/>
        <v>0</v>
      </c>
      <c r="AL26" s="135">
        <f t="shared" si="114"/>
        <v>0</v>
      </c>
      <c r="AM26" s="135">
        <f t="shared" si="114"/>
        <v>0</v>
      </c>
      <c r="AN26" s="135">
        <f t="shared" si="114"/>
        <v>0</v>
      </c>
      <c r="AO26" s="135">
        <f t="shared" si="114"/>
        <v>0</v>
      </c>
      <c r="AP26" s="135">
        <f t="shared" si="114"/>
        <v>0</v>
      </c>
      <c r="AQ26" s="135">
        <f t="shared" si="114"/>
        <v>0</v>
      </c>
      <c r="AR26" s="135">
        <f t="shared" si="114"/>
        <v>0</v>
      </c>
      <c r="AS26" s="135">
        <f t="shared" si="114"/>
        <v>0</v>
      </c>
      <c r="AT26" s="135">
        <f t="shared" si="114"/>
        <v>0</v>
      </c>
      <c r="AU26" s="135">
        <f t="shared" si="114"/>
        <v>0</v>
      </c>
      <c r="AV26" s="135">
        <f t="shared" si="114"/>
        <v>0</v>
      </c>
      <c r="AW26" s="135">
        <f t="shared" si="114"/>
        <v>0</v>
      </c>
      <c r="AX26" s="135">
        <f t="shared" si="114"/>
        <v>0</v>
      </c>
      <c r="AY26" s="135">
        <f t="shared" si="114"/>
        <v>0</v>
      </c>
      <c r="AZ26" s="135">
        <f t="shared" si="114"/>
        <v>0</v>
      </c>
      <c r="BA26" s="135">
        <f t="shared" si="114"/>
        <v>0</v>
      </c>
      <c r="BB26" s="135">
        <f t="shared" si="114"/>
        <v>0</v>
      </c>
      <c r="BC26" s="135">
        <f t="shared" si="114"/>
        <v>0</v>
      </c>
      <c r="BD26" s="135">
        <f t="shared" si="114"/>
        <v>0</v>
      </c>
      <c r="BE26" s="135">
        <f t="shared" si="114"/>
        <v>0</v>
      </c>
      <c r="BF26" s="135">
        <f t="shared" si="114"/>
        <v>0</v>
      </c>
      <c r="BG26" s="135">
        <f t="shared" si="114"/>
        <v>0</v>
      </c>
      <c r="BH26" s="135">
        <f t="shared" si="114"/>
        <v>0</v>
      </c>
      <c r="BI26" s="135">
        <f t="shared" si="114"/>
        <v>0</v>
      </c>
      <c r="BJ26" s="135">
        <f t="shared" si="114"/>
        <v>0</v>
      </c>
      <c r="BK26" s="135">
        <f t="shared" si="114"/>
        <v>0</v>
      </c>
      <c r="BL26" s="135">
        <f t="shared" si="114"/>
        <v>0</v>
      </c>
      <c r="BM26" s="135">
        <f t="shared" si="114"/>
        <v>0</v>
      </c>
      <c r="BN26" s="135">
        <f t="shared" si="114"/>
        <v>0</v>
      </c>
      <c r="BO26" s="135">
        <f t="shared" si="114"/>
        <v>0</v>
      </c>
      <c r="BP26" s="135">
        <f t="shared" si="114"/>
        <v>0</v>
      </c>
      <c r="BQ26" s="135">
        <f t="shared" si="114"/>
        <v>0</v>
      </c>
      <c r="BR26" s="135">
        <f t="shared" si="114"/>
        <v>0</v>
      </c>
      <c r="BS26" s="135">
        <f t="shared" si="114"/>
        <v>0</v>
      </c>
      <c r="BT26" s="135">
        <f t="shared" si="114"/>
        <v>0</v>
      </c>
      <c r="BU26" s="135">
        <f t="shared" si="114"/>
        <v>0</v>
      </c>
      <c r="BV26" s="135">
        <f t="shared" si="114"/>
        <v>0</v>
      </c>
      <c r="BW26" s="135">
        <f t="shared" si="112"/>
        <v>0</v>
      </c>
      <c r="BX26" s="135">
        <f t="shared" si="112"/>
        <v>0</v>
      </c>
      <c r="BY26" s="135">
        <f t="shared" si="112"/>
        <v>0</v>
      </c>
      <c r="BZ26" s="135">
        <f t="shared" si="112"/>
        <v>0</v>
      </c>
      <c r="CA26" s="135">
        <f t="shared" si="112"/>
        <v>0</v>
      </c>
      <c r="CB26" s="135">
        <f t="shared" si="112"/>
        <v>0</v>
      </c>
      <c r="CC26" s="135">
        <f t="shared" si="112"/>
        <v>0</v>
      </c>
      <c r="CD26" s="135">
        <f t="shared" si="112"/>
        <v>0</v>
      </c>
      <c r="CE26" s="135">
        <f t="shared" si="112"/>
        <v>0</v>
      </c>
      <c r="CF26" s="135">
        <f t="shared" si="112"/>
        <v>0</v>
      </c>
      <c r="CG26" s="135">
        <f t="shared" si="112"/>
        <v>0</v>
      </c>
      <c r="CH26" s="135">
        <f t="shared" si="112"/>
        <v>0</v>
      </c>
      <c r="CI26" s="135">
        <f t="shared" si="112"/>
        <v>0</v>
      </c>
      <c r="CJ26" s="135">
        <f t="shared" si="112"/>
        <v>0</v>
      </c>
      <c r="CK26" s="135">
        <f t="shared" si="112"/>
        <v>0</v>
      </c>
      <c r="CL26" s="135">
        <f t="shared" si="112"/>
        <v>0</v>
      </c>
      <c r="CM26" s="135">
        <f t="shared" si="112"/>
        <v>0</v>
      </c>
      <c r="CN26" s="135">
        <f t="shared" si="112"/>
        <v>0</v>
      </c>
      <c r="CO26" s="135">
        <f t="shared" si="112"/>
        <v>0</v>
      </c>
      <c r="CP26" s="135">
        <f t="shared" si="112"/>
        <v>0</v>
      </c>
      <c r="CQ26" s="135">
        <f t="shared" si="112"/>
        <v>0</v>
      </c>
      <c r="CR26" s="135">
        <f t="shared" si="112"/>
        <v>0</v>
      </c>
      <c r="CS26" s="135">
        <f t="shared" si="112"/>
        <v>0</v>
      </c>
      <c r="CT26" s="135">
        <f t="shared" si="112"/>
        <v>0</v>
      </c>
      <c r="CU26" s="135">
        <f t="shared" si="112"/>
        <v>0</v>
      </c>
      <c r="CV26" s="135">
        <f t="shared" si="112"/>
        <v>0</v>
      </c>
      <c r="CW26" s="135">
        <f t="shared" si="112"/>
        <v>0</v>
      </c>
      <c r="CX26" s="135">
        <f t="shared" si="112"/>
        <v>0</v>
      </c>
      <c r="CY26" s="135">
        <f t="shared" si="112"/>
        <v>0</v>
      </c>
      <c r="CZ26" s="135">
        <f t="shared" si="112"/>
        <v>0</v>
      </c>
      <c r="DA26" s="135">
        <f t="shared" si="112"/>
        <v>0</v>
      </c>
      <c r="DB26" s="135">
        <f t="shared" si="112"/>
        <v>0</v>
      </c>
      <c r="DC26" s="135">
        <f t="shared" si="112"/>
        <v>0</v>
      </c>
      <c r="DD26" s="135">
        <f t="shared" si="112"/>
        <v>0</v>
      </c>
      <c r="DE26" s="135">
        <f t="shared" si="112"/>
        <v>0</v>
      </c>
      <c r="DF26" s="135">
        <f t="shared" si="112"/>
        <v>0</v>
      </c>
      <c r="DG26" s="135">
        <f t="shared" si="112"/>
        <v>0</v>
      </c>
      <c r="DH26" s="135">
        <f t="shared" si="112"/>
        <v>0</v>
      </c>
      <c r="DI26" s="135">
        <f t="shared" si="112"/>
        <v>0</v>
      </c>
      <c r="DJ26" s="135">
        <f t="shared" si="112"/>
        <v>0</v>
      </c>
      <c r="DK26" s="135">
        <f t="shared" si="112"/>
        <v>0</v>
      </c>
      <c r="DL26" s="135">
        <f t="shared" si="112"/>
        <v>0</v>
      </c>
      <c r="DM26" s="135">
        <f t="shared" si="112"/>
        <v>0</v>
      </c>
      <c r="DN26" s="135">
        <f t="shared" si="112"/>
        <v>0</v>
      </c>
      <c r="DO26" s="135">
        <f t="shared" si="112"/>
        <v>0</v>
      </c>
      <c r="DP26" s="135">
        <f t="shared" si="112"/>
        <v>0</v>
      </c>
      <c r="DQ26" s="135">
        <f t="shared" si="112"/>
        <v>0</v>
      </c>
      <c r="DR26" s="135">
        <f t="shared" si="112"/>
        <v>0</v>
      </c>
      <c r="DS26" s="135">
        <f t="shared" si="112"/>
        <v>0</v>
      </c>
      <c r="DT26" s="135">
        <f t="shared" si="112"/>
        <v>0</v>
      </c>
      <c r="DU26" s="135">
        <f t="shared" si="112"/>
        <v>0</v>
      </c>
      <c r="DV26" s="135">
        <f t="shared" si="112"/>
        <v>0</v>
      </c>
      <c r="DW26" s="135">
        <f t="shared" si="112"/>
        <v>0</v>
      </c>
      <c r="DX26" s="135">
        <f t="shared" si="112"/>
        <v>0</v>
      </c>
      <c r="DY26" s="135">
        <f t="shared" si="112"/>
        <v>0</v>
      </c>
      <c r="DZ26" s="135">
        <f t="shared" si="112"/>
        <v>0</v>
      </c>
      <c r="EA26" s="135">
        <f t="shared" si="112"/>
        <v>0</v>
      </c>
      <c r="EB26" s="135">
        <f t="shared" si="112"/>
        <v>0</v>
      </c>
      <c r="EC26" s="135">
        <f t="shared" si="112"/>
        <v>0</v>
      </c>
      <c r="ED26" s="135">
        <f t="shared" si="112"/>
        <v>0</v>
      </c>
      <c r="EE26" s="135">
        <f t="shared" si="112"/>
        <v>0</v>
      </c>
      <c r="EF26" s="135">
        <f t="shared" si="112"/>
        <v>0</v>
      </c>
      <c r="EG26" s="135">
        <f t="shared" si="112"/>
        <v>0</v>
      </c>
      <c r="EH26" s="135">
        <f t="shared" ref="EH26:GS29" si="124">IFERROR(IF(EH$1=EOMONTH($G26,0),(-$E26+($E26*(DAY($G26)/DAY(EOMONTH(EH$1,0)))*$F26/12*(1-0.269))),IF(EH$1=$G26,($E26+($E26*(DAY($I26)/DAY(EOMONTH(EH$1,0)))*$F26/12*(1-0.269))),IFERROR(IF($I26&lt;EH$1,0,IF(EH$1&gt;$I26,(($F26/12)*$E26)*(DAY($I26)/DAY(EOMONTH(EH$1,0)))*(1-26.9/100)+$E26,IF(AND(EH$1&gt;=$G26,EH$1&lt;$I26),(($F26/12)*$E26)*(1-26.9/100),""))-IF(EH$1=EOMONTH($G26,0),$E26,"0")),0)+IF(EH$1=EOMONTH($I26,0),($E26+($E26*(DAY($I26)/DAY(EOMONTH(EH$1,0)))*$F26/12*(1-0.269))),"0"))),0)</f>
        <v>0</v>
      </c>
      <c r="EI26" s="135">
        <f t="shared" si="124"/>
        <v>0</v>
      </c>
      <c r="EJ26" s="135">
        <f t="shared" si="124"/>
        <v>0</v>
      </c>
      <c r="EK26" s="135">
        <f t="shared" si="124"/>
        <v>0</v>
      </c>
      <c r="EL26" s="135">
        <f t="shared" si="124"/>
        <v>0</v>
      </c>
      <c r="EM26" s="135">
        <f t="shared" si="124"/>
        <v>0</v>
      </c>
      <c r="EN26" s="135">
        <f t="shared" si="124"/>
        <v>0</v>
      </c>
      <c r="EO26" s="135">
        <f t="shared" si="124"/>
        <v>0</v>
      </c>
      <c r="EP26" s="135">
        <f t="shared" si="124"/>
        <v>0</v>
      </c>
      <c r="EQ26" s="135">
        <f t="shared" si="124"/>
        <v>0</v>
      </c>
      <c r="ER26" s="135">
        <f t="shared" si="124"/>
        <v>0</v>
      </c>
      <c r="ES26" s="135">
        <f t="shared" si="124"/>
        <v>0</v>
      </c>
      <c r="ET26" s="135">
        <f t="shared" si="124"/>
        <v>0</v>
      </c>
      <c r="EU26" s="135">
        <f t="shared" si="124"/>
        <v>0</v>
      </c>
      <c r="EV26" s="135">
        <f t="shared" si="124"/>
        <v>0</v>
      </c>
      <c r="EW26" s="135">
        <f t="shared" si="124"/>
        <v>0</v>
      </c>
      <c r="EX26" s="135">
        <f t="shared" si="124"/>
        <v>0</v>
      </c>
      <c r="EY26" s="135">
        <f t="shared" si="124"/>
        <v>0</v>
      </c>
      <c r="EZ26" s="135">
        <f t="shared" si="124"/>
        <v>0</v>
      </c>
      <c r="FA26" s="135">
        <f t="shared" si="124"/>
        <v>0</v>
      </c>
      <c r="FB26" s="135">
        <f t="shared" si="124"/>
        <v>0</v>
      </c>
      <c r="FC26" s="135">
        <f t="shared" si="124"/>
        <v>0</v>
      </c>
      <c r="FD26" s="135">
        <f t="shared" si="124"/>
        <v>0</v>
      </c>
      <c r="FE26" s="135">
        <f t="shared" si="124"/>
        <v>0</v>
      </c>
      <c r="FF26" s="135">
        <f t="shared" si="124"/>
        <v>0</v>
      </c>
      <c r="FG26" s="135">
        <f t="shared" si="124"/>
        <v>0</v>
      </c>
      <c r="FH26" s="135">
        <f t="shared" si="124"/>
        <v>0</v>
      </c>
      <c r="FI26" s="135">
        <f t="shared" si="124"/>
        <v>0</v>
      </c>
      <c r="FJ26" s="135">
        <f t="shared" si="124"/>
        <v>0</v>
      </c>
      <c r="FK26" s="135">
        <f t="shared" si="124"/>
        <v>0</v>
      </c>
      <c r="FL26" s="135">
        <f t="shared" si="124"/>
        <v>0</v>
      </c>
      <c r="FM26" s="135">
        <f t="shared" si="124"/>
        <v>0</v>
      </c>
      <c r="FN26" s="135">
        <f t="shared" si="124"/>
        <v>0</v>
      </c>
      <c r="FO26" s="135">
        <f t="shared" si="124"/>
        <v>0</v>
      </c>
      <c r="FP26" s="135">
        <f t="shared" si="124"/>
        <v>0</v>
      </c>
      <c r="FQ26" s="135">
        <f t="shared" si="124"/>
        <v>0</v>
      </c>
      <c r="FR26" s="135">
        <f t="shared" si="124"/>
        <v>0</v>
      </c>
      <c r="FS26" s="135">
        <f t="shared" si="124"/>
        <v>0</v>
      </c>
      <c r="FT26" s="135">
        <f t="shared" si="124"/>
        <v>0</v>
      </c>
      <c r="FU26" s="135">
        <f t="shared" si="124"/>
        <v>0</v>
      </c>
      <c r="FV26" s="135">
        <f t="shared" si="124"/>
        <v>0</v>
      </c>
      <c r="FW26" s="135">
        <f t="shared" si="124"/>
        <v>0</v>
      </c>
      <c r="FX26" s="135">
        <f t="shared" si="124"/>
        <v>0</v>
      </c>
      <c r="FY26" s="135">
        <f t="shared" si="124"/>
        <v>0</v>
      </c>
      <c r="FZ26" s="135">
        <f t="shared" si="124"/>
        <v>0</v>
      </c>
      <c r="GA26" s="135">
        <f t="shared" si="124"/>
        <v>0</v>
      </c>
      <c r="GB26" s="135">
        <f t="shared" si="124"/>
        <v>0</v>
      </c>
      <c r="GC26" s="135">
        <f t="shared" si="124"/>
        <v>0</v>
      </c>
      <c r="GD26" s="135">
        <f t="shared" si="124"/>
        <v>0</v>
      </c>
      <c r="GE26" s="135">
        <f t="shared" si="124"/>
        <v>0</v>
      </c>
      <c r="GF26" s="135">
        <f t="shared" si="124"/>
        <v>0</v>
      </c>
      <c r="GG26" s="135">
        <f t="shared" si="124"/>
        <v>0</v>
      </c>
      <c r="GH26" s="135">
        <f t="shared" si="124"/>
        <v>0</v>
      </c>
      <c r="GI26" s="135">
        <f t="shared" si="124"/>
        <v>0</v>
      </c>
      <c r="GJ26" s="135">
        <f t="shared" si="124"/>
        <v>0</v>
      </c>
      <c r="GK26" s="135">
        <f t="shared" si="124"/>
        <v>0</v>
      </c>
      <c r="GL26" s="135">
        <f t="shared" si="124"/>
        <v>0</v>
      </c>
      <c r="GM26" s="135">
        <f t="shared" si="124"/>
        <v>0</v>
      </c>
      <c r="GN26" s="135">
        <f t="shared" si="124"/>
        <v>0</v>
      </c>
      <c r="GO26" s="135">
        <f t="shared" si="124"/>
        <v>0</v>
      </c>
      <c r="GP26" s="135">
        <f t="shared" si="124"/>
        <v>0</v>
      </c>
      <c r="GQ26" s="135">
        <f t="shared" si="124"/>
        <v>0</v>
      </c>
      <c r="GR26" s="135">
        <f t="shared" si="124"/>
        <v>0</v>
      </c>
      <c r="GS26" s="135">
        <f t="shared" si="124"/>
        <v>0</v>
      </c>
      <c r="GT26" s="135">
        <f t="shared" si="117"/>
        <v>0</v>
      </c>
      <c r="GU26" s="135">
        <f t="shared" si="117"/>
        <v>0</v>
      </c>
      <c r="GV26" s="135">
        <f t="shared" si="117"/>
        <v>0</v>
      </c>
      <c r="GW26" s="135">
        <f t="shared" si="117"/>
        <v>0</v>
      </c>
      <c r="GX26" s="135">
        <f t="shared" si="117"/>
        <v>0</v>
      </c>
      <c r="GY26" s="135">
        <f t="shared" si="117"/>
        <v>0</v>
      </c>
      <c r="GZ26" s="135">
        <f t="shared" si="117"/>
        <v>0</v>
      </c>
      <c r="HA26" s="135">
        <f t="shared" si="117"/>
        <v>0</v>
      </c>
      <c r="HB26" s="135">
        <f t="shared" si="117"/>
        <v>0</v>
      </c>
      <c r="HC26" s="135">
        <f t="shared" si="117"/>
        <v>0</v>
      </c>
      <c r="HD26" s="135">
        <f t="shared" si="117"/>
        <v>0</v>
      </c>
      <c r="HE26" s="135">
        <f t="shared" si="117"/>
        <v>0</v>
      </c>
      <c r="HF26" s="135">
        <f t="shared" si="117"/>
        <v>0</v>
      </c>
      <c r="HG26" s="135">
        <f t="shared" si="117"/>
        <v>0</v>
      </c>
      <c r="HH26" s="135">
        <f t="shared" si="117"/>
        <v>0</v>
      </c>
      <c r="HI26" s="135">
        <f t="shared" si="117"/>
        <v>0</v>
      </c>
      <c r="HJ26" s="135">
        <f t="shared" si="117"/>
        <v>0</v>
      </c>
      <c r="HK26" s="135">
        <f t="shared" si="117"/>
        <v>0</v>
      </c>
      <c r="HL26" s="135">
        <f t="shared" si="117"/>
        <v>0</v>
      </c>
      <c r="HM26" s="135">
        <f t="shared" si="117"/>
        <v>0</v>
      </c>
      <c r="HN26" s="135">
        <f t="shared" si="117"/>
        <v>0</v>
      </c>
      <c r="HO26" s="135">
        <f t="shared" si="117"/>
        <v>0</v>
      </c>
      <c r="HP26" s="135">
        <f t="shared" si="117"/>
        <v>0</v>
      </c>
      <c r="HQ26" s="135">
        <f t="shared" si="117"/>
        <v>0</v>
      </c>
      <c r="HR26" s="135">
        <f t="shared" si="117"/>
        <v>0</v>
      </c>
      <c r="HS26" s="135">
        <f t="shared" si="117"/>
        <v>0</v>
      </c>
      <c r="HT26" s="135">
        <f t="shared" si="117"/>
        <v>0</v>
      </c>
      <c r="HU26" s="135">
        <f t="shared" si="117"/>
        <v>0</v>
      </c>
      <c r="HV26" s="135">
        <f t="shared" si="117"/>
        <v>0</v>
      </c>
      <c r="HW26" s="135">
        <f t="shared" si="117"/>
        <v>0</v>
      </c>
      <c r="HX26" s="135">
        <f t="shared" si="117"/>
        <v>0</v>
      </c>
      <c r="HY26" s="135">
        <f t="shared" si="117"/>
        <v>0</v>
      </c>
      <c r="HZ26" s="135">
        <f t="shared" si="117"/>
        <v>0</v>
      </c>
      <c r="IA26" s="135">
        <f t="shared" si="117"/>
        <v>0</v>
      </c>
      <c r="IB26" s="135">
        <f t="shared" si="117"/>
        <v>0</v>
      </c>
      <c r="IC26" s="135">
        <f t="shared" si="117"/>
        <v>0</v>
      </c>
      <c r="ID26" s="135">
        <f t="shared" si="117"/>
        <v>0</v>
      </c>
      <c r="IE26" s="135">
        <f t="shared" si="117"/>
        <v>0</v>
      </c>
      <c r="IF26" s="135">
        <f t="shared" si="117"/>
        <v>0</v>
      </c>
      <c r="IG26" s="135">
        <f t="shared" si="117"/>
        <v>0</v>
      </c>
      <c r="IH26" s="135">
        <f t="shared" si="117"/>
        <v>0</v>
      </c>
      <c r="II26" s="135">
        <f t="shared" si="117"/>
        <v>0</v>
      </c>
      <c r="IJ26" s="135">
        <f t="shared" si="117"/>
        <v>0</v>
      </c>
      <c r="IK26" s="135">
        <f t="shared" si="117"/>
        <v>0</v>
      </c>
      <c r="IL26" s="135">
        <f t="shared" si="117"/>
        <v>0</v>
      </c>
      <c r="IM26" s="135">
        <f t="shared" si="117"/>
        <v>0</v>
      </c>
      <c r="IN26" s="135">
        <f t="shared" si="117"/>
        <v>0</v>
      </c>
      <c r="IO26" s="135">
        <f t="shared" si="117"/>
        <v>0</v>
      </c>
      <c r="IP26" s="135">
        <f t="shared" si="117"/>
        <v>0</v>
      </c>
      <c r="IQ26" s="135">
        <f t="shared" si="117"/>
        <v>0</v>
      </c>
      <c r="IR26" s="135">
        <f t="shared" si="117"/>
        <v>0</v>
      </c>
      <c r="IS26" s="135">
        <f t="shared" si="117"/>
        <v>0</v>
      </c>
      <c r="IT26" s="135">
        <f t="shared" si="117"/>
        <v>0</v>
      </c>
      <c r="IU26" s="135">
        <f t="shared" si="117"/>
        <v>0</v>
      </c>
      <c r="IV26" s="135">
        <f t="shared" si="117"/>
        <v>0</v>
      </c>
      <c r="IW26" s="135">
        <f t="shared" si="117"/>
        <v>0</v>
      </c>
      <c r="IX26" s="135">
        <f t="shared" si="117"/>
        <v>0</v>
      </c>
      <c r="IY26" s="135">
        <f t="shared" si="117"/>
        <v>0</v>
      </c>
      <c r="IZ26" s="135">
        <f t="shared" si="117"/>
        <v>0</v>
      </c>
      <c r="JA26" s="135">
        <f t="shared" si="117"/>
        <v>0</v>
      </c>
      <c r="JB26" s="135">
        <f t="shared" si="117"/>
        <v>0</v>
      </c>
      <c r="JC26" s="135">
        <f t="shared" si="117"/>
        <v>0</v>
      </c>
      <c r="JD26" s="135">
        <f t="shared" si="117"/>
        <v>0</v>
      </c>
      <c r="JE26" s="135">
        <f t="shared" si="115"/>
        <v>0</v>
      </c>
      <c r="JF26" s="135">
        <f t="shared" si="115"/>
        <v>0</v>
      </c>
      <c r="JG26" s="135">
        <f t="shared" si="115"/>
        <v>0</v>
      </c>
      <c r="JH26" s="135">
        <f t="shared" si="115"/>
        <v>0</v>
      </c>
      <c r="JI26" s="135">
        <f t="shared" si="115"/>
        <v>0</v>
      </c>
      <c r="JJ26" s="135">
        <f t="shared" si="115"/>
        <v>0</v>
      </c>
      <c r="JK26" s="135">
        <f t="shared" si="115"/>
        <v>0</v>
      </c>
      <c r="JL26" s="135">
        <f t="shared" si="115"/>
        <v>0</v>
      </c>
      <c r="JM26" s="135">
        <f t="shared" si="115"/>
        <v>0</v>
      </c>
      <c r="JN26" s="135">
        <f t="shared" si="115"/>
        <v>0</v>
      </c>
      <c r="JO26" s="135">
        <f t="shared" si="115"/>
        <v>0</v>
      </c>
      <c r="JP26" s="135">
        <f t="shared" si="115"/>
        <v>0</v>
      </c>
      <c r="JQ26" s="135">
        <f t="shared" si="115"/>
        <v>0</v>
      </c>
      <c r="JR26" s="135">
        <f t="shared" si="115"/>
        <v>0</v>
      </c>
      <c r="JS26" s="135">
        <f t="shared" si="115"/>
        <v>0</v>
      </c>
      <c r="JT26" s="135">
        <f t="shared" si="115"/>
        <v>0</v>
      </c>
      <c r="JU26" s="135">
        <f t="shared" si="115"/>
        <v>0</v>
      </c>
      <c r="JV26" s="135">
        <f t="shared" si="115"/>
        <v>0</v>
      </c>
      <c r="JW26" s="135">
        <f t="shared" si="115"/>
        <v>0</v>
      </c>
      <c r="JX26" s="135">
        <f t="shared" si="115"/>
        <v>0</v>
      </c>
      <c r="JY26" s="135">
        <f t="shared" si="115"/>
        <v>0</v>
      </c>
      <c r="JZ26" s="135">
        <f t="shared" si="115"/>
        <v>0</v>
      </c>
      <c r="KA26" s="135">
        <f t="shared" si="115"/>
        <v>0</v>
      </c>
      <c r="KB26" s="135">
        <f t="shared" si="115"/>
        <v>0</v>
      </c>
      <c r="KC26" s="135">
        <f t="shared" si="115"/>
        <v>0</v>
      </c>
      <c r="KD26" s="135">
        <f t="shared" si="115"/>
        <v>0</v>
      </c>
      <c r="KE26" s="135">
        <f t="shared" si="115"/>
        <v>0</v>
      </c>
      <c r="KF26" s="135">
        <f t="shared" si="115"/>
        <v>0</v>
      </c>
      <c r="KG26" s="135">
        <f t="shared" si="115"/>
        <v>0</v>
      </c>
      <c r="KH26" s="135">
        <f t="shared" si="115"/>
        <v>0</v>
      </c>
      <c r="KI26" s="135">
        <f t="shared" si="115"/>
        <v>0</v>
      </c>
      <c r="KJ26" s="135">
        <f t="shared" si="115"/>
        <v>0</v>
      </c>
      <c r="KK26" s="135">
        <f t="shared" si="115"/>
        <v>0</v>
      </c>
      <c r="KL26" s="135">
        <f t="shared" si="115"/>
        <v>0</v>
      </c>
      <c r="KM26" s="135">
        <f t="shared" si="115"/>
        <v>0</v>
      </c>
      <c r="KN26" s="135">
        <f t="shared" si="115"/>
        <v>0</v>
      </c>
      <c r="KO26" s="135">
        <f t="shared" si="115"/>
        <v>0</v>
      </c>
      <c r="KP26" s="135">
        <f t="shared" si="115"/>
        <v>0</v>
      </c>
      <c r="KQ26" s="135">
        <f t="shared" si="115"/>
        <v>0</v>
      </c>
      <c r="KR26" s="135">
        <f t="shared" si="115"/>
        <v>0</v>
      </c>
      <c r="KS26" s="135">
        <f t="shared" si="115"/>
        <v>0</v>
      </c>
      <c r="KT26" s="135">
        <f t="shared" si="115"/>
        <v>0</v>
      </c>
      <c r="KU26" s="135">
        <f t="shared" si="115"/>
        <v>0</v>
      </c>
      <c r="KV26" s="135">
        <f t="shared" si="115"/>
        <v>0</v>
      </c>
      <c r="KW26" s="135">
        <f t="shared" si="115"/>
        <v>0</v>
      </c>
      <c r="KX26" s="135">
        <f t="shared" si="115"/>
        <v>0</v>
      </c>
      <c r="KY26" s="135">
        <f t="shared" si="115"/>
        <v>0</v>
      </c>
      <c r="KZ26" s="135">
        <f t="shared" si="115"/>
        <v>0</v>
      </c>
      <c r="LA26" s="135">
        <f t="shared" si="115"/>
        <v>0</v>
      </c>
      <c r="LB26" s="135">
        <f t="shared" si="115"/>
        <v>0</v>
      </c>
      <c r="LC26" s="135">
        <f t="shared" si="115"/>
        <v>0</v>
      </c>
      <c r="LD26" s="135">
        <f t="shared" si="115"/>
        <v>0</v>
      </c>
      <c r="LE26" s="135">
        <f t="shared" si="115"/>
        <v>0</v>
      </c>
      <c r="LF26" s="135">
        <f t="shared" si="115"/>
        <v>0</v>
      </c>
      <c r="LG26" s="135">
        <f t="shared" si="115"/>
        <v>0</v>
      </c>
      <c r="LH26" s="135">
        <f t="shared" si="115"/>
        <v>0</v>
      </c>
      <c r="LI26" s="135">
        <f t="shared" si="115"/>
        <v>0</v>
      </c>
      <c r="LJ26" s="135">
        <f t="shared" si="115"/>
        <v>0</v>
      </c>
      <c r="LK26" s="135">
        <f t="shared" si="115"/>
        <v>0</v>
      </c>
      <c r="LL26" s="135">
        <f t="shared" si="115"/>
        <v>0</v>
      </c>
      <c r="LM26" s="135">
        <f t="shared" si="115"/>
        <v>0</v>
      </c>
      <c r="LN26" s="135">
        <f t="shared" si="115"/>
        <v>0</v>
      </c>
      <c r="LO26" s="135">
        <f t="shared" si="115"/>
        <v>0</v>
      </c>
      <c r="LP26" s="135">
        <f t="shared" si="115"/>
        <v>0</v>
      </c>
      <c r="LQ26" s="135">
        <f t="shared" si="116"/>
        <v>0</v>
      </c>
      <c r="LR26" s="135">
        <f t="shared" si="116"/>
        <v>0</v>
      </c>
      <c r="LS26" s="135">
        <f t="shared" si="116"/>
        <v>0</v>
      </c>
      <c r="LT26" s="135">
        <f t="shared" si="116"/>
        <v>0</v>
      </c>
      <c r="LU26" s="135">
        <f t="shared" si="116"/>
        <v>0</v>
      </c>
      <c r="LV26" s="135">
        <f>IFERROR(IF(LV$1=EOMONTH($G26,0),(-$E26+($E26*(DAY($G26)/DAY(EOMONTH(LV$1,0)))*$F26/12*(1-0.269))),IF(LV$1=$G26,($E26+($E26*(DAY($I26)/DAY(EOMONTH(LV$1,0)))*$F26/12*(1-0.269))),IFERROR(IF($I26&lt;LV$1,0,IF(LV$1&gt;$I26,(($F26/12)*$E26)*(DAY($I26)/DAY(EOMONTH(LV$1,0)))*(1-26.9/100)+$E26,IF(AND(LV$1&gt;=$G26,LV$1&lt;$I26),(($F26/12)*$E26)*(1-26.9/100),""))-IF(LV$1=EOMONTH($G26,0),$E26,"0")),0)+IF(LV$1=EOMONTH($I26,0),($E26+($E26*(DAY($I26)/DAY(EOMONTH(LV$1,0)))*$F26/12*(1-0.269))),"0"))),0)</f>
        <v>0</v>
      </c>
      <c r="LW26" s="135">
        <f>IFERROR(IF(LW$1=EOMONTH($G26,0),(-$E26+($E26*(DAY($G26)/DAY(EOMONTH(LW$1,0)))*$F26/12*(1-0.269))),IF(LW$1=$G26,($E26+($E26*(DAY($I26)/DAY(EOMONTH(LW$1,0)))*$F26/12*(1-0.269))),IFERROR(IF($I26&lt;LW$1,0,IF(LW$1&gt;$I26,(($F26/12)*$E26)*(DAY($I26)/DAY(EOMONTH(LW$1,0)))*(1-26.9/100)+$E26,IF(AND(LW$1&gt;=$G26,LW$1&lt;$I26),(($F26/12)*$E26)*(1-26.9/100),""))-IF(LW$1=EOMONTH($G26,0),$E26,"0")),0)+IF(LW$1=EOMONTH($I26,0),($E26+($E26*(DAY($I26)/DAY(EOMONTH(LW$1,0)))*$F26/12*(1-0.269))),"0"))),0)</f>
        <v>0</v>
      </c>
      <c r="LX26" s="135">
        <f t="shared" si="118"/>
        <v>0</v>
      </c>
      <c r="LY26" s="135">
        <f t="shared" si="118"/>
        <v>0</v>
      </c>
      <c r="LZ26" s="135">
        <f t="shared" si="118"/>
        <v>0</v>
      </c>
      <c r="MA26" s="135">
        <f t="shared" si="118"/>
        <v>0</v>
      </c>
      <c r="MB26" s="135">
        <f t="shared" si="118"/>
        <v>0</v>
      </c>
      <c r="MC26" s="135">
        <f t="shared" si="118"/>
        <v>0</v>
      </c>
      <c r="MD26" s="135">
        <f t="shared" si="118"/>
        <v>0</v>
      </c>
      <c r="ME26" s="135">
        <f t="shared" si="118"/>
        <v>0</v>
      </c>
      <c r="MF26" s="135">
        <f t="shared" si="118"/>
        <v>0</v>
      </c>
      <c r="MG26" s="135">
        <f t="shared" si="118"/>
        <v>0</v>
      </c>
      <c r="MH26" s="135">
        <f t="shared" si="119"/>
        <v>0</v>
      </c>
      <c r="MI26" s="135">
        <f t="shared" si="119"/>
        <v>0</v>
      </c>
      <c r="MJ26" s="135">
        <f t="shared" si="119"/>
        <v>0</v>
      </c>
      <c r="MK26" s="135">
        <f t="shared" si="119"/>
        <v>0</v>
      </c>
      <c r="ML26" s="135">
        <f t="shared" si="119"/>
        <v>0</v>
      </c>
      <c r="MM26" s="135">
        <f t="shared" si="119"/>
        <v>0</v>
      </c>
      <c r="MN26" s="135">
        <f t="shared" si="119"/>
        <v>0</v>
      </c>
      <c r="MO26" s="135">
        <f t="shared" si="119"/>
        <v>0</v>
      </c>
      <c r="MP26" s="135">
        <f t="shared" si="119"/>
        <v>0</v>
      </c>
      <c r="MQ26" s="135">
        <f t="shared" si="119"/>
        <v>0</v>
      </c>
      <c r="MR26" s="135">
        <f t="shared" si="120"/>
        <v>0</v>
      </c>
      <c r="MS26" s="135">
        <f t="shared" si="120"/>
        <v>0</v>
      </c>
      <c r="MT26" s="135">
        <f t="shared" si="120"/>
        <v>0</v>
      </c>
      <c r="MU26" s="135">
        <f t="shared" si="120"/>
        <v>0</v>
      </c>
      <c r="MV26" s="135">
        <f t="shared" si="120"/>
        <v>0</v>
      </c>
      <c r="MW26" s="135">
        <f t="shared" si="120"/>
        <v>0</v>
      </c>
      <c r="MX26" s="135">
        <f t="shared" si="120"/>
        <v>0</v>
      </c>
      <c r="MY26" s="135">
        <f t="shared" si="120"/>
        <v>0</v>
      </c>
      <c r="MZ26" s="135">
        <f t="shared" si="120"/>
        <v>0</v>
      </c>
      <c r="NA26" s="135">
        <f t="shared" si="120"/>
        <v>0</v>
      </c>
      <c r="NB26" s="135">
        <f t="shared" si="121"/>
        <v>0</v>
      </c>
      <c r="NC26" s="135">
        <f t="shared" si="121"/>
        <v>0</v>
      </c>
      <c r="ND26" s="135">
        <f t="shared" si="121"/>
        <v>0</v>
      </c>
      <c r="NE26" s="135">
        <f t="shared" si="121"/>
        <v>0</v>
      </c>
      <c r="NF26" s="135">
        <f t="shared" si="121"/>
        <v>0</v>
      </c>
      <c r="NG26" s="135">
        <f t="shared" si="121"/>
        <v>0</v>
      </c>
      <c r="NH26" s="135">
        <f t="shared" si="121"/>
        <v>0</v>
      </c>
      <c r="NI26" s="135">
        <f t="shared" si="121"/>
        <v>0</v>
      </c>
      <c r="NJ26" s="135">
        <f t="shared" si="121"/>
        <v>0</v>
      </c>
      <c r="NK26" s="135">
        <f t="shared" si="121"/>
        <v>0</v>
      </c>
      <c r="NL26" s="135">
        <f t="shared" si="122"/>
        <v>0</v>
      </c>
      <c r="NM26" s="135">
        <f t="shared" si="122"/>
        <v>0</v>
      </c>
      <c r="NN26" s="135">
        <f t="shared" si="122"/>
        <v>0</v>
      </c>
      <c r="NO26" s="135">
        <f t="shared" si="122"/>
        <v>0</v>
      </c>
      <c r="NP26" s="135">
        <f t="shared" si="122"/>
        <v>0</v>
      </c>
      <c r="NQ26" s="135">
        <f t="shared" si="122"/>
        <v>0</v>
      </c>
      <c r="NR26" s="135">
        <f t="shared" si="122"/>
        <v>0</v>
      </c>
      <c r="NS26" s="135">
        <f t="shared" si="122"/>
        <v>0</v>
      </c>
      <c r="NT26" s="135">
        <f t="shared" si="122"/>
        <v>0</v>
      </c>
      <c r="NU26" s="135">
        <f t="shared" si="122"/>
        <v>0</v>
      </c>
      <c r="NV26" s="135">
        <f t="shared" si="123"/>
        <v>0</v>
      </c>
      <c r="NW26" s="135">
        <f t="shared" si="123"/>
        <v>0</v>
      </c>
      <c r="NX26" s="135">
        <f t="shared" si="123"/>
        <v>0</v>
      </c>
      <c r="NY26" s="135">
        <f t="shared" si="123"/>
        <v>0</v>
      </c>
      <c r="NZ26" s="135">
        <f t="shared" si="123"/>
        <v>0</v>
      </c>
      <c r="OA26" s="135">
        <f t="shared" si="123"/>
        <v>0</v>
      </c>
      <c r="OB26" s="135">
        <f t="shared" si="123"/>
        <v>0</v>
      </c>
      <c r="OC26" s="135">
        <f t="shared" si="123"/>
        <v>0</v>
      </c>
      <c r="OD26" s="135">
        <f t="shared" si="123"/>
        <v>0</v>
      </c>
      <c r="OE26" s="135">
        <f t="shared" si="123"/>
        <v>0</v>
      </c>
      <c r="OF26" s="135">
        <f t="shared" si="123"/>
        <v>0</v>
      </c>
      <c r="OG26" s="135">
        <f t="shared" si="57"/>
        <v>0</v>
      </c>
      <c r="OH26" s="135">
        <f t="shared" si="80"/>
        <v>0</v>
      </c>
      <c r="OI26" s="135">
        <f t="shared" si="80"/>
        <v>0</v>
      </c>
      <c r="OJ26" s="135">
        <f t="shared" si="80"/>
        <v>0</v>
      </c>
      <c r="OK26" s="135">
        <f t="shared" si="80"/>
        <v>0</v>
      </c>
      <c r="OL26" s="135">
        <f t="shared" si="80"/>
        <v>0</v>
      </c>
      <c r="OM26" s="135">
        <f t="shared" si="80"/>
        <v>0</v>
      </c>
      <c r="ON26" s="135">
        <f t="shared" si="80"/>
        <v>0</v>
      </c>
      <c r="OO26" s="135">
        <f t="shared" si="113"/>
        <v>0</v>
      </c>
      <c r="OP26" s="135">
        <f t="shared" si="113"/>
        <v>0</v>
      </c>
      <c r="OQ26" s="135">
        <f t="shared" si="113"/>
        <v>0</v>
      </c>
      <c r="OR26" s="135">
        <f t="shared" si="113"/>
        <v>0</v>
      </c>
      <c r="OS26" s="135">
        <f t="shared" si="113"/>
        <v>0</v>
      </c>
      <c r="OT26" s="135">
        <f t="shared" si="113"/>
        <v>0</v>
      </c>
      <c r="OU26" s="135">
        <f t="shared" si="113"/>
        <v>0</v>
      </c>
      <c r="OV26" s="135">
        <f t="shared" si="113"/>
        <v>0</v>
      </c>
      <c r="OW26" s="135">
        <f t="shared" si="113"/>
        <v>0</v>
      </c>
      <c r="OX26" s="135">
        <f t="shared" si="113"/>
        <v>0</v>
      </c>
      <c r="OY26" s="135">
        <f t="shared" si="113"/>
        <v>0</v>
      </c>
      <c r="OZ26" s="135">
        <f t="shared" si="113"/>
        <v>0</v>
      </c>
      <c r="PA26" s="135">
        <f t="shared" si="113"/>
        <v>0</v>
      </c>
      <c r="PB26" s="135">
        <f t="shared" si="113"/>
        <v>0</v>
      </c>
      <c r="PC26" s="135">
        <f t="shared" si="113"/>
        <v>0</v>
      </c>
      <c r="PD26" s="135">
        <f t="shared" si="113"/>
        <v>0</v>
      </c>
      <c r="PE26" s="135">
        <f t="shared" si="113"/>
        <v>0</v>
      </c>
      <c r="PF26" s="135">
        <f t="shared" si="113"/>
        <v>0</v>
      </c>
      <c r="PG26" s="135">
        <f t="shared" si="113"/>
        <v>0</v>
      </c>
      <c r="PH26" s="135">
        <f t="shared" si="113"/>
        <v>0</v>
      </c>
      <c r="PI26" s="135">
        <f t="shared" si="113"/>
        <v>0</v>
      </c>
      <c r="PJ26" s="135">
        <f t="shared" si="113"/>
        <v>0</v>
      </c>
      <c r="PK26" s="135">
        <f t="shared" si="113"/>
        <v>0</v>
      </c>
      <c r="PL26" s="135">
        <f t="shared" si="113"/>
        <v>0</v>
      </c>
      <c r="PM26" s="135">
        <f t="shared" si="113"/>
        <v>0</v>
      </c>
      <c r="PN26" s="135">
        <f t="shared" si="113"/>
        <v>0</v>
      </c>
      <c r="PO26" s="135">
        <f t="shared" si="113"/>
        <v>0</v>
      </c>
      <c r="PP26" s="135">
        <f t="shared" si="113"/>
        <v>0</v>
      </c>
      <c r="PQ26" s="135">
        <f t="shared" si="113"/>
        <v>0</v>
      </c>
      <c r="PR26" s="135">
        <f t="shared" si="113"/>
        <v>0</v>
      </c>
      <c r="PS26" s="135">
        <f t="shared" si="113"/>
        <v>0</v>
      </c>
      <c r="PT26" s="135">
        <f t="shared" si="113"/>
        <v>0</v>
      </c>
      <c r="PU26" s="135">
        <f t="shared" si="113"/>
        <v>0</v>
      </c>
      <c r="PV26" s="135">
        <f t="shared" si="113"/>
        <v>0</v>
      </c>
      <c r="PW26" s="135">
        <f t="shared" si="113"/>
        <v>0</v>
      </c>
      <c r="PX26" s="135">
        <f t="shared" si="113"/>
        <v>0</v>
      </c>
      <c r="PY26" s="135">
        <f t="shared" si="113"/>
        <v>0</v>
      </c>
      <c r="PZ26" s="135">
        <f t="shared" si="113"/>
        <v>0</v>
      </c>
      <c r="QA26" s="135">
        <f t="shared" si="113"/>
        <v>0</v>
      </c>
      <c r="QB26" s="135">
        <f t="shared" si="113"/>
        <v>0</v>
      </c>
      <c r="QC26" s="135">
        <f t="shared" si="113"/>
        <v>0</v>
      </c>
      <c r="QD26" s="135">
        <f t="shared" si="113"/>
        <v>0</v>
      </c>
      <c r="QE26" s="135">
        <f t="shared" si="113"/>
        <v>0</v>
      </c>
      <c r="QF26" s="135">
        <f t="shared" si="113"/>
        <v>0</v>
      </c>
      <c r="QG26" s="135">
        <f t="shared" si="113"/>
        <v>0</v>
      </c>
      <c r="QH26" s="135">
        <f t="shared" si="113"/>
        <v>0</v>
      </c>
      <c r="QI26" s="135">
        <f t="shared" si="113"/>
        <v>0</v>
      </c>
      <c r="QJ26" s="135">
        <f t="shared" si="113"/>
        <v>0</v>
      </c>
      <c r="QK26" s="135">
        <f t="shared" si="113"/>
        <v>0</v>
      </c>
      <c r="QL26" s="135">
        <f t="shared" si="113"/>
        <v>0</v>
      </c>
      <c r="QM26" s="135">
        <f t="shared" si="113"/>
        <v>0</v>
      </c>
      <c r="QN26" s="135">
        <f t="shared" si="113"/>
        <v>0</v>
      </c>
      <c r="QO26" s="135">
        <f t="shared" si="113"/>
        <v>0</v>
      </c>
      <c r="QP26" s="135">
        <f t="shared" si="113"/>
        <v>0</v>
      </c>
      <c r="QQ26" s="135">
        <f t="shared" si="113"/>
        <v>0</v>
      </c>
      <c r="QR26" s="135">
        <f t="shared" si="113"/>
        <v>0</v>
      </c>
      <c r="QS26" s="135">
        <f t="shared" si="113"/>
        <v>0</v>
      </c>
      <c r="QT26" s="135">
        <f t="shared" si="113"/>
        <v>0</v>
      </c>
      <c r="QU26" s="135">
        <f t="shared" si="113"/>
        <v>0</v>
      </c>
      <c r="QV26" s="135">
        <f t="shared" si="113"/>
        <v>0</v>
      </c>
      <c r="QW26" s="135">
        <f t="shared" si="113"/>
        <v>0</v>
      </c>
      <c r="QX26" s="135">
        <f t="shared" si="113"/>
        <v>0</v>
      </c>
      <c r="QY26" s="135">
        <f t="shared" si="113"/>
        <v>0</v>
      </c>
      <c r="QZ26" s="135">
        <f t="shared" ref="QZ26:TK29" si="125">IFERROR(IF(QZ$1=EOMONTH($G26,0),(-$E26+($E26*(DAY($G26)/DAY(EOMONTH(QZ$1,0)))*$F26/12*(1-0.269))),IF(QZ$1=$G26,($E26+($E26*(DAY($I26)/DAY(EOMONTH(QZ$1,0)))*$F26/12*(1-0.269))),IFERROR(IF($I26&lt;QZ$1,0,IF(QZ$1&gt;$I26,(($F26/12)*$E26)*(DAY($I26)/DAY(EOMONTH(QZ$1,0)))*(1-26.9/100)+$E26,IF(AND(QZ$1&gt;=$G26,QZ$1&lt;$I26),(($F26/12)*$E26)*(1-26.9/100),""))-IF(QZ$1=EOMONTH($G26,0),$E26,"0")),0)+IF(QZ$1=EOMONTH($I26,0),($E26+($E26*(DAY($I26)/DAY(EOMONTH(QZ$1,0)))*$F26/12*(1-0.269))),"0"))),0)</f>
        <v>0</v>
      </c>
      <c r="RA26" s="135">
        <f t="shared" si="125"/>
        <v>0</v>
      </c>
      <c r="RB26" s="135">
        <f t="shared" si="125"/>
        <v>0</v>
      </c>
      <c r="RC26" s="135">
        <f t="shared" si="125"/>
        <v>0</v>
      </c>
      <c r="RD26" s="135">
        <f t="shared" si="125"/>
        <v>0</v>
      </c>
      <c r="RE26" s="135">
        <f t="shared" si="125"/>
        <v>0</v>
      </c>
      <c r="RF26" s="135">
        <f t="shared" si="125"/>
        <v>0</v>
      </c>
      <c r="RG26" s="135">
        <f t="shared" si="125"/>
        <v>0</v>
      </c>
      <c r="RH26" s="135">
        <f t="shared" si="125"/>
        <v>0</v>
      </c>
      <c r="RI26" s="135">
        <f t="shared" si="125"/>
        <v>0</v>
      </c>
      <c r="RJ26" s="135">
        <f t="shared" si="125"/>
        <v>0</v>
      </c>
      <c r="RK26" s="135">
        <f t="shared" si="125"/>
        <v>0</v>
      </c>
      <c r="RL26" s="135">
        <f t="shared" si="125"/>
        <v>0</v>
      </c>
      <c r="RM26" s="135">
        <f t="shared" si="125"/>
        <v>0</v>
      </c>
      <c r="RN26" s="135">
        <f t="shared" si="125"/>
        <v>0</v>
      </c>
      <c r="RO26" s="135">
        <f t="shared" si="125"/>
        <v>0</v>
      </c>
      <c r="RP26" s="135">
        <f t="shared" si="125"/>
        <v>0</v>
      </c>
      <c r="RQ26" s="135">
        <f t="shared" si="125"/>
        <v>0</v>
      </c>
      <c r="RR26" s="135">
        <f t="shared" si="125"/>
        <v>0</v>
      </c>
      <c r="RS26" s="135">
        <f t="shared" si="125"/>
        <v>0</v>
      </c>
      <c r="RT26" s="135">
        <f t="shared" si="125"/>
        <v>0</v>
      </c>
      <c r="RU26" s="135">
        <f t="shared" si="125"/>
        <v>0</v>
      </c>
      <c r="RV26" s="135">
        <f t="shared" si="125"/>
        <v>0</v>
      </c>
      <c r="RW26" s="135">
        <f t="shared" si="125"/>
        <v>0</v>
      </c>
      <c r="RX26" s="135">
        <f t="shared" si="125"/>
        <v>0</v>
      </c>
      <c r="RY26" s="135">
        <f t="shared" si="125"/>
        <v>0</v>
      </c>
      <c r="RZ26" s="135">
        <f t="shared" si="125"/>
        <v>0</v>
      </c>
      <c r="SA26" s="135">
        <f t="shared" si="125"/>
        <v>0</v>
      </c>
      <c r="SB26" s="135">
        <f t="shared" si="125"/>
        <v>0</v>
      </c>
      <c r="SC26" s="135">
        <f t="shared" si="125"/>
        <v>0</v>
      </c>
      <c r="SD26" s="135">
        <f t="shared" si="125"/>
        <v>0</v>
      </c>
      <c r="SE26" s="135">
        <f t="shared" si="125"/>
        <v>0</v>
      </c>
      <c r="SF26" s="135">
        <f t="shared" si="125"/>
        <v>0</v>
      </c>
      <c r="SG26" s="135">
        <f t="shared" si="125"/>
        <v>0</v>
      </c>
      <c r="SH26" s="135">
        <f t="shared" si="125"/>
        <v>0</v>
      </c>
      <c r="SI26" s="135">
        <f t="shared" si="125"/>
        <v>0</v>
      </c>
      <c r="SJ26" s="135">
        <f t="shared" si="125"/>
        <v>0</v>
      </c>
      <c r="SK26" s="135">
        <f t="shared" si="125"/>
        <v>0</v>
      </c>
      <c r="SL26" s="135">
        <f t="shared" si="125"/>
        <v>0</v>
      </c>
      <c r="SM26" s="135">
        <f t="shared" si="125"/>
        <v>0</v>
      </c>
      <c r="SN26" s="135">
        <f t="shared" si="125"/>
        <v>0</v>
      </c>
      <c r="SO26" s="135">
        <f t="shared" si="125"/>
        <v>0</v>
      </c>
      <c r="SP26" s="135">
        <f t="shared" si="125"/>
        <v>0</v>
      </c>
      <c r="SQ26" s="135">
        <f t="shared" si="125"/>
        <v>0</v>
      </c>
      <c r="SR26" s="135">
        <f t="shared" si="125"/>
        <v>0</v>
      </c>
      <c r="SS26" s="135">
        <f t="shared" si="125"/>
        <v>0</v>
      </c>
      <c r="ST26" s="135">
        <f t="shared" si="125"/>
        <v>0</v>
      </c>
      <c r="SU26" s="135">
        <f t="shared" si="125"/>
        <v>0</v>
      </c>
      <c r="SV26" s="135">
        <f t="shared" si="125"/>
        <v>0</v>
      </c>
      <c r="SW26" s="135">
        <f t="shared" si="125"/>
        <v>0</v>
      </c>
      <c r="SX26" s="135">
        <f t="shared" si="125"/>
        <v>0</v>
      </c>
      <c r="SY26" s="135">
        <f t="shared" si="125"/>
        <v>0</v>
      </c>
      <c r="SZ26" s="135">
        <f t="shared" si="125"/>
        <v>0</v>
      </c>
      <c r="TA26" s="135">
        <f t="shared" si="125"/>
        <v>0</v>
      </c>
      <c r="TB26" s="135">
        <f t="shared" si="125"/>
        <v>0</v>
      </c>
      <c r="TC26" s="135">
        <f t="shared" si="125"/>
        <v>0</v>
      </c>
      <c r="TD26" s="135">
        <f t="shared" si="125"/>
        <v>0</v>
      </c>
      <c r="TE26" s="135">
        <f t="shared" si="125"/>
        <v>0</v>
      </c>
      <c r="TF26" s="135">
        <f t="shared" si="125"/>
        <v>0</v>
      </c>
      <c r="TG26" s="135">
        <f t="shared" si="125"/>
        <v>0</v>
      </c>
      <c r="TH26" s="135">
        <f t="shared" si="125"/>
        <v>0</v>
      </c>
      <c r="TI26" s="135">
        <f t="shared" si="125"/>
        <v>0</v>
      </c>
      <c r="TJ26" s="135">
        <f t="shared" si="125"/>
        <v>0</v>
      </c>
      <c r="TK26" s="135">
        <f t="shared" si="125"/>
        <v>0</v>
      </c>
      <c r="TL26" s="135">
        <f t="shared" si="111"/>
        <v>0</v>
      </c>
      <c r="TM26" s="135">
        <f t="shared" si="101"/>
        <v>0</v>
      </c>
      <c r="TN26" s="135">
        <f t="shared" si="101"/>
        <v>0</v>
      </c>
      <c r="TO26" s="135">
        <f t="shared" si="101"/>
        <v>0</v>
      </c>
      <c r="TP26" s="135">
        <f t="shared" si="101"/>
        <v>0</v>
      </c>
      <c r="TQ26" s="135">
        <f t="shared" si="101"/>
        <v>0</v>
      </c>
      <c r="TR26" s="135">
        <f t="shared" si="101"/>
        <v>0</v>
      </c>
      <c r="TS26" s="135">
        <f t="shared" si="101"/>
        <v>0</v>
      </c>
      <c r="TT26" s="135">
        <f t="shared" si="101"/>
        <v>0</v>
      </c>
      <c r="TU26" s="135">
        <f t="shared" si="101"/>
        <v>0</v>
      </c>
      <c r="TV26" s="135">
        <f t="shared" si="101"/>
        <v>0</v>
      </c>
      <c r="TW26" s="135">
        <f t="shared" si="102"/>
        <v>0</v>
      </c>
      <c r="TX26" s="135">
        <f t="shared" si="102"/>
        <v>0</v>
      </c>
      <c r="TY26" s="135">
        <f t="shared" si="102"/>
        <v>0</v>
      </c>
      <c r="TZ26" s="135">
        <f t="shared" si="102"/>
        <v>0</v>
      </c>
      <c r="UA26" s="135">
        <f t="shared" si="102"/>
        <v>0</v>
      </c>
      <c r="UB26" s="135">
        <f t="shared" si="102"/>
        <v>0</v>
      </c>
      <c r="UC26" s="135">
        <f t="shared" si="102"/>
        <v>0</v>
      </c>
      <c r="UD26" s="135">
        <f t="shared" si="102"/>
        <v>0</v>
      </c>
      <c r="UE26" s="135">
        <f t="shared" si="102"/>
        <v>0</v>
      </c>
      <c r="UF26" s="135">
        <f t="shared" si="102"/>
        <v>0</v>
      </c>
      <c r="UG26" s="135">
        <f t="shared" si="102"/>
        <v>0</v>
      </c>
      <c r="UH26" s="135">
        <f t="shared" si="102"/>
        <v>0</v>
      </c>
      <c r="UI26" s="135">
        <f t="shared" si="102"/>
        <v>0</v>
      </c>
      <c r="UJ26" s="135">
        <f t="shared" si="102"/>
        <v>0</v>
      </c>
      <c r="UK26" s="135">
        <f t="shared" si="102"/>
        <v>0</v>
      </c>
    </row>
    <row r="27" spans="2:557">
      <c r="B27" t="str">
        <f>IF(Samenvatting!$F128&lt;&gt;0,Samenvatting!C128,"")</f>
        <v/>
      </c>
      <c r="C27" t="str">
        <f>IF(Samenvatting!$F128&lt;&gt;0,Samenvatting!D128,"")</f>
        <v/>
      </c>
      <c r="D27" t="str">
        <f>IF(Samenvatting!$F128&lt;&gt;0,Samenvatting!E128,"")</f>
        <v/>
      </c>
      <c r="E27" t="str">
        <f>IF(Samenvatting!$F128&lt;&gt;0,Samenvatting!F128,"")</f>
        <v/>
      </c>
      <c r="F27" t="str">
        <f>IF(Samenvatting!$F128&lt;&gt;0,Samenvatting!H128,"")</f>
        <v/>
      </c>
      <c r="G27" s="134" t="str">
        <f>IF(Samenvatting!$F128&lt;&gt;0,Samenvatting!I128,"")</f>
        <v/>
      </c>
      <c r="H27" t="str">
        <f>IF(Samenvatting!$F128&lt;&gt;0,Samenvatting!J128,"")</f>
        <v/>
      </c>
      <c r="I27" s="134" t="str">
        <f>IF(Samenvatting!$F128&lt;&gt;0,Samenvatting!K128,"")</f>
        <v/>
      </c>
      <c r="J27" s="135">
        <f t="shared" si="0"/>
        <v>0</v>
      </c>
      <c r="K27" s="135">
        <f t="shared" si="114"/>
        <v>0</v>
      </c>
      <c r="L27" s="135">
        <f t="shared" si="114"/>
        <v>0</v>
      </c>
      <c r="M27" s="135">
        <f t="shared" si="114"/>
        <v>0</v>
      </c>
      <c r="N27" s="135">
        <f t="shared" si="114"/>
        <v>0</v>
      </c>
      <c r="O27" s="135">
        <f t="shared" si="114"/>
        <v>0</v>
      </c>
      <c r="P27" s="135">
        <f t="shared" si="114"/>
        <v>0</v>
      </c>
      <c r="Q27" s="135">
        <f t="shared" si="114"/>
        <v>0</v>
      </c>
      <c r="R27" s="135">
        <f t="shared" si="114"/>
        <v>0</v>
      </c>
      <c r="S27" s="135">
        <f t="shared" si="114"/>
        <v>0</v>
      </c>
      <c r="T27" s="135">
        <f t="shared" si="114"/>
        <v>0</v>
      </c>
      <c r="U27" s="135">
        <f t="shared" si="114"/>
        <v>0</v>
      </c>
      <c r="V27" s="135">
        <f t="shared" si="114"/>
        <v>0</v>
      </c>
      <c r="W27" s="135">
        <f t="shared" si="114"/>
        <v>0</v>
      </c>
      <c r="X27" s="135">
        <f t="shared" si="114"/>
        <v>0</v>
      </c>
      <c r="Y27" s="135">
        <f t="shared" si="114"/>
        <v>0</v>
      </c>
      <c r="Z27" s="135">
        <f t="shared" si="114"/>
        <v>0</v>
      </c>
      <c r="AA27" s="135">
        <f t="shared" si="114"/>
        <v>0</v>
      </c>
      <c r="AB27" s="135">
        <f t="shared" si="114"/>
        <v>0</v>
      </c>
      <c r="AC27" s="135">
        <f t="shared" si="114"/>
        <v>0</v>
      </c>
      <c r="AD27" s="135">
        <f t="shared" si="114"/>
        <v>0</v>
      </c>
      <c r="AE27" s="135">
        <f t="shared" si="114"/>
        <v>0</v>
      </c>
      <c r="AF27" s="135">
        <f t="shared" si="114"/>
        <v>0</v>
      </c>
      <c r="AG27" s="135">
        <f t="shared" si="114"/>
        <v>0</v>
      </c>
      <c r="AH27" s="135">
        <f t="shared" si="114"/>
        <v>0</v>
      </c>
      <c r="AI27" s="135">
        <f t="shared" si="114"/>
        <v>0</v>
      </c>
      <c r="AJ27" s="135">
        <f t="shared" si="114"/>
        <v>0</v>
      </c>
      <c r="AK27" s="135">
        <f t="shared" si="114"/>
        <v>0</v>
      </c>
      <c r="AL27" s="135">
        <f t="shared" si="114"/>
        <v>0</v>
      </c>
      <c r="AM27" s="135">
        <f t="shared" si="114"/>
        <v>0</v>
      </c>
      <c r="AN27" s="135">
        <f t="shared" si="114"/>
        <v>0</v>
      </c>
      <c r="AO27" s="135">
        <f t="shared" si="114"/>
        <v>0</v>
      </c>
      <c r="AP27" s="135">
        <f t="shared" si="114"/>
        <v>0</v>
      </c>
      <c r="AQ27" s="135">
        <f t="shared" si="114"/>
        <v>0</v>
      </c>
      <c r="AR27" s="135">
        <f t="shared" si="114"/>
        <v>0</v>
      </c>
      <c r="AS27" s="135">
        <f t="shared" si="114"/>
        <v>0</v>
      </c>
      <c r="AT27" s="135">
        <f t="shared" si="114"/>
        <v>0</v>
      </c>
      <c r="AU27" s="135">
        <f t="shared" si="114"/>
        <v>0</v>
      </c>
      <c r="AV27" s="135">
        <f t="shared" si="114"/>
        <v>0</v>
      </c>
      <c r="AW27" s="135">
        <f t="shared" si="114"/>
        <v>0</v>
      </c>
      <c r="AX27" s="135">
        <f t="shared" si="114"/>
        <v>0</v>
      </c>
      <c r="AY27" s="135">
        <f t="shared" si="114"/>
        <v>0</v>
      </c>
      <c r="AZ27" s="135">
        <f t="shared" si="114"/>
        <v>0</v>
      </c>
      <c r="BA27" s="135">
        <f t="shared" si="114"/>
        <v>0</v>
      </c>
      <c r="BB27" s="135">
        <f t="shared" si="114"/>
        <v>0</v>
      </c>
      <c r="BC27" s="135">
        <f t="shared" si="114"/>
        <v>0</v>
      </c>
      <c r="BD27" s="135">
        <f t="shared" si="114"/>
        <v>0</v>
      </c>
      <c r="BE27" s="135">
        <f t="shared" si="114"/>
        <v>0</v>
      </c>
      <c r="BF27" s="135">
        <f t="shared" si="114"/>
        <v>0</v>
      </c>
      <c r="BG27" s="135">
        <f t="shared" si="114"/>
        <v>0</v>
      </c>
      <c r="BH27" s="135">
        <f t="shared" si="114"/>
        <v>0</v>
      </c>
      <c r="BI27" s="135">
        <f t="shared" si="114"/>
        <v>0</v>
      </c>
      <c r="BJ27" s="135">
        <f t="shared" si="114"/>
        <v>0</v>
      </c>
      <c r="BK27" s="135">
        <f t="shared" si="114"/>
        <v>0</v>
      </c>
      <c r="BL27" s="135">
        <f t="shared" si="114"/>
        <v>0</v>
      </c>
      <c r="BM27" s="135">
        <f t="shared" si="114"/>
        <v>0</v>
      </c>
      <c r="BN27" s="135">
        <f t="shared" si="114"/>
        <v>0</v>
      </c>
      <c r="BO27" s="135">
        <f t="shared" si="114"/>
        <v>0</v>
      </c>
      <c r="BP27" s="135">
        <f t="shared" si="114"/>
        <v>0</v>
      </c>
      <c r="BQ27" s="135">
        <f t="shared" si="114"/>
        <v>0</v>
      </c>
      <c r="BR27" s="135">
        <f t="shared" si="114"/>
        <v>0</v>
      </c>
      <c r="BS27" s="135">
        <f t="shared" si="114"/>
        <v>0</v>
      </c>
      <c r="BT27" s="135">
        <f t="shared" si="114"/>
        <v>0</v>
      </c>
      <c r="BU27" s="135">
        <f t="shared" si="114"/>
        <v>0</v>
      </c>
      <c r="BV27" s="135">
        <f t="shared" ref="BV27:EG29" si="126">IFERROR(IF(BV$1=EOMONTH($G27,0),(-$E27+($E27*(DAY($G27)/DAY(EOMONTH(BV$1,0)))*$F27/12*(1-0.269))),IF(BV$1=$G27,($E27+($E27*(DAY($I27)/DAY(EOMONTH(BV$1,0)))*$F27/12*(1-0.269))),IFERROR(IF($I27&lt;BV$1,0,IF(BV$1&gt;$I27,(($F27/12)*$E27)*(DAY($I27)/DAY(EOMONTH(BV$1,0)))*(1-26.9/100)+$E27,IF(AND(BV$1&gt;=$G27,BV$1&lt;$I27),(($F27/12)*$E27)*(1-26.9/100),""))-IF(BV$1=EOMONTH($G27,0),$E27,"0")),0)+IF(BV$1=EOMONTH($I27,0),($E27+($E27*(DAY($I27)/DAY(EOMONTH(BV$1,0)))*$F27/12*(1-0.269))),"0"))),0)</f>
        <v>0</v>
      </c>
      <c r="BW27" s="135">
        <f t="shared" si="126"/>
        <v>0</v>
      </c>
      <c r="BX27" s="135">
        <f t="shared" si="126"/>
        <v>0</v>
      </c>
      <c r="BY27" s="135">
        <f t="shared" si="126"/>
        <v>0</v>
      </c>
      <c r="BZ27" s="135">
        <f t="shared" si="126"/>
        <v>0</v>
      </c>
      <c r="CA27" s="135">
        <f t="shared" si="126"/>
        <v>0</v>
      </c>
      <c r="CB27" s="135">
        <f t="shared" si="126"/>
        <v>0</v>
      </c>
      <c r="CC27" s="135">
        <f t="shared" si="126"/>
        <v>0</v>
      </c>
      <c r="CD27" s="135">
        <f t="shared" si="126"/>
        <v>0</v>
      </c>
      <c r="CE27" s="135">
        <f t="shared" si="126"/>
        <v>0</v>
      </c>
      <c r="CF27" s="135">
        <f t="shared" si="126"/>
        <v>0</v>
      </c>
      <c r="CG27" s="135">
        <f t="shared" si="126"/>
        <v>0</v>
      </c>
      <c r="CH27" s="135">
        <f t="shared" si="126"/>
        <v>0</v>
      </c>
      <c r="CI27" s="135">
        <f t="shared" si="126"/>
        <v>0</v>
      </c>
      <c r="CJ27" s="135">
        <f t="shared" si="126"/>
        <v>0</v>
      </c>
      <c r="CK27" s="135">
        <f t="shared" si="126"/>
        <v>0</v>
      </c>
      <c r="CL27" s="135">
        <f t="shared" si="126"/>
        <v>0</v>
      </c>
      <c r="CM27" s="135">
        <f t="shared" si="126"/>
        <v>0</v>
      </c>
      <c r="CN27" s="135">
        <f t="shared" si="126"/>
        <v>0</v>
      </c>
      <c r="CO27" s="135">
        <f t="shared" si="126"/>
        <v>0</v>
      </c>
      <c r="CP27" s="135">
        <f t="shared" si="126"/>
        <v>0</v>
      </c>
      <c r="CQ27" s="135">
        <f t="shared" si="126"/>
        <v>0</v>
      </c>
      <c r="CR27" s="135">
        <f t="shared" si="126"/>
        <v>0</v>
      </c>
      <c r="CS27" s="135">
        <f t="shared" si="126"/>
        <v>0</v>
      </c>
      <c r="CT27" s="135">
        <f t="shared" si="126"/>
        <v>0</v>
      </c>
      <c r="CU27" s="135">
        <f t="shared" si="126"/>
        <v>0</v>
      </c>
      <c r="CV27" s="135">
        <f t="shared" si="126"/>
        <v>0</v>
      </c>
      <c r="CW27" s="135">
        <f t="shared" si="126"/>
        <v>0</v>
      </c>
      <c r="CX27" s="135">
        <f t="shared" si="126"/>
        <v>0</v>
      </c>
      <c r="CY27" s="135">
        <f t="shared" si="126"/>
        <v>0</v>
      </c>
      <c r="CZ27" s="135">
        <f t="shared" si="126"/>
        <v>0</v>
      </c>
      <c r="DA27" s="135">
        <f t="shared" si="126"/>
        <v>0</v>
      </c>
      <c r="DB27" s="135">
        <f t="shared" si="126"/>
        <v>0</v>
      </c>
      <c r="DC27" s="135">
        <f t="shared" si="126"/>
        <v>0</v>
      </c>
      <c r="DD27" s="135">
        <f t="shared" si="126"/>
        <v>0</v>
      </c>
      <c r="DE27" s="135">
        <f t="shared" si="126"/>
        <v>0</v>
      </c>
      <c r="DF27" s="135">
        <f t="shared" si="126"/>
        <v>0</v>
      </c>
      <c r="DG27" s="135">
        <f t="shared" si="126"/>
        <v>0</v>
      </c>
      <c r="DH27" s="135">
        <f t="shared" si="126"/>
        <v>0</v>
      </c>
      <c r="DI27" s="135">
        <f t="shared" si="126"/>
        <v>0</v>
      </c>
      <c r="DJ27" s="135">
        <f t="shared" si="126"/>
        <v>0</v>
      </c>
      <c r="DK27" s="135">
        <f t="shared" si="126"/>
        <v>0</v>
      </c>
      <c r="DL27" s="135">
        <f t="shared" si="126"/>
        <v>0</v>
      </c>
      <c r="DM27" s="135">
        <f t="shared" si="126"/>
        <v>0</v>
      </c>
      <c r="DN27" s="135">
        <f t="shared" si="126"/>
        <v>0</v>
      </c>
      <c r="DO27" s="135">
        <f t="shared" si="126"/>
        <v>0</v>
      </c>
      <c r="DP27" s="135">
        <f t="shared" si="126"/>
        <v>0</v>
      </c>
      <c r="DQ27" s="135">
        <f t="shared" si="126"/>
        <v>0</v>
      </c>
      <c r="DR27" s="135">
        <f t="shared" si="126"/>
        <v>0</v>
      </c>
      <c r="DS27" s="135">
        <f t="shared" si="126"/>
        <v>0</v>
      </c>
      <c r="DT27" s="135">
        <f t="shared" si="126"/>
        <v>0</v>
      </c>
      <c r="DU27" s="135">
        <f t="shared" si="126"/>
        <v>0</v>
      </c>
      <c r="DV27" s="135">
        <f t="shared" si="126"/>
        <v>0</v>
      </c>
      <c r="DW27" s="135">
        <f t="shared" si="126"/>
        <v>0</v>
      </c>
      <c r="DX27" s="135">
        <f t="shared" si="126"/>
        <v>0</v>
      </c>
      <c r="DY27" s="135">
        <f t="shared" si="126"/>
        <v>0</v>
      </c>
      <c r="DZ27" s="135">
        <f t="shared" si="126"/>
        <v>0</v>
      </c>
      <c r="EA27" s="135">
        <f t="shared" si="126"/>
        <v>0</v>
      </c>
      <c r="EB27" s="135">
        <f t="shared" si="126"/>
        <v>0</v>
      </c>
      <c r="EC27" s="135">
        <f t="shared" si="126"/>
        <v>0</v>
      </c>
      <c r="ED27" s="135">
        <f t="shared" si="126"/>
        <v>0</v>
      </c>
      <c r="EE27" s="135">
        <f t="shared" si="126"/>
        <v>0</v>
      </c>
      <c r="EF27" s="135">
        <f t="shared" si="126"/>
        <v>0</v>
      </c>
      <c r="EG27" s="135">
        <f t="shared" si="126"/>
        <v>0</v>
      </c>
      <c r="EH27" s="135">
        <f t="shared" si="124"/>
        <v>0</v>
      </c>
      <c r="EI27" s="135">
        <f t="shared" si="124"/>
        <v>0</v>
      </c>
      <c r="EJ27" s="135">
        <f t="shared" si="124"/>
        <v>0</v>
      </c>
      <c r="EK27" s="135">
        <f t="shared" si="124"/>
        <v>0</v>
      </c>
      <c r="EL27" s="135">
        <f t="shared" si="124"/>
        <v>0</v>
      </c>
      <c r="EM27" s="135">
        <f t="shared" si="124"/>
        <v>0</v>
      </c>
      <c r="EN27" s="135">
        <f t="shared" si="124"/>
        <v>0</v>
      </c>
      <c r="EO27" s="135">
        <f t="shared" si="124"/>
        <v>0</v>
      </c>
      <c r="EP27" s="135">
        <f t="shared" si="124"/>
        <v>0</v>
      </c>
      <c r="EQ27" s="135">
        <f t="shared" si="124"/>
        <v>0</v>
      </c>
      <c r="ER27" s="135">
        <f t="shared" si="124"/>
        <v>0</v>
      </c>
      <c r="ES27" s="135">
        <f t="shared" si="124"/>
        <v>0</v>
      </c>
      <c r="ET27" s="135">
        <f t="shared" si="124"/>
        <v>0</v>
      </c>
      <c r="EU27" s="135">
        <f t="shared" si="124"/>
        <v>0</v>
      </c>
      <c r="EV27" s="135">
        <f t="shared" si="124"/>
        <v>0</v>
      </c>
      <c r="EW27" s="135">
        <f t="shared" si="124"/>
        <v>0</v>
      </c>
      <c r="EX27" s="135">
        <f t="shared" si="124"/>
        <v>0</v>
      </c>
      <c r="EY27" s="135">
        <f t="shared" si="124"/>
        <v>0</v>
      </c>
      <c r="EZ27" s="135">
        <f t="shared" si="124"/>
        <v>0</v>
      </c>
      <c r="FA27" s="135">
        <f t="shared" si="124"/>
        <v>0</v>
      </c>
      <c r="FB27" s="135">
        <f t="shared" si="124"/>
        <v>0</v>
      </c>
      <c r="FC27" s="135">
        <f t="shared" si="124"/>
        <v>0</v>
      </c>
      <c r="FD27" s="135">
        <f t="shared" si="124"/>
        <v>0</v>
      </c>
      <c r="FE27" s="135">
        <f t="shared" si="124"/>
        <v>0</v>
      </c>
      <c r="FF27" s="135">
        <f t="shared" si="124"/>
        <v>0</v>
      </c>
      <c r="FG27" s="135">
        <f t="shared" si="124"/>
        <v>0</v>
      </c>
      <c r="FH27" s="135">
        <f t="shared" si="124"/>
        <v>0</v>
      </c>
      <c r="FI27" s="135">
        <f t="shared" si="124"/>
        <v>0</v>
      </c>
      <c r="FJ27" s="135">
        <f t="shared" si="124"/>
        <v>0</v>
      </c>
      <c r="FK27" s="135">
        <f t="shared" si="124"/>
        <v>0</v>
      </c>
      <c r="FL27" s="135">
        <f t="shared" si="124"/>
        <v>0</v>
      </c>
      <c r="FM27" s="135">
        <f t="shared" si="124"/>
        <v>0</v>
      </c>
      <c r="FN27" s="135">
        <f t="shared" si="124"/>
        <v>0</v>
      </c>
      <c r="FO27" s="135">
        <f t="shared" si="124"/>
        <v>0</v>
      </c>
      <c r="FP27" s="135">
        <f t="shared" si="124"/>
        <v>0</v>
      </c>
      <c r="FQ27" s="135">
        <f t="shared" si="124"/>
        <v>0</v>
      </c>
      <c r="FR27" s="135">
        <f t="shared" si="124"/>
        <v>0</v>
      </c>
      <c r="FS27" s="135">
        <f t="shared" si="124"/>
        <v>0</v>
      </c>
      <c r="FT27" s="135">
        <f t="shared" si="124"/>
        <v>0</v>
      </c>
      <c r="FU27" s="135">
        <f t="shared" si="124"/>
        <v>0</v>
      </c>
      <c r="FV27" s="135">
        <f t="shared" si="124"/>
        <v>0</v>
      </c>
      <c r="FW27" s="135">
        <f t="shared" si="124"/>
        <v>0</v>
      </c>
      <c r="FX27" s="135">
        <f t="shared" si="124"/>
        <v>0</v>
      </c>
      <c r="FY27" s="135">
        <f t="shared" si="124"/>
        <v>0</v>
      </c>
      <c r="FZ27" s="135">
        <f t="shared" si="124"/>
        <v>0</v>
      </c>
      <c r="GA27" s="135">
        <f t="shared" si="124"/>
        <v>0</v>
      </c>
      <c r="GB27" s="135">
        <f t="shared" si="124"/>
        <v>0</v>
      </c>
      <c r="GC27" s="135">
        <f t="shared" si="124"/>
        <v>0</v>
      </c>
      <c r="GD27" s="135">
        <f t="shared" si="124"/>
        <v>0</v>
      </c>
      <c r="GE27" s="135">
        <f t="shared" si="124"/>
        <v>0</v>
      </c>
      <c r="GF27" s="135">
        <f t="shared" si="124"/>
        <v>0</v>
      </c>
      <c r="GG27" s="135">
        <f t="shared" si="124"/>
        <v>0</v>
      </c>
      <c r="GH27" s="135">
        <f t="shared" si="124"/>
        <v>0</v>
      </c>
      <c r="GI27" s="135">
        <f t="shared" si="124"/>
        <v>0</v>
      </c>
      <c r="GJ27" s="135">
        <f t="shared" si="124"/>
        <v>0</v>
      </c>
      <c r="GK27" s="135">
        <f t="shared" si="124"/>
        <v>0</v>
      </c>
      <c r="GL27" s="135">
        <f t="shared" si="124"/>
        <v>0</v>
      </c>
      <c r="GM27" s="135">
        <f t="shared" si="124"/>
        <v>0</v>
      </c>
      <c r="GN27" s="135">
        <f t="shared" si="124"/>
        <v>0</v>
      </c>
      <c r="GO27" s="135">
        <f t="shared" si="124"/>
        <v>0</v>
      </c>
      <c r="GP27" s="135">
        <f t="shared" si="124"/>
        <v>0</v>
      </c>
      <c r="GQ27" s="135">
        <f t="shared" si="124"/>
        <v>0</v>
      </c>
      <c r="GR27" s="135">
        <f t="shared" si="124"/>
        <v>0</v>
      </c>
      <c r="GS27" s="135">
        <f t="shared" si="124"/>
        <v>0</v>
      </c>
      <c r="GT27" s="135">
        <f t="shared" si="117"/>
        <v>0</v>
      </c>
      <c r="GU27" s="135">
        <f t="shared" si="117"/>
        <v>0</v>
      </c>
      <c r="GV27" s="135">
        <f t="shared" si="117"/>
        <v>0</v>
      </c>
      <c r="GW27" s="135">
        <f t="shared" si="117"/>
        <v>0</v>
      </c>
      <c r="GX27" s="135">
        <f t="shared" si="117"/>
        <v>0</v>
      </c>
      <c r="GY27" s="135">
        <f t="shared" si="117"/>
        <v>0</v>
      </c>
      <c r="GZ27" s="135">
        <f t="shared" si="117"/>
        <v>0</v>
      </c>
      <c r="HA27" s="135">
        <f t="shared" si="117"/>
        <v>0</v>
      </c>
      <c r="HB27" s="135">
        <f t="shared" si="117"/>
        <v>0</v>
      </c>
      <c r="HC27" s="135">
        <f t="shared" si="117"/>
        <v>0</v>
      </c>
      <c r="HD27" s="135">
        <f t="shared" si="117"/>
        <v>0</v>
      </c>
      <c r="HE27" s="135">
        <f t="shared" si="117"/>
        <v>0</v>
      </c>
      <c r="HF27" s="135">
        <f t="shared" si="117"/>
        <v>0</v>
      </c>
      <c r="HG27" s="135">
        <f t="shared" si="117"/>
        <v>0</v>
      </c>
      <c r="HH27" s="135">
        <f t="shared" si="117"/>
        <v>0</v>
      </c>
      <c r="HI27" s="135">
        <f t="shared" si="117"/>
        <v>0</v>
      </c>
      <c r="HJ27" s="135">
        <f t="shared" si="117"/>
        <v>0</v>
      </c>
      <c r="HK27" s="135">
        <f t="shared" si="117"/>
        <v>0</v>
      </c>
      <c r="HL27" s="135">
        <f t="shared" si="117"/>
        <v>0</v>
      </c>
      <c r="HM27" s="135">
        <f t="shared" si="117"/>
        <v>0</v>
      </c>
      <c r="HN27" s="135">
        <f t="shared" si="117"/>
        <v>0</v>
      </c>
      <c r="HO27" s="135">
        <f t="shared" si="117"/>
        <v>0</v>
      </c>
      <c r="HP27" s="135">
        <f t="shared" si="117"/>
        <v>0</v>
      </c>
      <c r="HQ27" s="135">
        <f t="shared" si="117"/>
        <v>0</v>
      </c>
      <c r="HR27" s="135">
        <f t="shared" si="117"/>
        <v>0</v>
      </c>
      <c r="HS27" s="135">
        <f t="shared" si="117"/>
        <v>0</v>
      </c>
      <c r="HT27" s="135">
        <f t="shared" si="117"/>
        <v>0</v>
      </c>
      <c r="HU27" s="135">
        <f t="shared" si="117"/>
        <v>0</v>
      </c>
      <c r="HV27" s="135">
        <f t="shared" si="117"/>
        <v>0</v>
      </c>
      <c r="HW27" s="135">
        <f t="shared" si="117"/>
        <v>0</v>
      </c>
      <c r="HX27" s="135">
        <f t="shared" si="117"/>
        <v>0</v>
      </c>
      <c r="HY27" s="135">
        <f t="shared" si="117"/>
        <v>0</v>
      </c>
      <c r="HZ27" s="135">
        <f t="shared" si="117"/>
        <v>0</v>
      </c>
      <c r="IA27" s="135">
        <f t="shared" si="117"/>
        <v>0</v>
      </c>
      <c r="IB27" s="135">
        <f t="shared" si="117"/>
        <v>0</v>
      </c>
      <c r="IC27" s="135">
        <f t="shared" si="117"/>
        <v>0</v>
      </c>
      <c r="ID27" s="135">
        <f t="shared" si="117"/>
        <v>0</v>
      </c>
      <c r="IE27" s="135">
        <f t="shared" si="117"/>
        <v>0</v>
      </c>
      <c r="IF27" s="135">
        <f t="shared" si="117"/>
        <v>0</v>
      </c>
      <c r="IG27" s="135">
        <f t="shared" si="117"/>
        <v>0</v>
      </c>
      <c r="IH27" s="135">
        <f t="shared" si="117"/>
        <v>0</v>
      </c>
      <c r="II27" s="135">
        <f t="shared" si="117"/>
        <v>0</v>
      </c>
      <c r="IJ27" s="135">
        <f t="shared" si="117"/>
        <v>0</v>
      </c>
      <c r="IK27" s="135">
        <f t="shared" si="117"/>
        <v>0</v>
      </c>
      <c r="IL27" s="135">
        <f t="shared" si="117"/>
        <v>0</v>
      </c>
      <c r="IM27" s="135">
        <f t="shared" si="117"/>
        <v>0</v>
      </c>
      <c r="IN27" s="135">
        <f t="shared" si="117"/>
        <v>0</v>
      </c>
      <c r="IO27" s="135">
        <f t="shared" si="117"/>
        <v>0</v>
      </c>
      <c r="IP27" s="135">
        <f t="shared" si="117"/>
        <v>0</v>
      </c>
      <c r="IQ27" s="135">
        <f t="shared" si="117"/>
        <v>0</v>
      </c>
      <c r="IR27" s="135">
        <f t="shared" si="117"/>
        <v>0</v>
      </c>
      <c r="IS27" s="135">
        <f t="shared" si="117"/>
        <v>0</v>
      </c>
      <c r="IT27" s="135">
        <f t="shared" si="117"/>
        <v>0</v>
      </c>
      <c r="IU27" s="135">
        <f t="shared" si="117"/>
        <v>0</v>
      </c>
      <c r="IV27" s="135">
        <f t="shared" si="117"/>
        <v>0</v>
      </c>
      <c r="IW27" s="135">
        <f t="shared" si="117"/>
        <v>0</v>
      </c>
      <c r="IX27" s="135">
        <f t="shared" si="117"/>
        <v>0</v>
      </c>
      <c r="IY27" s="135">
        <f t="shared" si="117"/>
        <v>0</v>
      </c>
      <c r="IZ27" s="135">
        <f t="shared" si="117"/>
        <v>0</v>
      </c>
      <c r="JA27" s="135">
        <f t="shared" si="117"/>
        <v>0</v>
      </c>
      <c r="JB27" s="135">
        <f t="shared" si="117"/>
        <v>0</v>
      </c>
      <c r="JC27" s="135">
        <f t="shared" si="117"/>
        <v>0</v>
      </c>
      <c r="JD27" s="135">
        <f t="shared" si="117"/>
        <v>0</v>
      </c>
      <c r="JE27" s="135">
        <f t="shared" si="115"/>
        <v>0</v>
      </c>
      <c r="JF27" s="135">
        <f t="shared" si="115"/>
        <v>0</v>
      </c>
      <c r="JG27" s="135">
        <f t="shared" si="115"/>
        <v>0</v>
      </c>
      <c r="JH27" s="135">
        <f t="shared" si="115"/>
        <v>0</v>
      </c>
      <c r="JI27" s="135">
        <f t="shared" si="115"/>
        <v>0</v>
      </c>
      <c r="JJ27" s="135">
        <f t="shared" si="115"/>
        <v>0</v>
      </c>
      <c r="JK27" s="135">
        <f t="shared" si="115"/>
        <v>0</v>
      </c>
      <c r="JL27" s="135">
        <f t="shared" si="115"/>
        <v>0</v>
      </c>
      <c r="JM27" s="135">
        <f t="shared" si="115"/>
        <v>0</v>
      </c>
      <c r="JN27" s="135">
        <f t="shared" si="115"/>
        <v>0</v>
      </c>
      <c r="JO27" s="135">
        <f t="shared" si="115"/>
        <v>0</v>
      </c>
      <c r="JP27" s="135">
        <f t="shared" si="115"/>
        <v>0</v>
      </c>
      <c r="JQ27" s="135">
        <f t="shared" si="115"/>
        <v>0</v>
      </c>
      <c r="JR27" s="135">
        <f t="shared" si="115"/>
        <v>0</v>
      </c>
      <c r="JS27" s="135">
        <f t="shared" si="115"/>
        <v>0</v>
      </c>
      <c r="JT27" s="135">
        <f t="shared" si="115"/>
        <v>0</v>
      </c>
      <c r="JU27" s="135">
        <f t="shared" si="115"/>
        <v>0</v>
      </c>
      <c r="JV27" s="135">
        <f t="shared" si="115"/>
        <v>0</v>
      </c>
      <c r="JW27" s="135">
        <f t="shared" si="115"/>
        <v>0</v>
      </c>
      <c r="JX27" s="135">
        <f t="shared" si="115"/>
        <v>0</v>
      </c>
      <c r="JY27" s="135">
        <f t="shared" si="115"/>
        <v>0</v>
      </c>
      <c r="JZ27" s="135">
        <f t="shared" si="115"/>
        <v>0</v>
      </c>
      <c r="KA27" s="135">
        <f t="shared" si="115"/>
        <v>0</v>
      </c>
      <c r="KB27" s="135">
        <f t="shared" si="115"/>
        <v>0</v>
      </c>
      <c r="KC27" s="135">
        <f t="shared" si="115"/>
        <v>0</v>
      </c>
      <c r="KD27" s="135">
        <f t="shared" si="115"/>
        <v>0</v>
      </c>
      <c r="KE27" s="135">
        <f t="shared" si="115"/>
        <v>0</v>
      </c>
      <c r="KF27" s="135">
        <f t="shared" si="115"/>
        <v>0</v>
      </c>
      <c r="KG27" s="135">
        <f t="shared" si="115"/>
        <v>0</v>
      </c>
      <c r="KH27" s="135">
        <f t="shared" si="115"/>
        <v>0</v>
      </c>
      <c r="KI27" s="135">
        <f t="shared" si="115"/>
        <v>0</v>
      </c>
      <c r="KJ27" s="135">
        <f t="shared" si="115"/>
        <v>0</v>
      </c>
      <c r="KK27" s="135">
        <f t="shared" si="115"/>
        <v>0</v>
      </c>
      <c r="KL27" s="135">
        <f t="shared" si="115"/>
        <v>0</v>
      </c>
      <c r="KM27" s="135">
        <f t="shared" si="115"/>
        <v>0</v>
      </c>
      <c r="KN27" s="135">
        <f t="shared" si="115"/>
        <v>0</v>
      </c>
      <c r="KO27" s="135">
        <f t="shared" si="115"/>
        <v>0</v>
      </c>
      <c r="KP27" s="135">
        <f t="shared" si="115"/>
        <v>0</v>
      </c>
      <c r="KQ27" s="135">
        <f t="shared" si="115"/>
        <v>0</v>
      </c>
      <c r="KR27" s="135">
        <f t="shared" si="115"/>
        <v>0</v>
      </c>
      <c r="KS27" s="135">
        <f t="shared" si="115"/>
        <v>0</v>
      </c>
      <c r="KT27" s="135">
        <f t="shared" si="115"/>
        <v>0</v>
      </c>
      <c r="KU27" s="135">
        <f t="shared" si="115"/>
        <v>0</v>
      </c>
      <c r="KV27" s="135">
        <f t="shared" si="115"/>
        <v>0</v>
      </c>
      <c r="KW27" s="135">
        <f t="shared" si="115"/>
        <v>0</v>
      </c>
      <c r="KX27" s="135">
        <f t="shared" si="115"/>
        <v>0</v>
      </c>
      <c r="KY27" s="135">
        <f t="shared" si="115"/>
        <v>0</v>
      </c>
      <c r="KZ27" s="135">
        <f t="shared" si="115"/>
        <v>0</v>
      </c>
      <c r="LA27" s="135">
        <f t="shared" si="115"/>
        <v>0</v>
      </c>
      <c r="LB27" s="135">
        <f t="shared" si="115"/>
        <v>0</v>
      </c>
      <c r="LC27" s="135">
        <f t="shared" si="115"/>
        <v>0</v>
      </c>
      <c r="LD27" s="135">
        <f t="shared" si="115"/>
        <v>0</v>
      </c>
      <c r="LE27" s="135">
        <f t="shared" si="115"/>
        <v>0</v>
      </c>
      <c r="LF27" s="135">
        <f t="shared" si="115"/>
        <v>0</v>
      </c>
      <c r="LG27" s="135">
        <f t="shared" si="115"/>
        <v>0</v>
      </c>
      <c r="LH27" s="135">
        <f t="shared" si="115"/>
        <v>0</v>
      </c>
      <c r="LI27" s="135">
        <f t="shared" si="115"/>
        <v>0</v>
      </c>
      <c r="LJ27" s="135">
        <f t="shared" si="115"/>
        <v>0</v>
      </c>
      <c r="LK27" s="135">
        <f t="shared" si="115"/>
        <v>0</v>
      </c>
      <c r="LL27" s="135">
        <f t="shared" si="115"/>
        <v>0</v>
      </c>
      <c r="LM27" s="135">
        <f t="shared" si="115"/>
        <v>0</v>
      </c>
      <c r="LN27" s="135">
        <f t="shared" si="115"/>
        <v>0</v>
      </c>
      <c r="LO27" s="135">
        <f t="shared" si="115"/>
        <v>0</v>
      </c>
      <c r="LP27" s="135">
        <f t="shared" ref="LP27:OA29" si="127">IFERROR(IF(LP$1=EOMONTH($G27,0),(-$E27+($E27*(DAY($G27)/DAY(EOMONTH(LP$1,0)))*$F27/12*(1-0.269))),IF(LP$1=$G27,($E27+($E27*(DAY($I27)/DAY(EOMONTH(LP$1,0)))*$F27/12*(1-0.269))),IFERROR(IF($I27&lt;LP$1,0,IF(LP$1&gt;$I27,(($F27/12)*$E27)*(DAY($I27)/DAY(EOMONTH(LP$1,0)))*(1-26.9/100)+$E27,IF(AND(LP$1&gt;=$G27,LP$1&lt;$I27),(($F27/12)*$E27)*(1-26.9/100),""))-IF(LP$1=EOMONTH($G27,0),$E27,"0")),0)+IF(LP$1=EOMONTH($I27,0),($E27+($E27*(DAY($I27)/DAY(EOMONTH(LP$1,0)))*$F27/12*(1-0.269))),"0"))),0)</f>
        <v>0</v>
      </c>
      <c r="LQ27" s="135">
        <f t="shared" si="127"/>
        <v>0</v>
      </c>
      <c r="LR27" s="135">
        <f t="shared" si="127"/>
        <v>0</v>
      </c>
      <c r="LS27" s="135">
        <f t="shared" si="127"/>
        <v>0</v>
      </c>
      <c r="LT27" s="135">
        <f t="shared" si="127"/>
        <v>0</v>
      </c>
      <c r="LU27" s="135">
        <f t="shared" si="127"/>
        <v>0</v>
      </c>
      <c r="LV27" s="135">
        <f t="shared" si="127"/>
        <v>0</v>
      </c>
      <c r="LW27" s="135">
        <f t="shared" si="127"/>
        <v>0</v>
      </c>
      <c r="LX27" s="135">
        <f t="shared" si="127"/>
        <v>0</v>
      </c>
      <c r="LY27" s="135">
        <f t="shared" si="127"/>
        <v>0</v>
      </c>
      <c r="LZ27" s="135">
        <f t="shared" si="127"/>
        <v>0</v>
      </c>
      <c r="MA27" s="135">
        <f t="shared" si="127"/>
        <v>0</v>
      </c>
      <c r="MB27" s="135">
        <f t="shared" si="127"/>
        <v>0</v>
      </c>
      <c r="MC27" s="135">
        <f t="shared" si="127"/>
        <v>0</v>
      </c>
      <c r="MD27" s="135">
        <f t="shared" si="127"/>
        <v>0</v>
      </c>
      <c r="ME27" s="135">
        <f t="shared" si="127"/>
        <v>0</v>
      </c>
      <c r="MF27" s="135">
        <f t="shared" si="127"/>
        <v>0</v>
      </c>
      <c r="MG27" s="135">
        <f t="shared" si="127"/>
        <v>0</v>
      </c>
      <c r="MH27" s="135">
        <f t="shared" si="127"/>
        <v>0</v>
      </c>
      <c r="MI27" s="135">
        <f t="shared" si="127"/>
        <v>0</v>
      </c>
      <c r="MJ27" s="135">
        <f t="shared" si="127"/>
        <v>0</v>
      </c>
      <c r="MK27" s="135">
        <f t="shared" si="127"/>
        <v>0</v>
      </c>
      <c r="ML27" s="135">
        <f t="shared" si="127"/>
        <v>0</v>
      </c>
      <c r="MM27" s="135">
        <f t="shared" si="127"/>
        <v>0</v>
      </c>
      <c r="MN27" s="135">
        <f t="shared" si="127"/>
        <v>0</v>
      </c>
      <c r="MO27" s="135">
        <f t="shared" si="127"/>
        <v>0</v>
      </c>
      <c r="MP27" s="135">
        <f t="shared" si="127"/>
        <v>0</v>
      </c>
      <c r="MQ27" s="135">
        <f t="shared" si="127"/>
        <v>0</v>
      </c>
      <c r="MR27" s="135">
        <f t="shared" si="127"/>
        <v>0</v>
      </c>
      <c r="MS27" s="135">
        <f t="shared" si="127"/>
        <v>0</v>
      </c>
      <c r="MT27" s="135">
        <f t="shared" si="127"/>
        <v>0</v>
      </c>
      <c r="MU27" s="135">
        <f t="shared" si="127"/>
        <v>0</v>
      </c>
      <c r="MV27" s="135">
        <f t="shared" si="127"/>
        <v>0</v>
      </c>
      <c r="MW27" s="135">
        <f t="shared" si="127"/>
        <v>0</v>
      </c>
      <c r="MX27" s="135">
        <f t="shared" si="127"/>
        <v>0</v>
      </c>
      <c r="MY27" s="135">
        <f t="shared" si="127"/>
        <v>0</v>
      </c>
      <c r="MZ27" s="135">
        <f t="shared" si="127"/>
        <v>0</v>
      </c>
      <c r="NA27" s="135">
        <f t="shared" si="127"/>
        <v>0</v>
      </c>
      <c r="NB27" s="135">
        <f t="shared" si="127"/>
        <v>0</v>
      </c>
      <c r="NC27" s="135">
        <f t="shared" si="127"/>
        <v>0</v>
      </c>
      <c r="ND27" s="135">
        <f t="shared" si="127"/>
        <v>0</v>
      </c>
      <c r="NE27" s="135">
        <f t="shared" si="127"/>
        <v>0</v>
      </c>
      <c r="NF27" s="135">
        <f t="shared" si="127"/>
        <v>0</v>
      </c>
      <c r="NG27" s="135">
        <f t="shared" si="127"/>
        <v>0</v>
      </c>
      <c r="NH27" s="135">
        <f t="shared" si="127"/>
        <v>0</v>
      </c>
      <c r="NI27" s="135">
        <f t="shared" si="127"/>
        <v>0</v>
      </c>
      <c r="NJ27" s="135">
        <f t="shared" si="127"/>
        <v>0</v>
      </c>
      <c r="NK27" s="135">
        <f t="shared" si="127"/>
        <v>0</v>
      </c>
      <c r="NL27" s="135">
        <f t="shared" si="127"/>
        <v>0</v>
      </c>
      <c r="NM27" s="135">
        <f t="shared" si="127"/>
        <v>0</v>
      </c>
      <c r="NN27" s="135">
        <f t="shared" si="127"/>
        <v>0</v>
      </c>
      <c r="NO27" s="135">
        <f t="shared" si="127"/>
        <v>0</v>
      </c>
      <c r="NP27" s="135">
        <f t="shared" si="127"/>
        <v>0</v>
      </c>
      <c r="NQ27" s="135">
        <f t="shared" si="127"/>
        <v>0</v>
      </c>
      <c r="NR27" s="135">
        <f t="shared" si="127"/>
        <v>0</v>
      </c>
      <c r="NS27" s="135">
        <f t="shared" si="127"/>
        <v>0</v>
      </c>
      <c r="NT27" s="135">
        <f t="shared" si="127"/>
        <v>0</v>
      </c>
      <c r="NU27" s="135">
        <f t="shared" si="127"/>
        <v>0</v>
      </c>
      <c r="NV27" s="135">
        <f t="shared" si="127"/>
        <v>0</v>
      </c>
      <c r="NW27" s="135">
        <f t="shared" si="127"/>
        <v>0</v>
      </c>
      <c r="NX27" s="135">
        <f t="shared" si="127"/>
        <v>0</v>
      </c>
      <c r="NY27" s="135">
        <f t="shared" si="127"/>
        <v>0</v>
      </c>
      <c r="NZ27" s="135">
        <f t="shared" si="127"/>
        <v>0</v>
      </c>
      <c r="OA27" s="135">
        <f t="shared" si="127"/>
        <v>0</v>
      </c>
      <c r="OB27" s="135">
        <f t="shared" ref="OB27:OF29" si="128">IFERROR(IF(OB$1=EOMONTH($G27,0),(-$E27+($E27*(DAY($G27)/DAY(EOMONTH(OB$1,0)))*$F27/12*(1-0.269))),IF(OB$1=$G27,($E27+($E27*(DAY($I27)/DAY(EOMONTH(OB$1,0)))*$F27/12*(1-0.269))),IFERROR(IF($I27&lt;OB$1,0,IF(OB$1&gt;$I27,(($F27/12)*$E27)*(DAY($I27)/DAY(EOMONTH(OB$1,0)))*(1-26.9/100)+$E27,IF(AND(OB$1&gt;=$G27,OB$1&lt;$I27),(($F27/12)*$E27)*(1-26.9/100),""))-IF(OB$1=EOMONTH($G27,0),$E27,"0")),0)+IF(OB$1=EOMONTH($I27,0),($E27+($E27*(DAY($I27)/DAY(EOMONTH(OB$1,0)))*$F27/12*(1-0.269))),"0"))),0)</f>
        <v>0</v>
      </c>
      <c r="OC27" s="135">
        <f t="shared" si="128"/>
        <v>0</v>
      </c>
      <c r="OD27" s="135">
        <f t="shared" si="128"/>
        <v>0</v>
      </c>
      <c r="OE27" s="135">
        <f t="shared" si="128"/>
        <v>0</v>
      </c>
      <c r="OF27" s="135">
        <f t="shared" si="128"/>
        <v>0</v>
      </c>
      <c r="OG27" s="135">
        <f t="shared" si="57"/>
        <v>0</v>
      </c>
      <c r="OH27" s="135">
        <f t="shared" si="80"/>
        <v>0</v>
      </c>
      <c r="OI27" s="135">
        <f t="shared" si="80"/>
        <v>0</v>
      </c>
      <c r="OJ27" s="135">
        <f t="shared" si="80"/>
        <v>0</v>
      </c>
      <c r="OK27" s="135">
        <f t="shared" si="80"/>
        <v>0</v>
      </c>
      <c r="OL27" s="135">
        <f t="shared" si="80"/>
        <v>0</v>
      </c>
      <c r="OM27" s="135">
        <f t="shared" si="80"/>
        <v>0</v>
      </c>
      <c r="ON27" s="135">
        <f t="shared" si="80"/>
        <v>0</v>
      </c>
      <c r="OO27" s="135">
        <f t="shared" ref="OO27:QZ29" si="129">IFERROR(IF(OO$1=EOMONTH($G27,0),(-$E27+($E27*(DAY($G27)/DAY(EOMONTH(OO$1,0)))*$F27/12*(1-0.269))),IF(OO$1=$G27,($E27+($E27*(DAY($I27)/DAY(EOMONTH(OO$1,0)))*$F27/12*(1-0.269))),IFERROR(IF($I27&lt;OO$1,0,IF(OO$1&gt;$I27,(($F27/12)*$E27)*(DAY($I27)/DAY(EOMONTH(OO$1,0)))*(1-26.9/100)+$E27,IF(AND(OO$1&gt;=$G27,OO$1&lt;$I27),(($F27/12)*$E27)*(1-26.9/100),""))-IF(OO$1=EOMONTH($G27,0),$E27,"0")),0)+IF(OO$1=EOMONTH($I27,0),($E27+($E27*(DAY($I27)/DAY(EOMONTH(OO$1,0)))*$F27/12*(1-0.269))),"0"))),0)</f>
        <v>0</v>
      </c>
      <c r="OP27" s="135">
        <f t="shared" si="129"/>
        <v>0</v>
      </c>
      <c r="OQ27" s="135">
        <f t="shared" si="129"/>
        <v>0</v>
      </c>
      <c r="OR27" s="135">
        <f t="shared" si="129"/>
        <v>0</v>
      </c>
      <c r="OS27" s="135">
        <f t="shared" si="129"/>
        <v>0</v>
      </c>
      <c r="OT27" s="135">
        <f t="shared" si="129"/>
        <v>0</v>
      </c>
      <c r="OU27" s="135">
        <f t="shared" si="129"/>
        <v>0</v>
      </c>
      <c r="OV27" s="135">
        <f t="shared" si="129"/>
        <v>0</v>
      </c>
      <c r="OW27" s="135">
        <f t="shared" si="129"/>
        <v>0</v>
      </c>
      <c r="OX27" s="135">
        <f t="shared" si="129"/>
        <v>0</v>
      </c>
      <c r="OY27" s="135">
        <f t="shared" si="129"/>
        <v>0</v>
      </c>
      <c r="OZ27" s="135">
        <f t="shared" si="129"/>
        <v>0</v>
      </c>
      <c r="PA27" s="135">
        <f t="shared" si="129"/>
        <v>0</v>
      </c>
      <c r="PB27" s="135">
        <f t="shared" si="129"/>
        <v>0</v>
      </c>
      <c r="PC27" s="135">
        <f t="shared" si="129"/>
        <v>0</v>
      </c>
      <c r="PD27" s="135">
        <f t="shared" si="129"/>
        <v>0</v>
      </c>
      <c r="PE27" s="135">
        <f t="shared" si="129"/>
        <v>0</v>
      </c>
      <c r="PF27" s="135">
        <f t="shared" si="129"/>
        <v>0</v>
      </c>
      <c r="PG27" s="135">
        <f t="shared" si="129"/>
        <v>0</v>
      </c>
      <c r="PH27" s="135">
        <f t="shared" si="129"/>
        <v>0</v>
      </c>
      <c r="PI27" s="135">
        <f t="shared" si="129"/>
        <v>0</v>
      </c>
      <c r="PJ27" s="135">
        <f t="shared" si="129"/>
        <v>0</v>
      </c>
      <c r="PK27" s="135">
        <f t="shared" si="129"/>
        <v>0</v>
      </c>
      <c r="PL27" s="135">
        <f t="shared" si="129"/>
        <v>0</v>
      </c>
      <c r="PM27" s="135">
        <f t="shared" si="129"/>
        <v>0</v>
      </c>
      <c r="PN27" s="135">
        <f t="shared" si="129"/>
        <v>0</v>
      </c>
      <c r="PO27" s="135">
        <f t="shared" si="129"/>
        <v>0</v>
      </c>
      <c r="PP27" s="135">
        <f t="shared" si="129"/>
        <v>0</v>
      </c>
      <c r="PQ27" s="135">
        <f t="shared" si="129"/>
        <v>0</v>
      </c>
      <c r="PR27" s="135">
        <f t="shared" si="129"/>
        <v>0</v>
      </c>
      <c r="PS27" s="135">
        <f t="shared" si="129"/>
        <v>0</v>
      </c>
      <c r="PT27" s="135">
        <f t="shared" si="129"/>
        <v>0</v>
      </c>
      <c r="PU27" s="135">
        <f t="shared" si="129"/>
        <v>0</v>
      </c>
      <c r="PV27" s="135">
        <f t="shared" si="129"/>
        <v>0</v>
      </c>
      <c r="PW27" s="135">
        <f t="shared" si="129"/>
        <v>0</v>
      </c>
      <c r="PX27" s="135">
        <f t="shared" si="129"/>
        <v>0</v>
      </c>
      <c r="PY27" s="135">
        <f t="shared" si="129"/>
        <v>0</v>
      </c>
      <c r="PZ27" s="135">
        <f t="shared" si="129"/>
        <v>0</v>
      </c>
      <c r="QA27" s="135">
        <f t="shared" si="129"/>
        <v>0</v>
      </c>
      <c r="QB27" s="135">
        <f t="shared" si="129"/>
        <v>0</v>
      </c>
      <c r="QC27" s="135">
        <f t="shared" si="129"/>
        <v>0</v>
      </c>
      <c r="QD27" s="135">
        <f t="shared" si="129"/>
        <v>0</v>
      </c>
      <c r="QE27" s="135">
        <f t="shared" si="129"/>
        <v>0</v>
      </c>
      <c r="QF27" s="135">
        <f t="shared" si="129"/>
        <v>0</v>
      </c>
      <c r="QG27" s="135">
        <f t="shared" si="129"/>
        <v>0</v>
      </c>
      <c r="QH27" s="135">
        <f t="shared" si="129"/>
        <v>0</v>
      </c>
      <c r="QI27" s="135">
        <f t="shared" si="129"/>
        <v>0</v>
      </c>
      <c r="QJ27" s="135">
        <f t="shared" si="129"/>
        <v>0</v>
      </c>
      <c r="QK27" s="135">
        <f t="shared" si="129"/>
        <v>0</v>
      </c>
      <c r="QL27" s="135">
        <f t="shared" si="129"/>
        <v>0</v>
      </c>
      <c r="QM27" s="135">
        <f t="shared" si="129"/>
        <v>0</v>
      </c>
      <c r="QN27" s="135">
        <f t="shared" si="129"/>
        <v>0</v>
      </c>
      <c r="QO27" s="135">
        <f t="shared" si="129"/>
        <v>0</v>
      </c>
      <c r="QP27" s="135">
        <f t="shared" si="129"/>
        <v>0</v>
      </c>
      <c r="QQ27" s="135">
        <f t="shared" si="129"/>
        <v>0</v>
      </c>
      <c r="QR27" s="135">
        <f t="shared" si="129"/>
        <v>0</v>
      </c>
      <c r="QS27" s="135">
        <f t="shared" si="129"/>
        <v>0</v>
      </c>
      <c r="QT27" s="135">
        <f t="shared" si="129"/>
        <v>0</v>
      </c>
      <c r="QU27" s="135">
        <f t="shared" si="129"/>
        <v>0</v>
      </c>
      <c r="QV27" s="135">
        <f t="shared" si="129"/>
        <v>0</v>
      </c>
      <c r="QW27" s="135">
        <f t="shared" si="129"/>
        <v>0</v>
      </c>
      <c r="QX27" s="135">
        <f t="shared" si="129"/>
        <v>0</v>
      </c>
      <c r="QY27" s="135">
        <f t="shared" si="129"/>
        <v>0</v>
      </c>
      <c r="QZ27" s="135">
        <f t="shared" si="129"/>
        <v>0</v>
      </c>
      <c r="RA27" s="135">
        <f t="shared" si="125"/>
        <v>0</v>
      </c>
      <c r="RB27" s="135">
        <f t="shared" si="125"/>
        <v>0</v>
      </c>
      <c r="RC27" s="135">
        <f t="shared" si="125"/>
        <v>0</v>
      </c>
      <c r="RD27" s="135">
        <f t="shared" si="125"/>
        <v>0</v>
      </c>
      <c r="RE27" s="135">
        <f t="shared" si="125"/>
        <v>0</v>
      </c>
      <c r="RF27" s="135">
        <f t="shared" si="125"/>
        <v>0</v>
      </c>
      <c r="RG27" s="135">
        <f t="shared" si="125"/>
        <v>0</v>
      </c>
      <c r="RH27" s="135">
        <f t="shared" si="125"/>
        <v>0</v>
      </c>
      <c r="RI27" s="135">
        <f t="shared" si="125"/>
        <v>0</v>
      </c>
      <c r="RJ27" s="135">
        <f t="shared" si="125"/>
        <v>0</v>
      </c>
      <c r="RK27" s="135">
        <f t="shared" si="125"/>
        <v>0</v>
      </c>
      <c r="RL27" s="135">
        <f t="shared" si="125"/>
        <v>0</v>
      </c>
      <c r="RM27" s="135">
        <f t="shared" si="125"/>
        <v>0</v>
      </c>
      <c r="RN27" s="135">
        <f t="shared" si="125"/>
        <v>0</v>
      </c>
      <c r="RO27" s="135">
        <f t="shared" si="125"/>
        <v>0</v>
      </c>
      <c r="RP27" s="135">
        <f t="shared" si="125"/>
        <v>0</v>
      </c>
      <c r="RQ27" s="135">
        <f t="shared" si="125"/>
        <v>0</v>
      </c>
      <c r="RR27" s="135">
        <f t="shared" si="125"/>
        <v>0</v>
      </c>
      <c r="RS27" s="135">
        <f t="shared" si="125"/>
        <v>0</v>
      </c>
      <c r="RT27" s="135">
        <f t="shared" si="125"/>
        <v>0</v>
      </c>
      <c r="RU27" s="135">
        <f t="shared" si="125"/>
        <v>0</v>
      </c>
      <c r="RV27" s="135">
        <f t="shared" si="125"/>
        <v>0</v>
      </c>
      <c r="RW27" s="135">
        <f t="shared" si="125"/>
        <v>0</v>
      </c>
      <c r="RX27" s="135">
        <f t="shared" si="125"/>
        <v>0</v>
      </c>
      <c r="RY27" s="135">
        <f t="shared" si="125"/>
        <v>0</v>
      </c>
      <c r="RZ27" s="135">
        <f t="shared" si="125"/>
        <v>0</v>
      </c>
      <c r="SA27" s="135">
        <f t="shared" si="125"/>
        <v>0</v>
      </c>
      <c r="SB27" s="135">
        <f t="shared" si="125"/>
        <v>0</v>
      </c>
      <c r="SC27" s="135">
        <f t="shared" si="125"/>
        <v>0</v>
      </c>
      <c r="SD27" s="135">
        <f t="shared" si="125"/>
        <v>0</v>
      </c>
      <c r="SE27" s="135">
        <f t="shared" si="125"/>
        <v>0</v>
      </c>
      <c r="SF27" s="135">
        <f t="shared" si="125"/>
        <v>0</v>
      </c>
      <c r="SG27" s="135">
        <f t="shared" si="125"/>
        <v>0</v>
      </c>
      <c r="SH27" s="135">
        <f t="shared" si="125"/>
        <v>0</v>
      </c>
      <c r="SI27" s="135">
        <f t="shared" si="125"/>
        <v>0</v>
      </c>
      <c r="SJ27" s="135">
        <f t="shared" si="125"/>
        <v>0</v>
      </c>
      <c r="SK27" s="135">
        <f t="shared" si="125"/>
        <v>0</v>
      </c>
      <c r="SL27" s="135">
        <f t="shared" si="125"/>
        <v>0</v>
      </c>
      <c r="SM27" s="135">
        <f t="shared" si="125"/>
        <v>0</v>
      </c>
      <c r="SN27" s="135">
        <f t="shared" si="125"/>
        <v>0</v>
      </c>
      <c r="SO27" s="135">
        <f t="shared" si="125"/>
        <v>0</v>
      </c>
      <c r="SP27" s="135">
        <f t="shared" si="125"/>
        <v>0</v>
      </c>
      <c r="SQ27" s="135">
        <f t="shared" si="125"/>
        <v>0</v>
      </c>
      <c r="SR27" s="135">
        <f t="shared" si="125"/>
        <v>0</v>
      </c>
      <c r="SS27" s="135">
        <f t="shared" si="125"/>
        <v>0</v>
      </c>
      <c r="ST27" s="135">
        <f t="shared" si="125"/>
        <v>0</v>
      </c>
      <c r="SU27" s="135">
        <f t="shared" si="125"/>
        <v>0</v>
      </c>
      <c r="SV27" s="135">
        <f t="shared" si="125"/>
        <v>0</v>
      </c>
      <c r="SW27" s="135">
        <f t="shared" si="125"/>
        <v>0</v>
      </c>
      <c r="SX27" s="135">
        <f t="shared" si="125"/>
        <v>0</v>
      </c>
      <c r="SY27" s="135">
        <f t="shared" si="125"/>
        <v>0</v>
      </c>
      <c r="SZ27" s="135">
        <f t="shared" si="125"/>
        <v>0</v>
      </c>
      <c r="TA27" s="135">
        <f t="shared" si="125"/>
        <v>0</v>
      </c>
      <c r="TB27" s="135">
        <f t="shared" si="125"/>
        <v>0</v>
      </c>
      <c r="TC27" s="135">
        <f t="shared" si="125"/>
        <v>0</v>
      </c>
      <c r="TD27" s="135">
        <f t="shared" si="125"/>
        <v>0</v>
      </c>
      <c r="TE27" s="135">
        <f t="shared" si="125"/>
        <v>0</v>
      </c>
      <c r="TF27" s="135">
        <f t="shared" si="125"/>
        <v>0</v>
      </c>
      <c r="TG27" s="135">
        <f t="shared" si="125"/>
        <v>0</v>
      </c>
      <c r="TH27" s="135">
        <f t="shared" si="125"/>
        <v>0</v>
      </c>
      <c r="TI27" s="135">
        <f t="shared" si="125"/>
        <v>0</v>
      </c>
      <c r="TJ27" s="135">
        <f t="shared" si="125"/>
        <v>0</v>
      </c>
      <c r="TK27" s="135">
        <f t="shared" si="125"/>
        <v>0</v>
      </c>
      <c r="TL27" s="135">
        <f t="shared" si="111"/>
        <v>0</v>
      </c>
      <c r="TM27" s="135">
        <f t="shared" si="101"/>
        <v>0</v>
      </c>
      <c r="TN27" s="135">
        <f t="shared" si="101"/>
        <v>0</v>
      </c>
      <c r="TO27" s="135">
        <f t="shared" si="101"/>
        <v>0</v>
      </c>
      <c r="TP27" s="135">
        <f t="shared" si="101"/>
        <v>0</v>
      </c>
      <c r="TQ27" s="135">
        <f t="shared" si="101"/>
        <v>0</v>
      </c>
      <c r="TR27" s="135">
        <f t="shared" si="101"/>
        <v>0</v>
      </c>
      <c r="TS27" s="135">
        <f t="shared" si="101"/>
        <v>0</v>
      </c>
      <c r="TT27" s="135">
        <f t="shared" si="101"/>
        <v>0</v>
      </c>
      <c r="TU27" s="135">
        <f t="shared" si="101"/>
        <v>0</v>
      </c>
      <c r="TV27" s="135">
        <f t="shared" si="101"/>
        <v>0</v>
      </c>
      <c r="TW27" s="135">
        <f t="shared" si="102"/>
        <v>0</v>
      </c>
      <c r="TX27" s="135">
        <f t="shared" si="102"/>
        <v>0</v>
      </c>
      <c r="TY27" s="135">
        <f t="shared" si="102"/>
        <v>0</v>
      </c>
      <c r="TZ27" s="135">
        <f t="shared" si="102"/>
        <v>0</v>
      </c>
      <c r="UA27" s="135">
        <f t="shared" si="102"/>
        <v>0</v>
      </c>
      <c r="UB27" s="135">
        <f t="shared" si="102"/>
        <v>0</v>
      </c>
      <c r="UC27" s="135">
        <f t="shared" si="102"/>
        <v>0</v>
      </c>
      <c r="UD27" s="135">
        <f t="shared" si="102"/>
        <v>0</v>
      </c>
      <c r="UE27" s="135">
        <f t="shared" si="102"/>
        <v>0</v>
      </c>
      <c r="UF27" s="135">
        <f t="shared" si="102"/>
        <v>0</v>
      </c>
      <c r="UG27" s="135">
        <f t="shared" si="102"/>
        <v>0</v>
      </c>
      <c r="UH27" s="135">
        <f t="shared" si="102"/>
        <v>0</v>
      </c>
      <c r="UI27" s="135">
        <f t="shared" si="102"/>
        <v>0</v>
      </c>
      <c r="UJ27" s="135">
        <f t="shared" si="102"/>
        <v>0</v>
      </c>
      <c r="UK27" s="135">
        <f t="shared" si="102"/>
        <v>0</v>
      </c>
    </row>
    <row r="28" spans="2:557">
      <c r="B28" t="str">
        <f>IF(Samenvatting!$F129&lt;&gt;0,Samenvatting!C129,"")</f>
        <v/>
      </c>
      <c r="C28" t="str">
        <f>IF(Samenvatting!$F129&lt;&gt;0,Samenvatting!D129,"")</f>
        <v/>
      </c>
      <c r="D28" t="str">
        <f>IF(Samenvatting!$F129&lt;&gt;0,Samenvatting!E129,"")</f>
        <v/>
      </c>
      <c r="E28" t="str">
        <f>IF(Samenvatting!$F129&lt;&gt;0,Samenvatting!F129,"")</f>
        <v/>
      </c>
      <c r="F28" t="str">
        <f>IF(Samenvatting!$F129&lt;&gt;0,Samenvatting!H129,"")</f>
        <v/>
      </c>
      <c r="G28" s="134" t="str">
        <f>IF(Samenvatting!$F129&lt;&gt;0,Samenvatting!I129,"")</f>
        <v/>
      </c>
      <c r="H28" t="str">
        <f>IF(Samenvatting!$F129&lt;&gt;0,Samenvatting!J129,"")</f>
        <v/>
      </c>
      <c r="I28" s="134" t="str">
        <f>IF(Samenvatting!$F129&lt;&gt;0,Samenvatting!K129,"")</f>
        <v/>
      </c>
      <c r="J28" s="135">
        <f t="shared" si="0"/>
        <v>0</v>
      </c>
      <c r="K28" s="135">
        <f t="shared" ref="K28:BV29" si="130">IFERROR(IF(K$1=EOMONTH($G28,0),(-$E28+($E28*(DAY($G28)/DAY(EOMONTH(K$1,0)))*$F28/12*(1-0.269))),IF(K$1=$G28,($E28+($E28*(DAY($I28)/DAY(EOMONTH(K$1,0)))*$F28/12*(1-0.269))),IFERROR(IF($I28&lt;K$1,0,IF(K$1&gt;$I28,(($F28/12)*$E28)*(DAY($I28)/DAY(EOMONTH(K$1,0)))*(1-26.9/100)+$E28,IF(AND(K$1&gt;=$G28,K$1&lt;$I28),(($F28/12)*$E28)*(1-26.9/100),""))-IF(K$1=EOMONTH($G28,0),$E28,"0")),0)+IF(K$1=EOMONTH($I28,0),($E28+($E28*(DAY($I28)/DAY(EOMONTH(K$1,0)))*$F28/12*(1-0.269))),"0"))),0)</f>
        <v>0</v>
      </c>
      <c r="L28" s="135">
        <f t="shared" si="130"/>
        <v>0</v>
      </c>
      <c r="M28" s="135">
        <f t="shared" si="130"/>
        <v>0</v>
      </c>
      <c r="N28" s="135">
        <f t="shared" si="130"/>
        <v>0</v>
      </c>
      <c r="O28" s="135">
        <f t="shared" si="130"/>
        <v>0</v>
      </c>
      <c r="P28" s="135">
        <f t="shared" si="130"/>
        <v>0</v>
      </c>
      <c r="Q28" s="135">
        <f t="shared" si="130"/>
        <v>0</v>
      </c>
      <c r="R28" s="135">
        <f t="shared" si="130"/>
        <v>0</v>
      </c>
      <c r="S28" s="135">
        <f t="shared" si="130"/>
        <v>0</v>
      </c>
      <c r="T28" s="135">
        <f t="shared" si="130"/>
        <v>0</v>
      </c>
      <c r="U28" s="135">
        <f t="shared" si="130"/>
        <v>0</v>
      </c>
      <c r="V28" s="135">
        <f t="shared" si="130"/>
        <v>0</v>
      </c>
      <c r="W28" s="135">
        <f t="shared" si="130"/>
        <v>0</v>
      </c>
      <c r="X28" s="135">
        <f t="shared" si="130"/>
        <v>0</v>
      </c>
      <c r="Y28" s="135">
        <f t="shared" si="130"/>
        <v>0</v>
      </c>
      <c r="Z28" s="135">
        <f t="shared" si="130"/>
        <v>0</v>
      </c>
      <c r="AA28" s="135">
        <f t="shared" si="130"/>
        <v>0</v>
      </c>
      <c r="AB28" s="135">
        <f t="shared" si="130"/>
        <v>0</v>
      </c>
      <c r="AC28" s="135">
        <f t="shared" si="130"/>
        <v>0</v>
      </c>
      <c r="AD28" s="135">
        <f t="shared" si="130"/>
        <v>0</v>
      </c>
      <c r="AE28" s="135">
        <f t="shared" si="130"/>
        <v>0</v>
      </c>
      <c r="AF28" s="135">
        <f t="shared" si="130"/>
        <v>0</v>
      </c>
      <c r="AG28" s="135">
        <f t="shared" si="130"/>
        <v>0</v>
      </c>
      <c r="AH28" s="135">
        <f t="shared" si="130"/>
        <v>0</v>
      </c>
      <c r="AI28" s="135">
        <f t="shared" si="130"/>
        <v>0</v>
      </c>
      <c r="AJ28" s="135">
        <f t="shared" si="130"/>
        <v>0</v>
      </c>
      <c r="AK28" s="135">
        <f t="shared" si="130"/>
        <v>0</v>
      </c>
      <c r="AL28" s="135">
        <f t="shared" si="130"/>
        <v>0</v>
      </c>
      <c r="AM28" s="135">
        <f t="shared" si="130"/>
        <v>0</v>
      </c>
      <c r="AN28" s="135">
        <f t="shared" si="130"/>
        <v>0</v>
      </c>
      <c r="AO28" s="135">
        <f t="shared" si="130"/>
        <v>0</v>
      </c>
      <c r="AP28" s="135">
        <f t="shared" si="130"/>
        <v>0</v>
      </c>
      <c r="AQ28" s="135">
        <f t="shared" si="130"/>
        <v>0</v>
      </c>
      <c r="AR28" s="135">
        <f t="shared" si="130"/>
        <v>0</v>
      </c>
      <c r="AS28" s="135">
        <f t="shared" si="130"/>
        <v>0</v>
      </c>
      <c r="AT28" s="135">
        <f t="shared" si="130"/>
        <v>0</v>
      </c>
      <c r="AU28" s="135">
        <f t="shared" si="130"/>
        <v>0</v>
      </c>
      <c r="AV28" s="135">
        <f t="shared" si="130"/>
        <v>0</v>
      </c>
      <c r="AW28" s="135">
        <f t="shared" si="130"/>
        <v>0</v>
      </c>
      <c r="AX28" s="135">
        <f t="shared" si="130"/>
        <v>0</v>
      </c>
      <c r="AY28" s="135">
        <f t="shared" si="130"/>
        <v>0</v>
      </c>
      <c r="AZ28" s="135">
        <f t="shared" si="130"/>
        <v>0</v>
      </c>
      <c r="BA28" s="135">
        <f t="shared" si="130"/>
        <v>0</v>
      </c>
      <c r="BB28" s="135">
        <f t="shared" si="130"/>
        <v>0</v>
      </c>
      <c r="BC28" s="135">
        <f t="shared" si="130"/>
        <v>0</v>
      </c>
      <c r="BD28" s="135">
        <f t="shared" si="130"/>
        <v>0</v>
      </c>
      <c r="BE28" s="135">
        <f t="shared" si="130"/>
        <v>0</v>
      </c>
      <c r="BF28" s="135">
        <f t="shared" si="130"/>
        <v>0</v>
      </c>
      <c r="BG28" s="135">
        <f t="shared" si="130"/>
        <v>0</v>
      </c>
      <c r="BH28" s="135">
        <f t="shared" si="130"/>
        <v>0</v>
      </c>
      <c r="BI28" s="135">
        <f t="shared" si="130"/>
        <v>0</v>
      </c>
      <c r="BJ28" s="135">
        <f t="shared" si="130"/>
        <v>0</v>
      </c>
      <c r="BK28" s="135">
        <f t="shared" si="130"/>
        <v>0</v>
      </c>
      <c r="BL28" s="135">
        <f t="shared" si="130"/>
        <v>0</v>
      </c>
      <c r="BM28" s="135">
        <f t="shared" si="130"/>
        <v>0</v>
      </c>
      <c r="BN28" s="135">
        <f t="shared" si="130"/>
        <v>0</v>
      </c>
      <c r="BO28" s="135">
        <f t="shared" si="130"/>
        <v>0</v>
      </c>
      <c r="BP28" s="135">
        <f t="shared" si="130"/>
        <v>0</v>
      </c>
      <c r="BQ28" s="135">
        <f t="shared" si="130"/>
        <v>0</v>
      </c>
      <c r="BR28" s="135">
        <f t="shared" si="130"/>
        <v>0</v>
      </c>
      <c r="BS28" s="135">
        <f t="shared" si="130"/>
        <v>0</v>
      </c>
      <c r="BT28" s="135">
        <f t="shared" si="130"/>
        <v>0</v>
      </c>
      <c r="BU28" s="135">
        <f t="shared" si="130"/>
        <v>0</v>
      </c>
      <c r="BV28" s="135">
        <f t="shared" si="130"/>
        <v>0</v>
      </c>
      <c r="BW28" s="135">
        <f t="shared" si="126"/>
        <v>0</v>
      </c>
      <c r="BX28" s="135">
        <f t="shared" si="126"/>
        <v>0</v>
      </c>
      <c r="BY28" s="135">
        <f t="shared" si="126"/>
        <v>0</v>
      </c>
      <c r="BZ28" s="135">
        <f t="shared" si="126"/>
        <v>0</v>
      </c>
      <c r="CA28" s="135">
        <f t="shared" si="126"/>
        <v>0</v>
      </c>
      <c r="CB28" s="135">
        <f t="shared" si="126"/>
        <v>0</v>
      </c>
      <c r="CC28" s="135">
        <f t="shared" si="126"/>
        <v>0</v>
      </c>
      <c r="CD28" s="135">
        <f t="shared" si="126"/>
        <v>0</v>
      </c>
      <c r="CE28" s="135">
        <f t="shared" si="126"/>
        <v>0</v>
      </c>
      <c r="CF28" s="135">
        <f t="shared" si="126"/>
        <v>0</v>
      </c>
      <c r="CG28" s="135">
        <f t="shared" si="126"/>
        <v>0</v>
      </c>
      <c r="CH28" s="135">
        <f t="shared" si="126"/>
        <v>0</v>
      </c>
      <c r="CI28" s="135">
        <f t="shared" si="126"/>
        <v>0</v>
      </c>
      <c r="CJ28" s="135">
        <f t="shared" si="126"/>
        <v>0</v>
      </c>
      <c r="CK28" s="135">
        <f t="shared" si="126"/>
        <v>0</v>
      </c>
      <c r="CL28" s="135">
        <f t="shared" si="126"/>
        <v>0</v>
      </c>
      <c r="CM28" s="135">
        <f t="shared" si="126"/>
        <v>0</v>
      </c>
      <c r="CN28" s="135">
        <f t="shared" si="126"/>
        <v>0</v>
      </c>
      <c r="CO28" s="135">
        <f t="shared" si="126"/>
        <v>0</v>
      </c>
      <c r="CP28" s="135">
        <f t="shared" si="126"/>
        <v>0</v>
      </c>
      <c r="CQ28" s="135">
        <f t="shared" si="126"/>
        <v>0</v>
      </c>
      <c r="CR28" s="135">
        <f t="shared" si="126"/>
        <v>0</v>
      </c>
      <c r="CS28" s="135">
        <f t="shared" si="126"/>
        <v>0</v>
      </c>
      <c r="CT28" s="135">
        <f t="shared" si="126"/>
        <v>0</v>
      </c>
      <c r="CU28" s="135">
        <f t="shared" si="126"/>
        <v>0</v>
      </c>
      <c r="CV28" s="135">
        <f t="shared" si="126"/>
        <v>0</v>
      </c>
      <c r="CW28" s="135">
        <f t="shared" si="126"/>
        <v>0</v>
      </c>
      <c r="CX28" s="135">
        <f t="shared" si="126"/>
        <v>0</v>
      </c>
      <c r="CY28" s="135">
        <f t="shared" si="126"/>
        <v>0</v>
      </c>
      <c r="CZ28" s="135">
        <f t="shared" si="126"/>
        <v>0</v>
      </c>
      <c r="DA28" s="135">
        <f t="shared" si="126"/>
        <v>0</v>
      </c>
      <c r="DB28" s="135">
        <f t="shared" si="126"/>
        <v>0</v>
      </c>
      <c r="DC28" s="135">
        <f t="shared" si="126"/>
        <v>0</v>
      </c>
      <c r="DD28" s="135">
        <f t="shared" si="126"/>
        <v>0</v>
      </c>
      <c r="DE28" s="135">
        <f t="shared" si="126"/>
        <v>0</v>
      </c>
      <c r="DF28" s="135">
        <f t="shared" si="126"/>
        <v>0</v>
      </c>
      <c r="DG28" s="135">
        <f t="shared" si="126"/>
        <v>0</v>
      </c>
      <c r="DH28" s="135">
        <f t="shared" si="126"/>
        <v>0</v>
      </c>
      <c r="DI28" s="135">
        <f t="shared" si="126"/>
        <v>0</v>
      </c>
      <c r="DJ28" s="135">
        <f t="shared" si="126"/>
        <v>0</v>
      </c>
      <c r="DK28" s="135">
        <f t="shared" si="126"/>
        <v>0</v>
      </c>
      <c r="DL28" s="135">
        <f t="shared" si="126"/>
        <v>0</v>
      </c>
      <c r="DM28" s="135">
        <f t="shared" si="126"/>
        <v>0</v>
      </c>
      <c r="DN28" s="135">
        <f t="shared" si="126"/>
        <v>0</v>
      </c>
      <c r="DO28" s="135">
        <f t="shared" si="126"/>
        <v>0</v>
      </c>
      <c r="DP28" s="135">
        <f t="shared" si="126"/>
        <v>0</v>
      </c>
      <c r="DQ28" s="135">
        <f t="shared" si="126"/>
        <v>0</v>
      </c>
      <c r="DR28" s="135">
        <f t="shared" si="126"/>
        <v>0</v>
      </c>
      <c r="DS28" s="135">
        <f t="shared" si="126"/>
        <v>0</v>
      </c>
      <c r="DT28" s="135">
        <f t="shared" si="126"/>
        <v>0</v>
      </c>
      <c r="DU28" s="135">
        <f t="shared" si="126"/>
        <v>0</v>
      </c>
      <c r="DV28" s="135">
        <f t="shared" si="126"/>
        <v>0</v>
      </c>
      <c r="DW28" s="135">
        <f t="shared" si="126"/>
        <v>0</v>
      </c>
      <c r="DX28" s="135">
        <f t="shared" si="126"/>
        <v>0</v>
      </c>
      <c r="DY28" s="135">
        <f t="shared" si="126"/>
        <v>0</v>
      </c>
      <c r="DZ28" s="135">
        <f t="shared" si="126"/>
        <v>0</v>
      </c>
      <c r="EA28" s="135">
        <f t="shared" si="126"/>
        <v>0</v>
      </c>
      <c r="EB28" s="135">
        <f t="shared" si="126"/>
        <v>0</v>
      </c>
      <c r="EC28" s="135">
        <f t="shared" si="126"/>
        <v>0</v>
      </c>
      <c r="ED28" s="135">
        <f t="shared" si="126"/>
        <v>0</v>
      </c>
      <c r="EE28" s="135">
        <f t="shared" si="126"/>
        <v>0</v>
      </c>
      <c r="EF28" s="135">
        <f t="shared" si="126"/>
        <v>0</v>
      </c>
      <c r="EG28" s="135">
        <f t="shared" si="126"/>
        <v>0</v>
      </c>
      <c r="EH28" s="135">
        <f t="shared" si="124"/>
        <v>0</v>
      </c>
      <c r="EI28" s="135">
        <f t="shared" si="124"/>
        <v>0</v>
      </c>
      <c r="EJ28" s="135">
        <f t="shared" si="124"/>
        <v>0</v>
      </c>
      <c r="EK28" s="135">
        <f t="shared" si="124"/>
        <v>0</v>
      </c>
      <c r="EL28" s="135">
        <f t="shared" si="124"/>
        <v>0</v>
      </c>
      <c r="EM28" s="135">
        <f t="shared" si="124"/>
        <v>0</v>
      </c>
      <c r="EN28" s="135">
        <f t="shared" si="124"/>
        <v>0</v>
      </c>
      <c r="EO28" s="135">
        <f t="shared" si="124"/>
        <v>0</v>
      </c>
      <c r="EP28" s="135">
        <f t="shared" si="124"/>
        <v>0</v>
      </c>
      <c r="EQ28" s="135">
        <f t="shared" si="124"/>
        <v>0</v>
      </c>
      <c r="ER28" s="135">
        <f t="shared" si="124"/>
        <v>0</v>
      </c>
      <c r="ES28" s="135">
        <f t="shared" si="124"/>
        <v>0</v>
      </c>
      <c r="ET28" s="135">
        <f t="shared" si="124"/>
        <v>0</v>
      </c>
      <c r="EU28" s="135">
        <f t="shared" si="124"/>
        <v>0</v>
      </c>
      <c r="EV28" s="135">
        <f t="shared" si="124"/>
        <v>0</v>
      </c>
      <c r="EW28" s="135">
        <f t="shared" si="124"/>
        <v>0</v>
      </c>
      <c r="EX28" s="135">
        <f t="shared" si="124"/>
        <v>0</v>
      </c>
      <c r="EY28" s="135">
        <f t="shared" si="124"/>
        <v>0</v>
      </c>
      <c r="EZ28" s="135">
        <f t="shared" si="124"/>
        <v>0</v>
      </c>
      <c r="FA28" s="135">
        <f t="shared" si="124"/>
        <v>0</v>
      </c>
      <c r="FB28" s="135">
        <f t="shared" si="124"/>
        <v>0</v>
      </c>
      <c r="FC28" s="135">
        <f t="shared" si="124"/>
        <v>0</v>
      </c>
      <c r="FD28" s="135">
        <f t="shared" si="124"/>
        <v>0</v>
      </c>
      <c r="FE28" s="135">
        <f t="shared" si="124"/>
        <v>0</v>
      </c>
      <c r="FF28" s="135">
        <f t="shared" si="124"/>
        <v>0</v>
      </c>
      <c r="FG28" s="135">
        <f t="shared" si="124"/>
        <v>0</v>
      </c>
      <c r="FH28" s="135">
        <f t="shared" si="124"/>
        <v>0</v>
      </c>
      <c r="FI28" s="135">
        <f t="shared" si="124"/>
        <v>0</v>
      </c>
      <c r="FJ28" s="135">
        <f t="shared" si="124"/>
        <v>0</v>
      </c>
      <c r="FK28" s="135">
        <f t="shared" si="124"/>
        <v>0</v>
      </c>
      <c r="FL28" s="135">
        <f t="shared" si="124"/>
        <v>0</v>
      </c>
      <c r="FM28" s="135">
        <f t="shared" si="124"/>
        <v>0</v>
      </c>
      <c r="FN28" s="135">
        <f t="shared" si="124"/>
        <v>0</v>
      </c>
      <c r="FO28" s="135">
        <f t="shared" si="124"/>
        <v>0</v>
      </c>
      <c r="FP28" s="135">
        <f t="shared" si="124"/>
        <v>0</v>
      </c>
      <c r="FQ28" s="135">
        <f t="shared" si="124"/>
        <v>0</v>
      </c>
      <c r="FR28" s="135">
        <f t="shared" si="124"/>
        <v>0</v>
      </c>
      <c r="FS28" s="135">
        <f t="shared" si="124"/>
        <v>0</v>
      </c>
      <c r="FT28" s="135">
        <f t="shared" si="124"/>
        <v>0</v>
      </c>
      <c r="FU28" s="135">
        <f t="shared" si="124"/>
        <v>0</v>
      </c>
      <c r="FV28" s="135">
        <f t="shared" si="124"/>
        <v>0</v>
      </c>
      <c r="FW28" s="135">
        <f t="shared" si="124"/>
        <v>0</v>
      </c>
      <c r="FX28" s="135">
        <f t="shared" si="124"/>
        <v>0</v>
      </c>
      <c r="FY28" s="135">
        <f t="shared" si="124"/>
        <v>0</v>
      </c>
      <c r="FZ28" s="135">
        <f t="shared" si="124"/>
        <v>0</v>
      </c>
      <c r="GA28" s="135">
        <f t="shared" si="124"/>
        <v>0</v>
      </c>
      <c r="GB28" s="135">
        <f t="shared" si="124"/>
        <v>0</v>
      </c>
      <c r="GC28" s="135">
        <f t="shared" si="124"/>
        <v>0</v>
      </c>
      <c r="GD28" s="135">
        <f t="shared" si="124"/>
        <v>0</v>
      </c>
      <c r="GE28" s="135">
        <f t="shared" si="124"/>
        <v>0</v>
      </c>
      <c r="GF28" s="135">
        <f t="shared" si="124"/>
        <v>0</v>
      </c>
      <c r="GG28" s="135">
        <f t="shared" si="124"/>
        <v>0</v>
      </c>
      <c r="GH28" s="135">
        <f t="shared" si="124"/>
        <v>0</v>
      </c>
      <c r="GI28" s="135">
        <f t="shared" si="124"/>
        <v>0</v>
      </c>
      <c r="GJ28" s="135">
        <f t="shared" si="124"/>
        <v>0</v>
      </c>
      <c r="GK28" s="135">
        <f t="shared" si="124"/>
        <v>0</v>
      </c>
      <c r="GL28" s="135">
        <f t="shared" si="124"/>
        <v>0</v>
      </c>
      <c r="GM28" s="135">
        <f t="shared" si="124"/>
        <v>0</v>
      </c>
      <c r="GN28" s="135">
        <f t="shared" si="124"/>
        <v>0</v>
      </c>
      <c r="GO28" s="135">
        <f t="shared" si="124"/>
        <v>0</v>
      </c>
      <c r="GP28" s="135">
        <f t="shared" si="124"/>
        <v>0</v>
      </c>
      <c r="GQ28" s="135">
        <f t="shared" si="124"/>
        <v>0</v>
      </c>
      <c r="GR28" s="135">
        <f t="shared" si="124"/>
        <v>0</v>
      </c>
      <c r="GS28" s="135">
        <f t="shared" si="124"/>
        <v>0</v>
      </c>
      <c r="GT28" s="135">
        <f t="shared" si="117"/>
        <v>0</v>
      </c>
      <c r="GU28" s="135">
        <f t="shared" si="117"/>
        <v>0</v>
      </c>
      <c r="GV28" s="135">
        <f t="shared" si="117"/>
        <v>0</v>
      </c>
      <c r="GW28" s="135">
        <f t="shared" si="117"/>
        <v>0</v>
      </c>
      <c r="GX28" s="135">
        <f t="shared" si="117"/>
        <v>0</v>
      </c>
      <c r="GY28" s="135">
        <f t="shared" si="117"/>
        <v>0</v>
      </c>
      <c r="GZ28" s="135">
        <f t="shared" si="117"/>
        <v>0</v>
      </c>
      <c r="HA28" s="135">
        <f t="shared" si="117"/>
        <v>0</v>
      </c>
      <c r="HB28" s="135">
        <f t="shared" si="117"/>
        <v>0</v>
      </c>
      <c r="HC28" s="135">
        <f t="shared" si="117"/>
        <v>0</v>
      </c>
      <c r="HD28" s="135">
        <f t="shared" si="117"/>
        <v>0</v>
      </c>
      <c r="HE28" s="135">
        <f t="shared" si="117"/>
        <v>0</v>
      </c>
      <c r="HF28" s="135">
        <f t="shared" si="117"/>
        <v>0</v>
      </c>
      <c r="HG28" s="135">
        <f t="shared" si="117"/>
        <v>0</v>
      </c>
      <c r="HH28" s="135">
        <f t="shared" si="117"/>
        <v>0</v>
      </c>
      <c r="HI28" s="135">
        <f t="shared" si="117"/>
        <v>0</v>
      </c>
      <c r="HJ28" s="135">
        <f t="shared" si="117"/>
        <v>0</v>
      </c>
      <c r="HK28" s="135">
        <f t="shared" si="117"/>
        <v>0</v>
      </c>
      <c r="HL28" s="135">
        <f t="shared" si="117"/>
        <v>0</v>
      </c>
      <c r="HM28" s="135">
        <f t="shared" si="117"/>
        <v>0</v>
      </c>
      <c r="HN28" s="135">
        <f t="shared" si="117"/>
        <v>0</v>
      </c>
      <c r="HO28" s="135">
        <f t="shared" si="117"/>
        <v>0</v>
      </c>
      <c r="HP28" s="135">
        <f t="shared" si="117"/>
        <v>0</v>
      </c>
      <c r="HQ28" s="135">
        <f t="shared" si="117"/>
        <v>0</v>
      </c>
      <c r="HR28" s="135">
        <f t="shared" si="117"/>
        <v>0</v>
      </c>
      <c r="HS28" s="135">
        <f t="shared" si="117"/>
        <v>0</v>
      </c>
      <c r="HT28" s="135">
        <f t="shared" si="117"/>
        <v>0</v>
      </c>
      <c r="HU28" s="135">
        <f t="shared" si="117"/>
        <v>0</v>
      </c>
      <c r="HV28" s="135">
        <f t="shared" si="117"/>
        <v>0</v>
      </c>
      <c r="HW28" s="135">
        <f t="shared" si="117"/>
        <v>0</v>
      </c>
      <c r="HX28" s="135">
        <f t="shared" si="117"/>
        <v>0</v>
      </c>
      <c r="HY28" s="135">
        <f t="shared" si="117"/>
        <v>0</v>
      </c>
      <c r="HZ28" s="135">
        <f t="shared" si="117"/>
        <v>0</v>
      </c>
      <c r="IA28" s="135">
        <f t="shared" si="117"/>
        <v>0</v>
      </c>
      <c r="IB28" s="135">
        <f t="shared" si="117"/>
        <v>0</v>
      </c>
      <c r="IC28" s="135">
        <f t="shared" si="117"/>
        <v>0</v>
      </c>
      <c r="ID28" s="135">
        <f t="shared" si="117"/>
        <v>0</v>
      </c>
      <c r="IE28" s="135">
        <f t="shared" si="117"/>
        <v>0</v>
      </c>
      <c r="IF28" s="135">
        <f t="shared" si="117"/>
        <v>0</v>
      </c>
      <c r="IG28" s="135">
        <f t="shared" si="117"/>
        <v>0</v>
      </c>
      <c r="IH28" s="135">
        <f t="shared" si="117"/>
        <v>0</v>
      </c>
      <c r="II28" s="135">
        <f t="shared" si="117"/>
        <v>0</v>
      </c>
      <c r="IJ28" s="135">
        <f t="shared" si="117"/>
        <v>0</v>
      </c>
      <c r="IK28" s="135">
        <f t="shared" si="117"/>
        <v>0</v>
      </c>
      <c r="IL28" s="135">
        <f t="shared" si="117"/>
        <v>0</v>
      </c>
      <c r="IM28" s="135">
        <f t="shared" si="117"/>
        <v>0</v>
      </c>
      <c r="IN28" s="135">
        <f t="shared" si="117"/>
        <v>0</v>
      </c>
      <c r="IO28" s="135">
        <f t="shared" si="117"/>
        <v>0</v>
      </c>
      <c r="IP28" s="135">
        <f t="shared" si="117"/>
        <v>0</v>
      </c>
      <c r="IQ28" s="135">
        <f t="shared" si="117"/>
        <v>0</v>
      </c>
      <c r="IR28" s="135">
        <f t="shared" si="117"/>
        <v>0</v>
      </c>
      <c r="IS28" s="135">
        <f t="shared" si="117"/>
        <v>0</v>
      </c>
      <c r="IT28" s="135">
        <f t="shared" si="117"/>
        <v>0</v>
      </c>
      <c r="IU28" s="135">
        <f t="shared" si="117"/>
        <v>0</v>
      </c>
      <c r="IV28" s="135">
        <f t="shared" si="117"/>
        <v>0</v>
      </c>
      <c r="IW28" s="135">
        <f t="shared" si="117"/>
        <v>0</v>
      </c>
      <c r="IX28" s="135">
        <f t="shared" si="117"/>
        <v>0</v>
      </c>
      <c r="IY28" s="135">
        <f t="shared" si="117"/>
        <v>0</v>
      </c>
      <c r="IZ28" s="135">
        <f t="shared" si="117"/>
        <v>0</v>
      </c>
      <c r="JA28" s="135">
        <f t="shared" si="117"/>
        <v>0</v>
      </c>
      <c r="JB28" s="135">
        <f t="shared" si="117"/>
        <v>0</v>
      </c>
      <c r="JC28" s="135">
        <f t="shared" si="117"/>
        <v>0</v>
      </c>
      <c r="JD28" s="135">
        <f t="shared" si="117"/>
        <v>0</v>
      </c>
      <c r="JE28" s="135">
        <f t="shared" ref="JE28:LP29" si="131">IFERROR(IF(JE$1=EOMONTH($G28,0),(-$E28+($E28*(DAY($G28)/DAY(EOMONTH(JE$1,0)))*$F28/12*(1-0.269))),IF(JE$1=$G28,($E28+($E28*(DAY($I28)/DAY(EOMONTH(JE$1,0)))*$F28/12*(1-0.269))),IFERROR(IF($I28&lt;JE$1,0,IF(JE$1&gt;$I28,(($F28/12)*$E28)*(DAY($I28)/DAY(EOMONTH(JE$1,0)))*(1-26.9/100)+$E28,IF(AND(JE$1&gt;=$G28,JE$1&lt;$I28),(($F28/12)*$E28)*(1-26.9/100),""))-IF(JE$1=EOMONTH($G28,0),$E28,"0")),0)+IF(JE$1=EOMONTH($I28,0),($E28+($E28*(DAY($I28)/DAY(EOMONTH(JE$1,0)))*$F28/12*(1-0.269))),"0"))),0)</f>
        <v>0</v>
      </c>
      <c r="JF28" s="135">
        <f t="shared" si="131"/>
        <v>0</v>
      </c>
      <c r="JG28" s="135">
        <f t="shared" si="131"/>
        <v>0</v>
      </c>
      <c r="JH28" s="135">
        <f t="shared" si="131"/>
        <v>0</v>
      </c>
      <c r="JI28" s="135">
        <f t="shared" si="131"/>
        <v>0</v>
      </c>
      <c r="JJ28" s="135">
        <f t="shared" si="131"/>
        <v>0</v>
      </c>
      <c r="JK28" s="135">
        <f t="shared" si="131"/>
        <v>0</v>
      </c>
      <c r="JL28" s="135">
        <f t="shared" si="131"/>
        <v>0</v>
      </c>
      <c r="JM28" s="135">
        <f t="shared" si="131"/>
        <v>0</v>
      </c>
      <c r="JN28" s="135">
        <f t="shared" si="131"/>
        <v>0</v>
      </c>
      <c r="JO28" s="135">
        <f t="shared" si="131"/>
        <v>0</v>
      </c>
      <c r="JP28" s="135">
        <f t="shared" si="131"/>
        <v>0</v>
      </c>
      <c r="JQ28" s="135">
        <f t="shared" si="131"/>
        <v>0</v>
      </c>
      <c r="JR28" s="135">
        <f t="shared" si="131"/>
        <v>0</v>
      </c>
      <c r="JS28" s="135">
        <f t="shared" si="131"/>
        <v>0</v>
      </c>
      <c r="JT28" s="135">
        <f t="shared" si="131"/>
        <v>0</v>
      </c>
      <c r="JU28" s="135">
        <f t="shared" si="131"/>
        <v>0</v>
      </c>
      <c r="JV28" s="135">
        <f t="shared" si="131"/>
        <v>0</v>
      </c>
      <c r="JW28" s="135">
        <f t="shared" si="131"/>
        <v>0</v>
      </c>
      <c r="JX28" s="135">
        <f t="shared" si="131"/>
        <v>0</v>
      </c>
      <c r="JY28" s="135">
        <f t="shared" si="131"/>
        <v>0</v>
      </c>
      <c r="JZ28" s="135">
        <f t="shared" si="131"/>
        <v>0</v>
      </c>
      <c r="KA28" s="135">
        <f t="shared" si="131"/>
        <v>0</v>
      </c>
      <c r="KB28" s="135">
        <f t="shared" si="131"/>
        <v>0</v>
      </c>
      <c r="KC28" s="135">
        <f t="shared" si="131"/>
        <v>0</v>
      </c>
      <c r="KD28" s="135">
        <f t="shared" si="131"/>
        <v>0</v>
      </c>
      <c r="KE28" s="135">
        <f t="shared" si="131"/>
        <v>0</v>
      </c>
      <c r="KF28" s="135">
        <f t="shared" si="131"/>
        <v>0</v>
      </c>
      <c r="KG28" s="135">
        <f t="shared" si="131"/>
        <v>0</v>
      </c>
      <c r="KH28" s="135">
        <f t="shared" si="131"/>
        <v>0</v>
      </c>
      <c r="KI28" s="135">
        <f t="shared" si="131"/>
        <v>0</v>
      </c>
      <c r="KJ28" s="135">
        <f t="shared" si="131"/>
        <v>0</v>
      </c>
      <c r="KK28" s="135">
        <f t="shared" si="131"/>
        <v>0</v>
      </c>
      <c r="KL28" s="135">
        <f t="shared" si="131"/>
        <v>0</v>
      </c>
      <c r="KM28" s="135">
        <f t="shared" si="131"/>
        <v>0</v>
      </c>
      <c r="KN28" s="135">
        <f t="shared" si="131"/>
        <v>0</v>
      </c>
      <c r="KO28" s="135">
        <f t="shared" si="131"/>
        <v>0</v>
      </c>
      <c r="KP28" s="135">
        <f t="shared" si="131"/>
        <v>0</v>
      </c>
      <c r="KQ28" s="135">
        <f t="shared" si="131"/>
        <v>0</v>
      </c>
      <c r="KR28" s="135">
        <f t="shared" si="131"/>
        <v>0</v>
      </c>
      <c r="KS28" s="135">
        <f t="shared" si="131"/>
        <v>0</v>
      </c>
      <c r="KT28" s="135">
        <f t="shared" si="131"/>
        <v>0</v>
      </c>
      <c r="KU28" s="135">
        <f t="shared" si="131"/>
        <v>0</v>
      </c>
      <c r="KV28" s="135">
        <f t="shared" si="131"/>
        <v>0</v>
      </c>
      <c r="KW28" s="135">
        <f t="shared" si="131"/>
        <v>0</v>
      </c>
      <c r="KX28" s="135">
        <f t="shared" si="131"/>
        <v>0</v>
      </c>
      <c r="KY28" s="135">
        <f t="shared" si="131"/>
        <v>0</v>
      </c>
      <c r="KZ28" s="135">
        <f t="shared" si="131"/>
        <v>0</v>
      </c>
      <c r="LA28" s="135">
        <f t="shared" si="131"/>
        <v>0</v>
      </c>
      <c r="LB28" s="135">
        <f t="shared" si="131"/>
        <v>0</v>
      </c>
      <c r="LC28" s="135">
        <f t="shared" si="131"/>
        <v>0</v>
      </c>
      <c r="LD28" s="135">
        <f t="shared" si="131"/>
        <v>0</v>
      </c>
      <c r="LE28" s="135">
        <f t="shared" si="131"/>
        <v>0</v>
      </c>
      <c r="LF28" s="135">
        <f t="shared" si="131"/>
        <v>0</v>
      </c>
      <c r="LG28" s="135">
        <f t="shared" si="131"/>
        <v>0</v>
      </c>
      <c r="LH28" s="135">
        <f t="shared" si="131"/>
        <v>0</v>
      </c>
      <c r="LI28" s="135">
        <f t="shared" si="131"/>
        <v>0</v>
      </c>
      <c r="LJ28" s="135">
        <f t="shared" si="131"/>
        <v>0</v>
      </c>
      <c r="LK28" s="135">
        <f t="shared" si="131"/>
        <v>0</v>
      </c>
      <c r="LL28" s="135">
        <f t="shared" si="131"/>
        <v>0</v>
      </c>
      <c r="LM28" s="135">
        <f t="shared" si="131"/>
        <v>0</v>
      </c>
      <c r="LN28" s="135">
        <f t="shared" si="131"/>
        <v>0</v>
      </c>
      <c r="LO28" s="135">
        <f t="shared" si="131"/>
        <v>0</v>
      </c>
      <c r="LP28" s="135">
        <f t="shared" si="131"/>
        <v>0</v>
      </c>
      <c r="LQ28" s="135">
        <f t="shared" si="127"/>
        <v>0</v>
      </c>
      <c r="LR28" s="135">
        <f t="shared" si="127"/>
        <v>0</v>
      </c>
      <c r="LS28" s="135">
        <f t="shared" si="127"/>
        <v>0</v>
      </c>
      <c r="LT28" s="135">
        <f t="shared" si="127"/>
        <v>0</v>
      </c>
      <c r="LU28" s="135">
        <f t="shared" si="127"/>
        <v>0</v>
      </c>
      <c r="LV28" s="135">
        <f t="shared" si="127"/>
        <v>0</v>
      </c>
      <c r="LW28" s="135">
        <f t="shared" si="127"/>
        <v>0</v>
      </c>
      <c r="LX28" s="135">
        <f t="shared" si="127"/>
        <v>0</v>
      </c>
      <c r="LY28" s="135">
        <f t="shared" si="127"/>
        <v>0</v>
      </c>
      <c r="LZ28" s="135">
        <f t="shared" si="127"/>
        <v>0</v>
      </c>
      <c r="MA28" s="135">
        <f t="shared" si="127"/>
        <v>0</v>
      </c>
      <c r="MB28" s="135">
        <f t="shared" si="127"/>
        <v>0</v>
      </c>
      <c r="MC28" s="135">
        <f t="shared" si="127"/>
        <v>0</v>
      </c>
      <c r="MD28" s="135">
        <f t="shared" si="127"/>
        <v>0</v>
      </c>
      <c r="ME28" s="135">
        <f t="shared" si="127"/>
        <v>0</v>
      </c>
      <c r="MF28" s="135">
        <f t="shared" si="127"/>
        <v>0</v>
      </c>
      <c r="MG28" s="135">
        <f t="shared" si="127"/>
        <v>0</v>
      </c>
      <c r="MH28" s="135">
        <f t="shared" si="127"/>
        <v>0</v>
      </c>
      <c r="MI28" s="135">
        <f t="shared" si="127"/>
        <v>0</v>
      </c>
      <c r="MJ28" s="135">
        <f t="shared" si="127"/>
        <v>0</v>
      </c>
      <c r="MK28" s="135">
        <f t="shared" si="127"/>
        <v>0</v>
      </c>
      <c r="ML28" s="135">
        <f t="shared" si="127"/>
        <v>0</v>
      </c>
      <c r="MM28" s="135">
        <f t="shared" si="127"/>
        <v>0</v>
      </c>
      <c r="MN28" s="135">
        <f t="shared" si="127"/>
        <v>0</v>
      </c>
      <c r="MO28" s="135">
        <f t="shared" si="127"/>
        <v>0</v>
      </c>
      <c r="MP28" s="135">
        <f t="shared" si="127"/>
        <v>0</v>
      </c>
      <c r="MQ28" s="135">
        <f t="shared" si="127"/>
        <v>0</v>
      </c>
      <c r="MR28" s="135">
        <f t="shared" si="127"/>
        <v>0</v>
      </c>
      <c r="MS28" s="135">
        <f t="shared" si="127"/>
        <v>0</v>
      </c>
      <c r="MT28" s="135">
        <f t="shared" si="127"/>
        <v>0</v>
      </c>
      <c r="MU28" s="135">
        <f t="shared" si="127"/>
        <v>0</v>
      </c>
      <c r="MV28" s="135">
        <f t="shared" si="127"/>
        <v>0</v>
      </c>
      <c r="MW28" s="135">
        <f t="shared" si="127"/>
        <v>0</v>
      </c>
      <c r="MX28" s="135">
        <f t="shared" si="127"/>
        <v>0</v>
      </c>
      <c r="MY28" s="135">
        <f t="shared" si="127"/>
        <v>0</v>
      </c>
      <c r="MZ28" s="135">
        <f t="shared" si="127"/>
        <v>0</v>
      </c>
      <c r="NA28" s="135">
        <f t="shared" si="127"/>
        <v>0</v>
      </c>
      <c r="NB28" s="135">
        <f t="shared" si="127"/>
        <v>0</v>
      </c>
      <c r="NC28" s="135">
        <f t="shared" si="127"/>
        <v>0</v>
      </c>
      <c r="ND28" s="135">
        <f t="shared" si="127"/>
        <v>0</v>
      </c>
      <c r="NE28" s="135">
        <f t="shared" si="127"/>
        <v>0</v>
      </c>
      <c r="NF28" s="135">
        <f t="shared" si="127"/>
        <v>0</v>
      </c>
      <c r="NG28" s="135">
        <f t="shared" si="127"/>
        <v>0</v>
      </c>
      <c r="NH28" s="135">
        <f t="shared" si="127"/>
        <v>0</v>
      </c>
      <c r="NI28" s="135">
        <f t="shared" si="127"/>
        <v>0</v>
      </c>
      <c r="NJ28" s="135">
        <f t="shared" si="127"/>
        <v>0</v>
      </c>
      <c r="NK28" s="135">
        <f t="shared" si="127"/>
        <v>0</v>
      </c>
      <c r="NL28" s="135">
        <f t="shared" si="127"/>
        <v>0</v>
      </c>
      <c r="NM28" s="135">
        <f t="shared" si="127"/>
        <v>0</v>
      </c>
      <c r="NN28" s="135">
        <f t="shared" si="127"/>
        <v>0</v>
      </c>
      <c r="NO28" s="135">
        <f t="shared" si="127"/>
        <v>0</v>
      </c>
      <c r="NP28" s="135">
        <f t="shared" si="127"/>
        <v>0</v>
      </c>
      <c r="NQ28" s="135">
        <f t="shared" si="127"/>
        <v>0</v>
      </c>
      <c r="NR28" s="135">
        <f t="shared" si="127"/>
        <v>0</v>
      </c>
      <c r="NS28" s="135">
        <f t="shared" si="127"/>
        <v>0</v>
      </c>
      <c r="NT28" s="135">
        <f t="shared" si="127"/>
        <v>0</v>
      </c>
      <c r="NU28" s="135">
        <f t="shared" si="127"/>
        <v>0</v>
      </c>
      <c r="NV28" s="135">
        <f t="shared" si="127"/>
        <v>0</v>
      </c>
      <c r="NW28" s="135">
        <f t="shared" si="127"/>
        <v>0</v>
      </c>
      <c r="NX28" s="135">
        <f t="shared" si="127"/>
        <v>0</v>
      </c>
      <c r="NY28" s="135">
        <f t="shared" si="127"/>
        <v>0</v>
      </c>
      <c r="NZ28" s="135">
        <f t="shared" si="127"/>
        <v>0</v>
      </c>
      <c r="OA28" s="135">
        <f t="shared" si="127"/>
        <v>0</v>
      </c>
      <c r="OB28" s="135">
        <f t="shared" si="128"/>
        <v>0</v>
      </c>
      <c r="OC28" s="135">
        <f t="shared" si="128"/>
        <v>0</v>
      </c>
      <c r="OD28" s="135">
        <f t="shared" si="128"/>
        <v>0</v>
      </c>
      <c r="OE28" s="135">
        <f t="shared" si="128"/>
        <v>0</v>
      </c>
      <c r="OF28" s="135">
        <f t="shared" si="128"/>
        <v>0</v>
      </c>
      <c r="OG28" s="135">
        <f t="shared" si="57"/>
        <v>0</v>
      </c>
      <c r="OH28" s="135">
        <f t="shared" si="80"/>
        <v>0</v>
      </c>
      <c r="OI28" s="135">
        <f t="shared" si="80"/>
        <v>0</v>
      </c>
      <c r="OJ28" s="135">
        <f t="shared" si="80"/>
        <v>0</v>
      </c>
      <c r="OK28" s="135">
        <f t="shared" si="80"/>
        <v>0</v>
      </c>
      <c r="OL28" s="135">
        <f t="shared" si="80"/>
        <v>0</v>
      </c>
      <c r="OM28" s="135">
        <f t="shared" si="80"/>
        <v>0</v>
      </c>
      <c r="ON28" s="135">
        <f t="shared" si="80"/>
        <v>0</v>
      </c>
      <c r="OO28" s="135">
        <f t="shared" si="129"/>
        <v>0</v>
      </c>
      <c r="OP28" s="135">
        <f t="shared" si="129"/>
        <v>0</v>
      </c>
      <c r="OQ28" s="135">
        <f t="shared" si="129"/>
        <v>0</v>
      </c>
      <c r="OR28" s="135">
        <f t="shared" si="129"/>
        <v>0</v>
      </c>
      <c r="OS28" s="135">
        <f t="shared" si="129"/>
        <v>0</v>
      </c>
      <c r="OT28" s="135">
        <f t="shared" si="129"/>
        <v>0</v>
      </c>
      <c r="OU28" s="135">
        <f t="shared" si="129"/>
        <v>0</v>
      </c>
      <c r="OV28" s="135">
        <f t="shared" si="129"/>
        <v>0</v>
      </c>
      <c r="OW28" s="135">
        <f t="shared" si="129"/>
        <v>0</v>
      </c>
      <c r="OX28" s="135">
        <f t="shared" si="129"/>
        <v>0</v>
      </c>
      <c r="OY28" s="135">
        <f t="shared" si="129"/>
        <v>0</v>
      </c>
      <c r="OZ28" s="135">
        <f t="shared" si="129"/>
        <v>0</v>
      </c>
      <c r="PA28" s="135">
        <f t="shared" si="129"/>
        <v>0</v>
      </c>
      <c r="PB28" s="135">
        <f t="shared" si="129"/>
        <v>0</v>
      </c>
      <c r="PC28" s="135">
        <f t="shared" si="129"/>
        <v>0</v>
      </c>
      <c r="PD28" s="135">
        <f t="shared" si="129"/>
        <v>0</v>
      </c>
      <c r="PE28" s="135">
        <f t="shared" si="129"/>
        <v>0</v>
      </c>
      <c r="PF28" s="135">
        <f t="shared" si="129"/>
        <v>0</v>
      </c>
      <c r="PG28" s="135">
        <f t="shared" si="129"/>
        <v>0</v>
      </c>
      <c r="PH28" s="135">
        <f t="shared" si="129"/>
        <v>0</v>
      </c>
      <c r="PI28" s="135">
        <f t="shared" si="129"/>
        <v>0</v>
      </c>
      <c r="PJ28" s="135">
        <f t="shared" si="129"/>
        <v>0</v>
      </c>
      <c r="PK28" s="135">
        <f t="shared" si="129"/>
        <v>0</v>
      </c>
      <c r="PL28" s="135">
        <f t="shared" si="129"/>
        <v>0</v>
      </c>
      <c r="PM28" s="135">
        <f t="shared" si="129"/>
        <v>0</v>
      </c>
      <c r="PN28" s="135">
        <f t="shared" si="129"/>
        <v>0</v>
      </c>
      <c r="PO28" s="135">
        <f t="shared" si="129"/>
        <v>0</v>
      </c>
      <c r="PP28" s="135">
        <f t="shared" si="129"/>
        <v>0</v>
      </c>
      <c r="PQ28" s="135">
        <f t="shared" si="129"/>
        <v>0</v>
      </c>
      <c r="PR28" s="135">
        <f t="shared" si="129"/>
        <v>0</v>
      </c>
      <c r="PS28" s="135">
        <f t="shared" si="129"/>
        <v>0</v>
      </c>
      <c r="PT28" s="135">
        <f t="shared" si="129"/>
        <v>0</v>
      </c>
      <c r="PU28" s="135">
        <f t="shared" si="129"/>
        <v>0</v>
      </c>
      <c r="PV28" s="135">
        <f t="shared" si="129"/>
        <v>0</v>
      </c>
      <c r="PW28" s="135">
        <f t="shared" si="129"/>
        <v>0</v>
      </c>
      <c r="PX28" s="135">
        <f t="shared" si="129"/>
        <v>0</v>
      </c>
      <c r="PY28" s="135">
        <f t="shared" si="129"/>
        <v>0</v>
      </c>
      <c r="PZ28" s="135">
        <f t="shared" si="129"/>
        <v>0</v>
      </c>
      <c r="QA28" s="135">
        <f t="shared" si="129"/>
        <v>0</v>
      </c>
      <c r="QB28" s="135">
        <f t="shared" si="129"/>
        <v>0</v>
      </c>
      <c r="QC28" s="135">
        <f t="shared" si="129"/>
        <v>0</v>
      </c>
      <c r="QD28" s="135">
        <f t="shared" si="129"/>
        <v>0</v>
      </c>
      <c r="QE28" s="135">
        <f t="shared" si="129"/>
        <v>0</v>
      </c>
      <c r="QF28" s="135">
        <f t="shared" si="129"/>
        <v>0</v>
      </c>
      <c r="QG28" s="135">
        <f t="shared" si="129"/>
        <v>0</v>
      </c>
      <c r="QH28" s="135">
        <f t="shared" si="129"/>
        <v>0</v>
      </c>
      <c r="QI28" s="135">
        <f t="shared" si="129"/>
        <v>0</v>
      </c>
      <c r="QJ28" s="135">
        <f t="shared" si="129"/>
        <v>0</v>
      </c>
      <c r="QK28" s="135">
        <f t="shared" si="129"/>
        <v>0</v>
      </c>
      <c r="QL28" s="135">
        <f t="shared" si="129"/>
        <v>0</v>
      </c>
      <c r="QM28" s="135">
        <f t="shared" si="129"/>
        <v>0</v>
      </c>
      <c r="QN28" s="135">
        <f t="shared" si="129"/>
        <v>0</v>
      </c>
      <c r="QO28" s="135">
        <f t="shared" si="129"/>
        <v>0</v>
      </c>
      <c r="QP28" s="135">
        <f t="shared" si="129"/>
        <v>0</v>
      </c>
      <c r="QQ28" s="135">
        <f t="shared" si="129"/>
        <v>0</v>
      </c>
      <c r="QR28" s="135">
        <f t="shared" si="129"/>
        <v>0</v>
      </c>
      <c r="QS28" s="135">
        <f t="shared" si="129"/>
        <v>0</v>
      </c>
      <c r="QT28" s="135">
        <f t="shared" si="129"/>
        <v>0</v>
      </c>
      <c r="QU28" s="135">
        <f t="shared" si="129"/>
        <v>0</v>
      </c>
      <c r="QV28" s="135">
        <f t="shared" si="129"/>
        <v>0</v>
      </c>
      <c r="QW28" s="135">
        <f t="shared" si="129"/>
        <v>0</v>
      </c>
      <c r="QX28" s="135">
        <f t="shared" si="129"/>
        <v>0</v>
      </c>
      <c r="QY28" s="135">
        <f t="shared" si="129"/>
        <v>0</v>
      </c>
      <c r="QZ28" s="135">
        <f t="shared" si="129"/>
        <v>0</v>
      </c>
      <c r="RA28" s="135">
        <f t="shared" si="125"/>
        <v>0</v>
      </c>
      <c r="RB28" s="135">
        <f t="shared" si="125"/>
        <v>0</v>
      </c>
      <c r="RC28" s="135">
        <f t="shared" si="125"/>
        <v>0</v>
      </c>
      <c r="RD28" s="135">
        <f t="shared" si="125"/>
        <v>0</v>
      </c>
      <c r="RE28" s="135">
        <f t="shared" si="125"/>
        <v>0</v>
      </c>
      <c r="RF28" s="135">
        <f t="shared" si="125"/>
        <v>0</v>
      </c>
      <c r="RG28" s="135">
        <f t="shared" si="125"/>
        <v>0</v>
      </c>
      <c r="RH28" s="135">
        <f t="shared" si="125"/>
        <v>0</v>
      </c>
      <c r="RI28" s="135">
        <f t="shared" si="125"/>
        <v>0</v>
      </c>
      <c r="RJ28" s="135">
        <f t="shared" si="125"/>
        <v>0</v>
      </c>
      <c r="RK28" s="135">
        <f t="shared" si="125"/>
        <v>0</v>
      </c>
      <c r="RL28" s="135">
        <f t="shared" si="125"/>
        <v>0</v>
      </c>
      <c r="RM28" s="135">
        <f t="shared" si="125"/>
        <v>0</v>
      </c>
      <c r="RN28" s="135">
        <f t="shared" si="125"/>
        <v>0</v>
      </c>
      <c r="RO28" s="135">
        <f t="shared" si="125"/>
        <v>0</v>
      </c>
      <c r="RP28" s="135">
        <f t="shared" si="125"/>
        <v>0</v>
      </c>
      <c r="RQ28" s="135">
        <f t="shared" si="125"/>
        <v>0</v>
      </c>
      <c r="RR28" s="135">
        <f t="shared" si="125"/>
        <v>0</v>
      </c>
      <c r="RS28" s="135">
        <f t="shared" si="125"/>
        <v>0</v>
      </c>
      <c r="RT28" s="135">
        <f t="shared" si="125"/>
        <v>0</v>
      </c>
      <c r="RU28" s="135">
        <f t="shared" si="125"/>
        <v>0</v>
      </c>
      <c r="RV28" s="135">
        <f t="shared" si="125"/>
        <v>0</v>
      </c>
      <c r="RW28" s="135">
        <f t="shared" si="125"/>
        <v>0</v>
      </c>
      <c r="RX28" s="135">
        <f t="shared" si="125"/>
        <v>0</v>
      </c>
      <c r="RY28" s="135">
        <f t="shared" si="125"/>
        <v>0</v>
      </c>
      <c r="RZ28" s="135">
        <f t="shared" si="125"/>
        <v>0</v>
      </c>
      <c r="SA28" s="135">
        <f t="shared" si="125"/>
        <v>0</v>
      </c>
      <c r="SB28" s="135">
        <f t="shared" si="125"/>
        <v>0</v>
      </c>
      <c r="SC28" s="135">
        <f t="shared" si="125"/>
        <v>0</v>
      </c>
      <c r="SD28" s="135">
        <f t="shared" si="125"/>
        <v>0</v>
      </c>
      <c r="SE28" s="135">
        <f t="shared" si="125"/>
        <v>0</v>
      </c>
      <c r="SF28" s="135">
        <f t="shared" si="125"/>
        <v>0</v>
      </c>
      <c r="SG28" s="135">
        <f t="shared" si="125"/>
        <v>0</v>
      </c>
      <c r="SH28" s="135">
        <f t="shared" si="125"/>
        <v>0</v>
      </c>
      <c r="SI28" s="135">
        <f t="shared" si="125"/>
        <v>0</v>
      </c>
      <c r="SJ28" s="135">
        <f t="shared" si="125"/>
        <v>0</v>
      </c>
      <c r="SK28" s="135">
        <f t="shared" si="125"/>
        <v>0</v>
      </c>
      <c r="SL28" s="135">
        <f t="shared" si="125"/>
        <v>0</v>
      </c>
      <c r="SM28" s="135">
        <f t="shared" si="125"/>
        <v>0</v>
      </c>
      <c r="SN28" s="135">
        <f t="shared" si="125"/>
        <v>0</v>
      </c>
      <c r="SO28" s="135">
        <f t="shared" si="125"/>
        <v>0</v>
      </c>
      <c r="SP28" s="135">
        <f t="shared" si="125"/>
        <v>0</v>
      </c>
      <c r="SQ28" s="135">
        <f t="shared" si="125"/>
        <v>0</v>
      </c>
      <c r="SR28" s="135">
        <f t="shared" si="125"/>
        <v>0</v>
      </c>
      <c r="SS28" s="135">
        <f t="shared" si="125"/>
        <v>0</v>
      </c>
      <c r="ST28" s="135">
        <f t="shared" si="125"/>
        <v>0</v>
      </c>
      <c r="SU28" s="135">
        <f t="shared" si="125"/>
        <v>0</v>
      </c>
      <c r="SV28" s="135">
        <f t="shared" si="125"/>
        <v>0</v>
      </c>
      <c r="SW28" s="135">
        <f t="shared" si="125"/>
        <v>0</v>
      </c>
      <c r="SX28" s="135">
        <f t="shared" si="125"/>
        <v>0</v>
      </c>
      <c r="SY28" s="135">
        <f t="shared" si="125"/>
        <v>0</v>
      </c>
      <c r="SZ28" s="135">
        <f t="shared" si="125"/>
        <v>0</v>
      </c>
      <c r="TA28" s="135">
        <f t="shared" si="125"/>
        <v>0</v>
      </c>
      <c r="TB28" s="135">
        <f t="shared" si="125"/>
        <v>0</v>
      </c>
      <c r="TC28" s="135">
        <f t="shared" si="125"/>
        <v>0</v>
      </c>
      <c r="TD28" s="135">
        <f t="shared" si="125"/>
        <v>0</v>
      </c>
      <c r="TE28" s="135">
        <f t="shared" si="125"/>
        <v>0</v>
      </c>
      <c r="TF28" s="135">
        <f t="shared" si="125"/>
        <v>0</v>
      </c>
      <c r="TG28" s="135">
        <f t="shared" si="125"/>
        <v>0</v>
      </c>
      <c r="TH28" s="135">
        <f t="shared" si="125"/>
        <v>0</v>
      </c>
      <c r="TI28" s="135">
        <f t="shared" si="125"/>
        <v>0</v>
      </c>
      <c r="TJ28" s="135">
        <f t="shared" si="125"/>
        <v>0</v>
      </c>
      <c r="TK28" s="135">
        <f t="shared" si="125"/>
        <v>0</v>
      </c>
      <c r="TL28" s="135">
        <f t="shared" si="111"/>
        <v>0</v>
      </c>
      <c r="TM28" s="135">
        <f t="shared" si="101"/>
        <v>0</v>
      </c>
      <c r="TN28" s="135">
        <f t="shared" si="101"/>
        <v>0</v>
      </c>
      <c r="TO28" s="135">
        <f t="shared" si="101"/>
        <v>0</v>
      </c>
      <c r="TP28" s="135">
        <f t="shared" si="101"/>
        <v>0</v>
      </c>
      <c r="TQ28" s="135">
        <f t="shared" si="101"/>
        <v>0</v>
      </c>
      <c r="TR28" s="135">
        <f t="shared" si="101"/>
        <v>0</v>
      </c>
      <c r="TS28" s="135">
        <f t="shared" si="101"/>
        <v>0</v>
      </c>
      <c r="TT28" s="135">
        <f t="shared" si="101"/>
        <v>0</v>
      </c>
      <c r="TU28" s="135">
        <f t="shared" si="101"/>
        <v>0</v>
      </c>
      <c r="TV28" s="135">
        <f t="shared" si="101"/>
        <v>0</v>
      </c>
      <c r="TW28" s="135">
        <f t="shared" si="102"/>
        <v>0</v>
      </c>
      <c r="TX28" s="135">
        <f t="shared" si="102"/>
        <v>0</v>
      </c>
      <c r="TY28" s="135">
        <f t="shared" si="102"/>
        <v>0</v>
      </c>
      <c r="TZ28" s="135">
        <f t="shared" si="102"/>
        <v>0</v>
      </c>
      <c r="UA28" s="135">
        <f t="shared" si="102"/>
        <v>0</v>
      </c>
      <c r="UB28" s="135">
        <f t="shared" si="102"/>
        <v>0</v>
      </c>
      <c r="UC28" s="135">
        <f t="shared" si="102"/>
        <v>0</v>
      </c>
      <c r="UD28" s="135">
        <f t="shared" si="102"/>
        <v>0</v>
      </c>
      <c r="UE28" s="135">
        <f t="shared" si="102"/>
        <v>0</v>
      </c>
      <c r="UF28" s="135">
        <f t="shared" si="102"/>
        <v>0</v>
      </c>
      <c r="UG28" s="135">
        <f t="shared" si="102"/>
        <v>0</v>
      </c>
      <c r="UH28" s="135">
        <f t="shared" si="102"/>
        <v>0</v>
      </c>
      <c r="UI28" s="135">
        <f t="shared" si="102"/>
        <v>0</v>
      </c>
      <c r="UJ28" s="135">
        <f t="shared" si="102"/>
        <v>0</v>
      </c>
      <c r="UK28" s="135">
        <f t="shared" si="102"/>
        <v>0</v>
      </c>
    </row>
    <row r="29" spans="2:557">
      <c r="B29" t="str">
        <f>IF(Samenvatting!$F130&lt;&gt;0,Samenvatting!C130,"")</f>
        <v/>
      </c>
      <c r="C29" t="str">
        <f>IF(Samenvatting!$F130&lt;&gt;0,Samenvatting!D130,"")</f>
        <v/>
      </c>
      <c r="D29" t="str">
        <f>IF(Samenvatting!$F130&lt;&gt;0,Samenvatting!E130,"")</f>
        <v/>
      </c>
      <c r="E29" t="str">
        <f>IF(Samenvatting!$F130&lt;&gt;0,Samenvatting!F130,"")</f>
        <v/>
      </c>
      <c r="F29" t="str">
        <f>IF(Samenvatting!$F130&lt;&gt;0,Samenvatting!H130,"")</f>
        <v/>
      </c>
      <c r="G29" s="134" t="str">
        <f>IF(Samenvatting!$F130&lt;&gt;0,Samenvatting!I130,"")</f>
        <v/>
      </c>
      <c r="H29" t="str">
        <f>IF(Samenvatting!$F130&lt;&gt;0,Samenvatting!J130,"")</f>
        <v/>
      </c>
      <c r="I29" s="134" t="str">
        <f>IF(Samenvatting!$F130&lt;&gt;0,Samenvatting!K130,"")</f>
        <v/>
      </c>
      <c r="J29" s="135">
        <f t="shared" si="0"/>
        <v>0</v>
      </c>
      <c r="K29" s="135">
        <f t="shared" si="130"/>
        <v>0</v>
      </c>
      <c r="L29" s="135">
        <f t="shared" si="130"/>
        <v>0</v>
      </c>
      <c r="M29" s="135">
        <f t="shared" si="130"/>
        <v>0</v>
      </c>
      <c r="N29" s="135">
        <f t="shared" si="130"/>
        <v>0</v>
      </c>
      <c r="O29" s="135">
        <f t="shared" si="130"/>
        <v>0</v>
      </c>
      <c r="P29" s="135">
        <f t="shared" si="130"/>
        <v>0</v>
      </c>
      <c r="Q29" s="135">
        <f t="shared" si="130"/>
        <v>0</v>
      </c>
      <c r="R29" s="135">
        <f t="shared" si="130"/>
        <v>0</v>
      </c>
      <c r="S29" s="135">
        <f t="shared" si="130"/>
        <v>0</v>
      </c>
      <c r="T29" s="135">
        <f t="shared" si="130"/>
        <v>0</v>
      </c>
      <c r="U29" s="135">
        <f t="shared" si="130"/>
        <v>0</v>
      </c>
      <c r="V29" s="135">
        <f t="shared" si="130"/>
        <v>0</v>
      </c>
      <c r="W29" s="135">
        <f t="shared" si="130"/>
        <v>0</v>
      </c>
      <c r="X29" s="135">
        <f t="shared" si="130"/>
        <v>0</v>
      </c>
      <c r="Y29" s="135">
        <f t="shared" si="130"/>
        <v>0</v>
      </c>
      <c r="Z29" s="135">
        <f t="shared" si="130"/>
        <v>0</v>
      </c>
      <c r="AA29" s="135">
        <f t="shared" si="130"/>
        <v>0</v>
      </c>
      <c r="AB29" s="135">
        <f t="shared" si="130"/>
        <v>0</v>
      </c>
      <c r="AC29" s="135">
        <f t="shared" si="130"/>
        <v>0</v>
      </c>
      <c r="AD29" s="135">
        <f t="shared" si="130"/>
        <v>0</v>
      </c>
      <c r="AE29" s="135">
        <f t="shared" si="130"/>
        <v>0</v>
      </c>
      <c r="AF29" s="135">
        <f t="shared" si="130"/>
        <v>0</v>
      </c>
      <c r="AG29" s="135">
        <f t="shared" si="130"/>
        <v>0</v>
      </c>
      <c r="AH29" s="135">
        <f t="shared" si="130"/>
        <v>0</v>
      </c>
      <c r="AI29" s="135">
        <f t="shared" si="130"/>
        <v>0</v>
      </c>
      <c r="AJ29" s="135">
        <f t="shared" si="130"/>
        <v>0</v>
      </c>
      <c r="AK29" s="135">
        <f t="shared" si="130"/>
        <v>0</v>
      </c>
      <c r="AL29" s="135">
        <f t="shared" si="130"/>
        <v>0</v>
      </c>
      <c r="AM29" s="135">
        <f t="shared" si="130"/>
        <v>0</v>
      </c>
      <c r="AN29" s="135">
        <f t="shared" si="130"/>
        <v>0</v>
      </c>
      <c r="AO29" s="135">
        <f t="shared" si="130"/>
        <v>0</v>
      </c>
      <c r="AP29" s="135">
        <f t="shared" si="130"/>
        <v>0</v>
      </c>
      <c r="AQ29" s="135">
        <f t="shared" si="130"/>
        <v>0</v>
      </c>
      <c r="AR29" s="135">
        <f t="shared" si="130"/>
        <v>0</v>
      </c>
      <c r="AS29" s="135">
        <f t="shared" si="130"/>
        <v>0</v>
      </c>
      <c r="AT29" s="135">
        <f t="shared" si="130"/>
        <v>0</v>
      </c>
      <c r="AU29" s="135">
        <f t="shared" si="130"/>
        <v>0</v>
      </c>
      <c r="AV29" s="135">
        <f t="shared" si="130"/>
        <v>0</v>
      </c>
      <c r="AW29" s="135">
        <f t="shared" si="130"/>
        <v>0</v>
      </c>
      <c r="AX29" s="135">
        <f t="shared" si="130"/>
        <v>0</v>
      </c>
      <c r="AY29" s="135">
        <f t="shared" si="130"/>
        <v>0</v>
      </c>
      <c r="AZ29" s="135">
        <f t="shared" si="130"/>
        <v>0</v>
      </c>
      <c r="BA29" s="135">
        <f t="shared" si="130"/>
        <v>0</v>
      </c>
      <c r="BB29" s="135">
        <f t="shared" si="130"/>
        <v>0</v>
      </c>
      <c r="BC29" s="135">
        <f t="shared" si="130"/>
        <v>0</v>
      </c>
      <c r="BD29" s="135">
        <f t="shared" si="130"/>
        <v>0</v>
      </c>
      <c r="BE29" s="135">
        <f t="shared" si="130"/>
        <v>0</v>
      </c>
      <c r="BF29" s="135">
        <f t="shared" si="130"/>
        <v>0</v>
      </c>
      <c r="BG29" s="135">
        <f t="shared" si="130"/>
        <v>0</v>
      </c>
      <c r="BH29" s="135">
        <f t="shared" si="130"/>
        <v>0</v>
      </c>
      <c r="BI29" s="135">
        <f t="shared" si="130"/>
        <v>0</v>
      </c>
      <c r="BJ29" s="135">
        <f t="shared" si="130"/>
        <v>0</v>
      </c>
      <c r="BK29" s="135">
        <f t="shared" si="130"/>
        <v>0</v>
      </c>
      <c r="BL29" s="135">
        <f t="shared" si="130"/>
        <v>0</v>
      </c>
      <c r="BM29" s="135">
        <f t="shared" si="130"/>
        <v>0</v>
      </c>
      <c r="BN29" s="135">
        <f t="shared" si="130"/>
        <v>0</v>
      </c>
      <c r="BO29" s="135">
        <f t="shared" si="130"/>
        <v>0</v>
      </c>
      <c r="BP29" s="135">
        <f t="shared" si="130"/>
        <v>0</v>
      </c>
      <c r="BQ29" s="135">
        <f t="shared" si="130"/>
        <v>0</v>
      </c>
      <c r="BR29" s="135">
        <f t="shared" si="130"/>
        <v>0</v>
      </c>
      <c r="BS29" s="135">
        <f t="shared" si="130"/>
        <v>0</v>
      </c>
      <c r="BT29" s="135">
        <f t="shared" si="130"/>
        <v>0</v>
      </c>
      <c r="BU29" s="135">
        <f t="shared" si="130"/>
        <v>0</v>
      </c>
      <c r="BV29" s="135">
        <f t="shared" si="130"/>
        <v>0</v>
      </c>
      <c r="BW29" s="135">
        <f t="shared" si="126"/>
        <v>0</v>
      </c>
      <c r="BX29" s="135">
        <f t="shared" si="126"/>
        <v>0</v>
      </c>
      <c r="BY29" s="135">
        <f t="shared" si="126"/>
        <v>0</v>
      </c>
      <c r="BZ29" s="135">
        <f t="shared" si="126"/>
        <v>0</v>
      </c>
      <c r="CA29" s="135">
        <f t="shared" si="126"/>
        <v>0</v>
      </c>
      <c r="CB29" s="135">
        <f t="shared" si="126"/>
        <v>0</v>
      </c>
      <c r="CC29" s="135">
        <f t="shared" si="126"/>
        <v>0</v>
      </c>
      <c r="CD29" s="135">
        <f t="shared" si="126"/>
        <v>0</v>
      </c>
      <c r="CE29" s="135">
        <f t="shared" si="126"/>
        <v>0</v>
      </c>
      <c r="CF29" s="135">
        <f t="shared" si="126"/>
        <v>0</v>
      </c>
      <c r="CG29" s="135">
        <f t="shared" si="126"/>
        <v>0</v>
      </c>
      <c r="CH29" s="135">
        <f t="shared" si="126"/>
        <v>0</v>
      </c>
      <c r="CI29" s="135">
        <f t="shared" si="126"/>
        <v>0</v>
      </c>
      <c r="CJ29" s="135">
        <f t="shared" si="126"/>
        <v>0</v>
      </c>
      <c r="CK29" s="135">
        <f t="shared" si="126"/>
        <v>0</v>
      </c>
      <c r="CL29" s="135">
        <f t="shared" si="126"/>
        <v>0</v>
      </c>
      <c r="CM29" s="135">
        <f t="shared" si="126"/>
        <v>0</v>
      </c>
      <c r="CN29" s="135">
        <f t="shared" si="126"/>
        <v>0</v>
      </c>
      <c r="CO29" s="135">
        <f t="shared" si="126"/>
        <v>0</v>
      </c>
      <c r="CP29" s="135">
        <f t="shared" si="126"/>
        <v>0</v>
      </c>
      <c r="CQ29" s="135">
        <f t="shared" si="126"/>
        <v>0</v>
      </c>
      <c r="CR29" s="135">
        <f t="shared" si="126"/>
        <v>0</v>
      </c>
      <c r="CS29" s="135">
        <f t="shared" si="126"/>
        <v>0</v>
      </c>
      <c r="CT29" s="135">
        <f t="shared" si="126"/>
        <v>0</v>
      </c>
      <c r="CU29" s="135">
        <f t="shared" si="126"/>
        <v>0</v>
      </c>
      <c r="CV29" s="135">
        <f t="shared" si="126"/>
        <v>0</v>
      </c>
      <c r="CW29" s="135">
        <f t="shared" si="126"/>
        <v>0</v>
      </c>
      <c r="CX29" s="135">
        <f t="shared" si="126"/>
        <v>0</v>
      </c>
      <c r="CY29" s="135">
        <f t="shared" si="126"/>
        <v>0</v>
      </c>
      <c r="CZ29" s="135">
        <f t="shared" si="126"/>
        <v>0</v>
      </c>
      <c r="DA29" s="135">
        <f t="shared" si="126"/>
        <v>0</v>
      </c>
      <c r="DB29" s="135">
        <f t="shared" si="126"/>
        <v>0</v>
      </c>
      <c r="DC29" s="135">
        <f t="shared" si="126"/>
        <v>0</v>
      </c>
      <c r="DD29" s="135">
        <f t="shared" si="126"/>
        <v>0</v>
      </c>
      <c r="DE29" s="135">
        <f t="shared" si="126"/>
        <v>0</v>
      </c>
      <c r="DF29" s="135">
        <f t="shared" si="126"/>
        <v>0</v>
      </c>
      <c r="DG29" s="135">
        <f t="shared" si="126"/>
        <v>0</v>
      </c>
      <c r="DH29" s="135">
        <f t="shared" si="126"/>
        <v>0</v>
      </c>
      <c r="DI29" s="135">
        <f t="shared" si="126"/>
        <v>0</v>
      </c>
      <c r="DJ29" s="135">
        <f t="shared" si="126"/>
        <v>0</v>
      </c>
      <c r="DK29" s="135">
        <f t="shared" si="126"/>
        <v>0</v>
      </c>
      <c r="DL29" s="135">
        <f t="shared" si="126"/>
        <v>0</v>
      </c>
      <c r="DM29" s="135">
        <f t="shared" si="126"/>
        <v>0</v>
      </c>
      <c r="DN29" s="135">
        <f t="shared" si="126"/>
        <v>0</v>
      </c>
      <c r="DO29" s="135">
        <f t="shared" si="126"/>
        <v>0</v>
      </c>
      <c r="DP29" s="135">
        <f t="shared" si="126"/>
        <v>0</v>
      </c>
      <c r="DQ29" s="135">
        <f t="shared" si="126"/>
        <v>0</v>
      </c>
      <c r="DR29" s="135">
        <f t="shared" si="126"/>
        <v>0</v>
      </c>
      <c r="DS29" s="135">
        <f t="shared" si="126"/>
        <v>0</v>
      </c>
      <c r="DT29" s="135">
        <f t="shared" si="126"/>
        <v>0</v>
      </c>
      <c r="DU29" s="135">
        <f t="shared" si="126"/>
        <v>0</v>
      </c>
      <c r="DV29" s="135">
        <f t="shared" si="126"/>
        <v>0</v>
      </c>
      <c r="DW29" s="135">
        <f t="shared" si="126"/>
        <v>0</v>
      </c>
      <c r="DX29" s="135">
        <f t="shared" si="126"/>
        <v>0</v>
      </c>
      <c r="DY29" s="135">
        <f t="shared" si="126"/>
        <v>0</v>
      </c>
      <c r="DZ29" s="135">
        <f t="shared" si="126"/>
        <v>0</v>
      </c>
      <c r="EA29" s="135">
        <f t="shared" si="126"/>
        <v>0</v>
      </c>
      <c r="EB29" s="135">
        <f t="shared" si="126"/>
        <v>0</v>
      </c>
      <c r="EC29" s="135">
        <f t="shared" si="126"/>
        <v>0</v>
      </c>
      <c r="ED29" s="135">
        <f t="shared" si="126"/>
        <v>0</v>
      </c>
      <c r="EE29" s="135">
        <f t="shared" si="126"/>
        <v>0</v>
      </c>
      <c r="EF29" s="135">
        <f t="shared" si="126"/>
        <v>0</v>
      </c>
      <c r="EG29" s="135">
        <f t="shared" si="126"/>
        <v>0</v>
      </c>
      <c r="EH29" s="135">
        <f t="shared" si="124"/>
        <v>0</v>
      </c>
      <c r="EI29" s="135">
        <f t="shared" si="124"/>
        <v>0</v>
      </c>
      <c r="EJ29" s="135">
        <f t="shared" si="124"/>
        <v>0</v>
      </c>
      <c r="EK29" s="135">
        <f t="shared" si="124"/>
        <v>0</v>
      </c>
      <c r="EL29" s="135">
        <f t="shared" si="124"/>
        <v>0</v>
      </c>
      <c r="EM29" s="135">
        <f t="shared" si="124"/>
        <v>0</v>
      </c>
      <c r="EN29" s="135">
        <f t="shared" si="124"/>
        <v>0</v>
      </c>
      <c r="EO29" s="135">
        <f t="shared" si="124"/>
        <v>0</v>
      </c>
      <c r="EP29" s="135">
        <f t="shared" si="124"/>
        <v>0</v>
      </c>
      <c r="EQ29" s="135">
        <f t="shared" si="124"/>
        <v>0</v>
      </c>
      <c r="ER29" s="135">
        <f t="shared" si="124"/>
        <v>0</v>
      </c>
      <c r="ES29" s="135">
        <f t="shared" si="124"/>
        <v>0</v>
      </c>
      <c r="ET29" s="135">
        <f t="shared" si="124"/>
        <v>0</v>
      </c>
      <c r="EU29" s="135">
        <f t="shared" si="124"/>
        <v>0</v>
      </c>
      <c r="EV29" s="135">
        <f t="shared" si="124"/>
        <v>0</v>
      </c>
      <c r="EW29" s="135">
        <f t="shared" si="124"/>
        <v>0</v>
      </c>
      <c r="EX29" s="135">
        <f t="shared" si="124"/>
        <v>0</v>
      </c>
      <c r="EY29" s="135">
        <f t="shared" si="124"/>
        <v>0</v>
      </c>
      <c r="EZ29" s="135">
        <f t="shared" si="124"/>
        <v>0</v>
      </c>
      <c r="FA29" s="135">
        <f t="shared" si="124"/>
        <v>0</v>
      </c>
      <c r="FB29" s="135">
        <f t="shared" si="124"/>
        <v>0</v>
      </c>
      <c r="FC29" s="135">
        <f t="shared" si="124"/>
        <v>0</v>
      </c>
      <c r="FD29" s="135">
        <f t="shared" si="124"/>
        <v>0</v>
      </c>
      <c r="FE29" s="135">
        <f t="shared" si="124"/>
        <v>0</v>
      </c>
      <c r="FF29" s="135">
        <f t="shared" si="124"/>
        <v>0</v>
      </c>
      <c r="FG29" s="135">
        <f t="shared" si="124"/>
        <v>0</v>
      </c>
      <c r="FH29" s="135">
        <f t="shared" si="124"/>
        <v>0</v>
      </c>
      <c r="FI29" s="135">
        <f t="shared" si="124"/>
        <v>0</v>
      </c>
      <c r="FJ29" s="135">
        <f t="shared" si="124"/>
        <v>0</v>
      </c>
      <c r="FK29" s="135">
        <f t="shared" si="124"/>
        <v>0</v>
      </c>
      <c r="FL29" s="135">
        <f t="shared" si="124"/>
        <v>0</v>
      </c>
      <c r="FM29" s="135">
        <f t="shared" si="124"/>
        <v>0</v>
      </c>
      <c r="FN29" s="135">
        <f t="shared" si="124"/>
        <v>0</v>
      </c>
      <c r="FO29" s="135">
        <f t="shared" si="124"/>
        <v>0</v>
      </c>
      <c r="FP29" s="135">
        <f t="shared" si="124"/>
        <v>0</v>
      </c>
      <c r="FQ29" s="135">
        <f t="shared" si="124"/>
        <v>0</v>
      </c>
      <c r="FR29" s="135">
        <f t="shared" si="124"/>
        <v>0</v>
      </c>
      <c r="FS29" s="135">
        <f t="shared" si="124"/>
        <v>0</v>
      </c>
      <c r="FT29" s="135">
        <f t="shared" si="124"/>
        <v>0</v>
      </c>
      <c r="FU29" s="135">
        <f t="shared" si="124"/>
        <v>0</v>
      </c>
      <c r="FV29" s="135">
        <f t="shared" si="124"/>
        <v>0</v>
      </c>
      <c r="FW29" s="135">
        <f t="shared" si="124"/>
        <v>0</v>
      </c>
      <c r="FX29" s="135">
        <f t="shared" si="124"/>
        <v>0</v>
      </c>
      <c r="FY29" s="135">
        <f t="shared" si="124"/>
        <v>0</v>
      </c>
      <c r="FZ29" s="135">
        <f t="shared" si="124"/>
        <v>0</v>
      </c>
      <c r="GA29" s="135">
        <f t="shared" si="124"/>
        <v>0</v>
      </c>
      <c r="GB29" s="135">
        <f t="shared" si="124"/>
        <v>0</v>
      </c>
      <c r="GC29" s="135">
        <f t="shared" si="124"/>
        <v>0</v>
      </c>
      <c r="GD29" s="135">
        <f t="shared" si="124"/>
        <v>0</v>
      </c>
      <c r="GE29" s="135">
        <f t="shared" si="124"/>
        <v>0</v>
      </c>
      <c r="GF29" s="135">
        <f t="shared" si="124"/>
        <v>0</v>
      </c>
      <c r="GG29" s="135">
        <f t="shared" si="124"/>
        <v>0</v>
      </c>
      <c r="GH29" s="135">
        <f t="shared" si="124"/>
        <v>0</v>
      </c>
      <c r="GI29" s="135">
        <f t="shared" si="124"/>
        <v>0</v>
      </c>
      <c r="GJ29" s="135">
        <f t="shared" si="124"/>
        <v>0</v>
      </c>
      <c r="GK29" s="135">
        <f t="shared" si="124"/>
        <v>0</v>
      </c>
      <c r="GL29" s="135">
        <f t="shared" si="124"/>
        <v>0</v>
      </c>
      <c r="GM29" s="135">
        <f t="shared" si="124"/>
        <v>0</v>
      </c>
      <c r="GN29" s="135">
        <f t="shared" si="124"/>
        <v>0</v>
      </c>
      <c r="GO29" s="135">
        <f t="shared" si="124"/>
        <v>0</v>
      </c>
      <c r="GP29" s="135">
        <f t="shared" si="124"/>
        <v>0</v>
      </c>
      <c r="GQ29" s="135">
        <f t="shared" si="124"/>
        <v>0</v>
      </c>
      <c r="GR29" s="135">
        <f t="shared" si="124"/>
        <v>0</v>
      </c>
      <c r="GS29" s="135">
        <f t="shared" ref="GS29:JD29" si="132">IFERROR(IF(GS$1=EOMONTH($G29,0),(-$E29+($E29*(DAY($G29)/DAY(EOMONTH(GS$1,0)))*$F29/12*(1-0.269))),IF(GS$1=$G29,($E29+($E29*(DAY($I29)/DAY(EOMONTH(GS$1,0)))*$F29/12*(1-0.269))),IFERROR(IF($I29&lt;GS$1,0,IF(GS$1&gt;$I29,(($F29/12)*$E29)*(DAY($I29)/DAY(EOMONTH(GS$1,0)))*(1-26.9/100)+$E29,IF(AND(GS$1&gt;=$G29,GS$1&lt;$I29),(($F29/12)*$E29)*(1-26.9/100),""))-IF(GS$1=EOMONTH($G29,0),$E29,"0")),0)+IF(GS$1=EOMONTH($I29,0),($E29+($E29*(DAY($I29)/DAY(EOMONTH(GS$1,0)))*$F29/12*(1-0.269))),"0"))),0)</f>
        <v>0</v>
      </c>
      <c r="GT29" s="135">
        <f t="shared" si="132"/>
        <v>0</v>
      </c>
      <c r="GU29" s="135">
        <f t="shared" si="132"/>
        <v>0</v>
      </c>
      <c r="GV29" s="135">
        <f t="shared" si="132"/>
        <v>0</v>
      </c>
      <c r="GW29" s="135">
        <f t="shared" si="132"/>
        <v>0</v>
      </c>
      <c r="GX29" s="135">
        <f t="shared" si="132"/>
        <v>0</v>
      </c>
      <c r="GY29" s="135">
        <f t="shared" si="132"/>
        <v>0</v>
      </c>
      <c r="GZ29" s="135">
        <f t="shared" si="132"/>
        <v>0</v>
      </c>
      <c r="HA29" s="135">
        <f t="shared" si="132"/>
        <v>0</v>
      </c>
      <c r="HB29" s="135">
        <f t="shared" si="132"/>
        <v>0</v>
      </c>
      <c r="HC29" s="135">
        <f t="shared" si="132"/>
        <v>0</v>
      </c>
      <c r="HD29" s="135">
        <f t="shared" si="132"/>
        <v>0</v>
      </c>
      <c r="HE29" s="135">
        <f t="shared" si="132"/>
        <v>0</v>
      </c>
      <c r="HF29" s="135">
        <f t="shared" si="132"/>
        <v>0</v>
      </c>
      <c r="HG29" s="135">
        <f t="shared" si="132"/>
        <v>0</v>
      </c>
      <c r="HH29" s="135">
        <f t="shared" si="132"/>
        <v>0</v>
      </c>
      <c r="HI29" s="135">
        <f t="shared" si="132"/>
        <v>0</v>
      </c>
      <c r="HJ29" s="135">
        <f t="shared" si="132"/>
        <v>0</v>
      </c>
      <c r="HK29" s="135">
        <f t="shared" si="132"/>
        <v>0</v>
      </c>
      <c r="HL29" s="135">
        <f t="shared" si="132"/>
        <v>0</v>
      </c>
      <c r="HM29" s="135">
        <f t="shared" si="132"/>
        <v>0</v>
      </c>
      <c r="HN29" s="135">
        <f t="shared" si="132"/>
        <v>0</v>
      </c>
      <c r="HO29" s="135">
        <f t="shared" si="132"/>
        <v>0</v>
      </c>
      <c r="HP29" s="135">
        <f t="shared" si="132"/>
        <v>0</v>
      </c>
      <c r="HQ29" s="135">
        <f t="shared" si="132"/>
        <v>0</v>
      </c>
      <c r="HR29" s="135">
        <f t="shared" si="132"/>
        <v>0</v>
      </c>
      <c r="HS29" s="135">
        <f t="shared" si="132"/>
        <v>0</v>
      </c>
      <c r="HT29" s="135">
        <f t="shared" si="132"/>
        <v>0</v>
      </c>
      <c r="HU29" s="135">
        <f t="shared" si="132"/>
        <v>0</v>
      </c>
      <c r="HV29" s="135">
        <f t="shared" si="132"/>
        <v>0</v>
      </c>
      <c r="HW29" s="135">
        <f t="shared" si="132"/>
        <v>0</v>
      </c>
      <c r="HX29" s="135">
        <f t="shared" si="132"/>
        <v>0</v>
      </c>
      <c r="HY29" s="135">
        <f t="shared" si="132"/>
        <v>0</v>
      </c>
      <c r="HZ29" s="135">
        <f t="shared" si="132"/>
        <v>0</v>
      </c>
      <c r="IA29" s="135">
        <f t="shared" si="132"/>
        <v>0</v>
      </c>
      <c r="IB29" s="135">
        <f t="shared" si="132"/>
        <v>0</v>
      </c>
      <c r="IC29" s="135">
        <f t="shared" si="132"/>
        <v>0</v>
      </c>
      <c r="ID29" s="135">
        <f t="shared" si="132"/>
        <v>0</v>
      </c>
      <c r="IE29" s="135">
        <f t="shared" si="132"/>
        <v>0</v>
      </c>
      <c r="IF29" s="135">
        <f t="shared" si="132"/>
        <v>0</v>
      </c>
      <c r="IG29" s="135">
        <f t="shared" si="132"/>
        <v>0</v>
      </c>
      <c r="IH29" s="135">
        <f t="shared" si="132"/>
        <v>0</v>
      </c>
      <c r="II29" s="135">
        <f t="shared" si="132"/>
        <v>0</v>
      </c>
      <c r="IJ29" s="135">
        <f t="shared" si="132"/>
        <v>0</v>
      </c>
      <c r="IK29" s="135">
        <f t="shared" si="132"/>
        <v>0</v>
      </c>
      <c r="IL29" s="135">
        <f t="shared" si="132"/>
        <v>0</v>
      </c>
      <c r="IM29" s="135">
        <f t="shared" si="132"/>
        <v>0</v>
      </c>
      <c r="IN29" s="135">
        <f t="shared" si="132"/>
        <v>0</v>
      </c>
      <c r="IO29" s="135">
        <f t="shared" si="132"/>
        <v>0</v>
      </c>
      <c r="IP29" s="135">
        <f t="shared" si="132"/>
        <v>0</v>
      </c>
      <c r="IQ29" s="135">
        <f t="shared" si="132"/>
        <v>0</v>
      </c>
      <c r="IR29" s="135">
        <f t="shared" si="132"/>
        <v>0</v>
      </c>
      <c r="IS29" s="135">
        <f t="shared" si="132"/>
        <v>0</v>
      </c>
      <c r="IT29" s="135">
        <f t="shared" si="132"/>
        <v>0</v>
      </c>
      <c r="IU29" s="135">
        <f t="shared" si="132"/>
        <v>0</v>
      </c>
      <c r="IV29" s="135">
        <f t="shared" si="132"/>
        <v>0</v>
      </c>
      <c r="IW29" s="135">
        <f t="shared" si="132"/>
        <v>0</v>
      </c>
      <c r="IX29" s="135">
        <f t="shared" si="132"/>
        <v>0</v>
      </c>
      <c r="IY29" s="135">
        <f t="shared" si="132"/>
        <v>0</v>
      </c>
      <c r="IZ29" s="135">
        <f t="shared" si="132"/>
        <v>0</v>
      </c>
      <c r="JA29" s="135">
        <f t="shared" si="132"/>
        <v>0</v>
      </c>
      <c r="JB29" s="135">
        <f t="shared" si="132"/>
        <v>0</v>
      </c>
      <c r="JC29" s="135">
        <f t="shared" si="132"/>
        <v>0</v>
      </c>
      <c r="JD29" s="135">
        <f t="shared" si="132"/>
        <v>0</v>
      </c>
      <c r="JE29" s="135">
        <f t="shared" si="131"/>
        <v>0</v>
      </c>
      <c r="JF29" s="135">
        <f t="shared" si="131"/>
        <v>0</v>
      </c>
      <c r="JG29" s="135">
        <f t="shared" si="131"/>
        <v>0</v>
      </c>
      <c r="JH29" s="135">
        <f t="shared" si="131"/>
        <v>0</v>
      </c>
      <c r="JI29" s="135">
        <f t="shared" si="131"/>
        <v>0</v>
      </c>
      <c r="JJ29" s="135">
        <f t="shared" si="131"/>
        <v>0</v>
      </c>
      <c r="JK29" s="135">
        <f t="shared" si="131"/>
        <v>0</v>
      </c>
      <c r="JL29" s="135">
        <f t="shared" si="131"/>
        <v>0</v>
      </c>
      <c r="JM29" s="135">
        <f t="shared" si="131"/>
        <v>0</v>
      </c>
      <c r="JN29" s="135">
        <f t="shared" si="131"/>
        <v>0</v>
      </c>
      <c r="JO29" s="135">
        <f t="shared" si="131"/>
        <v>0</v>
      </c>
      <c r="JP29" s="135">
        <f t="shared" si="131"/>
        <v>0</v>
      </c>
      <c r="JQ29" s="135">
        <f t="shared" si="131"/>
        <v>0</v>
      </c>
      <c r="JR29" s="135">
        <f t="shared" si="131"/>
        <v>0</v>
      </c>
      <c r="JS29" s="135">
        <f t="shared" si="131"/>
        <v>0</v>
      </c>
      <c r="JT29" s="135">
        <f t="shared" si="131"/>
        <v>0</v>
      </c>
      <c r="JU29" s="135">
        <f t="shared" si="131"/>
        <v>0</v>
      </c>
      <c r="JV29" s="135">
        <f t="shared" si="131"/>
        <v>0</v>
      </c>
      <c r="JW29" s="135">
        <f t="shared" si="131"/>
        <v>0</v>
      </c>
      <c r="JX29" s="135">
        <f t="shared" si="131"/>
        <v>0</v>
      </c>
      <c r="JY29" s="135">
        <f t="shared" si="131"/>
        <v>0</v>
      </c>
      <c r="JZ29" s="135">
        <f t="shared" si="131"/>
        <v>0</v>
      </c>
      <c r="KA29" s="135">
        <f t="shared" si="131"/>
        <v>0</v>
      </c>
      <c r="KB29" s="135">
        <f t="shared" si="131"/>
        <v>0</v>
      </c>
      <c r="KC29" s="135">
        <f t="shared" si="131"/>
        <v>0</v>
      </c>
      <c r="KD29" s="135">
        <f t="shared" si="131"/>
        <v>0</v>
      </c>
      <c r="KE29" s="135">
        <f t="shared" si="131"/>
        <v>0</v>
      </c>
      <c r="KF29" s="135">
        <f t="shared" si="131"/>
        <v>0</v>
      </c>
      <c r="KG29" s="135">
        <f t="shared" si="131"/>
        <v>0</v>
      </c>
      <c r="KH29" s="135">
        <f t="shared" si="131"/>
        <v>0</v>
      </c>
      <c r="KI29" s="135">
        <f t="shared" si="131"/>
        <v>0</v>
      </c>
      <c r="KJ29" s="135">
        <f t="shared" si="131"/>
        <v>0</v>
      </c>
      <c r="KK29" s="135">
        <f t="shared" si="131"/>
        <v>0</v>
      </c>
      <c r="KL29" s="135">
        <f t="shared" si="131"/>
        <v>0</v>
      </c>
      <c r="KM29" s="135">
        <f t="shared" si="131"/>
        <v>0</v>
      </c>
      <c r="KN29" s="135">
        <f t="shared" si="131"/>
        <v>0</v>
      </c>
      <c r="KO29" s="135">
        <f t="shared" si="131"/>
        <v>0</v>
      </c>
      <c r="KP29" s="135">
        <f t="shared" si="131"/>
        <v>0</v>
      </c>
      <c r="KQ29" s="135">
        <f t="shared" si="131"/>
        <v>0</v>
      </c>
      <c r="KR29" s="135">
        <f t="shared" si="131"/>
        <v>0</v>
      </c>
      <c r="KS29" s="135">
        <f t="shared" si="131"/>
        <v>0</v>
      </c>
      <c r="KT29" s="135">
        <f t="shared" si="131"/>
        <v>0</v>
      </c>
      <c r="KU29" s="135">
        <f t="shared" si="131"/>
        <v>0</v>
      </c>
      <c r="KV29" s="135">
        <f t="shared" si="131"/>
        <v>0</v>
      </c>
      <c r="KW29" s="135">
        <f t="shared" si="131"/>
        <v>0</v>
      </c>
      <c r="KX29" s="135">
        <f t="shared" si="131"/>
        <v>0</v>
      </c>
      <c r="KY29" s="135">
        <f t="shared" si="131"/>
        <v>0</v>
      </c>
      <c r="KZ29" s="135">
        <f t="shared" si="131"/>
        <v>0</v>
      </c>
      <c r="LA29" s="135">
        <f t="shared" si="131"/>
        <v>0</v>
      </c>
      <c r="LB29" s="135">
        <f t="shared" si="131"/>
        <v>0</v>
      </c>
      <c r="LC29" s="135">
        <f t="shared" si="131"/>
        <v>0</v>
      </c>
      <c r="LD29" s="135">
        <f t="shared" si="131"/>
        <v>0</v>
      </c>
      <c r="LE29" s="135">
        <f t="shared" si="131"/>
        <v>0</v>
      </c>
      <c r="LF29" s="135">
        <f t="shared" si="131"/>
        <v>0</v>
      </c>
      <c r="LG29" s="135">
        <f t="shared" si="131"/>
        <v>0</v>
      </c>
      <c r="LH29" s="135">
        <f t="shared" si="131"/>
        <v>0</v>
      </c>
      <c r="LI29" s="135">
        <f t="shared" si="131"/>
        <v>0</v>
      </c>
      <c r="LJ29" s="135">
        <f t="shared" si="131"/>
        <v>0</v>
      </c>
      <c r="LK29" s="135">
        <f t="shared" si="131"/>
        <v>0</v>
      </c>
      <c r="LL29" s="135">
        <f t="shared" si="131"/>
        <v>0</v>
      </c>
      <c r="LM29" s="135">
        <f t="shared" si="131"/>
        <v>0</v>
      </c>
      <c r="LN29" s="135">
        <f t="shared" si="131"/>
        <v>0</v>
      </c>
      <c r="LO29" s="135">
        <f t="shared" si="131"/>
        <v>0</v>
      </c>
      <c r="LP29" s="135">
        <f t="shared" si="131"/>
        <v>0</v>
      </c>
      <c r="LQ29" s="135">
        <f t="shared" si="127"/>
        <v>0</v>
      </c>
      <c r="LR29" s="135">
        <f t="shared" si="127"/>
        <v>0</v>
      </c>
      <c r="LS29" s="135">
        <f t="shared" si="127"/>
        <v>0</v>
      </c>
      <c r="LT29" s="135">
        <f t="shared" si="127"/>
        <v>0</v>
      </c>
      <c r="LU29" s="135">
        <f t="shared" si="127"/>
        <v>0</v>
      </c>
      <c r="LV29" s="135">
        <f t="shared" si="127"/>
        <v>0</v>
      </c>
      <c r="LW29" s="135">
        <f t="shared" si="127"/>
        <v>0</v>
      </c>
      <c r="LX29" s="135">
        <f t="shared" si="127"/>
        <v>0</v>
      </c>
      <c r="LY29" s="135">
        <f t="shared" si="127"/>
        <v>0</v>
      </c>
      <c r="LZ29" s="135">
        <f t="shared" si="127"/>
        <v>0</v>
      </c>
      <c r="MA29" s="135">
        <f t="shared" si="127"/>
        <v>0</v>
      </c>
      <c r="MB29" s="135">
        <f t="shared" si="127"/>
        <v>0</v>
      </c>
      <c r="MC29" s="135">
        <f t="shared" si="127"/>
        <v>0</v>
      </c>
      <c r="MD29" s="135">
        <f t="shared" si="127"/>
        <v>0</v>
      </c>
      <c r="ME29" s="135">
        <f t="shared" si="127"/>
        <v>0</v>
      </c>
      <c r="MF29" s="135">
        <f t="shared" si="127"/>
        <v>0</v>
      </c>
      <c r="MG29" s="135">
        <f t="shared" si="127"/>
        <v>0</v>
      </c>
      <c r="MH29" s="135">
        <f t="shared" si="127"/>
        <v>0</v>
      </c>
      <c r="MI29" s="135">
        <f t="shared" si="127"/>
        <v>0</v>
      </c>
      <c r="MJ29" s="135">
        <f t="shared" si="127"/>
        <v>0</v>
      </c>
      <c r="MK29" s="135">
        <f t="shared" si="127"/>
        <v>0</v>
      </c>
      <c r="ML29" s="135">
        <f t="shared" si="127"/>
        <v>0</v>
      </c>
      <c r="MM29" s="135">
        <f t="shared" si="127"/>
        <v>0</v>
      </c>
      <c r="MN29" s="135">
        <f t="shared" si="127"/>
        <v>0</v>
      </c>
      <c r="MO29" s="135">
        <f t="shared" si="127"/>
        <v>0</v>
      </c>
      <c r="MP29" s="135">
        <f t="shared" si="127"/>
        <v>0</v>
      </c>
      <c r="MQ29" s="135">
        <f t="shared" si="127"/>
        <v>0</v>
      </c>
      <c r="MR29" s="135">
        <f t="shared" si="127"/>
        <v>0</v>
      </c>
      <c r="MS29" s="135">
        <f t="shared" si="127"/>
        <v>0</v>
      </c>
      <c r="MT29" s="135">
        <f t="shared" si="127"/>
        <v>0</v>
      </c>
      <c r="MU29" s="135">
        <f t="shared" si="127"/>
        <v>0</v>
      </c>
      <c r="MV29" s="135">
        <f t="shared" si="127"/>
        <v>0</v>
      </c>
      <c r="MW29" s="135">
        <f t="shared" si="127"/>
        <v>0</v>
      </c>
      <c r="MX29" s="135">
        <f t="shared" si="127"/>
        <v>0</v>
      </c>
      <c r="MY29" s="135">
        <f t="shared" si="127"/>
        <v>0</v>
      </c>
      <c r="MZ29" s="135">
        <f t="shared" si="127"/>
        <v>0</v>
      </c>
      <c r="NA29" s="135">
        <f t="shared" si="127"/>
        <v>0</v>
      </c>
      <c r="NB29" s="135">
        <f t="shared" si="127"/>
        <v>0</v>
      </c>
      <c r="NC29" s="135">
        <f t="shared" si="127"/>
        <v>0</v>
      </c>
      <c r="ND29" s="135">
        <f t="shared" si="127"/>
        <v>0</v>
      </c>
      <c r="NE29" s="135">
        <f t="shared" si="127"/>
        <v>0</v>
      </c>
      <c r="NF29" s="135">
        <f t="shared" si="127"/>
        <v>0</v>
      </c>
      <c r="NG29" s="135">
        <f t="shared" si="127"/>
        <v>0</v>
      </c>
      <c r="NH29" s="135">
        <f t="shared" si="127"/>
        <v>0</v>
      </c>
      <c r="NI29" s="135">
        <f t="shared" si="127"/>
        <v>0</v>
      </c>
      <c r="NJ29" s="135">
        <f t="shared" si="127"/>
        <v>0</v>
      </c>
      <c r="NK29" s="135">
        <f t="shared" si="127"/>
        <v>0</v>
      </c>
      <c r="NL29" s="135">
        <f t="shared" si="127"/>
        <v>0</v>
      </c>
      <c r="NM29" s="135">
        <f t="shared" si="127"/>
        <v>0</v>
      </c>
      <c r="NN29" s="135">
        <f t="shared" si="127"/>
        <v>0</v>
      </c>
      <c r="NO29" s="135">
        <f t="shared" si="127"/>
        <v>0</v>
      </c>
      <c r="NP29" s="135">
        <f t="shared" si="127"/>
        <v>0</v>
      </c>
      <c r="NQ29" s="135">
        <f t="shared" si="127"/>
        <v>0</v>
      </c>
      <c r="NR29" s="135">
        <f t="shared" si="127"/>
        <v>0</v>
      </c>
      <c r="NS29" s="135">
        <f t="shared" si="127"/>
        <v>0</v>
      </c>
      <c r="NT29" s="135">
        <f t="shared" si="127"/>
        <v>0</v>
      </c>
      <c r="NU29" s="135">
        <f t="shared" si="127"/>
        <v>0</v>
      </c>
      <c r="NV29" s="135">
        <f t="shared" si="127"/>
        <v>0</v>
      </c>
      <c r="NW29" s="135">
        <f t="shared" si="127"/>
        <v>0</v>
      </c>
      <c r="NX29" s="135">
        <f t="shared" si="127"/>
        <v>0</v>
      </c>
      <c r="NY29" s="135">
        <f t="shared" si="127"/>
        <v>0</v>
      </c>
      <c r="NZ29" s="135">
        <f t="shared" si="127"/>
        <v>0</v>
      </c>
      <c r="OA29" s="135">
        <f t="shared" si="127"/>
        <v>0</v>
      </c>
      <c r="OB29" s="135">
        <f t="shared" si="128"/>
        <v>0</v>
      </c>
      <c r="OC29" s="135">
        <f t="shared" si="128"/>
        <v>0</v>
      </c>
      <c r="OD29" s="135">
        <f t="shared" si="128"/>
        <v>0</v>
      </c>
      <c r="OE29" s="135">
        <f t="shared" si="128"/>
        <v>0</v>
      </c>
      <c r="OF29" s="135">
        <f t="shared" si="128"/>
        <v>0</v>
      </c>
      <c r="OG29" s="135">
        <f t="shared" si="57"/>
        <v>0</v>
      </c>
      <c r="OH29" s="135">
        <f t="shared" si="80"/>
        <v>0</v>
      </c>
      <c r="OI29" s="135">
        <f t="shared" si="80"/>
        <v>0</v>
      </c>
      <c r="OJ29" s="135">
        <f t="shared" si="80"/>
        <v>0</v>
      </c>
      <c r="OK29" s="135">
        <f t="shared" si="80"/>
        <v>0</v>
      </c>
      <c r="OL29" s="135">
        <f t="shared" si="80"/>
        <v>0</v>
      </c>
      <c r="OM29" s="135">
        <f t="shared" si="80"/>
        <v>0</v>
      </c>
      <c r="ON29" s="135">
        <f t="shared" si="80"/>
        <v>0</v>
      </c>
      <c r="OO29" s="135">
        <f t="shared" si="129"/>
        <v>0</v>
      </c>
      <c r="OP29" s="135">
        <f t="shared" si="129"/>
        <v>0</v>
      </c>
      <c r="OQ29" s="135">
        <f t="shared" si="129"/>
        <v>0</v>
      </c>
      <c r="OR29" s="135">
        <f t="shared" si="129"/>
        <v>0</v>
      </c>
      <c r="OS29" s="135">
        <f t="shared" si="129"/>
        <v>0</v>
      </c>
      <c r="OT29" s="135">
        <f t="shared" si="129"/>
        <v>0</v>
      </c>
      <c r="OU29" s="135">
        <f t="shared" si="129"/>
        <v>0</v>
      </c>
      <c r="OV29" s="135">
        <f t="shared" si="129"/>
        <v>0</v>
      </c>
      <c r="OW29" s="135">
        <f t="shared" si="129"/>
        <v>0</v>
      </c>
      <c r="OX29" s="135">
        <f t="shared" si="129"/>
        <v>0</v>
      </c>
      <c r="OY29" s="135">
        <f t="shared" si="129"/>
        <v>0</v>
      </c>
      <c r="OZ29" s="135">
        <f t="shared" si="129"/>
        <v>0</v>
      </c>
      <c r="PA29" s="135">
        <f t="shared" si="129"/>
        <v>0</v>
      </c>
      <c r="PB29" s="135">
        <f t="shared" si="129"/>
        <v>0</v>
      </c>
      <c r="PC29" s="135">
        <f t="shared" si="129"/>
        <v>0</v>
      </c>
      <c r="PD29" s="135">
        <f t="shared" si="129"/>
        <v>0</v>
      </c>
      <c r="PE29" s="135">
        <f t="shared" si="129"/>
        <v>0</v>
      </c>
      <c r="PF29" s="135">
        <f t="shared" si="129"/>
        <v>0</v>
      </c>
      <c r="PG29" s="135">
        <f t="shared" si="129"/>
        <v>0</v>
      </c>
      <c r="PH29" s="135">
        <f t="shared" si="129"/>
        <v>0</v>
      </c>
      <c r="PI29" s="135">
        <f t="shared" si="129"/>
        <v>0</v>
      </c>
      <c r="PJ29" s="135">
        <f t="shared" si="129"/>
        <v>0</v>
      </c>
      <c r="PK29" s="135">
        <f t="shared" si="129"/>
        <v>0</v>
      </c>
      <c r="PL29" s="135">
        <f t="shared" si="129"/>
        <v>0</v>
      </c>
      <c r="PM29" s="135">
        <f t="shared" si="129"/>
        <v>0</v>
      </c>
      <c r="PN29" s="135">
        <f t="shared" si="129"/>
        <v>0</v>
      </c>
      <c r="PO29" s="135">
        <f t="shared" si="129"/>
        <v>0</v>
      </c>
      <c r="PP29" s="135">
        <f t="shared" si="129"/>
        <v>0</v>
      </c>
      <c r="PQ29" s="135">
        <f t="shared" si="129"/>
        <v>0</v>
      </c>
      <c r="PR29" s="135">
        <f t="shared" si="129"/>
        <v>0</v>
      </c>
      <c r="PS29" s="135">
        <f t="shared" si="129"/>
        <v>0</v>
      </c>
      <c r="PT29" s="135">
        <f t="shared" si="129"/>
        <v>0</v>
      </c>
      <c r="PU29" s="135">
        <f t="shared" si="129"/>
        <v>0</v>
      </c>
      <c r="PV29" s="135">
        <f t="shared" si="129"/>
        <v>0</v>
      </c>
      <c r="PW29" s="135">
        <f t="shared" si="129"/>
        <v>0</v>
      </c>
      <c r="PX29" s="135">
        <f t="shared" si="129"/>
        <v>0</v>
      </c>
      <c r="PY29" s="135">
        <f t="shared" si="129"/>
        <v>0</v>
      </c>
      <c r="PZ29" s="135">
        <f t="shared" si="129"/>
        <v>0</v>
      </c>
      <c r="QA29" s="135">
        <f t="shared" si="129"/>
        <v>0</v>
      </c>
      <c r="QB29" s="135">
        <f t="shared" si="129"/>
        <v>0</v>
      </c>
      <c r="QC29" s="135">
        <f t="shared" si="129"/>
        <v>0</v>
      </c>
      <c r="QD29" s="135">
        <f t="shared" si="129"/>
        <v>0</v>
      </c>
      <c r="QE29" s="135">
        <f t="shared" si="129"/>
        <v>0</v>
      </c>
      <c r="QF29" s="135">
        <f t="shared" si="129"/>
        <v>0</v>
      </c>
      <c r="QG29" s="135">
        <f t="shared" si="129"/>
        <v>0</v>
      </c>
      <c r="QH29" s="135">
        <f t="shared" si="129"/>
        <v>0</v>
      </c>
      <c r="QI29" s="135">
        <f t="shared" si="129"/>
        <v>0</v>
      </c>
      <c r="QJ29" s="135">
        <f t="shared" si="129"/>
        <v>0</v>
      </c>
      <c r="QK29" s="135">
        <f t="shared" si="129"/>
        <v>0</v>
      </c>
      <c r="QL29" s="135">
        <f t="shared" si="129"/>
        <v>0</v>
      </c>
      <c r="QM29" s="135">
        <f t="shared" si="129"/>
        <v>0</v>
      </c>
      <c r="QN29" s="135">
        <f t="shared" si="129"/>
        <v>0</v>
      </c>
      <c r="QO29" s="135">
        <f t="shared" si="129"/>
        <v>0</v>
      </c>
      <c r="QP29" s="135">
        <f t="shared" si="129"/>
        <v>0</v>
      </c>
      <c r="QQ29" s="135">
        <f t="shared" si="129"/>
        <v>0</v>
      </c>
      <c r="QR29" s="135">
        <f t="shared" si="129"/>
        <v>0</v>
      </c>
      <c r="QS29" s="135">
        <f t="shared" si="129"/>
        <v>0</v>
      </c>
      <c r="QT29" s="135">
        <f t="shared" si="129"/>
        <v>0</v>
      </c>
      <c r="QU29" s="135">
        <f t="shared" si="129"/>
        <v>0</v>
      </c>
      <c r="QV29" s="135">
        <f t="shared" si="129"/>
        <v>0</v>
      </c>
      <c r="QW29" s="135">
        <f t="shared" si="129"/>
        <v>0</v>
      </c>
      <c r="QX29" s="135">
        <f t="shared" si="129"/>
        <v>0</v>
      </c>
      <c r="QY29" s="135">
        <f t="shared" si="129"/>
        <v>0</v>
      </c>
      <c r="QZ29" s="135">
        <f t="shared" si="129"/>
        <v>0</v>
      </c>
      <c r="RA29" s="135">
        <f t="shared" si="125"/>
        <v>0</v>
      </c>
      <c r="RB29" s="135">
        <f t="shared" si="125"/>
        <v>0</v>
      </c>
      <c r="RC29" s="135">
        <f t="shared" si="125"/>
        <v>0</v>
      </c>
      <c r="RD29" s="135">
        <f t="shared" si="125"/>
        <v>0</v>
      </c>
      <c r="RE29" s="135">
        <f t="shared" si="125"/>
        <v>0</v>
      </c>
      <c r="RF29" s="135">
        <f t="shared" si="125"/>
        <v>0</v>
      </c>
      <c r="RG29" s="135">
        <f t="shared" si="125"/>
        <v>0</v>
      </c>
      <c r="RH29" s="135">
        <f t="shared" si="125"/>
        <v>0</v>
      </c>
      <c r="RI29" s="135">
        <f t="shared" si="125"/>
        <v>0</v>
      </c>
      <c r="RJ29" s="135">
        <f t="shared" si="125"/>
        <v>0</v>
      </c>
      <c r="RK29" s="135">
        <f t="shared" si="125"/>
        <v>0</v>
      </c>
      <c r="RL29" s="135">
        <f t="shared" si="125"/>
        <v>0</v>
      </c>
      <c r="RM29" s="135">
        <f t="shared" si="125"/>
        <v>0</v>
      </c>
      <c r="RN29" s="135">
        <f t="shared" si="125"/>
        <v>0</v>
      </c>
      <c r="RO29" s="135">
        <f t="shared" si="125"/>
        <v>0</v>
      </c>
      <c r="RP29" s="135">
        <f t="shared" si="125"/>
        <v>0</v>
      </c>
      <c r="RQ29" s="135">
        <f t="shared" si="125"/>
        <v>0</v>
      </c>
      <c r="RR29" s="135">
        <f t="shared" si="125"/>
        <v>0</v>
      </c>
      <c r="RS29" s="135">
        <f t="shared" si="125"/>
        <v>0</v>
      </c>
      <c r="RT29" s="135">
        <f t="shared" si="125"/>
        <v>0</v>
      </c>
      <c r="RU29" s="135">
        <f t="shared" si="125"/>
        <v>0</v>
      </c>
      <c r="RV29" s="135">
        <f t="shared" si="125"/>
        <v>0</v>
      </c>
      <c r="RW29" s="135">
        <f t="shared" si="125"/>
        <v>0</v>
      </c>
      <c r="RX29" s="135">
        <f t="shared" si="125"/>
        <v>0</v>
      </c>
      <c r="RY29" s="135">
        <f t="shared" si="125"/>
        <v>0</v>
      </c>
      <c r="RZ29" s="135">
        <f t="shared" si="125"/>
        <v>0</v>
      </c>
      <c r="SA29" s="135">
        <f t="shared" si="125"/>
        <v>0</v>
      </c>
      <c r="SB29" s="135">
        <f t="shared" si="125"/>
        <v>0</v>
      </c>
      <c r="SC29" s="135">
        <f t="shared" si="125"/>
        <v>0</v>
      </c>
      <c r="SD29" s="135">
        <f t="shared" si="125"/>
        <v>0</v>
      </c>
      <c r="SE29" s="135">
        <f t="shared" si="125"/>
        <v>0</v>
      </c>
      <c r="SF29" s="135">
        <f t="shared" si="125"/>
        <v>0</v>
      </c>
      <c r="SG29" s="135">
        <f t="shared" si="125"/>
        <v>0</v>
      </c>
      <c r="SH29" s="135">
        <f t="shared" si="125"/>
        <v>0</v>
      </c>
      <c r="SI29" s="135">
        <f t="shared" si="125"/>
        <v>0</v>
      </c>
      <c r="SJ29" s="135">
        <f t="shared" si="125"/>
        <v>0</v>
      </c>
      <c r="SK29" s="135">
        <f t="shared" si="125"/>
        <v>0</v>
      </c>
      <c r="SL29" s="135">
        <f t="shared" si="125"/>
        <v>0</v>
      </c>
      <c r="SM29" s="135">
        <f t="shared" si="125"/>
        <v>0</v>
      </c>
      <c r="SN29" s="135">
        <f t="shared" si="125"/>
        <v>0</v>
      </c>
      <c r="SO29" s="135">
        <f t="shared" si="125"/>
        <v>0</v>
      </c>
      <c r="SP29" s="135">
        <f t="shared" si="125"/>
        <v>0</v>
      </c>
      <c r="SQ29" s="135">
        <f t="shared" si="125"/>
        <v>0</v>
      </c>
      <c r="SR29" s="135">
        <f t="shared" si="125"/>
        <v>0</v>
      </c>
      <c r="SS29" s="135">
        <f t="shared" si="125"/>
        <v>0</v>
      </c>
      <c r="ST29" s="135">
        <f t="shared" si="125"/>
        <v>0</v>
      </c>
      <c r="SU29" s="135">
        <f t="shared" si="125"/>
        <v>0</v>
      </c>
      <c r="SV29" s="135">
        <f t="shared" si="125"/>
        <v>0</v>
      </c>
      <c r="SW29" s="135">
        <f t="shared" si="125"/>
        <v>0</v>
      </c>
      <c r="SX29" s="135">
        <f t="shared" si="125"/>
        <v>0</v>
      </c>
      <c r="SY29" s="135">
        <f t="shared" si="125"/>
        <v>0</v>
      </c>
      <c r="SZ29" s="135">
        <f t="shared" si="125"/>
        <v>0</v>
      </c>
      <c r="TA29" s="135">
        <f t="shared" si="125"/>
        <v>0</v>
      </c>
      <c r="TB29" s="135">
        <f t="shared" si="125"/>
        <v>0</v>
      </c>
      <c r="TC29" s="135">
        <f t="shared" si="125"/>
        <v>0</v>
      </c>
      <c r="TD29" s="135">
        <f t="shared" si="125"/>
        <v>0</v>
      </c>
      <c r="TE29" s="135">
        <f t="shared" si="125"/>
        <v>0</v>
      </c>
      <c r="TF29" s="135">
        <f t="shared" si="125"/>
        <v>0</v>
      </c>
      <c r="TG29" s="135">
        <f t="shared" si="125"/>
        <v>0</v>
      </c>
      <c r="TH29" s="135">
        <f t="shared" si="125"/>
        <v>0</v>
      </c>
      <c r="TI29" s="135">
        <f t="shared" si="125"/>
        <v>0</v>
      </c>
      <c r="TJ29" s="135">
        <f t="shared" si="125"/>
        <v>0</v>
      </c>
      <c r="TK29" s="135">
        <f t="shared" si="125"/>
        <v>0</v>
      </c>
      <c r="TL29" s="135">
        <f t="shared" si="111"/>
        <v>0</v>
      </c>
      <c r="TM29" s="135">
        <f t="shared" ref="TM29:TY29" si="133">IFERROR(IF(TM$1=EOMONTH($G29,0),(-$E29+($E29*(DAY($G29)/DAY(EOMONTH(TM$1,0)))*$F29/12*(1-0.269))),IF(TM$1=$G29,($E29+($E29*(DAY($I29)/DAY(EOMONTH(TM$1,0)))*$F29/12*(1-0.269))),IFERROR(IF($I29&lt;TM$1,0,IF(TM$1&gt;$I29,(($F29/12)*$E29)*(DAY($I29)/DAY(EOMONTH(TM$1,0)))*(1-26.9/100)+$E29,IF(AND(TM$1&gt;=$G29,TM$1&lt;$I29),(($F29/12)*$E29)*(1-26.9/100),""))-IF(TM$1=EOMONTH($G29,0),$E29,"0")),0)+IF(TM$1=EOMONTH($I29,0),($E29+($E29*(DAY($I29)/DAY(EOMONTH(TM$1,0)))*$F29/12*(1-0.269))),"0"))),0)</f>
        <v>0</v>
      </c>
      <c r="TN29" s="135">
        <f t="shared" si="133"/>
        <v>0</v>
      </c>
      <c r="TO29" s="135">
        <f t="shared" si="133"/>
        <v>0</v>
      </c>
      <c r="TP29" s="135">
        <f t="shared" si="133"/>
        <v>0</v>
      </c>
      <c r="TQ29" s="135">
        <f t="shared" si="133"/>
        <v>0</v>
      </c>
      <c r="TR29" s="135">
        <f t="shared" si="133"/>
        <v>0</v>
      </c>
      <c r="TS29" s="135">
        <f t="shared" si="133"/>
        <v>0</v>
      </c>
      <c r="TT29" s="135">
        <f t="shared" si="133"/>
        <v>0</v>
      </c>
      <c r="TU29" s="135">
        <f t="shared" si="133"/>
        <v>0</v>
      </c>
      <c r="TV29" s="135">
        <f t="shared" si="133"/>
        <v>0</v>
      </c>
      <c r="TW29" s="135">
        <f t="shared" si="133"/>
        <v>0</v>
      </c>
      <c r="TX29" s="135">
        <f t="shared" si="133"/>
        <v>0</v>
      </c>
      <c r="TY29" s="135">
        <f t="shared" si="133"/>
        <v>0</v>
      </c>
      <c r="TZ29" s="135">
        <f t="shared" ref="TZ29:UK29" si="134">IFERROR(IF(TZ$1=EOMONTH($G29,0),(-$E29+($E29*(DAY($G29)/DAY(EOMONTH(TZ$1,0)))*$F29/12*(1-0.269))),IF(TZ$1=$G29,($E29+($E29*(DAY($I29)/DAY(EOMONTH(TZ$1,0)))*$F29/12*(1-0.269))),IFERROR(IF($I29&lt;TZ$1,0,IF(TZ$1&gt;$I29,(($F29/12)*$E29)*(DAY($I29)/DAY(EOMONTH(TZ$1,0)))*(1-26.9/100)+$E29,IF(AND(TZ$1&gt;=$G29,TZ$1&lt;$I29),(($F29/12)*$E29)*(1-26.9/100),""))-IF(TZ$1=EOMONTH($G29,0),$E29,"0")),0)+IF(TZ$1=EOMONTH($I29,0),($E29+($E29*(DAY($I29)/DAY(EOMONTH(TZ$1,0)))*$F29/12*(1-0.269))),"0"))),0)</f>
        <v>0</v>
      </c>
      <c r="UA29" s="135">
        <f t="shared" si="134"/>
        <v>0</v>
      </c>
      <c r="UB29" s="135">
        <f t="shared" si="134"/>
        <v>0</v>
      </c>
      <c r="UC29" s="135">
        <f t="shared" si="134"/>
        <v>0</v>
      </c>
      <c r="UD29" s="135">
        <f t="shared" si="134"/>
        <v>0</v>
      </c>
      <c r="UE29" s="135">
        <f t="shared" si="134"/>
        <v>0</v>
      </c>
      <c r="UF29" s="135">
        <f t="shared" si="134"/>
        <v>0</v>
      </c>
      <c r="UG29" s="135">
        <f t="shared" si="134"/>
        <v>0</v>
      </c>
      <c r="UH29" s="135">
        <f t="shared" si="134"/>
        <v>0</v>
      </c>
      <c r="UI29" s="135">
        <f t="shared" si="134"/>
        <v>0</v>
      </c>
      <c r="UJ29" s="135">
        <f t="shared" si="134"/>
        <v>0</v>
      </c>
      <c r="UK29" s="135">
        <f t="shared" si="134"/>
        <v>0</v>
      </c>
    </row>
    <row r="30" spans="2:557">
      <c r="F30"/>
    </row>
    <row r="31" spans="2:557">
      <c r="F31"/>
    </row>
    <row r="32" spans="2:557">
      <c r="F32"/>
    </row>
    <row r="33" spans="6:6">
      <c r="F33"/>
    </row>
    <row r="34" spans="6:6">
      <c r="F34"/>
    </row>
    <row r="35" spans="6:6">
      <c r="F35"/>
    </row>
    <row r="36" spans="6:6">
      <c r="F36"/>
    </row>
    <row r="37" spans="6:6">
      <c r="F37"/>
    </row>
    <row r="38" spans="6:6">
      <c r="F38"/>
    </row>
    <row r="39" spans="6:6">
      <c r="F39"/>
    </row>
    <row r="40" spans="6:6">
      <c r="F40"/>
    </row>
    <row r="41" spans="6:6">
      <c r="F41"/>
    </row>
    <row r="42" spans="6:6">
      <c r="F42"/>
    </row>
    <row r="43" spans="6:6">
      <c r="F43"/>
    </row>
    <row r="44" spans="6:6">
      <c r="F44"/>
    </row>
    <row r="45" spans="6:6">
      <c r="F45"/>
    </row>
    <row r="46" spans="6:6">
      <c r="F46"/>
    </row>
    <row r="47" spans="6:6">
      <c r="F47"/>
    </row>
    <row r="48" spans="6:6">
      <c r="F48"/>
    </row>
    <row r="49" spans="6:6">
      <c r="F49"/>
    </row>
    <row r="50" spans="6:6">
      <c r="F50"/>
    </row>
    <row r="51" spans="6:6">
      <c r="F51"/>
    </row>
    <row r="52" spans="6:6">
      <c r="F52"/>
    </row>
    <row r="53" spans="6:6">
      <c r="F53"/>
    </row>
    <row r="54" spans="6:6">
      <c r="F54"/>
    </row>
    <row r="55" spans="6:6">
      <c r="F55"/>
    </row>
    <row r="56" spans="6:6">
      <c r="F56"/>
    </row>
    <row r="57" spans="6:6">
      <c r="F57"/>
    </row>
    <row r="58" spans="6:6">
      <c r="F58"/>
    </row>
    <row r="59" spans="6:6">
      <c r="F59"/>
    </row>
    <row r="60" spans="6:6">
      <c r="F60"/>
    </row>
    <row r="61" spans="6:6">
      <c r="F61"/>
    </row>
    <row r="62" spans="6:6">
      <c r="F62"/>
    </row>
    <row r="63" spans="6:6">
      <c r="F63"/>
    </row>
    <row r="64" spans="6:6">
      <c r="F64"/>
    </row>
    <row r="65" spans="6:6">
      <c r="F65"/>
    </row>
    <row r="66" spans="6:6">
      <c r="F66"/>
    </row>
    <row r="67" spans="6:6">
      <c r="F67"/>
    </row>
    <row r="68" spans="6:6">
      <c r="F68"/>
    </row>
    <row r="69" spans="6:6">
      <c r="F69"/>
    </row>
    <row r="70" spans="6:6">
      <c r="F70"/>
    </row>
    <row r="71" spans="6:6">
      <c r="F71"/>
    </row>
    <row r="72" spans="6:6">
      <c r="F72"/>
    </row>
    <row r="73" spans="6:6">
      <c r="F73"/>
    </row>
    <row r="74" spans="6:6">
      <c r="F74"/>
    </row>
    <row r="75" spans="6:6">
      <c r="F75"/>
    </row>
    <row r="76" spans="6:6">
      <c r="F76"/>
    </row>
    <row r="77" spans="6:6">
      <c r="F77"/>
    </row>
    <row r="78" spans="6:6">
      <c r="F78"/>
    </row>
    <row r="79" spans="6:6">
      <c r="F79"/>
    </row>
    <row r="80" spans="6:6">
      <c r="F80"/>
    </row>
    <row r="81" spans="6:6">
      <c r="F81"/>
    </row>
    <row r="82" spans="6:6">
      <c r="F82"/>
    </row>
    <row r="83" spans="6:6">
      <c r="F83"/>
    </row>
    <row r="84" spans="6:6">
      <c r="F84"/>
    </row>
    <row r="85" spans="6:6">
      <c r="F85"/>
    </row>
    <row r="86" spans="6:6">
      <c r="F86"/>
    </row>
    <row r="87" spans="6:6">
      <c r="F87"/>
    </row>
    <row r="88" spans="6:6">
      <c r="F88"/>
    </row>
    <row r="89" spans="6:6">
      <c r="F89"/>
    </row>
    <row r="90" spans="6:6">
      <c r="F90"/>
    </row>
    <row r="91" spans="6:6">
      <c r="F91"/>
    </row>
    <row r="92" spans="6:6">
      <c r="F92"/>
    </row>
    <row r="93" spans="6:6">
      <c r="F93"/>
    </row>
    <row r="94" spans="6:6">
      <c r="F94"/>
    </row>
    <row r="95" spans="6:6">
      <c r="F95"/>
    </row>
    <row r="96" spans="6:6">
      <c r="F96"/>
    </row>
    <row r="97" spans="6:6">
      <c r="F97"/>
    </row>
    <row r="98" spans="6:6">
      <c r="F98"/>
    </row>
    <row r="99" spans="6:6">
      <c r="F99"/>
    </row>
    <row r="100" spans="6:6">
      <c r="F100"/>
    </row>
    <row r="101" spans="6:6">
      <c r="F101"/>
    </row>
    <row r="102" spans="6:6">
      <c r="F102"/>
    </row>
    <row r="103" spans="6:6">
      <c r="F103"/>
    </row>
    <row r="104" spans="6:6">
      <c r="F104"/>
    </row>
    <row r="105" spans="6:6">
      <c r="F105"/>
    </row>
    <row r="106" spans="6:6">
      <c r="F106"/>
    </row>
    <row r="107" spans="6:6">
      <c r="F107"/>
    </row>
    <row r="108" spans="6:6">
      <c r="F108"/>
    </row>
    <row r="109" spans="6:6">
      <c r="F109"/>
    </row>
    <row r="110" spans="6:6">
      <c r="F110"/>
    </row>
    <row r="111" spans="6:6">
      <c r="F111"/>
    </row>
    <row r="112" spans="6: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row r="127" spans="6:6">
      <c r="F127"/>
    </row>
    <row r="128" spans="6:6">
      <c r="F128"/>
    </row>
    <row r="129" spans="6:6">
      <c r="F129"/>
    </row>
    <row r="130" spans="6:6">
      <c r="F130"/>
    </row>
    <row r="131" spans="6:6">
      <c r="F131"/>
    </row>
    <row r="132" spans="6:6">
      <c r="F132"/>
    </row>
    <row r="133" spans="6:6">
      <c r="F133"/>
    </row>
    <row r="134" spans="6:6">
      <c r="F134"/>
    </row>
    <row r="135" spans="6:6">
      <c r="F135"/>
    </row>
    <row r="136" spans="6:6">
      <c r="F136"/>
    </row>
    <row r="137" spans="6:6">
      <c r="F137"/>
    </row>
    <row r="138" spans="6:6">
      <c r="F138"/>
    </row>
    <row r="139" spans="6:6">
      <c r="F139"/>
    </row>
    <row r="140" spans="6:6">
      <c r="F140"/>
    </row>
    <row r="141" spans="6:6">
      <c r="F141"/>
    </row>
    <row r="142" spans="6:6">
      <c r="F142"/>
    </row>
    <row r="143" spans="6:6">
      <c r="F143"/>
    </row>
    <row r="144" spans="6:6">
      <c r="F144"/>
    </row>
    <row r="145" spans="6:6">
      <c r="F145"/>
    </row>
    <row r="146" spans="6:6">
      <c r="F146"/>
    </row>
    <row r="147" spans="6:6">
      <c r="F147"/>
    </row>
    <row r="148" spans="6:6">
      <c r="F148"/>
    </row>
    <row r="149" spans="6:6">
      <c r="F149"/>
    </row>
    <row r="150" spans="6:6">
      <c r="F150"/>
    </row>
    <row r="151" spans="6:6">
      <c r="F151"/>
    </row>
    <row r="152" spans="6:6">
      <c r="F152"/>
    </row>
    <row r="153" spans="6:6">
      <c r="F153"/>
    </row>
    <row r="154" spans="6:6">
      <c r="F154"/>
    </row>
    <row r="155" spans="6:6">
      <c r="F155"/>
    </row>
    <row r="156" spans="6:6">
      <c r="F156"/>
    </row>
    <row r="157" spans="6:6">
      <c r="F157"/>
    </row>
    <row r="158" spans="6:6">
      <c r="F158"/>
    </row>
    <row r="159" spans="6:6">
      <c r="F159"/>
    </row>
    <row r="160" spans="6:6">
      <c r="F160"/>
    </row>
    <row r="161" spans="6:6">
      <c r="F161"/>
    </row>
    <row r="162" spans="6:6">
      <c r="F162"/>
    </row>
    <row r="163" spans="6:6">
      <c r="F163"/>
    </row>
    <row r="164" spans="6:6">
      <c r="F164"/>
    </row>
    <row r="165" spans="6:6">
      <c r="F165"/>
    </row>
    <row r="166" spans="6:6">
      <c r="F166"/>
    </row>
    <row r="167" spans="6:6">
      <c r="F167"/>
    </row>
    <row r="168" spans="6:6">
      <c r="F168"/>
    </row>
    <row r="169" spans="6:6">
      <c r="F169"/>
    </row>
    <row r="170" spans="6:6">
      <c r="F170"/>
    </row>
    <row r="171" spans="6:6">
      <c r="F171"/>
    </row>
    <row r="172" spans="6:6">
      <c r="F172"/>
    </row>
    <row r="173" spans="6:6">
      <c r="F173"/>
    </row>
    <row r="174" spans="6:6">
      <c r="F174"/>
    </row>
    <row r="175" spans="6:6">
      <c r="F175"/>
    </row>
    <row r="176" spans="6:6">
      <c r="F176"/>
    </row>
    <row r="177" spans="6:6">
      <c r="F177"/>
    </row>
    <row r="178" spans="6:6">
      <c r="F178"/>
    </row>
    <row r="179" spans="6:6">
      <c r="F179"/>
    </row>
    <row r="180" spans="6:6">
      <c r="F180"/>
    </row>
    <row r="181" spans="6:6">
      <c r="F181"/>
    </row>
    <row r="182" spans="6:6">
      <c r="F182"/>
    </row>
    <row r="183" spans="6:6">
      <c r="F183"/>
    </row>
    <row r="184" spans="6:6">
      <c r="F184"/>
    </row>
    <row r="185" spans="6:6">
      <c r="F185"/>
    </row>
    <row r="186" spans="6:6">
      <c r="F186"/>
    </row>
    <row r="187" spans="6:6">
      <c r="F187"/>
    </row>
    <row r="188" spans="6:6">
      <c r="F188"/>
    </row>
    <row r="189" spans="6:6">
      <c r="F189"/>
    </row>
    <row r="190" spans="6:6">
      <c r="F190"/>
    </row>
    <row r="191" spans="6:6">
      <c r="F191"/>
    </row>
    <row r="192" spans="6:6">
      <c r="F192"/>
    </row>
    <row r="193" spans="6:6">
      <c r="F193"/>
    </row>
    <row r="194" spans="6:6">
      <c r="F194"/>
    </row>
    <row r="195" spans="6:6">
      <c r="F195"/>
    </row>
    <row r="196" spans="6:6">
      <c r="F196"/>
    </row>
    <row r="197" spans="6:6">
      <c r="F197"/>
    </row>
    <row r="198" spans="6:6">
      <c r="F198"/>
    </row>
    <row r="199" spans="6:6">
      <c r="F199"/>
    </row>
    <row r="200" spans="6:6">
      <c r="F200"/>
    </row>
    <row r="201" spans="6:6">
      <c r="F201"/>
    </row>
    <row r="202" spans="6:6">
      <c r="F202"/>
    </row>
    <row r="203" spans="6:6">
      <c r="F203"/>
    </row>
    <row r="204" spans="6:6">
      <c r="F204"/>
    </row>
    <row r="205" spans="6:6">
      <c r="F205"/>
    </row>
    <row r="206" spans="6:6">
      <c r="F206"/>
    </row>
    <row r="207" spans="6:6">
      <c r="F207"/>
    </row>
    <row r="208" spans="6:6">
      <c r="F208"/>
    </row>
    <row r="209" spans="6:6">
      <c r="F209"/>
    </row>
    <row r="210" spans="6:6">
      <c r="F210"/>
    </row>
    <row r="211" spans="6:6">
      <c r="F211"/>
    </row>
    <row r="212" spans="6:6">
      <c r="F212"/>
    </row>
    <row r="213" spans="6:6">
      <c r="F213"/>
    </row>
    <row r="214" spans="6:6">
      <c r="F214"/>
    </row>
    <row r="215" spans="6:6">
      <c r="F215"/>
    </row>
    <row r="216" spans="6:6">
      <c r="F216"/>
    </row>
    <row r="217" spans="6:6">
      <c r="F217"/>
    </row>
    <row r="218" spans="6:6">
      <c r="F218"/>
    </row>
    <row r="219" spans="6:6">
      <c r="F219"/>
    </row>
    <row r="220" spans="6:6">
      <c r="F220"/>
    </row>
    <row r="221" spans="6:6">
      <c r="F221"/>
    </row>
    <row r="222" spans="6:6">
      <c r="F222"/>
    </row>
    <row r="223" spans="6:6">
      <c r="F223"/>
    </row>
    <row r="224" spans="6:6">
      <c r="F224"/>
    </row>
    <row r="225" spans="6:6">
      <c r="F225"/>
    </row>
    <row r="226" spans="6:6">
      <c r="F226"/>
    </row>
    <row r="227" spans="6:6">
      <c r="F227"/>
    </row>
    <row r="228" spans="6:6">
      <c r="F228"/>
    </row>
    <row r="229" spans="6:6">
      <c r="F229"/>
    </row>
    <row r="230" spans="6:6">
      <c r="F230"/>
    </row>
    <row r="231" spans="6:6">
      <c r="F231"/>
    </row>
    <row r="232" spans="6:6">
      <c r="F232"/>
    </row>
    <row r="233" spans="6:6">
      <c r="F233"/>
    </row>
    <row r="234" spans="6:6">
      <c r="F234"/>
    </row>
    <row r="235" spans="6:6">
      <c r="F235"/>
    </row>
    <row r="236" spans="6:6">
      <c r="F236"/>
    </row>
    <row r="237" spans="6:6">
      <c r="F237"/>
    </row>
    <row r="238" spans="6:6">
      <c r="F238"/>
    </row>
    <row r="239" spans="6:6">
      <c r="F239"/>
    </row>
    <row r="240" spans="6:6">
      <c r="F240"/>
    </row>
    <row r="241" spans="6:6">
      <c r="F241"/>
    </row>
    <row r="242" spans="6:6">
      <c r="F242"/>
    </row>
    <row r="243" spans="6:6">
      <c r="F243"/>
    </row>
    <row r="244" spans="6:6">
      <c r="F244"/>
    </row>
    <row r="245" spans="6:6">
      <c r="F245"/>
    </row>
    <row r="246" spans="6:6">
      <c r="F246"/>
    </row>
    <row r="247" spans="6:6">
      <c r="F247"/>
    </row>
    <row r="248" spans="6:6">
      <c r="F248"/>
    </row>
    <row r="249" spans="6:6">
      <c r="F249"/>
    </row>
    <row r="250" spans="6:6">
      <c r="F250"/>
    </row>
    <row r="251" spans="6:6">
      <c r="F251"/>
    </row>
    <row r="252" spans="6:6">
      <c r="F252"/>
    </row>
    <row r="253" spans="6:6">
      <c r="F253"/>
    </row>
    <row r="254" spans="6:6">
      <c r="F254"/>
    </row>
    <row r="255" spans="6:6">
      <c r="F255"/>
    </row>
    <row r="256" spans="6:6">
      <c r="F256"/>
    </row>
    <row r="257" spans="6:6">
      <c r="F257"/>
    </row>
    <row r="258" spans="6:6">
      <c r="F258"/>
    </row>
    <row r="259" spans="6:6">
      <c r="F259"/>
    </row>
    <row r="260" spans="6:6">
      <c r="F260"/>
    </row>
    <row r="261" spans="6:6">
      <c r="F261"/>
    </row>
    <row r="262" spans="6:6">
      <c r="F262"/>
    </row>
    <row r="263" spans="6:6">
      <c r="F263"/>
    </row>
    <row r="264" spans="6:6">
      <c r="F264"/>
    </row>
    <row r="265" spans="6:6">
      <c r="F265"/>
    </row>
    <row r="266" spans="6:6">
      <c r="F266"/>
    </row>
    <row r="267" spans="6:6">
      <c r="F267"/>
    </row>
    <row r="268" spans="6:6">
      <c r="F268"/>
    </row>
    <row r="269" spans="6:6">
      <c r="F269"/>
    </row>
    <row r="270" spans="6:6">
      <c r="F270"/>
    </row>
    <row r="271" spans="6:6">
      <c r="F271"/>
    </row>
    <row r="272" spans="6:6">
      <c r="F272"/>
    </row>
    <row r="273" spans="6:6">
      <c r="F273"/>
    </row>
    <row r="274" spans="6:6">
      <c r="F274"/>
    </row>
    <row r="275" spans="6:6">
      <c r="F275"/>
    </row>
    <row r="276" spans="6:6">
      <c r="F276"/>
    </row>
    <row r="277" spans="6:6">
      <c r="F277"/>
    </row>
    <row r="278" spans="6:6">
      <c r="F278"/>
    </row>
    <row r="279" spans="6:6">
      <c r="F279"/>
    </row>
    <row r="280" spans="6:6">
      <c r="F280"/>
    </row>
    <row r="281" spans="6:6">
      <c r="F281"/>
    </row>
    <row r="282" spans="6:6">
      <c r="F282"/>
    </row>
    <row r="283" spans="6:6">
      <c r="F283"/>
    </row>
    <row r="284" spans="6:6">
      <c r="F284"/>
    </row>
    <row r="285" spans="6:6">
      <c r="F285"/>
    </row>
    <row r="286" spans="6:6">
      <c r="F286"/>
    </row>
    <row r="287" spans="6:6">
      <c r="F287"/>
    </row>
    <row r="288" spans="6:6">
      <c r="F2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4A3F7-FEA9-4088-9D55-5B1FD8B400EA}">
  <sheetPr codeName="Sheet5"/>
  <dimension ref="A1:V1661"/>
  <sheetViews>
    <sheetView topLeftCell="A790" zoomScaleNormal="100" workbookViewId="0">
      <selection activeCell="C814" sqref="C814"/>
    </sheetView>
  </sheetViews>
  <sheetFormatPr defaultRowHeight="15"/>
  <cols>
    <col min="1" max="1" width="18.7109375" bestFit="1" customWidth="1"/>
    <col min="2" max="2" width="53.85546875" bestFit="1" customWidth="1"/>
    <col min="3" max="3" width="12.42578125" bestFit="1" customWidth="1"/>
    <col min="4" max="4" width="20.140625" bestFit="1" customWidth="1"/>
    <col min="5" max="6" width="12.42578125" bestFit="1" customWidth="1"/>
    <col min="7" max="7" width="29" bestFit="1" customWidth="1"/>
    <col min="8" max="8" width="13.5703125" bestFit="1" customWidth="1"/>
    <col min="9" max="9" width="12.42578125" bestFit="1" customWidth="1"/>
    <col min="10" max="10" width="16.7109375" bestFit="1" customWidth="1"/>
    <col min="11" max="11" width="13.5703125" bestFit="1" customWidth="1"/>
    <col min="12" max="13" width="12.42578125" bestFit="1" customWidth="1"/>
    <col min="14" max="15" width="11.85546875" bestFit="1" customWidth="1"/>
    <col min="16" max="16" width="11.7109375" bestFit="1" customWidth="1"/>
    <col min="17" max="17" width="11.85546875" bestFit="1" customWidth="1"/>
    <col min="18" max="22" width="11.7109375" bestFit="1" customWidth="1"/>
  </cols>
  <sheetData>
    <row r="1" spans="1:22">
      <c r="A1" t="s">
        <v>297</v>
      </c>
      <c r="B1" t="s">
        <v>298</v>
      </c>
      <c r="C1" t="s">
        <v>299</v>
      </c>
      <c r="D1" t="s">
        <v>300</v>
      </c>
      <c r="E1" t="s">
        <v>301</v>
      </c>
      <c r="F1" t="s">
        <v>302</v>
      </c>
      <c r="G1" t="s">
        <v>303</v>
      </c>
      <c r="H1" t="s">
        <v>304</v>
      </c>
      <c r="I1" t="s">
        <v>305</v>
      </c>
      <c r="J1" t="s">
        <v>306</v>
      </c>
      <c r="K1" t="s">
        <v>307</v>
      </c>
      <c r="L1" t="s">
        <v>308</v>
      </c>
      <c r="M1" t="s">
        <v>309</v>
      </c>
      <c r="N1" t="s">
        <v>310</v>
      </c>
      <c r="O1" t="s">
        <v>311</v>
      </c>
      <c r="P1" t="s">
        <v>312</v>
      </c>
      <c r="Q1" t="s">
        <v>313</v>
      </c>
      <c r="R1" t="s">
        <v>314</v>
      </c>
      <c r="S1" t="s">
        <v>315</v>
      </c>
      <c r="T1" t="s">
        <v>423</v>
      </c>
      <c r="U1" t="s">
        <v>424</v>
      </c>
      <c r="V1" t="s">
        <v>425</v>
      </c>
    </row>
    <row r="2" spans="1:22">
      <c r="B2">
        <v>45945</v>
      </c>
      <c r="C2">
        <v>1</v>
      </c>
      <c r="D2">
        <v>2</v>
      </c>
      <c r="E2">
        <v>3</v>
      </c>
      <c r="F2">
        <v>4</v>
      </c>
      <c r="G2">
        <v>5</v>
      </c>
      <c r="H2">
        <v>6</v>
      </c>
      <c r="I2">
        <v>7</v>
      </c>
      <c r="J2">
        <v>8</v>
      </c>
      <c r="K2">
        <v>9</v>
      </c>
      <c r="L2">
        <v>10</v>
      </c>
      <c r="M2">
        <v>11</v>
      </c>
      <c r="P2">
        <v>0</v>
      </c>
    </row>
    <row r="3" spans="1:22">
      <c r="D3" t="s">
        <v>34</v>
      </c>
      <c r="P3">
        <v>0</v>
      </c>
    </row>
    <row r="4" spans="1:22">
      <c r="B4" t="s">
        <v>35</v>
      </c>
      <c r="C4" t="s">
        <v>36</v>
      </c>
      <c r="D4" t="s">
        <v>37</v>
      </c>
      <c r="E4" t="s">
        <v>38</v>
      </c>
      <c r="F4" t="s">
        <v>39</v>
      </c>
      <c r="G4" t="s">
        <v>40</v>
      </c>
      <c r="H4" t="s">
        <v>41</v>
      </c>
      <c r="J4" t="s">
        <v>42</v>
      </c>
      <c r="P4">
        <v>0</v>
      </c>
    </row>
    <row r="5" spans="1:22">
      <c r="B5" t="s">
        <v>43</v>
      </c>
      <c r="C5">
        <v>2.25</v>
      </c>
      <c r="D5">
        <v>9.4287380512269037E-2</v>
      </c>
      <c r="E5">
        <v>1.9990046271044333</v>
      </c>
      <c r="F5">
        <v>9</v>
      </c>
      <c r="G5">
        <v>0.7</v>
      </c>
      <c r="H5">
        <v>0.14097925543016299</v>
      </c>
      <c r="I5" t="s">
        <v>44</v>
      </c>
      <c r="J5">
        <v>0.08</v>
      </c>
      <c r="K5" t="s">
        <v>45</v>
      </c>
      <c r="L5">
        <v>0.04</v>
      </c>
      <c r="P5">
        <v>0</v>
      </c>
    </row>
    <row r="6" spans="1:22">
      <c r="B6" t="s">
        <v>46</v>
      </c>
      <c r="C6">
        <v>2.5</v>
      </c>
      <c r="D6">
        <v>8.6866904242483889E-2</v>
      </c>
      <c r="E6">
        <v>2.3316389970546108</v>
      </c>
      <c r="F6">
        <v>11</v>
      </c>
      <c r="G6">
        <v>0.7</v>
      </c>
      <c r="H6">
        <v>0.1540886743351515</v>
      </c>
      <c r="I6" t="s">
        <v>47</v>
      </c>
      <c r="J6">
        <v>10</v>
      </c>
      <c r="P6">
        <v>0</v>
      </c>
    </row>
    <row r="7" spans="1:22">
      <c r="B7" t="s">
        <v>48</v>
      </c>
      <c r="C7">
        <v>1.8</v>
      </c>
      <c r="D7">
        <v>8.7595747254420653E-2</v>
      </c>
      <c r="E7">
        <v>1.7138242687795209</v>
      </c>
      <c r="F7">
        <v>7</v>
      </c>
      <c r="G7">
        <v>0.57999999999999996</v>
      </c>
      <c r="H7">
        <v>0.1322930138235805</v>
      </c>
      <c r="I7" t="s">
        <v>49</v>
      </c>
      <c r="J7">
        <v>2.1589249972727877</v>
      </c>
      <c r="L7">
        <v>1.4802442849183446</v>
      </c>
      <c r="P7">
        <v>0</v>
      </c>
    </row>
    <row r="8" spans="1:22">
      <c r="B8" t="s">
        <v>50</v>
      </c>
      <c r="C8">
        <v>2</v>
      </c>
      <c r="D8">
        <v>0.10408951367381224</v>
      </c>
      <c r="E8">
        <v>1.7138242687795209</v>
      </c>
      <c r="F8">
        <v>7</v>
      </c>
      <c r="G8">
        <v>0.7</v>
      </c>
      <c r="H8">
        <v>0.13411270970490885</v>
      </c>
      <c r="P8">
        <v>0</v>
      </c>
    </row>
    <row r="9" spans="1:22">
      <c r="B9" t="s">
        <v>51</v>
      </c>
      <c r="C9">
        <v>1.65</v>
      </c>
      <c r="D9">
        <v>5.1352603312927229E-2</v>
      </c>
      <c r="E9">
        <v>2.1589249972727877</v>
      </c>
      <c r="F9">
        <v>10</v>
      </c>
      <c r="G9">
        <v>0.98</v>
      </c>
      <c r="H9">
        <v>6.5511268418864788E-2</v>
      </c>
      <c r="P9">
        <v>0</v>
      </c>
      <c r="R9" t="s">
        <v>52</v>
      </c>
      <c r="S9">
        <v>0.25800000000000001</v>
      </c>
    </row>
    <row r="10" spans="1:22">
      <c r="B10" t="s">
        <v>53</v>
      </c>
      <c r="C10">
        <v>2.4</v>
      </c>
      <c r="D10">
        <v>9.1493425617896973E-2</v>
      </c>
      <c r="E10">
        <v>2.1589249972727877</v>
      </c>
      <c r="F10">
        <v>10</v>
      </c>
      <c r="G10">
        <v>0.66101500739478602</v>
      </c>
      <c r="H10">
        <v>0.14718954139055929</v>
      </c>
      <c r="P10">
        <v>0</v>
      </c>
    </row>
    <row r="11" spans="1:22">
      <c r="B11" t="s">
        <v>54</v>
      </c>
      <c r="C11">
        <v>3</v>
      </c>
      <c r="D11">
        <v>0.11612317403390436</v>
      </c>
      <c r="E11">
        <v>2.1589249972727877</v>
      </c>
      <c r="F11">
        <v>10</v>
      </c>
      <c r="G11">
        <v>1</v>
      </c>
      <c r="H11">
        <v>0.14123470184745113</v>
      </c>
      <c r="P11">
        <v>0</v>
      </c>
    </row>
    <row r="12" spans="1:22">
      <c r="B12" t="s">
        <v>55</v>
      </c>
      <c r="C12">
        <v>2.25</v>
      </c>
      <c r="D12">
        <v>8.4471771197698567E-2</v>
      </c>
      <c r="E12">
        <v>2.1589249972727877</v>
      </c>
      <c r="F12">
        <v>10</v>
      </c>
      <c r="G12">
        <v>0.85</v>
      </c>
      <c r="H12">
        <v>0.14724510427101811</v>
      </c>
      <c r="P12">
        <v>0</v>
      </c>
    </row>
    <row r="13" spans="1:22">
      <c r="B13" t="s">
        <v>56</v>
      </c>
      <c r="C13">
        <v>2.5</v>
      </c>
      <c r="D13">
        <v>9.5958226385217227E-2</v>
      </c>
      <c r="E13">
        <v>2.1589249972727877</v>
      </c>
      <c r="F13">
        <v>10</v>
      </c>
      <c r="G13">
        <v>1</v>
      </c>
      <c r="H13">
        <v>0.14950327652135287</v>
      </c>
    </row>
    <row r="14" spans="1:22">
      <c r="B14" t="s">
        <v>57</v>
      </c>
      <c r="C14">
        <v>2.5</v>
      </c>
      <c r="D14">
        <v>9.5958226385217227E-2</v>
      </c>
      <c r="E14">
        <v>2.1589249972727877</v>
      </c>
      <c r="F14">
        <v>10</v>
      </c>
      <c r="G14">
        <v>0.95</v>
      </c>
      <c r="H14">
        <v>0.14712606513343296</v>
      </c>
      <c r="P14">
        <v>0</v>
      </c>
    </row>
    <row r="15" spans="1:22">
      <c r="B15" t="s">
        <v>58</v>
      </c>
      <c r="C15">
        <v>2</v>
      </c>
      <c r="D15">
        <v>7.1773462536293131E-2</v>
      </c>
      <c r="E15">
        <v>2.1589249972727877</v>
      </c>
      <c r="F15">
        <v>10</v>
      </c>
      <c r="G15">
        <v>0.95</v>
      </c>
      <c r="H15">
        <v>0.10226003280487039</v>
      </c>
    </row>
    <row r="16" spans="1:22">
      <c r="P16">
        <v>0</v>
      </c>
    </row>
    <row r="17" spans="1:16">
      <c r="B17" t="s">
        <v>59</v>
      </c>
      <c r="C17">
        <v>1</v>
      </c>
      <c r="D17">
        <v>2</v>
      </c>
      <c r="E17">
        <v>3</v>
      </c>
      <c r="F17">
        <v>4</v>
      </c>
      <c r="G17">
        <v>5</v>
      </c>
      <c r="H17">
        <v>6</v>
      </c>
      <c r="I17">
        <v>7</v>
      </c>
      <c r="J17">
        <v>8</v>
      </c>
      <c r="K17">
        <v>9</v>
      </c>
      <c r="L17">
        <v>10</v>
      </c>
      <c r="M17">
        <v>11</v>
      </c>
      <c r="N17">
        <v>12</v>
      </c>
      <c r="O17">
        <v>13</v>
      </c>
      <c r="P17">
        <v>0</v>
      </c>
    </row>
    <row r="18" spans="1:16">
      <c r="B18" t="s">
        <v>60</v>
      </c>
      <c r="C18">
        <v>-0.23830000000000001</v>
      </c>
      <c r="D18">
        <v>-0.23830000000000001</v>
      </c>
      <c r="E18">
        <v>-0.14899999999999999</v>
      </c>
      <c r="F18">
        <v>-7.3999999999999996E-2</v>
      </c>
      <c r="G18">
        <v>0.25219999999999998</v>
      </c>
      <c r="H18">
        <v>0.52529999999999999</v>
      </c>
      <c r="I18">
        <v>0.43630000000000002</v>
      </c>
      <c r="J18">
        <v>0.37280000000000002</v>
      </c>
      <c r="K18">
        <v>0.27529999999999999</v>
      </c>
      <c r="L18">
        <v>0.1585</v>
      </c>
      <c r="M18">
        <v>9.7000000000000003E-2</v>
      </c>
      <c r="N18">
        <v>0</v>
      </c>
      <c r="O18">
        <v>0</v>
      </c>
      <c r="P18">
        <v>0</v>
      </c>
    </row>
    <row r="19" spans="1:16">
      <c r="B19" t="s">
        <v>61</v>
      </c>
      <c r="C19">
        <v>-0.23830000000000001</v>
      </c>
      <c r="D19">
        <v>-0.47660000000000002</v>
      </c>
      <c r="E19">
        <v>-0.62560000000000004</v>
      </c>
      <c r="F19">
        <v>-0.6996</v>
      </c>
      <c r="G19">
        <v>-0.44740000000000002</v>
      </c>
      <c r="H19">
        <v>7.7899999999999969E-2</v>
      </c>
      <c r="I19">
        <v>0.51419999999999999</v>
      </c>
      <c r="J19">
        <v>0.88700000000000001</v>
      </c>
      <c r="K19">
        <v>1.1623000000000001</v>
      </c>
      <c r="L19">
        <v>1.3208000000000002</v>
      </c>
      <c r="M19">
        <v>1.4178000000000002</v>
      </c>
      <c r="N19">
        <v>0</v>
      </c>
      <c r="O19">
        <v>0</v>
      </c>
      <c r="P19">
        <v>0</v>
      </c>
    </row>
    <row r="20" spans="1:16">
      <c r="B20" t="s">
        <v>62</v>
      </c>
      <c r="C20">
        <v>0</v>
      </c>
      <c r="D20">
        <v>0</v>
      </c>
      <c r="E20">
        <v>0</v>
      </c>
      <c r="F20">
        <v>0</v>
      </c>
      <c r="G20">
        <v>0</v>
      </c>
      <c r="H20">
        <v>2.0098199999999993E-2</v>
      </c>
      <c r="I20">
        <v>0.1125654</v>
      </c>
      <c r="J20">
        <v>9.6182400000000001E-2</v>
      </c>
      <c r="K20">
        <v>7.1027400000000004E-2</v>
      </c>
      <c r="L20">
        <v>4.0892999999999999E-2</v>
      </c>
      <c r="M20">
        <v>2.5026000000000003E-2</v>
      </c>
      <c r="N20">
        <v>0</v>
      </c>
      <c r="O20">
        <v>0</v>
      </c>
      <c r="P20">
        <v>0</v>
      </c>
    </row>
    <row r="21" spans="1:16">
      <c r="P21">
        <v>0</v>
      </c>
    </row>
    <row r="22" spans="1:16">
      <c r="B22" t="s">
        <v>49</v>
      </c>
      <c r="C22">
        <v>-0.23843624928530588</v>
      </c>
      <c r="D22">
        <v>-0.23843624928530588</v>
      </c>
      <c r="E22">
        <v>-0.14908519153802172</v>
      </c>
      <c r="F22">
        <v>-7.4042309891366495E-2</v>
      </c>
      <c r="G22">
        <v>0.1875956361575517</v>
      </c>
      <c r="H22">
        <v>0.39073746103712098</v>
      </c>
      <c r="I22">
        <v>0.32453598753187873</v>
      </c>
      <c r="J22">
        <v>0.27730235194105979</v>
      </c>
      <c r="K22">
        <v>0.20477826579767641</v>
      </c>
      <c r="L22">
        <v>0.11789812978180787</v>
      </c>
      <c r="M22">
        <v>7.2152167752904506E-2</v>
      </c>
      <c r="N22">
        <v>0</v>
      </c>
      <c r="O22">
        <v>0</v>
      </c>
      <c r="P22">
        <v>0</v>
      </c>
    </row>
    <row r="23" spans="1:16">
      <c r="B23" t="s">
        <v>63</v>
      </c>
      <c r="C23">
        <v>-0.23843624928530588</v>
      </c>
      <c r="D23">
        <v>-0.47687249857061176</v>
      </c>
      <c r="E23">
        <v>-0.62595769010863345</v>
      </c>
      <c r="F23">
        <v>-0.7</v>
      </c>
      <c r="G23">
        <v>-0.51240436384244825</v>
      </c>
      <c r="H23">
        <v>-0.12166690280532728</v>
      </c>
      <c r="I23">
        <v>0.20286908472655144</v>
      </c>
      <c r="J23">
        <v>0.48017143666761131</v>
      </c>
      <c r="K23">
        <v>0.68494970246528764</v>
      </c>
      <c r="L23">
        <v>0.80284783224709555</v>
      </c>
      <c r="M23">
        <v>0.875</v>
      </c>
      <c r="N23">
        <v>0</v>
      </c>
      <c r="O23">
        <v>0</v>
      </c>
      <c r="P23">
        <v>0</v>
      </c>
    </row>
    <row r="24" spans="1:16">
      <c r="B24" t="s">
        <v>62</v>
      </c>
      <c r="C24">
        <v>0</v>
      </c>
      <c r="D24">
        <v>0</v>
      </c>
      <c r="E24">
        <v>0</v>
      </c>
      <c r="F24">
        <v>0</v>
      </c>
      <c r="G24">
        <v>0</v>
      </c>
      <c r="H24">
        <v>0</v>
      </c>
      <c r="I24">
        <v>5.234022385945028E-2</v>
      </c>
      <c r="J24">
        <v>7.1544006800793425E-2</v>
      </c>
      <c r="K24">
        <v>5.2832792575800515E-2</v>
      </c>
      <c r="L24">
        <v>3.0417717483706433E-2</v>
      </c>
      <c r="M24">
        <v>1.8615259280249364E-2</v>
      </c>
      <c r="N24">
        <v>0</v>
      </c>
      <c r="O24">
        <v>0</v>
      </c>
      <c r="P24">
        <v>0</v>
      </c>
    </row>
    <row r="25" spans="1:16">
      <c r="A25" t="s">
        <v>64</v>
      </c>
      <c r="B25" t="s">
        <v>65</v>
      </c>
      <c r="C25">
        <v>-0.23843624928530588</v>
      </c>
      <c r="D25">
        <v>-0.23843624928530588</v>
      </c>
      <c r="E25">
        <v>-0.14908519153802172</v>
      </c>
      <c r="F25">
        <v>-7.4042309891366495E-2</v>
      </c>
      <c r="G25">
        <v>0.1875956361575517</v>
      </c>
      <c r="H25">
        <v>0.39073746103712098</v>
      </c>
      <c r="I25">
        <v>0.27219576367242848</v>
      </c>
      <c r="J25">
        <v>0.20575834514026636</v>
      </c>
      <c r="K25">
        <v>0.15194547322187588</v>
      </c>
      <c r="L25">
        <v>8.748041229810144E-2</v>
      </c>
      <c r="M25">
        <v>5.3536908472655145E-2</v>
      </c>
      <c r="N25">
        <v>0</v>
      </c>
      <c r="O25">
        <v>0</v>
      </c>
      <c r="P25">
        <v>0</v>
      </c>
    </row>
    <row r="26" spans="1:16">
      <c r="P26">
        <v>0</v>
      </c>
    </row>
    <row r="27" spans="1:16">
      <c r="B27" t="s">
        <v>66</v>
      </c>
      <c r="C27">
        <v>1</v>
      </c>
      <c r="D27">
        <v>2</v>
      </c>
      <c r="E27">
        <v>3</v>
      </c>
      <c r="F27">
        <v>4</v>
      </c>
      <c r="G27">
        <v>5</v>
      </c>
      <c r="H27">
        <v>6</v>
      </c>
      <c r="I27">
        <v>7</v>
      </c>
      <c r="J27">
        <v>8</v>
      </c>
      <c r="K27">
        <v>9</v>
      </c>
      <c r="L27">
        <v>10</v>
      </c>
      <c r="M27">
        <v>11</v>
      </c>
      <c r="P27">
        <v>0</v>
      </c>
    </row>
    <row r="28" spans="1:16">
      <c r="B28" t="s">
        <v>60</v>
      </c>
      <c r="C28">
        <v>-5.5500000000000001E-2</v>
      </c>
      <c r="D28">
        <v>-6.5000000000000002E-2</v>
      </c>
      <c r="E28">
        <v>-0.26450000000000001</v>
      </c>
      <c r="F28">
        <v>-0.2238</v>
      </c>
      <c r="G28">
        <v>-5.3800000000000001E-2</v>
      </c>
      <c r="H28">
        <v>0.1045</v>
      </c>
      <c r="I28">
        <v>0.3125</v>
      </c>
      <c r="J28">
        <v>0.62180000000000002</v>
      </c>
      <c r="K28">
        <v>0.57199999999999995</v>
      </c>
      <c r="L28">
        <v>0.4133</v>
      </c>
      <c r="M28">
        <v>0.1865</v>
      </c>
      <c r="N28">
        <v>0</v>
      </c>
      <c r="O28">
        <v>0</v>
      </c>
      <c r="P28">
        <v>0</v>
      </c>
    </row>
    <row r="29" spans="1:16">
      <c r="B29" t="s">
        <v>61</v>
      </c>
      <c r="C29">
        <v>-5.5500000000000001E-2</v>
      </c>
      <c r="D29">
        <v>-0.1205</v>
      </c>
      <c r="E29">
        <v>-0.38500000000000001</v>
      </c>
      <c r="F29">
        <v>-0.60880000000000001</v>
      </c>
      <c r="G29">
        <v>-0.66259999999999997</v>
      </c>
      <c r="H29">
        <v>-0.55809999999999993</v>
      </c>
      <c r="I29">
        <v>-0.24559999999999993</v>
      </c>
      <c r="J29">
        <v>0.37620000000000009</v>
      </c>
      <c r="K29">
        <v>0.94820000000000004</v>
      </c>
      <c r="L29">
        <v>1.3614999999999999</v>
      </c>
      <c r="M29">
        <v>1.548</v>
      </c>
      <c r="N29">
        <v>0</v>
      </c>
      <c r="O29">
        <v>0</v>
      </c>
      <c r="P29">
        <v>0</v>
      </c>
    </row>
    <row r="30" spans="1:16">
      <c r="B30" t="s">
        <v>62</v>
      </c>
      <c r="C30">
        <v>0</v>
      </c>
      <c r="D30">
        <v>0</v>
      </c>
      <c r="E30">
        <v>0</v>
      </c>
      <c r="F30">
        <v>0</v>
      </c>
      <c r="G30">
        <v>0</v>
      </c>
      <c r="H30">
        <v>0</v>
      </c>
      <c r="I30">
        <v>0</v>
      </c>
      <c r="J30">
        <v>9.7059600000000038E-2</v>
      </c>
      <c r="K30">
        <v>0.14757599999999998</v>
      </c>
      <c r="L30">
        <v>0.1066314</v>
      </c>
      <c r="M30">
        <v>4.8117E-2</v>
      </c>
      <c r="N30">
        <v>0</v>
      </c>
      <c r="O30">
        <v>0</v>
      </c>
      <c r="P30">
        <v>0</v>
      </c>
    </row>
    <row r="31" spans="1:16">
      <c r="P31">
        <v>0</v>
      </c>
    </row>
    <row r="32" spans="1:16">
      <c r="B32" t="s">
        <v>49</v>
      </c>
      <c r="C32">
        <v>-5.8632659221249626E-2</v>
      </c>
      <c r="D32">
        <v>-6.8668880169031096E-2</v>
      </c>
      <c r="E32">
        <v>-0.27942952007244187</v>
      </c>
      <c r="F32">
        <v>-0.2364322366435255</v>
      </c>
      <c r="G32">
        <v>-5.6836703893751887E-2</v>
      </c>
      <c r="H32">
        <v>8.2726409119696018E-2</v>
      </c>
      <c r="I32">
        <v>0.24738758708043068</v>
      </c>
      <c r="J32">
        <v>0.49224192526915778</v>
      </c>
      <c r="K32">
        <v>0.45281823939202026</v>
      </c>
      <c r="L32">
        <v>0.32718492716909436</v>
      </c>
      <c r="M32">
        <v>0.14764091196960102</v>
      </c>
      <c r="N32">
        <v>0</v>
      </c>
      <c r="O32">
        <v>0</v>
      </c>
      <c r="P32">
        <v>0</v>
      </c>
    </row>
    <row r="33" spans="1:16">
      <c r="B33" t="s">
        <v>63</v>
      </c>
      <c r="C33">
        <v>-5.8632659221249626E-2</v>
      </c>
      <c r="D33">
        <v>-0.12730153939028072</v>
      </c>
      <c r="E33">
        <v>-0.40673105946272253</v>
      </c>
      <c r="F33">
        <v>-0.64316329610624812</v>
      </c>
      <c r="G33">
        <v>-0.7</v>
      </c>
      <c r="H33">
        <v>-0.61727359088030398</v>
      </c>
      <c r="I33">
        <v>-0.3698860037998733</v>
      </c>
      <c r="J33">
        <v>0.12235592146928442</v>
      </c>
      <c r="K33">
        <v>0.57517416086130468</v>
      </c>
      <c r="L33">
        <v>0.9023590880303991</v>
      </c>
      <c r="M33">
        <v>1.05</v>
      </c>
      <c r="N33">
        <v>0</v>
      </c>
      <c r="O33">
        <v>0</v>
      </c>
      <c r="P33">
        <v>0</v>
      </c>
    </row>
    <row r="34" spans="1:16">
      <c r="B34" t="s">
        <v>62</v>
      </c>
      <c r="C34">
        <v>0</v>
      </c>
      <c r="D34">
        <v>0</v>
      </c>
      <c r="E34">
        <v>0</v>
      </c>
      <c r="F34">
        <v>0</v>
      </c>
      <c r="G34">
        <v>0</v>
      </c>
      <c r="H34">
        <v>0</v>
      </c>
      <c r="I34">
        <v>0</v>
      </c>
      <c r="J34">
        <v>3.1567827739075384E-2</v>
      </c>
      <c r="K34">
        <v>0.11682710576314125</v>
      </c>
      <c r="L34">
        <v>8.4413711209626346E-2</v>
      </c>
      <c r="M34">
        <v>3.8091355288157068E-2</v>
      </c>
      <c r="N34">
        <v>0</v>
      </c>
      <c r="O34">
        <v>0</v>
      </c>
      <c r="P34">
        <v>0</v>
      </c>
    </row>
    <row r="35" spans="1:16">
      <c r="A35" t="s">
        <v>67</v>
      </c>
      <c r="B35" t="s">
        <v>65</v>
      </c>
      <c r="C35">
        <v>-5.8632659221249626E-2</v>
      </c>
      <c r="D35">
        <v>-6.8668880169031096E-2</v>
      </c>
      <c r="E35">
        <v>-0.27942952007244187</v>
      </c>
      <c r="F35">
        <v>-0.2364322366435255</v>
      </c>
      <c r="G35">
        <v>-5.6836703893751887E-2</v>
      </c>
      <c r="H35">
        <v>8.2726409119696018E-2</v>
      </c>
      <c r="I35">
        <v>0.24738758708043068</v>
      </c>
      <c r="J35">
        <v>0.46067409753008232</v>
      </c>
      <c r="K35">
        <v>0.335991133628879</v>
      </c>
      <c r="L35">
        <v>0.24277121595946802</v>
      </c>
      <c r="M35">
        <v>0.10954955668144395</v>
      </c>
      <c r="N35">
        <v>0</v>
      </c>
      <c r="O35">
        <v>0</v>
      </c>
      <c r="P35">
        <v>0</v>
      </c>
    </row>
    <row r="36" spans="1:16">
      <c r="P36">
        <v>0</v>
      </c>
    </row>
    <row r="37" spans="1:16">
      <c r="B37" t="s">
        <v>68</v>
      </c>
      <c r="C37">
        <v>1</v>
      </c>
      <c r="D37">
        <v>2</v>
      </c>
      <c r="E37">
        <v>3</v>
      </c>
      <c r="F37">
        <v>4</v>
      </c>
      <c r="G37">
        <v>5</v>
      </c>
      <c r="H37">
        <v>6</v>
      </c>
      <c r="I37">
        <v>7</v>
      </c>
      <c r="J37">
        <v>8</v>
      </c>
      <c r="K37">
        <v>9</v>
      </c>
      <c r="L37">
        <v>10</v>
      </c>
      <c r="M37">
        <v>11</v>
      </c>
      <c r="P37">
        <v>0</v>
      </c>
    </row>
    <row r="38" spans="1:16">
      <c r="B38" t="s">
        <v>60</v>
      </c>
      <c r="C38">
        <v>-0.53100000000000003</v>
      </c>
      <c r="D38">
        <v>-4.7600000000000003E-2</v>
      </c>
      <c r="E38">
        <v>0.30259999999999998</v>
      </c>
      <c r="F38">
        <v>0.24890000000000001</v>
      </c>
      <c r="G38">
        <v>0.185</v>
      </c>
      <c r="H38">
        <v>0.13100000000000001</v>
      </c>
      <c r="I38">
        <v>0.14710000000000001</v>
      </c>
      <c r="J38">
        <v>0.1215</v>
      </c>
      <c r="K38">
        <v>8.43E-2</v>
      </c>
      <c r="L38">
        <v>1.3100000000000001E-2</v>
      </c>
      <c r="M38">
        <v>5.7000000000000002E-3</v>
      </c>
      <c r="N38">
        <v>0</v>
      </c>
      <c r="O38">
        <v>0</v>
      </c>
      <c r="P38">
        <v>0</v>
      </c>
    </row>
    <row r="39" spans="1:16">
      <c r="B39" t="s">
        <v>61</v>
      </c>
      <c r="C39">
        <v>-0.53100000000000003</v>
      </c>
      <c r="D39">
        <v>-0.5786</v>
      </c>
      <c r="E39">
        <v>-0.27600000000000002</v>
      </c>
      <c r="F39">
        <v>-2.7100000000000013E-2</v>
      </c>
      <c r="G39">
        <v>0.15789999999999998</v>
      </c>
      <c r="H39">
        <v>0.28889999999999999</v>
      </c>
      <c r="I39">
        <v>0.436</v>
      </c>
      <c r="J39">
        <v>0.5575</v>
      </c>
      <c r="K39">
        <v>0.64180000000000004</v>
      </c>
      <c r="L39">
        <v>0.65490000000000004</v>
      </c>
      <c r="M39">
        <v>0.66060000000000008</v>
      </c>
      <c r="N39">
        <v>0</v>
      </c>
      <c r="O39">
        <v>0</v>
      </c>
      <c r="P39">
        <v>0</v>
      </c>
    </row>
    <row r="40" spans="1:16">
      <c r="B40" t="s">
        <v>62</v>
      </c>
      <c r="C40">
        <v>0</v>
      </c>
      <c r="D40">
        <v>0</v>
      </c>
      <c r="E40">
        <v>0</v>
      </c>
      <c r="F40">
        <v>0</v>
      </c>
      <c r="G40">
        <v>4.0738199999999995E-2</v>
      </c>
      <c r="H40">
        <v>3.3798000000000002E-2</v>
      </c>
      <c r="I40">
        <v>3.7951800000000001E-2</v>
      </c>
      <c r="J40">
        <v>3.1347E-2</v>
      </c>
      <c r="K40">
        <v>2.1749399999999999E-2</v>
      </c>
      <c r="L40">
        <v>3.3798000000000001E-3</v>
      </c>
      <c r="M40">
        <v>1.4706000000000001E-3</v>
      </c>
      <c r="N40">
        <v>0</v>
      </c>
      <c r="O40">
        <v>0</v>
      </c>
      <c r="P40">
        <v>0</v>
      </c>
    </row>
    <row r="41" spans="1:16">
      <c r="P41">
        <v>0</v>
      </c>
    </row>
    <row r="42" spans="1:16">
      <c r="B42" t="s">
        <v>49</v>
      </c>
      <c r="C42">
        <v>-0.53228482544071898</v>
      </c>
      <c r="D42">
        <v>-4.7715174559281023E-2</v>
      </c>
      <c r="E42">
        <v>0.2549341510652034</v>
      </c>
      <c r="F42">
        <v>0.20969302775984511</v>
      </c>
      <c r="G42">
        <v>0.15585861846352489</v>
      </c>
      <c r="H42">
        <v>0.11036475145255006</v>
      </c>
      <c r="I42">
        <v>0.12392866365397032</v>
      </c>
      <c r="J42">
        <v>0.10236120077469336</v>
      </c>
      <c r="K42">
        <v>7.1020981278244036E-2</v>
      </c>
      <c r="L42">
        <v>1.1036475145255006E-2</v>
      </c>
      <c r="M42">
        <v>4.8021304067140096E-3</v>
      </c>
      <c r="N42">
        <v>0</v>
      </c>
      <c r="O42">
        <v>0</v>
      </c>
      <c r="P42">
        <v>0</v>
      </c>
    </row>
    <row r="43" spans="1:16">
      <c r="B43" t="s">
        <v>63</v>
      </c>
      <c r="C43">
        <v>-0.53228482544071898</v>
      </c>
      <c r="D43">
        <v>-0.57999999999999996</v>
      </c>
      <c r="E43">
        <v>-0.32506584893479656</v>
      </c>
      <c r="F43">
        <v>-0.11537282117495146</v>
      </c>
      <c r="G43">
        <v>4.0485797288573433E-2</v>
      </c>
      <c r="H43">
        <v>0.1508505487411235</v>
      </c>
      <c r="I43">
        <v>0.27477921239509384</v>
      </c>
      <c r="J43">
        <v>0.37714041316978719</v>
      </c>
      <c r="K43">
        <v>0.44816139444803121</v>
      </c>
      <c r="L43">
        <v>0.45919786959328623</v>
      </c>
      <c r="M43">
        <v>0.46400000000000025</v>
      </c>
      <c r="N43">
        <v>0</v>
      </c>
      <c r="O43">
        <v>0</v>
      </c>
      <c r="P43">
        <v>0</v>
      </c>
    </row>
    <row r="44" spans="1:16">
      <c r="B44" t="s">
        <v>62</v>
      </c>
      <c r="C44">
        <v>0</v>
      </c>
      <c r="D44">
        <v>0</v>
      </c>
      <c r="E44">
        <v>0</v>
      </c>
      <c r="F44">
        <v>0</v>
      </c>
      <c r="G44">
        <v>1.0445335700451946E-2</v>
      </c>
      <c r="H44">
        <v>2.8474105874757918E-2</v>
      </c>
      <c r="I44">
        <v>3.1973595222724346E-2</v>
      </c>
      <c r="J44">
        <v>2.6409189799870888E-2</v>
      </c>
      <c r="K44">
        <v>1.8323413169786959E-2</v>
      </c>
      <c r="L44">
        <v>2.8474105874757918E-3</v>
      </c>
      <c r="M44">
        <v>1.2389496449322144E-3</v>
      </c>
      <c r="N44">
        <v>0</v>
      </c>
      <c r="O44">
        <v>0</v>
      </c>
      <c r="P44">
        <v>0</v>
      </c>
    </row>
    <row r="45" spans="1:16">
      <c r="A45" t="s">
        <v>69</v>
      </c>
      <c r="B45" t="s">
        <v>65</v>
      </c>
      <c r="C45">
        <v>-0.53228482544071898</v>
      </c>
      <c r="D45">
        <v>-4.7715174559281023E-2</v>
      </c>
      <c r="E45">
        <v>0.2549341510652034</v>
      </c>
      <c r="F45">
        <v>0.20969302775984511</v>
      </c>
      <c r="G45">
        <v>0.14541328276307294</v>
      </c>
      <c r="H45">
        <v>8.1890645577792145E-2</v>
      </c>
      <c r="I45">
        <v>9.1955068431245984E-2</v>
      </c>
      <c r="J45">
        <v>7.5952010974822473E-2</v>
      </c>
      <c r="K45">
        <v>5.2697568108457077E-2</v>
      </c>
      <c r="L45">
        <v>8.1890645577792145E-3</v>
      </c>
      <c r="M45">
        <v>3.5631807617817952E-3</v>
      </c>
      <c r="N45">
        <v>0</v>
      </c>
      <c r="O45">
        <v>0</v>
      </c>
      <c r="P45">
        <v>0</v>
      </c>
    </row>
    <row r="46" spans="1:16">
      <c r="P46">
        <v>0</v>
      </c>
    </row>
    <row r="47" spans="1:16">
      <c r="B47" t="s">
        <v>59</v>
      </c>
      <c r="C47">
        <v>1</v>
      </c>
      <c r="D47">
        <v>2</v>
      </c>
      <c r="E47">
        <v>3</v>
      </c>
      <c r="F47">
        <v>4</v>
      </c>
      <c r="G47">
        <v>5</v>
      </c>
      <c r="H47">
        <v>6</v>
      </c>
      <c r="I47">
        <v>7</v>
      </c>
      <c r="J47">
        <v>8</v>
      </c>
      <c r="K47">
        <v>9</v>
      </c>
      <c r="L47">
        <v>10</v>
      </c>
      <c r="M47">
        <v>11</v>
      </c>
      <c r="P47">
        <v>0</v>
      </c>
    </row>
    <row r="48" spans="1:16">
      <c r="B48" t="s">
        <v>60</v>
      </c>
      <c r="C48">
        <v>-0.23830000000000001</v>
      </c>
      <c r="D48">
        <v>-0.23830000000000001</v>
      </c>
      <c r="E48">
        <v>-0.14899999999999999</v>
      </c>
      <c r="F48">
        <v>-7.3999999999999996E-2</v>
      </c>
      <c r="G48">
        <v>0.25219999999999998</v>
      </c>
      <c r="H48">
        <v>0.52529999999999999</v>
      </c>
      <c r="I48">
        <v>0.43630000000000002</v>
      </c>
      <c r="J48">
        <v>0.37280000000000002</v>
      </c>
      <c r="K48">
        <v>0.27529999999999999</v>
      </c>
      <c r="L48">
        <v>0.1585</v>
      </c>
      <c r="M48">
        <v>9.7000000000000003E-2</v>
      </c>
      <c r="N48">
        <v>0</v>
      </c>
      <c r="O48">
        <v>0</v>
      </c>
      <c r="P48">
        <v>0</v>
      </c>
    </row>
    <row r="49" spans="2:16">
      <c r="B49" t="s">
        <v>61</v>
      </c>
      <c r="C49">
        <v>-0.23830000000000001</v>
      </c>
      <c r="D49">
        <v>-0.47660000000000002</v>
      </c>
      <c r="E49">
        <v>-0.62560000000000004</v>
      </c>
      <c r="F49">
        <v>-0.6996</v>
      </c>
      <c r="G49">
        <v>-0.44740000000000002</v>
      </c>
      <c r="H49">
        <v>7.7899999999999969E-2</v>
      </c>
      <c r="I49">
        <v>0.51419999999999999</v>
      </c>
      <c r="J49">
        <v>0.88700000000000001</v>
      </c>
      <c r="K49">
        <v>1.1623000000000001</v>
      </c>
      <c r="L49">
        <v>1.3208000000000002</v>
      </c>
      <c r="M49">
        <v>1.4178000000000002</v>
      </c>
      <c r="N49">
        <v>0</v>
      </c>
      <c r="O49">
        <v>0</v>
      </c>
      <c r="P49">
        <v>0</v>
      </c>
    </row>
    <row r="50" spans="2:16">
      <c r="P50">
        <v>0</v>
      </c>
    </row>
    <row r="51" spans="2:16">
      <c r="P51">
        <v>0</v>
      </c>
    </row>
    <row r="52" spans="2:16">
      <c r="B52" t="s">
        <v>49</v>
      </c>
      <c r="C52">
        <v>-0.23843624928530588</v>
      </c>
      <c r="D52">
        <v>-0.23843624928530588</v>
      </c>
      <c r="E52">
        <v>-0.14908519153802172</v>
      </c>
      <c r="F52">
        <v>-7.4042309891366495E-2</v>
      </c>
      <c r="G52">
        <v>0.1875956361575517</v>
      </c>
      <c r="H52">
        <v>0.39073746103712098</v>
      </c>
      <c r="I52">
        <v>0.32453598753187873</v>
      </c>
      <c r="J52">
        <v>0.27730235194105979</v>
      </c>
      <c r="K52">
        <v>0.20477826579767641</v>
      </c>
      <c r="L52">
        <v>0.11789812978180787</v>
      </c>
      <c r="M52">
        <v>7.2152167752904506E-2</v>
      </c>
      <c r="N52">
        <v>0</v>
      </c>
      <c r="O52">
        <v>0</v>
      </c>
      <c r="P52">
        <v>0</v>
      </c>
    </row>
    <row r="53" spans="2:16">
      <c r="B53" t="s">
        <v>63</v>
      </c>
      <c r="C53">
        <v>-0.23843624928530588</v>
      </c>
      <c r="D53">
        <v>-0.47687249857061176</v>
      </c>
      <c r="E53">
        <v>-0.62595769010863345</v>
      </c>
      <c r="F53">
        <v>-0.7</v>
      </c>
      <c r="G53">
        <v>-0.51240436384244825</v>
      </c>
      <c r="H53">
        <v>-0.12166690280532728</v>
      </c>
      <c r="I53">
        <v>0.20286908472655144</v>
      </c>
      <c r="J53">
        <v>0.48017143666761131</v>
      </c>
      <c r="K53">
        <v>0.68494970246528764</v>
      </c>
      <c r="L53">
        <v>0.80284783224709555</v>
      </c>
      <c r="M53">
        <v>0.875</v>
      </c>
      <c r="N53">
        <v>0</v>
      </c>
      <c r="O53">
        <v>0</v>
      </c>
      <c r="P53">
        <v>0</v>
      </c>
    </row>
    <row r="54" spans="2:16">
      <c r="B54" t="s">
        <v>62</v>
      </c>
      <c r="C54">
        <v>0</v>
      </c>
      <c r="D54">
        <v>0</v>
      </c>
      <c r="E54">
        <v>0</v>
      </c>
      <c r="F54">
        <v>0</v>
      </c>
      <c r="G54">
        <v>0</v>
      </c>
      <c r="H54">
        <v>0</v>
      </c>
      <c r="I54">
        <v>5.234022385945028E-2</v>
      </c>
      <c r="J54">
        <v>7.1544006800793425E-2</v>
      </c>
      <c r="K54">
        <v>5.2832792575800515E-2</v>
      </c>
      <c r="L54">
        <v>3.0417717483706433E-2</v>
      </c>
      <c r="M54">
        <v>1.8615259280249364E-2</v>
      </c>
      <c r="N54">
        <v>0</v>
      </c>
      <c r="O54">
        <v>0</v>
      </c>
      <c r="P54">
        <v>0</v>
      </c>
    </row>
    <row r="55" spans="2:16">
      <c r="B55" t="s">
        <v>65</v>
      </c>
      <c r="C55">
        <v>-0.23843624928530588</v>
      </c>
      <c r="D55">
        <v>-0.23843624928530588</v>
      </c>
      <c r="E55">
        <v>-0.14908519153802172</v>
      </c>
      <c r="F55">
        <v>-7.4042309891366495E-2</v>
      </c>
      <c r="G55">
        <v>0.1875956361575517</v>
      </c>
      <c r="H55">
        <v>0.39073746103712098</v>
      </c>
      <c r="I55">
        <v>0.27219576367242848</v>
      </c>
      <c r="J55">
        <v>0.20575834514026636</v>
      </c>
      <c r="K55">
        <v>0.15194547322187588</v>
      </c>
      <c r="L55">
        <v>8.748041229810144E-2</v>
      </c>
      <c r="M55">
        <v>5.3536908472655145E-2</v>
      </c>
      <c r="N55">
        <v>0</v>
      </c>
      <c r="O55">
        <v>0</v>
      </c>
      <c r="P55">
        <v>0</v>
      </c>
    </row>
    <row r="56" spans="2:16">
      <c r="P56">
        <v>0</v>
      </c>
    </row>
    <row r="57" spans="2:16">
      <c r="B57" t="s">
        <v>70</v>
      </c>
      <c r="C57">
        <v>1</v>
      </c>
      <c r="D57">
        <v>2</v>
      </c>
      <c r="E57">
        <v>3</v>
      </c>
      <c r="F57">
        <v>4</v>
      </c>
      <c r="G57">
        <v>5</v>
      </c>
      <c r="H57">
        <v>6</v>
      </c>
      <c r="I57">
        <v>7</v>
      </c>
      <c r="J57">
        <v>8</v>
      </c>
      <c r="K57">
        <v>9</v>
      </c>
      <c r="L57">
        <v>10</v>
      </c>
      <c r="M57">
        <v>11</v>
      </c>
      <c r="P57">
        <v>0</v>
      </c>
    </row>
    <row r="58" spans="2:16">
      <c r="B58" t="s">
        <v>60</v>
      </c>
      <c r="C58">
        <v>-5.5500000000000001E-2</v>
      </c>
      <c r="D58">
        <v>-6.5000000000000002E-2</v>
      </c>
      <c r="E58">
        <v>-0.26450000000000001</v>
      </c>
      <c r="F58">
        <v>-0.2238</v>
      </c>
      <c r="G58">
        <v>-5.3800000000000001E-2</v>
      </c>
      <c r="H58">
        <v>0.1045</v>
      </c>
      <c r="I58">
        <v>0.3125</v>
      </c>
      <c r="J58">
        <v>0.62180000000000002</v>
      </c>
      <c r="K58">
        <v>0.57199999999999995</v>
      </c>
      <c r="L58">
        <v>0.4133</v>
      </c>
      <c r="M58">
        <v>0.1865</v>
      </c>
      <c r="N58">
        <v>0</v>
      </c>
      <c r="O58">
        <v>0</v>
      </c>
      <c r="P58">
        <v>0</v>
      </c>
    </row>
    <row r="59" spans="2:16">
      <c r="B59" t="s">
        <v>61</v>
      </c>
      <c r="C59">
        <v>-5.5500000000000001E-2</v>
      </c>
      <c r="D59">
        <v>-0.1205</v>
      </c>
      <c r="E59">
        <v>-0.38500000000000001</v>
      </c>
      <c r="F59">
        <v>-0.60880000000000001</v>
      </c>
      <c r="G59">
        <v>-0.66259999999999997</v>
      </c>
      <c r="H59">
        <v>-0.55809999999999993</v>
      </c>
      <c r="I59">
        <v>-0.24559999999999993</v>
      </c>
      <c r="J59">
        <v>0.37620000000000009</v>
      </c>
      <c r="K59">
        <v>0.94820000000000004</v>
      </c>
      <c r="L59">
        <v>1.3614999999999999</v>
      </c>
      <c r="M59">
        <v>1.548</v>
      </c>
      <c r="N59">
        <v>0</v>
      </c>
      <c r="O59">
        <v>0</v>
      </c>
      <c r="P59">
        <v>0</v>
      </c>
    </row>
    <row r="60" spans="2:16">
      <c r="B60" t="s">
        <v>62</v>
      </c>
      <c r="C60">
        <v>0</v>
      </c>
      <c r="D60">
        <v>0</v>
      </c>
      <c r="E60">
        <v>0</v>
      </c>
      <c r="F60">
        <v>0</v>
      </c>
      <c r="G60">
        <v>0</v>
      </c>
      <c r="H60">
        <v>0</v>
      </c>
      <c r="I60">
        <v>0</v>
      </c>
      <c r="J60">
        <v>9.7059600000000038E-2</v>
      </c>
      <c r="K60">
        <v>0.14757599999999998</v>
      </c>
      <c r="L60">
        <v>0.1066314</v>
      </c>
      <c r="M60">
        <v>4.8117E-2</v>
      </c>
      <c r="N60">
        <v>0</v>
      </c>
      <c r="O60">
        <v>0</v>
      </c>
      <c r="P60">
        <v>0</v>
      </c>
    </row>
    <row r="61" spans="2:16">
      <c r="P61">
        <v>0</v>
      </c>
    </row>
    <row r="62" spans="2:16">
      <c r="B62" t="s">
        <v>49</v>
      </c>
      <c r="C62">
        <v>-7.9572894657410215E-2</v>
      </c>
      <c r="D62">
        <v>-9.3193480229399342E-2</v>
      </c>
      <c r="E62">
        <v>-0.37922577724117112</v>
      </c>
      <c r="F62">
        <v>-0.32087232115907033</v>
      </c>
      <c r="G62">
        <v>-7.7135526712948987E-2</v>
      </c>
      <c r="H62">
        <v>0.11227155523387317</v>
      </c>
      <c r="I62">
        <v>0.33574029675201306</v>
      </c>
      <c r="J62">
        <v>0.66804261286528555</v>
      </c>
      <c r="K62">
        <v>0.61453903917488462</v>
      </c>
      <c r="L62">
        <v>0.44403668687234232</v>
      </c>
      <c r="M62">
        <v>0.2003698091016014</v>
      </c>
      <c r="N62">
        <v>0</v>
      </c>
      <c r="O62">
        <v>0</v>
      </c>
      <c r="P62">
        <v>0</v>
      </c>
    </row>
    <row r="63" spans="2:16">
      <c r="B63" t="s">
        <v>63</v>
      </c>
      <c r="C63">
        <v>-7.9572894657410215E-2</v>
      </c>
      <c r="D63">
        <v>-0.17276637488680954</v>
      </c>
      <c r="E63">
        <v>-0.5519921521279807</v>
      </c>
      <c r="F63">
        <v>-0.87286447328705108</v>
      </c>
      <c r="G63">
        <v>-0.95</v>
      </c>
      <c r="H63">
        <v>-0.61727359088030398</v>
      </c>
      <c r="I63">
        <v>-0.3698860037998733</v>
      </c>
      <c r="J63">
        <v>0.12235592146928442</v>
      </c>
      <c r="K63">
        <v>0.57517416086130468</v>
      </c>
      <c r="L63">
        <v>0.9023590880303991</v>
      </c>
      <c r="M63">
        <v>1.05</v>
      </c>
      <c r="N63">
        <v>0</v>
      </c>
      <c r="O63">
        <v>0</v>
      </c>
      <c r="P63">
        <v>0</v>
      </c>
    </row>
    <row r="64" spans="2:16">
      <c r="B64" t="s">
        <v>62</v>
      </c>
      <c r="C64">
        <v>0</v>
      </c>
      <c r="D64">
        <v>0</v>
      </c>
      <c r="E64">
        <v>0</v>
      </c>
      <c r="F64">
        <v>0</v>
      </c>
      <c r="G64">
        <v>0</v>
      </c>
      <c r="H64">
        <v>0</v>
      </c>
      <c r="I64">
        <v>0</v>
      </c>
      <c r="J64">
        <v>7.6924405138876356E-2</v>
      </c>
      <c r="K64">
        <v>0.15855107210712024</v>
      </c>
      <c r="L64">
        <v>0.11456146521306432</v>
      </c>
      <c r="M64">
        <v>5.1695410748213162E-2</v>
      </c>
      <c r="N64">
        <v>0</v>
      </c>
      <c r="O64">
        <v>0</v>
      </c>
      <c r="P64">
        <v>0</v>
      </c>
    </row>
    <row r="65" spans="1:16">
      <c r="A65" t="s">
        <v>71</v>
      </c>
      <c r="B65" t="s">
        <v>65</v>
      </c>
      <c r="C65">
        <v>-7.9572894657410215E-2</v>
      </c>
      <c r="D65">
        <v>-9.3193480229399342E-2</v>
      </c>
      <c r="E65">
        <v>-0.37922577724117112</v>
      </c>
      <c r="F65">
        <v>-0.32087232115907033</v>
      </c>
      <c r="G65">
        <v>-7.7135526712948987E-2</v>
      </c>
      <c r="H65">
        <v>0.11227155523387317</v>
      </c>
      <c r="I65">
        <v>0.33574029675201306</v>
      </c>
      <c r="J65">
        <v>0.59111820772640922</v>
      </c>
      <c r="K65">
        <v>0.45598796706776434</v>
      </c>
      <c r="L65">
        <v>0.32947522165927801</v>
      </c>
      <c r="M65">
        <v>0.14867439835338825</v>
      </c>
      <c r="N65">
        <v>0</v>
      </c>
      <c r="O65">
        <v>0</v>
      </c>
      <c r="P65">
        <v>0</v>
      </c>
    </row>
    <row r="66" spans="1:16">
      <c r="P66">
        <v>0</v>
      </c>
    </row>
    <row r="67" spans="1:16">
      <c r="B67" t="s">
        <v>66</v>
      </c>
      <c r="C67">
        <v>1</v>
      </c>
      <c r="D67">
        <v>2</v>
      </c>
      <c r="E67">
        <v>3</v>
      </c>
      <c r="F67">
        <v>4</v>
      </c>
      <c r="G67">
        <v>5</v>
      </c>
      <c r="H67">
        <v>6</v>
      </c>
      <c r="I67">
        <v>7</v>
      </c>
      <c r="J67">
        <v>8</v>
      </c>
      <c r="K67">
        <v>9</v>
      </c>
      <c r="L67">
        <v>10</v>
      </c>
      <c r="M67">
        <v>11</v>
      </c>
      <c r="P67">
        <v>0</v>
      </c>
    </row>
    <row r="68" spans="1:16">
      <c r="B68" t="s">
        <v>60</v>
      </c>
      <c r="C68">
        <v>-5.5500000000000001E-2</v>
      </c>
      <c r="D68">
        <v>-6.5000000000000002E-2</v>
      </c>
      <c r="E68">
        <v>-0.26450000000000001</v>
      </c>
      <c r="F68">
        <v>-0.2238</v>
      </c>
      <c r="G68">
        <v>-5.3800000000000001E-2</v>
      </c>
      <c r="H68">
        <v>0.1045</v>
      </c>
      <c r="I68">
        <v>0.3125</v>
      </c>
      <c r="J68">
        <v>0.62180000000000002</v>
      </c>
      <c r="K68">
        <v>0.57199999999999995</v>
      </c>
      <c r="L68">
        <v>0.4133</v>
      </c>
      <c r="M68">
        <v>0.1865</v>
      </c>
      <c r="N68">
        <v>0</v>
      </c>
      <c r="O68">
        <v>0</v>
      </c>
      <c r="P68">
        <v>0</v>
      </c>
    </row>
    <row r="69" spans="1:16">
      <c r="B69" t="s">
        <v>61</v>
      </c>
      <c r="C69">
        <v>-5.5500000000000001E-2</v>
      </c>
      <c r="D69">
        <v>-0.1205</v>
      </c>
      <c r="E69">
        <v>-0.38500000000000001</v>
      </c>
      <c r="F69">
        <v>-0.60880000000000001</v>
      </c>
      <c r="G69">
        <v>-0.66259999999999997</v>
      </c>
      <c r="H69">
        <v>-0.55809999999999993</v>
      </c>
      <c r="I69">
        <v>-0.24559999999999993</v>
      </c>
      <c r="J69">
        <v>0.37620000000000009</v>
      </c>
      <c r="K69">
        <v>0.94820000000000004</v>
      </c>
      <c r="L69">
        <v>1.3614999999999999</v>
      </c>
      <c r="M69">
        <v>1.548</v>
      </c>
      <c r="N69">
        <v>0</v>
      </c>
      <c r="O69">
        <v>0</v>
      </c>
      <c r="P69">
        <v>0</v>
      </c>
    </row>
    <row r="70" spans="1:16">
      <c r="B70" t="s">
        <v>62</v>
      </c>
      <c r="C70">
        <v>0</v>
      </c>
      <c r="D70">
        <v>0</v>
      </c>
      <c r="E70">
        <v>0</v>
      </c>
      <c r="F70">
        <v>0</v>
      </c>
      <c r="G70">
        <v>0</v>
      </c>
      <c r="H70">
        <v>0</v>
      </c>
      <c r="I70">
        <v>0</v>
      </c>
      <c r="J70">
        <v>9.7059600000000038E-2</v>
      </c>
      <c r="K70">
        <v>0.14757599999999998</v>
      </c>
      <c r="L70">
        <v>0.1066314</v>
      </c>
      <c r="M70">
        <v>4.8117E-2</v>
      </c>
      <c r="N70">
        <v>0</v>
      </c>
      <c r="O70">
        <v>0</v>
      </c>
      <c r="P70">
        <v>0</v>
      </c>
    </row>
    <row r="71" spans="1:16">
      <c r="P71">
        <v>0</v>
      </c>
    </row>
    <row r="72" spans="1:16">
      <c r="B72" t="s">
        <v>49</v>
      </c>
      <c r="C72">
        <v>-8.3760941744642325E-2</v>
      </c>
      <c r="D72">
        <v>-9.8098400241472997E-2</v>
      </c>
      <c r="E72">
        <v>-0.39918502867491706</v>
      </c>
      <c r="F72">
        <v>-0.33776033806217931</v>
      </c>
      <c r="G72">
        <v>-8.1195291276788414E-2</v>
      </c>
      <c r="H72">
        <v>0.11818058445670861</v>
      </c>
      <c r="I72">
        <v>0.3534108386863295</v>
      </c>
      <c r="J72">
        <v>0.70320275038451108</v>
      </c>
      <c r="K72">
        <v>0.64688319913145742</v>
      </c>
      <c r="L72">
        <v>0.46740703881299195</v>
      </c>
      <c r="M72">
        <v>0.21091558852800146</v>
      </c>
      <c r="N72">
        <v>0</v>
      </c>
      <c r="O72">
        <v>0</v>
      </c>
      <c r="P72">
        <v>0</v>
      </c>
    </row>
    <row r="73" spans="1:16">
      <c r="B73" t="s">
        <v>63</v>
      </c>
      <c r="C73">
        <v>-8.3760941744642325E-2</v>
      </c>
      <c r="D73">
        <v>-0.18185934198611531</v>
      </c>
      <c r="E73">
        <v>-0.58104437066103232</v>
      </c>
      <c r="F73">
        <v>-0.91880470872321163</v>
      </c>
      <c r="G73">
        <v>-1</v>
      </c>
      <c r="H73">
        <v>-0.61727359088030398</v>
      </c>
      <c r="I73">
        <v>-0.3698860037998733</v>
      </c>
      <c r="J73">
        <v>0.12235592146928442</v>
      </c>
      <c r="K73">
        <v>0.57517416086130468</v>
      </c>
      <c r="L73">
        <v>0.9023590880303991</v>
      </c>
      <c r="M73">
        <v>1.05</v>
      </c>
      <c r="N73">
        <v>0</v>
      </c>
      <c r="O73">
        <v>0</v>
      </c>
      <c r="P73">
        <v>0</v>
      </c>
    </row>
    <row r="74" spans="1:16">
      <c r="B74" t="s">
        <v>62</v>
      </c>
      <c r="C74">
        <v>0</v>
      </c>
      <c r="D74">
        <v>0</v>
      </c>
      <c r="E74">
        <v>0</v>
      </c>
      <c r="F74">
        <v>0</v>
      </c>
      <c r="G74">
        <v>0</v>
      </c>
      <c r="H74">
        <v>0</v>
      </c>
      <c r="I74">
        <v>0</v>
      </c>
      <c r="J74">
        <v>8.5995720618836549E-2</v>
      </c>
      <c r="K74">
        <v>0.16689586537591602</v>
      </c>
      <c r="L74">
        <v>0.12059101601375193</v>
      </c>
      <c r="M74">
        <v>5.4416221840224377E-2</v>
      </c>
      <c r="N74">
        <v>0</v>
      </c>
      <c r="O74">
        <v>0</v>
      </c>
      <c r="P74">
        <v>0</v>
      </c>
    </row>
    <row r="75" spans="1:16">
      <c r="A75" t="s">
        <v>72</v>
      </c>
      <c r="B75" t="s">
        <v>65</v>
      </c>
      <c r="C75">
        <v>-8.3760941744642325E-2</v>
      </c>
      <c r="D75">
        <v>-9.8098400241472997E-2</v>
      </c>
      <c r="E75">
        <v>-0.39918502867491706</v>
      </c>
      <c r="F75">
        <v>-0.33776033806217931</v>
      </c>
      <c r="G75">
        <v>-8.1195291276788414E-2</v>
      </c>
      <c r="H75">
        <v>0.11818058445670861</v>
      </c>
      <c r="I75">
        <v>0.3534108386863295</v>
      </c>
      <c r="J75">
        <v>0.61720702976567454</v>
      </c>
      <c r="K75">
        <v>0.47998733375554137</v>
      </c>
      <c r="L75">
        <v>0.34681602279924001</v>
      </c>
      <c r="M75">
        <v>0.15649936668777709</v>
      </c>
      <c r="N75">
        <v>0</v>
      </c>
      <c r="O75">
        <v>0</v>
      </c>
      <c r="P75">
        <v>0</v>
      </c>
    </row>
    <row r="76" spans="1:16">
      <c r="P76">
        <v>0</v>
      </c>
    </row>
    <row r="77" spans="1:16">
      <c r="B77" t="s">
        <v>66</v>
      </c>
      <c r="C77">
        <v>1</v>
      </c>
      <c r="D77">
        <v>2</v>
      </c>
      <c r="E77">
        <v>3</v>
      </c>
      <c r="F77">
        <v>4</v>
      </c>
      <c r="G77">
        <v>5</v>
      </c>
      <c r="H77">
        <v>6</v>
      </c>
      <c r="I77">
        <v>7</v>
      </c>
      <c r="J77">
        <v>8</v>
      </c>
      <c r="K77">
        <v>9</v>
      </c>
      <c r="L77">
        <v>10</v>
      </c>
      <c r="M77">
        <v>11</v>
      </c>
      <c r="P77">
        <v>0</v>
      </c>
    </row>
    <row r="78" spans="1:16">
      <c r="B78" t="s">
        <v>60</v>
      </c>
      <c r="C78">
        <v>-0.6</v>
      </c>
      <c r="D78">
        <v>-0.4</v>
      </c>
      <c r="E78">
        <v>-0.02</v>
      </c>
      <c r="F78">
        <v>-0.02</v>
      </c>
      <c r="G78">
        <v>-0.02</v>
      </c>
      <c r="H78">
        <v>0.1045</v>
      </c>
      <c r="I78">
        <v>0.3125</v>
      </c>
      <c r="J78">
        <v>0.62180000000000002</v>
      </c>
      <c r="K78">
        <v>0.57199999999999995</v>
      </c>
      <c r="L78">
        <v>0.4133</v>
      </c>
      <c r="M78">
        <v>0.1865</v>
      </c>
      <c r="N78">
        <v>0</v>
      </c>
      <c r="O78">
        <v>0</v>
      </c>
      <c r="P78">
        <v>0</v>
      </c>
    </row>
    <row r="79" spans="1:16">
      <c r="B79" t="s">
        <v>61</v>
      </c>
      <c r="C79">
        <v>-0.6</v>
      </c>
      <c r="D79">
        <v>-1</v>
      </c>
      <c r="E79">
        <v>-1.02</v>
      </c>
      <c r="F79">
        <v>-1.04</v>
      </c>
      <c r="G79">
        <v>-1.06</v>
      </c>
      <c r="H79">
        <v>-0.95550000000000002</v>
      </c>
      <c r="I79">
        <v>-0.64300000000000002</v>
      </c>
      <c r="J79">
        <v>-2.1199999999999997E-2</v>
      </c>
      <c r="K79">
        <v>0.55079999999999996</v>
      </c>
      <c r="L79">
        <v>0.96409999999999996</v>
      </c>
      <c r="M79">
        <v>1.1505999999999998</v>
      </c>
      <c r="N79">
        <v>0</v>
      </c>
      <c r="O79">
        <v>0</v>
      </c>
      <c r="P79">
        <v>0</v>
      </c>
    </row>
    <row r="80" spans="1:16">
      <c r="B80" t="s">
        <v>62</v>
      </c>
      <c r="P80">
        <v>0</v>
      </c>
    </row>
    <row r="81" spans="1:16">
      <c r="P81">
        <v>0</v>
      </c>
    </row>
    <row r="82" spans="1:16">
      <c r="B82" t="s">
        <v>49</v>
      </c>
      <c r="C82">
        <v>-0.56603773584905659</v>
      </c>
      <c r="D82">
        <v>-0.37735849056603776</v>
      </c>
      <c r="E82">
        <v>-1.886792452830189E-2</v>
      </c>
      <c r="F82">
        <v>-1.886792452830189E-2</v>
      </c>
      <c r="G82">
        <v>-1.886792452830189E-2</v>
      </c>
      <c r="H82">
        <v>0.1418167013480503</v>
      </c>
      <c r="I82">
        <v>0.42409300642359543</v>
      </c>
      <c r="J82">
        <v>0.8438433004614132</v>
      </c>
      <c r="K82">
        <v>0.77625983895774897</v>
      </c>
      <c r="L82">
        <v>0.56088844657559034</v>
      </c>
      <c r="M82">
        <v>0.25309870623360176</v>
      </c>
      <c r="N82">
        <v>0</v>
      </c>
      <c r="O82">
        <v>0</v>
      </c>
      <c r="P82">
        <v>0</v>
      </c>
    </row>
    <row r="83" spans="1:16">
      <c r="B83" t="s">
        <v>63</v>
      </c>
      <c r="C83">
        <v>-0.56603773584905659</v>
      </c>
      <c r="D83">
        <v>-0.94339622641509435</v>
      </c>
      <c r="E83">
        <v>-0.96226415094339612</v>
      </c>
      <c r="F83">
        <v>-0.98113207547169812</v>
      </c>
      <c r="G83">
        <v>-1</v>
      </c>
      <c r="H83">
        <v>-0.85818329865194976</v>
      </c>
      <c r="I83">
        <v>-0.43409029222835432</v>
      </c>
      <c r="J83">
        <v>0.40975300823305888</v>
      </c>
      <c r="K83">
        <v>1.1860128471908078</v>
      </c>
      <c r="L83">
        <v>1.7469012937663981</v>
      </c>
      <c r="M83">
        <v>2</v>
      </c>
      <c r="N83">
        <v>0</v>
      </c>
      <c r="O83">
        <v>0</v>
      </c>
      <c r="P83">
        <v>0</v>
      </c>
    </row>
    <row r="84" spans="1:16">
      <c r="B84" t="s">
        <v>62</v>
      </c>
      <c r="C84">
        <v>0</v>
      </c>
      <c r="D84">
        <v>0</v>
      </c>
      <c r="E84">
        <v>0</v>
      </c>
      <c r="F84">
        <v>0</v>
      </c>
      <c r="G84">
        <v>0</v>
      </c>
      <c r="H84">
        <v>0</v>
      </c>
      <c r="I84">
        <v>0</v>
      </c>
      <c r="J84">
        <v>0.1057162761241292</v>
      </c>
      <c r="K84">
        <v>0.20027503845109923</v>
      </c>
      <c r="L84">
        <v>0.14470921921650232</v>
      </c>
      <c r="M84">
        <v>6.529946620826925E-2</v>
      </c>
      <c r="N84">
        <v>0</v>
      </c>
      <c r="O84">
        <v>0</v>
      </c>
      <c r="P84">
        <v>0</v>
      </c>
    </row>
    <row r="85" spans="1:16">
      <c r="A85" t="s">
        <v>54</v>
      </c>
      <c r="B85" t="s">
        <v>65</v>
      </c>
      <c r="C85">
        <v>-0.56603773584905659</v>
      </c>
      <c r="D85">
        <v>-0.37735849056603776</v>
      </c>
      <c r="E85">
        <v>-1.886792452830189E-2</v>
      </c>
      <c r="F85">
        <v>-1.886792452830189E-2</v>
      </c>
      <c r="G85">
        <v>-1.886792452830189E-2</v>
      </c>
      <c r="H85">
        <v>0.1418167013480503</v>
      </c>
      <c r="I85">
        <v>0.42409300642359543</v>
      </c>
      <c r="J85">
        <v>0.73812702433728405</v>
      </c>
      <c r="K85">
        <v>0.57598480050664969</v>
      </c>
      <c r="L85">
        <v>0.41617922735908802</v>
      </c>
      <c r="M85">
        <v>0.18779924002533249</v>
      </c>
      <c r="N85">
        <v>0</v>
      </c>
      <c r="O85">
        <v>0</v>
      </c>
      <c r="P85">
        <v>0</v>
      </c>
    </row>
    <row r="86" spans="1:16">
      <c r="P86">
        <v>0</v>
      </c>
    </row>
    <row r="87" spans="1:16">
      <c r="B87" t="s">
        <v>59</v>
      </c>
      <c r="C87">
        <v>1</v>
      </c>
      <c r="D87">
        <v>2</v>
      </c>
      <c r="E87">
        <v>3</v>
      </c>
      <c r="F87">
        <v>4</v>
      </c>
      <c r="G87">
        <v>5</v>
      </c>
      <c r="H87">
        <v>6</v>
      </c>
      <c r="I87">
        <v>7</v>
      </c>
      <c r="J87">
        <v>8</v>
      </c>
      <c r="K87">
        <v>9</v>
      </c>
      <c r="L87">
        <v>10</v>
      </c>
      <c r="M87">
        <v>11</v>
      </c>
      <c r="P87">
        <v>0</v>
      </c>
    </row>
    <row r="88" spans="1:16">
      <c r="B88" t="s">
        <v>60</v>
      </c>
      <c r="C88">
        <v>-0.23830000000000001</v>
      </c>
      <c r="D88">
        <v>-0.23830000000000001</v>
      </c>
      <c r="E88">
        <v>-0.14899999999999999</v>
      </c>
      <c r="F88">
        <v>-7.3999999999999996E-2</v>
      </c>
      <c r="G88">
        <v>0.25219999999999998</v>
      </c>
      <c r="H88">
        <v>0.52529999999999999</v>
      </c>
      <c r="I88">
        <v>0.43630000000000002</v>
      </c>
      <c r="J88">
        <v>0.37280000000000002</v>
      </c>
      <c r="K88">
        <v>0.27529999999999999</v>
      </c>
      <c r="L88">
        <v>0.1585</v>
      </c>
      <c r="M88">
        <v>9.7000000000000003E-2</v>
      </c>
      <c r="N88">
        <v>0</v>
      </c>
      <c r="O88">
        <v>0</v>
      </c>
      <c r="P88">
        <v>0</v>
      </c>
    </row>
    <row r="89" spans="1:16">
      <c r="B89" t="s">
        <v>61</v>
      </c>
      <c r="C89">
        <v>-0.23830000000000001</v>
      </c>
      <c r="D89">
        <v>-0.47660000000000002</v>
      </c>
      <c r="E89">
        <v>-0.62560000000000004</v>
      </c>
      <c r="F89">
        <v>-0.6996</v>
      </c>
      <c r="G89">
        <v>-0.44740000000000002</v>
      </c>
      <c r="H89">
        <v>7.7899999999999969E-2</v>
      </c>
      <c r="I89">
        <v>0.51419999999999999</v>
      </c>
      <c r="J89">
        <v>0.88700000000000001</v>
      </c>
      <c r="K89">
        <v>1.1623000000000001</v>
      </c>
      <c r="L89">
        <v>1.3208000000000002</v>
      </c>
      <c r="M89">
        <v>1.4178000000000002</v>
      </c>
      <c r="N89">
        <v>0</v>
      </c>
      <c r="O89">
        <v>0</v>
      </c>
      <c r="P89">
        <v>0</v>
      </c>
    </row>
    <row r="90" spans="1:16">
      <c r="B90" t="s">
        <v>62</v>
      </c>
      <c r="C90">
        <v>0</v>
      </c>
      <c r="D90">
        <v>0</v>
      </c>
      <c r="E90">
        <v>0</v>
      </c>
      <c r="F90">
        <v>0</v>
      </c>
      <c r="G90">
        <v>0</v>
      </c>
      <c r="H90">
        <v>2.0098199999999993E-2</v>
      </c>
      <c r="I90">
        <v>0.1125654</v>
      </c>
      <c r="J90">
        <v>9.6182400000000001E-2</v>
      </c>
      <c r="K90">
        <v>7.1027400000000004E-2</v>
      </c>
      <c r="L90">
        <v>4.0892999999999999E-2</v>
      </c>
      <c r="M90">
        <v>2.5026000000000003E-2</v>
      </c>
      <c r="N90">
        <v>0</v>
      </c>
      <c r="O90">
        <v>0</v>
      </c>
      <c r="P90">
        <v>0</v>
      </c>
    </row>
    <row r="91" spans="1:16">
      <c r="B91">
        <v>0</v>
      </c>
      <c r="C91">
        <v>0</v>
      </c>
      <c r="D91">
        <v>0</v>
      </c>
      <c r="E91">
        <v>0</v>
      </c>
      <c r="F91">
        <v>0</v>
      </c>
      <c r="G91">
        <v>0</v>
      </c>
      <c r="H91">
        <v>0</v>
      </c>
      <c r="I91">
        <v>0</v>
      </c>
      <c r="J91">
        <v>0</v>
      </c>
      <c r="K91">
        <v>0</v>
      </c>
      <c r="L91">
        <v>0</v>
      </c>
      <c r="M91">
        <v>0</v>
      </c>
      <c r="N91">
        <v>0</v>
      </c>
      <c r="O91">
        <v>0</v>
      </c>
      <c r="P91">
        <v>0</v>
      </c>
    </row>
    <row r="92" spans="1:16">
      <c r="B92" t="s">
        <v>49</v>
      </c>
      <c r="C92">
        <v>-0.23843624928530588</v>
      </c>
      <c r="D92">
        <v>-0.23843624928530588</v>
      </c>
      <c r="E92">
        <v>-0.14908519153802172</v>
      </c>
      <c r="F92">
        <v>-7.4042309891366495E-2</v>
      </c>
      <c r="G92">
        <v>0.1875956361575517</v>
      </c>
      <c r="H92">
        <v>0.39073746103712098</v>
      </c>
      <c r="I92">
        <v>0.32453598753187873</v>
      </c>
      <c r="J92">
        <v>0.27730235194105979</v>
      </c>
      <c r="K92">
        <v>0.20477826579767641</v>
      </c>
      <c r="L92">
        <v>0.11789812978180787</v>
      </c>
      <c r="M92">
        <v>7.2152167752904506E-2</v>
      </c>
      <c r="N92">
        <v>0</v>
      </c>
      <c r="O92">
        <v>0</v>
      </c>
      <c r="P92">
        <v>0</v>
      </c>
    </row>
    <row r="93" spans="1:16">
      <c r="B93" t="s">
        <v>63</v>
      </c>
      <c r="C93">
        <v>-0.23843624928530588</v>
      </c>
      <c r="D93">
        <v>-0.47687249857061176</v>
      </c>
      <c r="E93">
        <v>-0.62595769010863345</v>
      </c>
      <c r="F93">
        <v>-0.7</v>
      </c>
      <c r="G93">
        <v>-0.51240436384244825</v>
      </c>
      <c r="H93">
        <v>-0.12166690280532728</v>
      </c>
      <c r="I93">
        <v>0.20286908472655144</v>
      </c>
      <c r="J93">
        <v>0.48017143666761131</v>
      </c>
      <c r="K93">
        <v>0.68494970246528764</v>
      </c>
      <c r="L93">
        <v>0.80284783224709555</v>
      </c>
      <c r="M93">
        <v>0.875</v>
      </c>
      <c r="N93">
        <v>0</v>
      </c>
      <c r="O93">
        <v>0</v>
      </c>
      <c r="P93">
        <v>0</v>
      </c>
    </row>
    <row r="94" spans="1:16">
      <c r="B94" t="s">
        <v>62</v>
      </c>
      <c r="C94">
        <v>0</v>
      </c>
      <c r="D94">
        <v>0</v>
      </c>
      <c r="E94">
        <v>0</v>
      </c>
      <c r="F94">
        <v>0</v>
      </c>
      <c r="G94">
        <v>0</v>
      </c>
      <c r="H94">
        <v>0</v>
      </c>
      <c r="I94">
        <v>5.234022385945028E-2</v>
      </c>
      <c r="J94">
        <v>7.1544006800793425E-2</v>
      </c>
      <c r="K94">
        <v>5.2832792575800515E-2</v>
      </c>
      <c r="L94">
        <v>3.0417717483706433E-2</v>
      </c>
      <c r="M94">
        <v>1.8615259280249364E-2</v>
      </c>
      <c r="N94">
        <v>0</v>
      </c>
      <c r="O94">
        <v>0</v>
      </c>
      <c r="P94">
        <v>0</v>
      </c>
    </row>
    <row r="95" spans="1:16">
      <c r="P95">
        <v>0</v>
      </c>
    </row>
    <row r="96" spans="1:16">
      <c r="P96">
        <v>0</v>
      </c>
    </row>
    <row r="97" spans="1:16">
      <c r="B97" t="s">
        <v>50</v>
      </c>
      <c r="C97">
        <v>1</v>
      </c>
      <c r="D97">
        <v>2</v>
      </c>
      <c r="E97">
        <v>3</v>
      </c>
      <c r="F97">
        <v>4</v>
      </c>
      <c r="G97">
        <v>5</v>
      </c>
      <c r="H97">
        <v>6</v>
      </c>
      <c r="I97">
        <v>7</v>
      </c>
      <c r="J97">
        <v>8</v>
      </c>
      <c r="K97">
        <v>9</v>
      </c>
      <c r="L97">
        <v>10</v>
      </c>
      <c r="M97">
        <v>11</v>
      </c>
      <c r="P97">
        <v>0</v>
      </c>
    </row>
    <row r="98" spans="1:16">
      <c r="B98" t="s">
        <v>60</v>
      </c>
      <c r="C98">
        <v>-0.41702428125097646</v>
      </c>
      <c r="D98">
        <v>-2.0653298097081569E-2</v>
      </c>
      <c r="E98">
        <v>-8.5428174881230834E-2</v>
      </c>
      <c r="F98">
        <v>-1.8803394284546481E-2</v>
      </c>
      <c r="G98">
        <v>2.8471435667710095E-2</v>
      </c>
      <c r="H98">
        <v>9.686930203624422E-2</v>
      </c>
      <c r="I98">
        <v>0.12179641968455523</v>
      </c>
      <c r="J98">
        <v>0.16899805147534297</v>
      </c>
      <c r="K98">
        <v>1.5438969595728556</v>
      </c>
      <c r="L98">
        <v>0</v>
      </c>
      <c r="M98">
        <v>0</v>
      </c>
      <c r="N98">
        <v>0</v>
      </c>
      <c r="O98">
        <v>0</v>
      </c>
      <c r="P98">
        <v>0</v>
      </c>
    </row>
    <row r="99" spans="1:16">
      <c r="B99" t="s">
        <v>61</v>
      </c>
      <c r="C99">
        <v>-0.41702428125097646</v>
      </c>
      <c r="D99">
        <v>-0.43767757934805801</v>
      </c>
      <c r="E99">
        <v>-0.52310575422928884</v>
      </c>
      <c r="F99">
        <v>-0.54190914851383531</v>
      </c>
      <c r="G99">
        <v>-0.51343771284612527</v>
      </c>
      <c r="H99">
        <v>-0.41656841080988105</v>
      </c>
      <c r="I99">
        <v>-0.29477199112532582</v>
      </c>
      <c r="J99">
        <v>-0.12577393964998285</v>
      </c>
      <c r="K99">
        <v>1.4181230199228727</v>
      </c>
      <c r="L99">
        <v>1.4181230199228727</v>
      </c>
      <c r="M99">
        <v>1.4181230199228727</v>
      </c>
      <c r="N99">
        <v>0</v>
      </c>
      <c r="O99">
        <v>0</v>
      </c>
      <c r="P99">
        <v>0</v>
      </c>
    </row>
    <row r="100" spans="1:16">
      <c r="B100" t="s">
        <v>62</v>
      </c>
      <c r="C100">
        <v>0</v>
      </c>
      <c r="D100">
        <v>0</v>
      </c>
      <c r="E100">
        <v>0</v>
      </c>
      <c r="F100">
        <v>0</v>
      </c>
      <c r="G100">
        <v>0</v>
      </c>
      <c r="H100">
        <v>0</v>
      </c>
      <c r="I100">
        <v>0</v>
      </c>
      <c r="J100">
        <v>9.7059600000000038E-2</v>
      </c>
      <c r="K100">
        <v>0.14757599999999998</v>
      </c>
      <c r="L100">
        <v>0.1066314</v>
      </c>
      <c r="M100">
        <v>4.8117E-2</v>
      </c>
      <c r="N100">
        <v>0</v>
      </c>
      <c r="O100">
        <v>0</v>
      </c>
      <c r="P100">
        <v>0</v>
      </c>
    </row>
    <row r="101" spans="1:16">
      <c r="B101">
        <v>0</v>
      </c>
      <c r="C101">
        <v>0</v>
      </c>
      <c r="D101">
        <v>0</v>
      </c>
      <c r="E101">
        <v>0</v>
      </c>
      <c r="F101">
        <v>0</v>
      </c>
      <c r="G101">
        <v>0</v>
      </c>
      <c r="H101">
        <v>0</v>
      </c>
      <c r="I101">
        <v>0</v>
      </c>
      <c r="J101">
        <v>0</v>
      </c>
      <c r="K101">
        <v>0</v>
      </c>
      <c r="L101">
        <v>0</v>
      </c>
      <c r="M101">
        <v>0</v>
      </c>
      <c r="N101">
        <v>0</v>
      </c>
      <c r="O101">
        <v>0</v>
      </c>
      <c r="P101">
        <v>0</v>
      </c>
    </row>
    <row r="102" spans="1:16">
      <c r="B102" t="s">
        <v>49</v>
      </c>
      <c r="C102">
        <v>-0.53868254056284981</v>
      </c>
      <c r="D102">
        <v>-2.0665106729498423E-2</v>
      </c>
      <c r="E102">
        <v>-8.5477018892026274E-2</v>
      </c>
      <c r="F102">
        <v>-1.8814145224674863E-2</v>
      </c>
      <c r="G102">
        <v>1.9280040429845095E-2</v>
      </c>
      <c r="H102">
        <v>6.6564025013284969E-2</v>
      </c>
      <c r="I102">
        <v>8.8111635383890038E-2</v>
      </c>
      <c r="J102">
        <v>0.13095217779040644</v>
      </c>
      <c r="K102">
        <v>1.3272776228180987</v>
      </c>
      <c r="L102">
        <v>0</v>
      </c>
      <c r="M102">
        <v>0</v>
      </c>
      <c r="N102">
        <v>0</v>
      </c>
      <c r="O102">
        <v>0</v>
      </c>
      <c r="P102">
        <v>0</v>
      </c>
    </row>
    <row r="103" spans="1:16">
      <c r="B103" t="s">
        <v>63</v>
      </c>
      <c r="C103">
        <v>-0.53868254056284981</v>
      </c>
      <c r="D103">
        <v>-0.5593476472923482</v>
      </c>
      <c r="E103">
        <v>-0.64482466618437451</v>
      </c>
      <c r="F103">
        <v>-0.66363881140904935</v>
      </c>
      <c r="G103">
        <v>-0.64435877097920424</v>
      </c>
      <c r="H103">
        <v>-0.57779474596591929</v>
      </c>
      <c r="I103">
        <v>-0.48968311058202929</v>
      </c>
      <c r="J103">
        <v>-0.35873093279162283</v>
      </c>
      <c r="K103">
        <v>0.96854669002647586</v>
      </c>
      <c r="L103">
        <v>0.96854669002647586</v>
      </c>
      <c r="M103">
        <v>0.96854669002647586</v>
      </c>
      <c r="N103">
        <v>0</v>
      </c>
      <c r="O103">
        <v>0</v>
      </c>
      <c r="P103">
        <v>0</v>
      </c>
    </row>
    <row r="104" spans="1:16">
      <c r="B104" t="s">
        <v>62</v>
      </c>
      <c r="C104">
        <v>0</v>
      </c>
      <c r="D104">
        <v>0</v>
      </c>
      <c r="E104">
        <v>0</v>
      </c>
      <c r="F104">
        <v>0</v>
      </c>
      <c r="G104">
        <v>0</v>
      </c>
      <c r="H104">
        <v>0</v>
      </c>
      <c r="I104">
        <v>0</v>
      </c>
      <c r="J104">
        <v>0</v>
      </c>
      <c r="K104">
        <v>0.24988504602683079</v>
      </c>
      <c r="L104">
        <v>0</v>
      </c>
      <c r="M104">
        <v>0</v>
      </c>
      <c r="N104">
        <v>0</v>
      </c>
      <c r="O104">
        <v>0</v>
      </c>
      <c r="P104">
        <v>0</v>
      </c>
    </row>
    <row r="105" spans="1:16">
      <c r="A105" t="s">
        <v>73</v>
      </c>
      <c r="B105" t="s">
        <v>65</v>
      </c>
      <c r="C105">
        <v>-0.53868254056284981</v>
      </c>
      <c r="D105">
        <v>-2.0665106729498423E-2</v>
      </c>
      <c r="E105">
        <v>-8.5477018892026274E-2</v>
      </c>
      <c r="F105">
        <v>-1.8814145224674863E-2</v>
      </c>
      <c r="G105">
        <v>1.9280040429845095E-2</v>
      </c>
      <c r="H105">
        <v>6.6564025013284969E-2</v>
      </c>
      <c r="I105">
        <v>8.8111635383890038E-2</v>
      </c>
      <c r="J105">
        <v>0.13095217779040644</v>
      </c>
      <c r="K105">
        <v>1.077392576791268</v>
      </c>
      <c r="L105">
        <v>0</v>
      </c>
      <c r="M105">
        <v>0</v>
      </c>
      <c r="N105">
        <v>0</v>
      </c>
      <c r="O105">
        <v>0</v>
      </c>
      <c r="P105">
        <v>0</v>
      </c>
    </row>
    <row r="106" spans="1:16">
      <c r="P106">
        <v>0</v>
      </c>
    </row>
    <row r="107" spans="1:16">
      <c r="B107" t="s">
        <v>74</v>
      </c>
      <c r="C107">
        <v>1</v>
      </c>
      <c r="D107">
        <v>2</v>
      </c>
      <c r="E107">
        <v>3</v>
      </c>
      <c r="F107">
        <v>4</v>
      </c>
      <c r="G107">
        <v>5</v>
      </c>
      <c r="H107">
        <v>6</v>
      </c>
      <c r="I107">
        <v>7</v>
      </c>
      <c r="J107">
        <v>8</v>
      </c>
      <c r="K107">
        <v>9</v>
      </c>
      <c r="L107">
        <v>10</v>
      </c>
      <c r="M107">
        <v>11</v>
      </c>
      <c r="P107">
        <v>0</v>
      </c>
    </row>
    <row r="108" spans="1:16">
      <c r="B108" t="s">
        <v>75</v>
      </c>
      <c r="C108">
        <v>-0.2</v>
      </c>
      <c r="D108">
        <v>-0.15</v>
      </c>
      <c r="E108">
        <v>-0.15</v>
      </c>
      <c r="F108">
        <v>-0.15</v>
      </c>
      <c r="G108">
        <v>-1.4999999999999986E-2</v>
      </c>
      <c r="H108">
        <v>0.27</v>
      </c>
      <c r="I108">
        <v>0.315</v>
      </c>
      <c r="J108">
        <v>0.315</v>
      </c>
      <c r="K108">
        <v>0.315</v>
      </c>
      <c r="L108">
        <v>0.27</v>
      </c>
      <c r="M108">
        <v>0.18</v>
      </c>
      <c r="N108">
        <v>0</v>
      </c>
      <c r="O108">
        <v>0</v>
      </c>
      <c r="P108">
        <v>0</v>
      </c>
    </row>
    <row r="109" spans="1:16">
      <c r="B109" t="s">
        <v>5</v>
      </c>
      <c r="C109">
        <v>-0.2</v>
      </c>
      <c r="D109">
        <v>-0.15</v>
      </c>
      <c r="E109">
        <v>-0.15</v>
      </c>
      <c r="F109">
        <v>-0.15</v>
      </c>
      <c r="G109">
        <v>-0.15</v>
      </c>
      <c r="N109">
        <v>0</v>
      </c>
      <c r="O109">
        <v>0</v>
      </c>
      <c r="P109">
        <v>0</v>
      </c>
    </row>
    <row r="110" spans="1:16">
      <c r="B110" t="s">
        <v>76</v>
      </c>
      <c r="G110">
        <v>0.13500000000000001</v>
      </c>
      <c r="H110">
        <v>0.27</v>
      </c>
      <c r="I110">
        <v>0.315</v>
      </c>
      <c r="J110">
        <v>0.315</v>
      </c>
      <c r="K110">
        <v>0.315</v>
      </c>
      <c r="L110">
        <v>0.27</v>
      </c>
      <c r="M110">
        <v>0.18</v>
      </c>
      <c r="N110">
        <v>0</v>
      </c>
      <c r="O110">
        <v>0</v>
      </c>
      <c r="P110">
        <v>0</v>
      </c>
    </row>
    <row r="111" spans="1:16">
      <c r="B111" t="s">
        <v>77</v>
      </c>
      <c r="C111">
        <v>-0.2</v>
      </c>
      <c r="D111">
        <v>-0.35</v>
      </c>
      <c r="E111">
        <v>-0.5</v>
      </c>
      <c r="F111">
        <v>-0.65</v>
      </c>
      <c r="G111">
        <v>-0.66500000000000004</v>
      </c>
      <c r="H111">
        <v>-0.39500000000000002</v>
      </c>
      <c r="I111">
        <v>-8.0000000000000016E-2</v>
      </c>
      <c r="J111">
        <v>0.23499999999999999</v>
      </c>
      <c r="K111">
        <v>0.55000000000000004</v>
      </c>
      <c r="L111">
        <v>0.82000000000000006</v>
      </c>
      <c r="M111">
        <v>1</v>
      </c>
      <c r="N111">
        <v>0</v>
      </c>
      <c r="O111">
        <v>0</v>
      </c>
      <c r="P111">
        <v>0</v>
      </c>
    </row>
    <row r="112" spans="1:16">
      <c r="B112" t="s">
        <v>49</v>
      </c>
      <c r="C112">
        <v>-0.26153846153846155</v>
      </c>
      <c r="D112">
        <v>-0.19615384615384612</v>
      </c>
      <c r="E112">
        <v>-0.19615384615384612</v>
      </c>
      <c r="F112">
        <v>-0.19615384615384612</v>
      </c>
      <c r="G112">
        <v>-1.7386363636363616E-2</v>
      </c>
      <c r="H112">
        <v>0.31295454545454543</v>
      </c>
      <c r="I112">
        <v>0.36511363636363631</v>
      </c>
      <c r="J112">
        <v>0.36511363636363631</v>
      </c>
      <c r="K112">
        <v>0.36511363636363631</v>
      </c>
      <c r="L112">
        <v>0.31295454545454543</v>
      </c>
      <c r="M112">
        <v>0.20863636363636362</v>
      </c>
      <c r="N112">
        <v>0</v>
      </c>
      <c r="O112">
        <v>0</v>
      </c>
      <c r="P112">
        <v>0</v>
      </c>
    </row>
    <row r="113" spans="1:16">
      <c r="B113" t="s">
        <v>78</v>
      </c>
      <c r="C113">
        <v>-0.26153846153846155</v>
      </c>
      <c r="D113">
        <v>-0.45769230769230768</v>
      </c>
      <c r="E113">
        <v>-0.65384615384615374</v>
      </c>
      <c r="F113">
        <v>-0.84999999999999987</v>
      </c>
      <c r="G113">
        <v>-0.86738636363636357</v>
      </c>
      <c r="H113">
        <v>-0.55443181818181797</v>
      </c>
      <c r="I113">
        <v>-0.18931818181818169</v>
      </c>
      <c r="J113">
        <v>0.17579545454545464</v>
      </c>
      <c r="K113">
        <v>0.54090909090909101</v>
      </c>
      <c r="L113">
        <v>0.85386363636363649</v>
      </c>
      <c r="M113">
        <v>1.0625</v>
      </c>
      <c r="N113">
        <v>0</v>
      </c>
      <c r="O113">
        <v>0</v>
      </c>
      <c r="P113">
        <v>0</v>
      </c>
    </row>
    <row r="114" spans="1:16">
      <c r="B114" t="s">
        <v>62</v>
      </c>
      <c r="C114">
        <v>0</v>
      </c>
      <c r="D114">
        <v>0</v>
      </c>
      <c r="E114">
        <v>0</v>
      </c>
      <c r="F114">
        <v>0</v>
      </c>
      <c r="G114">
        <v>0</v>
      </c>
      <c r="H114">
        <v>0</v>
      </c>
      <c r="I114">
        <v>0</v>
      </c>
      <c r="J114">
        <v>4.5355227272727297E-2</v>
      </c>
      <c r="K114">
        <v>9.4199318181818176E-2</v>
      </c>
      <c r="L114">
        <v>8.0742272727272718E-2</v>
      </c>
      <c r="M114">
        <v>5.3828181818181817E-2</v>
      </c>
      <c r="N114">
        <v>0</v>
      </c>
      <c r="O114">
        <v>0</v>
      </c>
      <c r="P114">
        <v>0</v>
      </c>
    </row>
    <row r="115" spans="1:16">
      <c r="A115" t="s">
        <v>79</v>
      </c>
      <c r="B115" t="s">
        <v>65</v>
      </c>
      <c r="C115">
        <v>-0.26153846153846155</v>
      </c>
      <c r="D115">
        <v>-0.19615384615384612</v>
      </c>
      <c r="E115">
        <v>-0.19615384615384612</v>
      </c>
      <c r="F115">
        <v>-0.19615384615384612</v>
      </c>
      <c r="G115">
        <v>-1.7386363636363616E-2</v>
      </c>
      <c r="H115">
        <v>0.31295454545454543</v>
      </c>
      <c r="I115">
        <v>0.36511363636363631</v>
      </c>
      <c r="J115">
        <v>0.31975840909090902</v>
      </c>
      <c r="K115">
        <v>0.2709143181818181</v>
      </c>
      <c r="L115">
        <v>0.23221227272727271</v>
      </c>
      <c r="M115">
        <v>0.15480818181818179</v>
      </c>
      <c r="N115">
        <v>0</v>
      </c>
      <c r="O115">
        <v>0</v>
      </c>
      <c r="P115">
        <v>0</v>
      </c>
    </row>
    <row r="116" spans="1:16">
      <c r="P116">
        <v>0</v>
      </c>
    </row>
    <row r="117" spans="1:16">
      <c r="B117" t="s">
        <v>80</v>
      </c>
      <c r="C117">
        <v>1</v>
      </c>
      <c r="D117">
        <v>2</v>
      </c>
      <c r="E117">
        <v>3</v>
      </c>
      <c r="F117">
        <v>4</v>
      </c>
      <c r="G117">
        <v>5</v>
      </c>
      <c r="H117">
        <v>6</v>
      </c>
      <c r="I117">
        <v>7</v>
      </c>
      <c r="J117">
        <v>8</v>
      </c>
      <c r="K117">
        <v>9</v>
      </c>
      <c r="L117">
        <v>10</v>
      </c>
      <c r="M117">
        <v>11</v>
      </c>
      <c r="P117">
        <v>0</v>
      </c>
    </row>
    <row r="118" spans="1:16">
      <c r="B118" t="s">
        <v>77</v>
      </c>
      <c r="C118">
        <v>-0.3</v>
      </c>
      <c r="D118">
        <v>-0.22500000000000001</v>
      </c>
      <c r="E118">
        <v>-0.21</v>
      </c>
      <c r="F118">
        <v>-0.1</v>
      </c>
      <c r="G118">
        <v>-0.105</v>
      </c>
      <c r="H118">
        <v>-0.01</v>
      </c>
      <c r="I118">
        <v>0.25689411428571396</v>
      </c>
      <c r="J118">
        <v>0.31769188571428597</v>
      </c>
      <c r="K118">
        <v>0.38357142857142906</v>
      </c>
      <c r="L118">
        <v>0.52921099425140106</v>
      </c>
      <c r="M118">
        <v>0</v>
      </c>
      <c r="N118">
        <v>0</v>
      </c>
      <c r="O118">
        <v>0</v>
      </c>
      <c r="P118">
        <v>0</v>
      </c>
    </row>
    <row r="119" spans="1:16">
      <c r="B119" t="s">
        <v>5</v>
      </c>
      <c r="C119">
        <v>-0.3</v>
      </c>
      <c r="D119">
        <v>-0.22500000000000001</v>
      </c>
      <c r="E119">
        <v>-0.21</v>
      </c>
      <c r="F119">
        <v>-0.1</v>
      </c>
      <c r="G119">
        <v>-0.105</v>
      </c>
      <c r="H119">
        <v>-0.01</v>
      </c>
      <c r="I119">
        <v>-0.01</v>
      </c>
      <c r="J119">
        <v>-0.01</v>
      </c>
      <c r="N119">
        <v>0</v>
      </c>
      <c r="O119">
        <v>0</v>
      </c>
      <c r="P119">
        <v>0</v>
      </c>
    </row>
    <row r="120" spans="1:16">
      <c r="B120" t="s">
        <v>76</v>
      </c>
      <c r="I120">
        <v>0.26689411428571397</v>
      </c>
      <c r="J120">
        <v>0.32769188571428598</v>
      </c>
      <c r="K120">
        <v>0.38357142857142906</v>
      </c>
      <c r="L120">
        <v>0.52921099425140106</v>
      </c>
      <c r="M120">
        <v>0</v>
      </c>
      <c r="N120">
        <v>0</v>
      </c>
      <c r="O120">
        <v>0</v>
      </c>
      <c r="P120">
        <v>0</v>
      </c>
    </row>
    <row r="121" spans="1:16">
      <c r="B121" t="s">
        <v>77</v>
      </c>
      <c r="C121">
        <v>-0.3</v>
      </c>
      <c r="D121">
        <v>-0.52500000000000002</v>
      </c>
      <c r="E121">
        <v>-0.73499999999999999</v>
      </c>
      <c r="F121">
        <v>-0.83499999999999996</v>
      </c>
      <c r="G121">
        <v>-0.94</v>
      </c>
      <c r="H121">
        <v>-0.95</v>
      </c>
      <c r="I121">
        <v>-0.693105885714286</v>
      </c>
      <c r="J121">
        <v>-0.37541400000000003</v>
      </c>
      <c r="K121">
        <v>8.1574285714289818E-3</v>
      </c>
      <c r="L121">
        <v>0.53736842282283004</v>
      </c>
      <c r="M121">
        <v>0.53736842282283004</v>
      </c>
      <c r="N121">
        <v>0</v>
      </c>
      <c r="O121">
        <v>0</v>
      </c>
      <c r="P121">
        <v>0</v>
      </c>
    </row>
    <row r="122" spans="1:16">
      <c r="B122" t="s">
        <v>49</v>
      </c>
      <c r="C122">
        <v>-0.30947368421052629</v>
      </c>
      <c r="D122">
        <v>-0.23210526315789476</v>
      </c>
      <c r="E122">
        <v>-0.2166315789473684</v>
      </c>
      <c r="F122">
        <v>-0.10315789473684212</v>
      </c>
      <c r="G122">
        <v>-0.1083157894736842</v>
      </c>
      <c r="H122">
        <v>-1.0315789473684212E-2</v>
      </c>
      <c r="I122">
        <v>0.27928371775678079</v>
      </c>
      <c r="J122">
        <v>0.34538031823013321</v>
      </c>
      <c r="K122">
        <v>0.41700159186039182</v>
      </c>
      <c r="L122">
        <v>0.57533437215269378</v>
      </c>
      <c r="M122">
        <v>0</v>
      </c>
      <c r="N122">
        <v>0</v>
      </c>
      <c r="O122">
        <v>0</v>
      </c>
      <c r="P122">
        <v>0</v>
      </c>
    </row>
    <row r="123" spans="1:16">
      <c r="B123" t="s">
        <v>78</v>
      </c>
      <c r="C123">
        <v>-0.30947368421052629</v>
      </c>
      <c r="D123">
        <v>-0.54157894736842105</v>
      </c>
      <c r="E123">
        <v>-0.75821052631578945</v>
      </c>
      <c r="F123">
        <v>-0.86136842105263156</v>
      </c>
      <c r="G123">
        <v>-0.96968421052631559</v>
      </c>
      <c r="H123">
        <v>-0.97999999999999987</v>
      </c>
      <c r="I123">
        <v>-0.70071628224321914</v>
      </c>
      <c r="J123">
        <v>-0.35533596401308593</v>
      </c>
      <c r="K123">
        <v>6.1665627847305955E-2</v>
      </c>
      <c r="L123">
        <v>0.63699999999999979</v>
      </c>
      <c r="M123">
        <v>0.63699999999999979</v>
      </c>
      <c r="N123">
        <v>0</v>
      </c>
      <c r="O123">
        <v>0</v>
      </c>
      <c r="P123">
        <v>0</v>
      </c>
    </row>
    <row r="124" spans="1:16">
      <c r="B124" t="s">
        <v>62</v>
      </c>
      <c r="C124">
        <v>0</v>
      </c>
      <c r="D124">
        <v>0</v>
      </c>
      <c r="E124">
        <v>0</v>
      </c>
      <c r="F124">
        <v>0</v>
      </c>
      <c r="G124">
        <v>0</v>
      </c>
      <c r="H124">
        <v>0</v>
      </c>
      <c r="I124">
        <v>0</v>
      </c>
      <c r="J124">
        <v>0</v>
      </c>
      <c r="K124">
        <v>1.5909731984604936E-2</v>
      </c>
      <c r="L124">
        <v>0.148436268015395</v>
      </c>
      <c r="M124">
        <v>0</v>
      </c>
      <c r="N124">
        <v>0</v>
      </c>
      <c r="O124">
        <v>0</v>
      </c>
      <c r="P124">
        <v>0</v>
      </c>
    </row>
    <row r="125" spans="1:16">
      <c r="A125" t="s">
        <v>81</v>
      </c>
      <c r="B125" t="s">
        <v>65</v>
      </c>
      <c r="C125">
        <v>-0.30947368421052629</v>
      </c>
      <c r="D125">
        <v>-0.23210526315789476</v>
      </c>
      <c r="E125">
        <v>-0.2166315789473684</v>
      </c>
      <c r="F125">
        <v>-0.10315789473684212</v>
      </c>
      <c r="G125">
        <v>-0.1083157894736842</v>
      </c>
      <c r="H125">
        <v>-1.0315789473684212E-2</v>
      </c>
      <c r="I125">
        <v>0.27928371775678079</v>
      </c>
      <c r="J125">
        <v>0.34538031823013321</v>
      </c>
      <c r="K125">
        <v>0.40109185987578694</v>
      </c>
      <c r="L125">
        <v>0.42689810413729878</v>
      </c>
      <c r="M125">
        <v>0</v>
      </c>
      <c r="N125">
        <v>0</v>
      </c>
      <c r="O125">
        <v>0</v>
      </c>
      <c r="P125">
        <v>0</v>
      </c>
    </row>
    <row r="126" spans="1:16">
      <c r="P126">
        <v>0</v>
      </c>
    </row>
    <row r="127" spans="1:16">
      <c r="B127" t="s">
        <v>82</v>
      </c>
      <c r="C127">
        <v>1</v>
      </c>
      <c r="D127">
        <v>2</v>
      </c>
      <c r="E127">
        <v>3</v>
      </c>
      <c r="F127">
        <v>4</v>
      </c>
      <c r="G127">
        <v>5</v>
      </c>
      <c r="H127">
        <v>6</v>
      </c>
      <c r="I127">
        <v>7</v>
      </c>
      <c r="J127">
        <v>8</v>
      </c>
      <c r="K127">
        <v>9</v>
      </c>
      <c r="L127">
        <v>10</v>
      </c>
      <c r="M127">
        <v>11</v>
      </c>
      <c r="P127">
        <v>0</v>
      </c>
    </row>
    <row r="128" spans="1:16">
      <c r="B128" t="s">
        <v>77</v>
      </c>
      <c r="C128">
        <v>-0.4</v>
      </c>
      <c r="D128">
        <v>-0.15</v>
      </c>
      <c r="E128">
        <v>-0.1</v>
      </c>
      <c r="F128">
        <v>0.05</v>
      </c>
      <c r="G128">
        <v>0.1045</v>
      </c>
      <c r="H128">
        <v>0.3125</v>
      </c>
      <c r="I128">
        <v>0.62180000000000002</v>
      </c>
      <c r="J128">
        <v>0.57199999999999995</v>
      </c>
      <c r="K128">
        <v>0.4133</v>
      </c>
      <c r="L128">
        <v>0.1865</v>
      </c>
      <c r="M128">
        <v>0</v>
      </c>
      <c r="N128">
        <v>0</v>
      </c>
      <c r="O128">
        <v>0</v>
      </c>
      <c r="P128">
        <v>0</v>
      </c>
    </row>
    <row r="129" spans="1:16">
      <c r="N129">
        <v>0</v>
      </c>
      <c r="O129">
        <v>0</v>
      </c>
      <c r="P129">
        <v>0</v>
      </c>
    </row>
    <row r="130" spans="1:16">
      <c r="N130">
        <v>0</v>
      </c>
      <c r="O130">
        <v>0</v>
      </c>
      <c r="P130">
        <v>0</v>
      </c>
    </row>
    <row r="131" spans="1:16">
      <c r="B131" t="s">
        <v>77</v>
      </c>
      <c r="C131">
        <v>-0.4</v>
      </c>
      <c r="D131">
        <v>-0.55000000000000004</v>
      </c>
      <c r="E131">
        <v>-0.65</v>
      </c>
      <c r="F131">
        <v>-0.6</v>
      </c>
      <c r="G131">
        <v>-0.4955</v>
      </c>
      <c r="H131">
        <v>-0.183</v>
      </c>
      <c r="I131">
        <v>0.43880000000000002</v>
      </c>
      <c r="J131">
        <v>1.0107999999999999</v>
      </c>
      <c r="K131">
        <v>1.4240999999999999</v>
      </c>
      <c r="L131">
        <v>1.6105999999999998</v>
      </c>
      <c r="M131">
        <v>1.6105999999999998</v>
      </c>
      <c r="N131">
        <v>0</v>
      </c>
      <c r="O131">
        <v>0</v>
      </c>
      <c r="P131">
        <v>0</v>
      </c>
    </row>
    <row r="132" spans="1:16">
      <c r="B132" t="s">
        <v>49</v>
      </c>
      <c r="C132">
        <v>-0.43076923076923079</v>
      </c>
      <c r="D132">
        <v>-0.16153846153846152</v>
      </c>
      <c r="E132">
        <v>-0.1076923076923077</v>
      </c>
      <c r="F132">
        <v>2.5546315137574091E-2</v>
      </c>
      <c r="G132">
        <v>5.3391798637529846E-2</v>
      </c>
      <c r="H132">
        <v>0.15966446960983804</v>
      </c>
      <c r="I132">
        <v>0.31769397505087138</v>
      </c>
      <c r="J132">
        <v>0.29224984517384756</v>
      </c>
      <c r="K132">
        <v>0.2111658409271874</v>
      </c>
      <c r="L132">
        <v>9.5287755463151352E-2</v>
      </c>
      <c r="M132">
        <v>0</v>
      </c>
      <c r="N132">
        <v>0</v>
      </c>
      <c r="O132">
        <v>0</v>
      </c>
      <c r="P132">
        <v>0</v>
      </c>
    </row>
    <row r="133" spans="1:16">
      <c r="B133" t="s">
        <v>78</v>
      </c>
      <c r="C133">
        <v>-0.43076923076923079</v>
      </c>
      <c r="D133">
        <v>-0.59230769230769231</v>
      </c>
      <c r="E133">
        <v>-0.7</v>
      </c>
      <c r="F133">
        <v>-0.67445368486242585</v>
      </c>
      <c r="G133">
        <v>-0.621061886224896</v>
      </c>
      <c r="H133">
        <v>-0.4613974166150579</v>
      </c>
      <c r="I133">
        <v>-0.14370344156418657</v>
      </c>
      <c r="J133">
        <v>0.14854640360966098</v>
      </c>
      <c r="K133">
        <v>0.35971224453684836</v>
      </c>
      <c r="L133">
        <v>0.45499999999999974</v>
      </c>
      <c r="M133">
        <v>0.45499999999999974</v>
      </c>
      <c r="N133">
        <v>0</v>
      </c>
      <c r="O133">
        <v>0</v>
      </c>
      <c r="P133">
        <v>0</v>
      </c>
    </row>
    <row r="134" spans="1:16">
      <c r="B134" t="s">
        <v>62</v>
      </c>
      <c r="C134">
        <v>0</v>
      </c>
      <c r="D134">
        <v>0</v>
      </c>
      <c r="E134">
        <v>0</v>
      </c>
      <c r="F134">
        <v>0</v>
      </c>
      <c r="G134">
        <v>0</v>
      </c>
      <c r="H134">
        <v>0</v>
      </c>
      <c r="I134">
        <v>0</v>
      </c>
      <c r="J134">
        <v>3.8324972131292531E-2</v>
      </c>
      <c r="K134">
        <v>5.448078695921435E-2</v>
      </c>
      <c r="L134">
        <v>2.4584240909493051E-2</v>
      </c>
      <c r="M134">
        <v>0</v>
      </c>
      <c r="N134">
        <v>0</v>
      </c>
      <c r="O134">
        <v>0</v>
      </c>
      <c r="P134">
        <v>0</v>
      </c>
    </row>
    <row r="135" spans="1:16">
      <c r="A135" t="s">
        <v>83</v>
      </c>
      <c r="B135" t="s">
        <v>65</v>
      </c>
      <c r="C135">
        <v>-0.43076923076923079</v>
      </c>
      <c r="D135">
        <v>-0.16153846153846152</v>
      </c>
      <c r="E135">
        <v>-0.1076923076923077</v>
      </c>
      <c r="F135">
        <v>2.5546315137574091E-2</v>
      </c>
      <c r="G135">
        <v>5.3391798637529846E-2</v>
      </c>
      <c r="H135">
        <v>0.15966446960983804</v>
      </c>
      <c r="I135">
        <v>0.31769397505087138</v>
      </c>
      <c r="J135">
        <v>0.25392487304255501</v>
      </c>
      <c r="K135">
        <v>0.15668505396797305</v>
      </c>
      <c r="L135">
        <v>7.0703514553658309E-2</v>
      </c>
      <c r="M135">
        <v>0</v>
      </c>
      <c r="N135">
        <v>0</v>
      </c>
      <c r="O135">
        <v>0</v>
      </c>
      <c r="P135">
        <v>0</v>
      </c>
    </row>
    <row r="136" spans="1:16">
      <c r="N136">
        <v>0</v>
      </c>
      <c r="O136">
        <v>0</v>
      </c>
      <c r="P136">
        <v>0</v>
      </c>
    </row>
    <row r="137" spans="1:16">
      <c r="B137" t="s">
        <v>84</v>
      </c>
      <c r="C137">
        <v>1</v>
      </c>
      <c r="D137">
        <v>2</v>
      </c>
      <c r="E137">
        <v>3</v>
      </c>
      <c r="F137">
        <v>4</v>
      </c>
      <c r="G137">
        <v>5</v>
      </c>
      <c r="H137">
        <v>6</v>
      </c>
      <c r="I137">
        <v>7</v>
      </c>
      <c r="J137">
        <v>8</v>
      </c>
      <c r="K137">
        <v>9</v>
      </c>
      <c r="L137">
        <v>10</v>
      </c>
      <c r="M137">
        <v>11</v>
      </c>
      <c r="P137">
        <v>0</v>
      </c>
    </row>
    <row r="138" spans="1:16">
      <c r="B138" t="s">
        <v>77</v>
      </c>
      <c r="C138">
        <v>-0.77</v>
      </c>
      <c r="D138">
        <v>-0.09</v>
      </c>
      <c r="E138">
        <v>-0.09</v>
      </c>
      <c r="F138">
        <v>-0.03</v>
      </c>
      <c r="G138">
        <v>0.1045</v>
      </c>
      <c r="H138">
        <v>0.3125</v>
      </c>
      <c r="I138">
        <v>0.62180000000000002</v>
      </c>
      <c r="J138">
        <v>0.57199999999999995</v>
      </c>
      <c r="K138">
        <v>0.4133</v>
      </c>
      <c r="L138">
        <v>0.1865</v>
      </c>
      <c r="P138">
        <v>0</v>
      </c>
    </row>
    <row r="139" spans="1:16">
      <c r="P139">
        <v>0</v>
      </c>
    </row>
    <row r="140" spans="1:16">
      <c r="P140">
        <v>0</v>
      </c>
    </row>
    <row r="141" spans="1:16">
      <c r="B141" t="s">
        <v>77</v>
      </c>
      <c r="C141">
        <v>-0.77</v>
      </c>
      <c r="D141">
        <v>-0.86</v>
      </c>
      <c r="E141">
        <v>-0.95</v>
      </c>
      <c r="F141">
        <v>-0.98</v>
      </c>
      <c r="G141">
        <v>-0.87549999999999994</v>
      </c>
      <c r="H141">
        <v>-0.56299999999999994</v>
      </c>
      <c r="I141">
        <v>5.8800000000000074E-2</v>
      </c>
      <c r="J141">
        <v>0.63080000000000003</v>
      </c>
      <c r="K141">
        <v>1.0441</v>
      </c>
      <c r="L141">
        <v>1.2305999999999999</v>
      </c>
      <c r="M141">
        <v>1.2305999999999999</v>
      </c>
      <c r="N141">
        <v>0</v>
      </c>
      <c r="O141">
        <v>0</v>
      </c>
      <c r="P141">
        <v>0</v>
      </c>
    </row>
    <row r="142" spans="1:16">
      <c r="B142" t="s">
        <v>49</v>
      </c>
      <c r="C142">
        <v>-0.77</v>
      </c>
      <c r="D142">
        <v>-0.09</v>
      </c>
      <c r="E142">
        <v>-0.09</v>
      </c>
      <c r="F142">
        <v>-0.03</v>
      </c>
      <c r="G142">
        <v>7.643920202659911E-2</v>
      </c>
      <c r="H142">
        <v>0.22858613046231793</v>
      </c>
      <c r="I142">
        <v>0.45483153894870176</v>
      </c>
      <c r="J142">
        <v>0.41840405319822671</v>
      </c>
      <c r="K142">
        <v>0.30231887270424318</v>
      </c>
      <c r="L142">
        <v>0.13642020265991134</v>
      </c>
      <c r="M142">
        <v>0</v>
      </c>
      <c r="N142">
        <v>0</v>
      </c>
      <c r="O142">
        <v>0</v>
      </c>
      <c r="P142">
        <v>0</v>
      </c>
    </row>
    <row r="143" spans="1:16">
      <c r="B143" t="s">
        <v>78</v>
      </c>
      <c r="C143">
        <v>-0.77</v>
      </c>
      <c r="D143">
        <v>-0.86</v>
      </c>
      <c r="E143">
        <v>-0.95</v>
      </c>
      <c r="F143">
        <v>-0.98</v>
      </c>
      <c r="G143">
        <v>-0.90356079797340083</v>
      </c>
      <c r="H143">
        <v>-0.67497466751108293</v>
      </c>
      <c r="I143">
        <v>-0.22014312856238116</v>
      </c>
      <c r="J143">
        <v>0.19826092463584555</v>
      </c>
      <c r="K143">
        <v>0.50057979734008873</v>
      </c>
      <c r="L143">
        <v>0.63700000000000001</v>
      </c>
      <c r="M143">
        <v>0.63700000000000001</v>
      </c>
      <c r="N143">
        <v>0</v>
      </c>
      <c r="O143">
        <v>0</v>
      </c>
      <c r="P143">
        <v>0</v>
      </c>
    </row>
    <row r="144" spans="1:16">
      <c r="B144" t="s">
        <v>62</v>
      </c>
      <c r="C144">
        <v>0</v>
      </c>
      <c r="D144">
        <v>0</v>
      </c>
      <c r="E144">
        <v>0</v>
      </c>
      <c r="F144">
        <v>0</v>
      </c>
      <c r="G144">
        <v>0</v>
      </c>
      <c r="H144">
        <v>0</v>
      </c>
      <c r="I144">
        <v>0</v>
      </c>
      <c r="J144">
        <v>5.1151318556048153E-2</v>
      </c>
      <c r="K144">
        <v>7.7998269157694741E-2</v>
      </c>
      <c r="L144">
        <v>3.5196412286257125E-2</v>
      </c>
      <c r="M144">
        <v>0</v>
      </c>
      <c r="N144">
        <v>0</v>
      </c>
      <c r="O144">
        <v>0</v>
      </c>
      <c r="P144">
        <v>0</v>
      </c>
    </row>
    <row r="145" spans="1:16">
      <c r="A145" t="s">
        <v>51</v>
      </c>
      <c r="B145" t="s">
        <v>65</v>
      </c>
      <c r="C145">
        <v>-0.77</v>
      </c>
      <c r="D145">
        <v>-0.09</v>
      </c>
      <c r="E145">
        <v>-0.09</v>
      </c>
      <c r="F145">
        <v>-0.03</v>
      </c>
      <c r="G145">
        <v>7.643920202659911E-2</v>
      </c>
      <c r="H145">
        <v>0.22858613046231793</v>
      </c>
      <c r="I145">
        <v>0.45483153894870176</v>
      </c>
      <c r="J145">
        <v>0.36725273464217856</v>
      </c>
      <c r="K145">
        <v>0.2243206035465484</v>
      </c>
      <c r="L145">
        <v>0.10122379037365421</v>
      </c>
      <c r="M145">
        <v>0</v>
      </c>
      <c r="N145">
        <v>0</v>
      </c>
      <c r="O145">
        <v>0</v>
      </c>
      <c r="P145">
        <v>0</v>
      </c>
    </row>
    <row r="146" spans="1:16">
      <c r="P146">
        <v>0</v>
      </c>
    </row>
    <row r="147" spans="1:16">
      <c r="B147" t="s">
        <v>85</v>
      </c>
      <c r="P147">
        <v>0</v>
      </c>
    </row>
    <row r="148" spans="1:16">
      <c r="B148" t="s">
        <v>86</v>
      </c>
      <c r="C148">
        <v>-0.29499999999999998</v>
      </c>
      <c r="D148">
        <v>-0.20499999999999999</v>
      </c>
      <c r="E148">
        <v>-0.20499999999999999</v>
      </c>
      <c r="F148">
        <v>-0.20499999999999999</v>
      </c>
      <c r="G148">
        <v>-0.109</v>
      </c>
      <c r="H148">
        <v>-1.6E-2</v>
      </c>
      <c r="I148">
        <v>-1.2999999999999999E-2</v>
      </c>
      <c r="J148">
        <v>-8.9999999999999993E-3</v>
      </c>
      <c r="K148">
        <v>-7.0000000000000001E-3</v>
      </c>
      <c r="L148">
        <v>-6.0000000000000001E-3</v>
      </c>
      <c r="M148">
        <v>-5.0000000000000001E-3</v>
      </c>
      <c r="N148">
        <v>0</v>
      </c>
      <c r="O148">
        <v>0</v>
      </c>
      <c r="P148">
        <v>0</v>
      </c>
    </row>
    <row r="149" spans="1:16">
      <c r="B149" t="s">
        <v>87</v>
      </c>
      <c r="C149">
        <v>0</v>
      </c>
      <c r="D149">
        <v>0</v>
      </c>
      <c r="E149">
        <v>0</v>
      </c>
      <c r="F149">
        <v>0.113</v>
      </c>
      <c r="G149">
        <v>0.33800000000000002</v>
      </c>
      <c r="H149">
        <v>0.39400000000000002</v>
      </c>
      <c r="I149">
        <v>0.45</v>
      </c>
      <c r="J149">
        <v>0.30499999999999999</v>
      </c>
      <c r="K149">
        <v>0.18</v>
      </c>
      <c r="L149">
        <v>0.17100000000000001</v>
      </c>
      <c r="M149">
        <v>5.3999999999999999E-2</v>
      </c>
      <c r="N149">
        <v>0</v>
      </c>
      <c r="O149">
        <v>0</v>
      </c>
      <c r="P149">
        <v>0</v>
      </c>
    </row>
    <row r="150" spans="1:16">
      <c r="B150" t="s">
        <v>88</v>
      </c>
      <c r="C150">
        <v>-0.29499999999999998</v>
      </c>
      <c r="D150">
        <v>-0.20499999999999999</v>
      </c>
      <c r="E150">
        <v>-0.20499999999999999</v>
      </c>
      <c r="F150">
        <v>-9.1999999999999998E-2</v>
      </c>
      <c r="G150">
        <v>0.22900000000000001</v>
      </c>
      <c r="H150">
        <v>0.378</v>
      </c>
      <c r="I150">
        <v>0.437</v>
      </c>
      <c r="J150">
        <v>0.29599999999999999</v>
      </c>
      <c r="K150">
        <v>0.17299999999999999</v>
      </c>
      <c r="L150">
        <v>0.16500000000000001</v>
      </c>
      <c r="M150">
        <v>4.9000000000000002E-2</v>
      </c>
      <c r="N150">
        <v>0</v>
      </c>
      <c r="O150">
        <v>0</v>
      </c>
      <c r="P150">
        <v>0</v>
      </c>
    </row>
    <row r="151" spans="1:16">
      <c r="B151" t="s">
        <v>77</v>
      </c>
      <c r="C151">
        <v>-0.29499999999999998</v>
      </c>
      <c r="D151">
        <v>-0.5</v>
      </c>
      <c r="E151">
        <v>-0.70499999999999996</v>
      </c>
      <c r="F151">
        <v>-0.79700000000000004</v>
      </c>
      <c r="G151">
        <v>-0.56799999999999995</v>
      </c>
      <c r="H151">
        <v>-0.18999999999999995</v>
      </c>
      <c r="I151">
        <v>0.24700000000000005</v>
      </c>
      <c r="J151">
        <v>0.54300000000000004</v>
      </c>
      <c r="K151">
        <v>0.71599999999999997</v>
      </c>
      <c r="L151">
        <v>0.88100000000000001</v>
      </c>
      <c r="M151">
        <v>0.93</v>
      </c>
      <c r="N151">
        <v>0.93</v>
      </c>
      <c r="O151">
        <v>0.93</v>
      </c>
      <c r="P151">
        <v>0</v>
      </c>
    </row>
    <row r="152" spans="1:16">
      <c r="B152" t="s">
        <v>49</v>
      </c>
      <c r="C152">
        <v>-0.31461731493099127</v>
      </c>
      <c r="D152">
        <v>-0.21863237139272271</v>
      </c>
      <c r="E152">
        <v>-0.21863237139272271</v>
      </c>
      <c r="F152">
        <v>-9.8117942283563367E-2</v>
      </c>
      <c r="G152">
        <v>0.25359727851766073</v>
      </c>
      <c r="H152">
        <v>0.41860162130862766</v>
      </c>
      <c r="I152">
        <v>0.4839389114070643</v>
      </c>
      <c r="J152">
        <v>0.3277938621887666</v>
      </c>
      <c r="K152">
        <v>0.19158222350897508</v>
      </c>
      <c r="L152">
        <v>0.18272292993630573</v>
      </c>
      <c r="M152">
        <v>5.4263173132599887E-2</v>
      </c>
      <c r="N152">
        <v>0</v>
      </c>
      <c r="O152">
        <v>0</v>
      </c>
      <c r="P152">
        <v>0</v>
      </c>
    </row>
    <row r="153" spans="1:16">
      <c r="B153" t="s">
        <v>77</v>
      </c>
      <c r="C153">
        <v>-0.31461731493099127</v>
      </c>
      <c r="D153">
        <v>-0.53324968632371395</v>
      </c>
      <c r="E153">
        <v>-0.75188205771643668</v>
      </c>
      <c r="F153">
        <v>-0.8500000000000002</v>
      </c>
      <c r="G153">
        <v>-0.5964027214823393</v>
      </c>
      <c r="H153">
        <v>-0.17780110017371165</v>
      </c>
      <c r="I153">
        <v>0.30613781123335265</v>
      </c>
      <c r="J153">
        <v>0.6339316734221192</v>
      </c>
      <c r="K153">
        <v>0.82551389693109423</v>
      </c>
      <c r="L153">
        <v>1.0082368268674</v>
      </c>
      <c r="M153">
        <v>1.0625</v>
      </c>
      <c r="N153">
        <v>1.0625</v>
      </c>
      <c r="O153">
        <v>1.0625</v>
      </c>
      <c r="P153">
        <v>0</v>
      </c>
    </row>
    <row r="154" spans="1:16">
      <c r="B154" t="s">
        <v>62</v>
      </c>
      <c r="C154">
        <v>0</v>
      </c>
      <c r="D154">
        <v>0</v>
      </c>
      <c r="E154">
        <v>0</v>
      </c>
      <c r="F154">
        <v>0</v>
      </c>
      <c r="G154">
        <v>0</v>
      </c>
      <c r="H154">
        <v>0</v>
      </c>
      <c r="I154">
        <v>6.6873316155182397E-2</v>
      </c>
      <c r="J154">
        <v>7.6367999999999978E-2</v>
      </c>
      <c r="K154">
        <v>4.4634E-2</v>
      </c>
      <c r="L154">
        <v>4.2570000000000004E-2</v>
      </c>
      <c r="M154">
        <v>1.2642E-2</v>
      </c>
      <c r="N154">
        <v>0</v>
      </c>
      <c r="O154">
        <v>0</v>
      </c>
      <c r="P154">
        <v>0</v>
      </c>
    </row>
    <row r="155" spans="1:16">
      <c r="A155" t="s">
        <v>89</v>
      </c>
      <c r="B155" t="s">
        <v>90</v>
      </c>
      <c r="C155">
        <v>-0.31461731493099127</v>
      </c>
      <c r="D155">
        <v>-0.21863237139272271</v>
      </c>
      <c r="E155">
        <v>-0.21863237139272271</v>
      </c>
      <c r="F155">
        <v>-9.8117942283563367E-2</v>
      </c>
      <c r="G155">
        <v>0.25359727851766073</v>
      </c>
      <c r="H155">
        <v>0.41860162130862766</v>
      </c>
      <c r="I155">
        <v>0.41706559525188192</v>
      </c>
      <c r="J155">
        <v>0.25142586218876661</v>
      </c>
      <c r="K155">
        <v>0.14694822350897507</v>
      </c>
      <c r="L155">
        <v>0.14015292993630574</v>
      </c>
      <c r="M155">
        <v>4.1621173132599887E-2</v>
      </c>
      <c r="N155">
        <v>0</v>
      </c>
      <c r="O155">
        <v>0</v>
      </c>
      <c r="P155">
        <v>0</v>
      </c>
    </row>
    <row r="156" spans="1:16">
      <c r="P156">
        <v>0</v>
      </c>
    </row>
    <row r="157" spans="1:16">
      <c r="B157" t="s">
        <v>49</v>
      </c>
      <c r="C157">
        <v>-0.29499999999999993</v>
      </c>
      <c r="D157">
        <v>-0.20499999999999996</v>
      </c>
      <c r="E157">
        <v>-0.20499999999999996</v>
      </c>
      <c r="F157">
        <v>-9.1999999999999985E-2</v>
      </c>
      <c r="G157">
        <v>0.23778474232773592</v>
      </c>
      <c r="H157">
        <v>0.39250057903879554</v>
      </c>
      <c r="I157">
        <v>0.45376389693109426</v>
      </c>
      <c r="J157">
        <v>0.30735495078170227</v>
      </c>
      <c r="K157">
        <v>0.17963650839606246</v>
      </c>
      <c r="L157">
        <v>0.17132961783439485</v>
      </c>
      <c r="M157">
        <v>5.0879704690214231E-2</v>
      </c>
      <c r="N157">
        <v>0</v>
      </c>
      <c r="O157">
        <v>0</v>
      </c>
      <c r="P157">
        <v>0</v>
      </c>
    </row>
    <row r="158" spans="1:16">
      <c r="B158" t="s">
        <v>78</v>
      </c>
      <c r="C158">
        <v>-0.29499999999999993</v>
      </c>
      <c r="D158">
        <v>-0.49999999999999994</v>
      </c>
      <c r="E158">
        <v>-0.70499999999999985</v>
      </c>
      <c r="F158">
        <v>-0.79699999999999982</v>
      </c>
      <c r="G158">
        <v>-0.55921525767226388</v>
      </c>
      <c r="H158">
        <v>-0.16671467863346839</v>
      </c>
      <c r="I158">
        <v>0.28704921829762586</v>
      </c>
      <c r="J158">
        <v>0.59440416907932814</v>
      </c>
      <c r="K158">
        <v>0.77404067747539052</v>
      </c>
      <c r="L158">
        <v>0.94537029530978545</v>
      </c>
      <c r="M158">
        <v>0.99624999999999964</v>
      </c>
      <c r="N158">
        <v>0</v>
      </c>
      <c r="O158">
        <v>0</v>
      </c>
      <c r="P158">
        <v>0</v>
      </c>
    </row>
    <row r="159" spans="1:16">
      <c r="B159" t="s">
        <v>62</v>
      </c>
      <c r="C159">
        <v>0</v>
      </c>
      <c r="D159">
        <v>0</v>
      </c>
      <c r="E159">
        <v>0</v>
      </c>
      <c r="F159">
        <v>0</v>
      </c>
      <c r="G159">
        <v>0</v>
      </c>
      <c r="H159">
        <v>0</v>
      </c>
      <c r="I159">
        <v>7.4058698320787472E-2</v>
      </c>
      <c r="J159">
        <v>7.929757730167919E-2</v>
      </c>
      <c r="K159">
        <v>4.6346219166184109E-2</v>
      </c>
      <c r="L159">
        <v>4.4203041401273874E-2</v>
      </c>
      <c r="M159">
        <v>1.3126963810075273E-2</v>
      </c>
      <c r="N159">
        <v>0</v>
      </c>
      <c r="O159">
        <v>0</v>
      </c>
      <c r="P159">
        <v>0</v>
      </c>
    </row>
    <row r="160" spans="1:16">
      <c r="B160" t="s">
        <v>65</v>
      </c>
      <c r="C160">
        <v>-0.29499999999999993</v>
      </c>
      <c r="D160">
        <v>-0.20499999999999996</v>
      </c>
      <c r="E160">
        <v>-0.20499999999999996</v>
      </c>
      <c r="F160">
        <v>-9.1999999999999985E-2</v>
      </c>
      <c r="G160">
        <v>0.23778474232773592</v>
      </c>
      <c r="H160">
        <v>0.39250057903879554</v>
      </c>
      <c r="I160">
        <v>0.37970519861030683</v>
      </c>
      <c r="J160">
        <v>0.22805737348002308</v>
      </c>
      <c r="K160">
        <v>0.13329028922987834</v>
      </c>
      <c r="L160">
        <v>0.12712657643312097</v>
      </c>
      <c r="M160">
        <v>3.7752740880138955E-2</v>
      </c>
      <c r="N160">
        <v>0</v>
      </c>
      <c r="O160">
        <v>0</v>
      </c>
      <c r="P160">
        <v>0</v>
      </c>
    </row>
    <row r="161" spans="1:16">
      <c r="P161">
        <v>0</v>
      </c>
    </row>
    <row r="162" spans="1:16">
      <c r="B162" t="s">
        <v>91</v>
      </c>
      <c r="P162">
        <v>0</v>
      </c>
    </row>
    <row r="163" spans="1:16">
      <c r="B163" t="s">
        <v>92</v>
      </c>
      <c r="C163">
        <v>-0.20499999999999999</v>
      </c>
      <c r="D163">
        <v>-0.20499999999999999</v>
      </c>
      <c r="E163">
        <v>-0.20499999999999999</v>
      </c>
      <c r="F163">
        <v>-0.20499999999999999</v>
      </c>
      <c r="G163">
        <v>-1.9E-2</v>
      </c>
      <c r="H163">
        <v>-1.6E-2</v>
      </c>
      <c r="I163">
        <v>-1.2999999999999999E-2</v>
      </c>
      <c r="J163">
        <v>-8.9999999999999993E-3</v>
      </c>
      <c r="K163">
        <v>-6.0000000000000001E-3</v>
      </c>
      <c r="L163">
        <v>-6.0000000000000001E-3</v>
      </c>
      <c r="M163">
        <v>0</v>
      </c>
      <c r="N163">
        <v>0</v>
      </c>
      <c r="O163">
        <v>0</v>
      </c>
      <c r="P163">
        <v>0</v>
      </c>
    </row>
    <row r="164" spans="1:16">
      <c r="B164" t="s">
        <v>93</v>
      </c>
      <c r="C164">
        <v>0</v>
      </c>
      <c r="D164">
        <v>0</v>
      </c>
      <c r="E164">
        <v>0</v>
      </c>
      <c r="F164">
        <v>0</v>
      </c>
      <c r="G164">
        <v>0.113</v>
      </c>
      <c r="H164">
        <v>0.33800000000000002</v>
      </c>
      <c r="I164">
        <v>0.39400000000000002</v>
      </c>
      <c r="J164">
        <v>0.45</v>
      </c>
      <c r="K164">
        <v>0.309</v>
      </c>
      <c r="L164">
        <v>0.27</v>
      </c>
      <c r="M164">
        <v>0.13500000000000001</v>
      </c>
      <c r="N164">
        <v>0</v>
      </c>
      <c r="O164">
        <v>0</v>
      </c>
      <c r="P164">
        <v>0</v>
      </c>
    </row>
    <row r="165" spans="1:16">
      <c r="B165" t="s">
        <v>94</v>
      </c>
      <c r="C165">
        <v>-0.20499999999999999</v>
      </c>
      <c r="D165">
        <v>-0.20499999999999999</v>
      </c>
      <c r="E165">
        <v>-0.20499999999999999</v>
      </c>
      <c r="F165">
        <v>-9.1999999999999998E-2</v>
      </c>
      <c r="G165">
        <v>0.31900000000000001</v>
      </c>
      <c r="H165">
        <v>0.378</v>
      </c>
      <c r="I165">
        <v>0.437</v>
      </c>
      <c r="J165">
        <v>0.3</v>
      </c>
      <c r="K165">
        <v>0.26400000000000001</v>
      </c>
      <c r="L165">
        <v>0.129</v>
      </c>
      <c r="M165">
        <v>0</v>
      </c>
      <c r="N165">
        <v>0</v>
      </c>
      <c r="O165">
        <v>0</v>
      </c>
      <c r="P165">
        <v>0</v>
      </c>
    </row>
    <row r="166" spans="1:16">
      <c r="P166">
        <v>0</v>
      </c>
    </row>
    <row r="167" spans="1:16">
      <c r="P167">
        <v>0</v>
      </c>
    </row>
    <row r="168" spans="1:16">
      <c r="B168" t="s">
        <v>77</v>
      </c>
      <c r="C168">
        <v>-0.20499999999999999</v>
      </c>
      <c r="D168">
        <v>-0.41</v>
      </c>
      <c r="E168">
        <v>-0.61499999999999999</v>
      </c>
      <c r="F168">
        <v>-0.70699999999999996</v>
      </c>
      <c r="G168">
        <v>-0.38800000000000001</v>
      </c>
      <c r="H168">
        <v>-9.9999999999999534E-3</v>
      </c>
      <c r="I168">
        <v>0.4270000000000001</v>
      </c>
      <c r="J168">
        <v>0.7270000000000002</v>
      </c>
      <c r="K168">
        <v>0.99099999999999999</v>
      </c>
      <c r="L168">
        <v>1.1200000000000001</v>
      </c>
      <c r="M168">
        <v>1.1200000000000001</v>
      </c>
      <c r="N168">
        <v>0</v>
      </c>
      <c r="O168">
        <v>0</v>
      </c>
      <c r="P168">
        <v>0</v>
      </c>
    </row>
    <row r="169" spans="1:16">
      <c r="B169" t="s">
        <v>49</v>
      </c>
      <c r="C169">
        <v>-0.24646393210749648</v>
      </c>
      <c r="D169">
        <v>-0.24646393210749648</v>
      </c>
      <c r="E169">
        <v>-0.24646393210749648</v>
      </c>
      <c r="F169">
        <v>-0.11060820367751061</v>
      </c>
      <c r="G169">
        <v>0.33392857142857141</v>
      </c>
      <c r="H169">
        <v>0.39250057903879554</v>
      </c>
      <c r="I169">
        <v>0.45376389693109426</v>
      </c>
      <c r="J169">
        <v>0.31150839606253611</v>
      </c>
      <c r="K169">
        <v>0.27412738853503177</v>
      </c>
      <c r="L169">
        <v>0.13394861030689054</v>
      </c>
      <c r="M169">
        <v>0</v>
      </c>
      <c r="N169">
        <v>0</v>
      </c>
      <c r="O169">
        <v>0</v>
      </c>
      <c r="P169">
        <v>0</v>
      </c>
    </row>
    <row r="170" spans="1:16">
      <c r="B170" t="s">
        <v>78</v>
      </c>
      <c r="C170">
        <v>-0.24646393210749648</v>
      </c>
      <c r="D170">
        <v>-0.49292786421499296</v>
      </c>
      <c r="E170">
        <v>-0.73939179632248941</v>
      </c>
      <c r="F170">
        <v>-0.85</v>
      </c>
      <c r="G170">
        <v>-0.51607142857142851</v>
      </c>
      <c r="H170">
        <v>-0.12357084953263305</v>
      </c>
      <c r="I170">
        <v>0.33019304739846123</v>
      </c>
      <c r="J170">
        <v>0.64170144346099733</v>
      </c>
      <c r="K170">
        <v>0.91582883199602916</v>
      </c>
      <c r="L170">
        <v>1.0497774423029196</v>
      </c>
      <c r="M170">
        <v>1.0497774423029196</v>
      </c>
      <c r="N170">
        <v>0</v>
      </c>
      <c r="O170">
        <v>0</v>
      </c>
      <c r="P170">
        <v>0</v>
      </c>
    </row>
    <row r="171" spans="1:16">
      <c r="B171" t="s">
        <v>62</v>
      </c>
      <c r="C171">
        <v>0</v>
      </c>
      <c r="D171">
        <v>0</v>
      </c>
      <c r="E171">
        <v>0</v>
      </c>
      <c r="F171">
        <v>0</v>
      </c>
      <c r="G171">
        <v>0</v>
      </c>
      <c r="H171">
        <v>0</v>
      </c>
      <c r="I171">
        <v>8.5189806228802997E-2</v>
      </c>
      <c r="J171">
        <v>8.0369166184134325E-2</v>
      </c>
      <c r="K171">
        <v>7.0724866242038192E-2</v>
      </c>
      <c r="L171">
        <v>3.4558741459177762E-2</v>
      </c>
      <c r="M171">
        <v>0</v>
      </c>
      <c r="N171">
        <v>0</v>
      </c>
      <c r="O171">
        <v>0</v>
      </c>
      <c r="P171">
        <v>0</v>
      </c>
    </row>
    <row r="172" spans="1:16">
      <c r="A172" t="s">
        <v>95</v>
      </c>
      <c r="B172" t="s">
        <v>90</v>
      </c>
      <c r="C172">
        <v>-0.24646393210749648</v>
      </c>
      <c r="D172">
        <v>-0.24646393210749648</v>
      </c>
      <c r="E172">
        <v>-0.24646393210749648</v>
      </c>
      <c r="F172">
        <v>-0.11060820367751061</v>
      </c>
      <c r="G172">
        <v>0.33392857142857141</v>
      </c>
      <c r="H172">
        <v>0.39250057903879554</v>
      </c>
      <c r="I172">
        <v>0.3685740907022913</v>
      </c>
      <c r="J172">
        <v>0.2311392298784018</v>
      </c>
      <c r="K172">
        <v>0.2034025222929936</v>
      </c>
      <c r="L172">
        <v>9.9389868847712781E-2</v>
      </c>
      <c r="M172">
        <v>0</v>
      </c>
      <c r="N172">
        <v>0</v>
      </c>
      <c r="O172">
        <v>0</v>
      </c>
      <c r="P172">
        <v>0</v>
      </c>
    </row>
    <row r="173" spans="1:16">
      <c r="P173">
        <v>0</v>
      </c>
    </row>
    <row r="174" spans="1:16">
      <c r="P174">
        <v>0</v>
      </c>
    </row>
    <row r="175" spans="1:16">
      <c r="P175">
        <v>0</v>
      </c>
    </row>
    <row r="176" spans="1:16">
      <c r="B176" t="s">
        <v>96</v>
      </c>
      <c r="C176">
        <v>-0.29949999999999999</v>
      </c>
      <c r="D176">
        <v>-5.1499999999999997E-2</v>
      </c>
      <c r="E176">
        <v>-0.308</v>
      </c>
      <c r="F176">
        <v>-0.2271</v>
      </c>
      <c r="G176">
        <v>-1.9599999999999999E-2</v>
      </c>
      <c r="H176">
        <v>-3.7000000000000002E-3</v>
      </c>
      <c r="I176">
        <v>-3.0000000000000001E-3</v>
      </c>
      <c r="J176">
        <v>0</v>
      </c>
      <c r="K176">
        <v>0</v>
      </c>
      <c r="L176">
        <v>0</v>
      </c>
      <c r="M176">
        <v>0</v>
      </c>
      <c r="N176">
        <v>0</v>
      </c>
      <c r="O176">
        <v>0</v>
      </c>
      <c r="P176">
        <v>0</v>
      </c>
    </row>
    <row r="177" spans="1:16">
      <c r="B177" t="s">
        <v>97</v>
      </c>
      <c r="C177">
        <v>0</v>
      </c>
      <c r="D177">
        <v>0.05</v>
      </c>
      <c r="E177">
        <v>0</v>
      </c>
      <c r="F177">
        <v>0.16089999999999999</v>
      </c>
      <c r="G177">
        <v>0.69810000000000005</v>
      </c>
      <c r="H177">
        <v>1.1205000000000001</v>
      </c>
      <c r="I177">
        <v>3.39E-2</v>
      </c>
      <c r="J177">
        <v>0</v>
      </c>
      <c r="K177">
        <v>0</v>
      </c>
      <c r="L177">
        <v>0</v>
      </c>
      <c r="M177">
        <v>0</v>
      </c>
      <c r="N177">
        <v>0</v>
      </c>
      <c r="O177">
        <v>0</v>
      </c>
      <c r="P177">
        <v>0</v>
      </c>
    </row>
    <row r="178" spans="1:16">
      <c r="B178" t="s">
        <v>98</v>
      </c>
      <c r="C178">
        <v>-0.29949999999999999</v>
      </c>
      <c r="D178">
        <v>-1.4999999999999944E-3</v>
      </c>
      <c r="E178">
        <v>-0.308</v>
      </c>
      <c r="F178">
        <v>-6.6200000000000009E-2</v>
      </c>
      <c r="G178">
        <v>0.6785000000000001</v>
      </c>
      <c r="H178">
        <v>1.1168</v>
      </c>
      <c r="I178">
        <v>3.09E-2</v>
      </c>
      <c r="J178">
        <v>0</v>
      </c>
      <c r="K178">
        <v>0</v>
      </c>
      <c r="L178">
        <v>0</v>
      </c>
      <c r="M178">
        <v>0</v>
      </c>
      <c r="N178">
        <v>0</v>
      </c>
      <c r="O178">
        <v>0</v>
      </c>
      <c r="P178">
        <v>0</v>
      </c>
    </row>
    <row r="179" spans="1:16">
      <c r="B179" t="s">
        <v>99</v>
      </c>
      <c r="C179">
        <v>-0.29949999999999999</v>
      </c>
      <c r="D179">
        <v>-0.30099999999999999</v>
      </c>
      <c r="E179">
        <v>-0.60899999999999999</v>
      </c>
      <c r="F179">
        <v>-0.67520000000000002</v>
      </c>
      <c r="G179">
        <v>3.3000000000000806E-3</v>
      </c>
      <c r="H179">
        <v>1.1201000000000001</v>
      </c>
      <c r="I179">
        <v>1.151</v>
      </c>
      <c r="J179">
        <v>1.151</v>
      </c>
      <c r="K179">
        <v>1.151</v>
      </c>
      <c r="L179">
        <v>1.151</v>
      </c>
      <c r="M179">
        <v>1.151</v>
      </c>
      <c r="N179">
        <v>0</v>
      </c>
      <c r="O179">
        <v>0</v>
      </c>
      <c r="P179">
        <v>0</v>
      </c>
    </row>
    <row r="180" spans="1:16">
      <c r="B180" t="s">
        <v>49</v>
      </c>
      <c r="C180">
        <v>-0.29949999999999999</v>
      </c>
      <c r="D180">
        <v>-1.4999999999999944E-3</v>
      </c>
      <c r="E180">
        <v>-0.308</v>
      </c>
      <c r="F180">
        <v>-4.1232068181818189E-2</v>
      </c>
      <c r="G180">
        <v>0.4225975568181819</v>
      </c>
      <c r="H180">
        <v>0.69558872727272725</v>
      </c>
      <c r="I180">
        <v>1.9245784090909091E-2</v>
      </c>
      <c r="J180">
        <v>0</v>
      </c>
      <c r="K180">
        <v>0</v>
      </c>
      <c r="L180">
        <v>0</v>
      </c>
      <c r="M180">
        <v>0</v>
      </c>
      <c r="N180">
        <v>0</v>
      </c>
      <c r="O180">
        <v>0</v>
      </c>
      <c r="P180">
        <v>0</v>
      </c>
    </row>
    <row r="181" spans="1:16">
      <c r="B181" t="s">
        <v>78</v>
      </c>
      <c r="C181">
        <v>-0.29949999999999999</v>
      </c>
      <c r="D181">
        <v>-0.30099999999999999</v>
      </c>
      <c r="E181">
        <v>-0.60899999999999999</v>
      </c>
      <c r="F181">
        <v>-0.65023206818181822</v>
      </c>
      <c r="G181">
        <v>-0.22763451136363633</v>
      </c>
      <c r="H181">
        <v>0.46795421590909086</v>
      </c>
      <c r="I181">
        <v>0.48720000000000002</v>
      </c>
      <c r="J181">
        <v>0.48720000000000002</v>
      </c>
      <c r="K181">
        <v>0.48720000000000002</v>
      </c>
      <c r="L181">
        <v>0.48720000000000002</v>
      </c>
      <c r="M181">
        <v>0.48720000000000002</v>
      </c>
      <c r="N181">
        <v>0</v>
      </c>
      <c r="O181">
        <v>0</v>
      </c>
      <c r="P181">
        <v>0</v>
      </c>
    </row>
    <row r="182" spans="1:16">
      <c r="B182" t="s">
        <v>62</v>
      </c>
      <c r="C182">
        <v>0</v>
      </c>
      <c r="D182">
        <v>0</v>
      </c>
      <c r="E182">
        <v>0</v>
      </c>
      <c r="F182">
        <v>0</v>
      </c>
      <c r="G182">
        <v>0</v>
      </c>
      <c r="H182">
        <v>0.12073218770454544</v>
      </c>
      <c r="I182">
        <v>4.965412295454546E-3</v>
      </c>
      <c r="J182">
        <v>0</v>
      </c>
      <c r="K182">
        <v>0</v>
      </c>
      <c r="L182">
        <v>0</v>
      </c>
      <c r="M182">
        <v>0</v>
      </c>
      <c r="N182">
        <v>0</v>
      </c>
      <c r="O182">
        <v>0</v>
      </c>
      <c r="P182">
        <v>0</v>
      </c>
    </row>
    <row r="183" spans="1:16">
      <c r="A183" t="s">
        <v>100</v>
      </c>
      <c r="B183" t="s">
        <v>90</v>
      </c>
      <c r="C183">
        <v>-0.29949999999999999</v>
      </c>
      <c r="D183">
        <v>-1.4999999999999944E-3</v>
      </c>
      <c r="E183">
        <v>-0.308</v>
      </c>
      <c r="F183">
        <v>-4.1232068181818189E-2</v>
      </c>
      <c r="G183">
        <v>0.4225975568181819</v>
      </c>
      <c r="H183">
        <v>0.57485653956818183</v>
      </c>
      <c r="I183">
        <v>1.4280371795454546E-2</v>
      </c>
      <c r="J183">
        <v>0</v>
      </c>
      <c r="K183">
        <v>0</v>
      </c>
      <c r="L183">
        <v>0</v>
      </c>
      <c r="M183">
        <v>0</v>
      </c>
      <c r="N183">
        <v>0</v>
      </c>
      <c r="O183">
        <v>0</v>
      </c>
      <c r="P183">
        <v>0</v>
      </c>
    </row>
    <row r="184" spans="1:16">
      <c r="P184">
        <v>0</v>
      </c>
    </row>
    <row r="185" spans="1:16">
      <c r="P185">
        <v>0</v>
      </c>
    </row>
    <row r="186" spans="1:16">
      <c r="P186">
        <v>0</v>
      </c>
    </row>
    <row r="187" spans="1:16">
      <c r="P187">
        <v>0</v>
      </c>
    </row>
    <row r="188" spans="1:16">
      <c r="P188">
        <v>0</v>
      </c>
    </row>
    <row r="189" spans="1:16">
      <c r="P189">
        <v>0</v>
      </c>
    </row>
    <row r="190" spans="1:16">
      <c r="B190" t="s">
        <v>101</v>
      </c>
      <c r="C190">
        <v>-7.9908678926133E-2</v>
      </c>
      <c r="D190">
        <v>-0.2957278730923823</v>
      </c>
      <c r="E190">
        <v>-0.28537845537627071</v>
      </c>
      <c r="F190">
        <v>3.4808776073056082E-2</v>
      </c>
      <c r="G190">
        <v>0.24041040961919893</v>
      </c>
      <c r="H190">
        <v>0.37271412075817295</v>
      </c>
      <c r="I190">
        <v>0.54717231222581841</v>
      </c>
      <c r="J190">
        <v>0.42206786526022738</v>
      </c>
      <c r="K190">
        <v>0.36946992805420831</v>
      </c>
      <c r="L190">
        <v>0.49201405247740759</v>
      </c>
      <c r="M190">
        <v>0.19191786960470236</v>
      </c>
      <c r="N190">
        <v>0</v>
      </c>
      <c r="O190">
        <v>0</v>
      </c>
      <c r="P190">
        <v>0</v>
      </c>
    </row>
    <row r="191" spans="1:16">
      <c r="C191">
        <v>-7.9908678926133E-2</v>
      </c>
      <c r="D191">
        <v>-0.37563655201851526</v>
      </c>
      <c r="E191">
        <v>-0.66101500739478602</v>
      </c>
      <c r="F191">
        <v>-0.62620623132172992</v>
      </c>
      <c r="G191">
        <v>-0.38579582170253102</v>
      </c>
      <c r="H191">
        <v>-1.3081700944358066E-2</v>
      </c>
      <c r="I191">
        <v>0.53409061128146029</v>
      </c>
      <c r="J191">
        <v>0.95615847654168773</v>
      </c>
      <c r="K191">
        <v>1.3256284045958959</v>
      </c>
      <c r="L191">
        <v>1.8176424570733034</v>
      </c>
      <c r="M191">
        <v>2.009560326678006</v>
      </c>
      <c r="N191">
        <v>0</v>
      </c>
      <c r="O191">
        <v>0</v>
      </c>
      <c r="P191">
        <v>0</v>
      </c>
    </row>
    <row r="192" spans="1:16">
      <c r="C192">
        <v>1</v>
      </c>
      <c r="D192">
        <v>2</v>
      </c>
      <c r="E192">
        <v>3</v>
      </c>
      <c r="F192">
        <v>4</v>
      </c>
      <c r="G192">
        <v>5</v>
      </c>
      <c r="H192">
        <v>6</v>
      </c>
      <c r="I192">
        <v>7</v>
      </c>
      <c r="J192">
        <v>8</v>
      </c>
      <c r="K192">
        <v>9</v>
      </c>
      <c r="L192">
        <v>10</v>
      </c>
      <c r="M192">
        <v>11</v>
      </c>
      <c r="N192">
        <v>0</v>
      </c>
      <c r="O192">
        <v>0</v>
      </c>
      <c r="P192">
        <v>0</v>
      </c>
    </row>
    <row r="193" spans="1:16">
      <c r="B193" t="s">
        <v>49</v>
      </c>
      <c r="C193">
        <v>-7.9908678926133E-2</v>
      </c>
      <c r="D193">
        <v>-0.2957278730923823</v>
      </c>
      <c r="E193">
        <v>-0.28537845537627071</v>
      </c>
      <c r="F193">
        <v>2.0677902394832009E-2</v>
      </c>
      <c r="G193">
        <v>0.1428140700602038</v>
      </c>
      <c r="H193">
        <v>0.22140813552415403</v>
      </c>
      <c r="I193">
        <v>0.32504376602077573</v>
      </c>
      <c r="J193">
        <v>0.25072637151990068</v>
      </c>
      <c r="K193">
        <v>0.21948094624459383</v>
      </c>
      <c r="L193">
        <v>0.29227739960350652</v>
      </c>
      <c r="M193">
        <v>0.11400742637951981</v>
      </c>
      <c r="N193">
        <v>0</v>
      </c>
      <c r="O193">
        <v>0</v>
      </c>
      <c r="P193">
        <v>0</v>
      </c>
    </row>
    <row r="194" spans="1:16">
      <c r="C194">
        <v>-7.9908678926133E-2</v>
      </c>
      <c r="D194">
        <v>-0.37563655201851526</v>
      </c>
      <c r="E194">
        <v>-0.66101500739478602</v>
      </c>
      <c r="F194">
        <v>-0.640337104999954</v>
      </c>
      <c r="G194">
        <v>-0.4975230349397502</v>
      </c>
      <c r="H194">
        <v>-0.27611489941559619</v>
      </c>
      <c r="I194">
        <v>4.8928866605179533E-2</v>
      </c>
      <c r="J194">
        <v>0.29965523812508021</v>
      </c>
      <c r="K194">
        <v>0.51913618436967401</v>
      </c>
      <c r="L194">
        <v>0.81141358397318053</v>
      </c>
      <c r="M194">
        <v>0.9254210103527003</v>
      </c>
      <c r="N194">
        <v>0</v>
      </c>
      <c r="O194">
        <v>0</v>
      </c>
      <c r="P194">
        <v>0</v>
      </c>
    </row>
    <row r="195" spans="1:16">
      <c r="B195" t="s">
        <v>62</v>
      </c>
      <c r="C195">
        <v>0</v>
      </c>
      <c r="D195">
        <v>0</v>
      </c>
      <c r="E195">
        <v>0</v>
      </c>
      <c r="F195">
        <v>0</v>
      </c>
      <c r="G195">
        <v>0</v>
      </c>
      <c r="H195">
        <v>0</v>
      </c>
      <c r="I195">
        <v>1.2623647584136319E-2</v>
      </c>
      <c r="J195">
        <v>6.4687403852134381E-2</v>
      </c>
      <c r="K195">
        <v>5.662608413110521E-2</v>
      </c>
      <c r="L195">
        <v>7.5407569097704685E-2</v>
      </c>
      <c r="M195">
        <v>2.9413916005916113E-2</v>
      </c>
      <c r="N195">
        <v>0</v>
      </c>
      <c r="O195">
        <v>0</v>
      </c>
      <c r="P195">
        <v>0</v>
      </c>
    </row>
    <row r="196" spans="1:16">
      <c r="A196" t="s">
        <v>102</v>
      </c>
      <c r="B196" t="s">
        <v>90</v>
      </c>
      <c r="C196">
        <v>-7.9908678926133E-2</v>
      </c>
      <c r="D196">
        <v>-0.2957278730923823</v>
      </c>
      <c r="E196">
        <v>-0.28537845537627071</v>
      </c>
      <c r="F196">
        <v>2.0677902394832009E-2</v>
      </c>
      <c r="G196">
        <v>0.1428140700602038</v>
      </c>
      <c r="H196">
        <v>0.22140813552415403</v>
      </c>
      <c r="I196">
        <v>0.31242011843663942</v>
      </c>
      <c r="J196">
        <v>0.18603896766776629</v>
      </c>
      <c r="K196">
        <v>0.16285486211348862</v>
      </c>
      <c r="L196">
        <v>0.21686983050580183</v>
      </c>
      <c r="M196">
        <v>8.45935103736037E-2</v>
      </c>
      <c r="N196">
        <v>0</v>
      </c>
      <c r="O196">
        <v>0</v>
      </c>
      <c r="P196">
        <v>0</v>
      </c>
    </row>
    <row r="197" spans="1:16">
      <c r="P197">
        <v>0</v>
      </c>
    </row>
    <row r="198" spans="1:16">
      <c r="P198">
        <v>0</v>
      </c>
    </row>
    <row r="199" spans="1:16">
      <c r="B199" t="s">
        <v>60</v>
      </c>
      <c r="C199">
        <v>-0.2</v>
      </c>
      <c r="D199">
        <v>-0.125</v>
      </c>
      <c r="E199">
        <v>-0.2</v>
      </c>
      <c r="F199">
        <v>-0.2</v>
      </c>
      <c r="G199">
        <v>-0.2</v>
      </c>
      <c r="H199">
        <v>0.05</v>
      </c>
      <c r="I199">
        <v>0.17499999999999999</v>
      </c>
      <c r="J199">
        <v>0.25</v>
      </c>
      <c r="K199">
        <v>0.3</v>
      </c>
      <c r="L199">
        <v>0.35</v>
      </c>
      <c r="M199">
        <v>0</v>
      </c>
      <c r="N199">
        <v>0</v>
      </c>
      <c r="O199">
        <v>0</v>
      </c>
      <c r="P199">
        <v>0</v>
      </c>
    </row>
    <row r="200" spans="1:16">
      <c r="B200" t="s">
        <v>61</v>
      </c>
      <c r="C200">
        <v>-0.2</v>
      </c>
      <c r="D200">
        <v>-0.32500000000000001</v>
      </c>
      <c r="E200">
        <v>-0.52500000000000002</v>
      </c>
      <c r="F200">
        <v>-0.7250000000000002</v>
      </c>
      <c r="G200">
        <v>-0.92500000000000004</v>
      </c>
      <c r="H200">
        <v>-0.875</v>
      </c>
      <c r="I200">
        <v>-0.7</v>
      </c>
      <c r="J200">
        <v>-0.45</v>
      </c>
      <c r="K200">
        <v>-0.14999999999999997</v>
      </c>
      <c r="L200">
        <v>0.2</v>
      </c>
      <c r="M200">
        <v>0.2</v>
      </c>
      <c r="N200">
        <v>0</v>
      </c>
      <c r="O200">
        <v>0</v>
      </c>
      <c r="P200">
        <v>0</v>
      </c>
    </row>
    <row r="201" spans="1:16">
      <c r="B201" t="s">
        <v>62</v>
      </c>
      <c r="C201">
        <v>0</v>
      </c>
      <c r="D201">
        <v>0</v>
      </c>
      <c r="E201">
        <v>0</v>
      </c>
      <c r="F201">
        <v>0</v>
      </c>
      <c r="G201">
        <v>0</v>
      </c>
      <c r="H201">
        <v>0</v>
      </c>
      <c r="I201">
        <v>0</v>
      </c>
      <c r="J201">
        <v>0</v>
      </c>
      <c r="K201">
        <v>0</v>
      </c>
      <c r="L201">
        <v>5.1600000000000007E-2</v>
      </c>
      <c r="M201">
        <v>0</v>
      </c>
      <c r="N201">
        <v>0</v>
      </c>
      <c r="O201">
        <v>0</v>
      </c>
      <c r="P201">
        <v>0</v>
      </c>
    </row>
    <row r="202" spans="1:16">
      <c r="P202">
        <v>0</v>
      </c>
    </row>
    <row r="203" spans="1:16">
      <c r="B203" t="s">
        <v>49</v>
      </c>
      <c r="C203">
        <v>-0.20540540540540544</v>
      </c>
      <c r="D203">
        <v>-0.12837837837837834</v>
      </c>
      <c r="E203">
        <v>-0.20540540540540544</v>
      </c>
      <c r="F203">
        <v>-0.20540540540540544</v>
      </c>
      <c r="G203">
        <v>-0.20540540540540544</v>
      </c>
      <c r="H203">
        <v>0.10555555555555556</v>
      </c>
      <c r="I203">
        <v>0.36944444444444446</v>
      </c>
      <c r="J203">
        <v>0.52777777777777779</v>
      </c>
      <c r="K203">
        <v>0.6333333333333333</v>
      </c>
      <c r="L203">
        <v>0.73888888888888893</v>
      </c>
      <c r="M203">
        <v>0</v>
      </c>
      <c r="N203">
        <v>0</v>
      </c>
      <c r="O203">
        <v>0</v>
      </c>
      <c r="P203">
        <v>0</v>
      </c>
    </row>
    <row r="204" spans="1:16">
      <c r="B204" t="s">
        <v>63</v>
      </c>
      <c r="C204">
        <v>-0.20540540540540544</v>
      </c>
      <c r="D204">
        <v>-0.33378378378378376</v>
      </c>
      <c r="E204">
        <v>-0.53918918918918912</v>
      </c>
      <c r="F204">
        <v>-0.74459459459459454</v>
      </c>
      <c r="G204">
        <v>-0.95</v>
      </c>
      <c r="H204">
        <v>-0.84444444444444444</v>
      </c>
      <c r="I204">
        <v>-0.47499999999999998</v>
      </c>
      <c r="J204">
        <v>5.2777777777777805E-2</v>
      </c>
      <c r="K204">
        <v>0.68611111111111112</v>
      </c>
      <c r="L204">
        <v>1.425</v>
      </c>
      <c r="M204">
        <v>1.425</v>
      </c>
      <c r="N204">
        <v>0</v>
      </c>
      <c r="O204">
        <v>0</v>
      </c>
      <c r="P204">
        <v>0</v>
      </c>
    </row>
    <row r="205" spans="1:16">
      <c r="B205" t="s">
        <v>62</v>
      </c>
      <c r="C205">
        <v>0</v>
      </c>
      <c r="D205">
        <v>0</v>
      </c>
      <c r="E205">
        <v>0</v>
      </c>
      <c r="F205">
        <v>0</v>
      </c>
      <c r="G205">
        <v>0</v>
      </c>
      <c r="H205">
        <v>0</v>
      </c>
      <c r="I205">
        <v>0</v>
      </c>
      <c r="J205">
        <v>1.3616666666666676E-2</v>
      </c>
      <c r="K205">
        <v>0.16339999999999999</v>
      </c>
      <c r="L205">
        <v>0.19063333333333335</v>
      </c>
      <c r="M205">
        <v>0</v>
      </c>
      <c r="N205">
        <v>0</v>
      </c>
      <c r="O205">
        <v>0</v>
      </c>
      <c r="P205">
        <v>0</v>
      </c>
    </row>
    <row r="206" spans="1:16">
      <c r="A206" t="s">
        <v>57</v>
      </c>
      <c r="B206" t="s">
        <v>65</v>
      </c>
      <c r="C206">
        <v>-0.20540540540540544</v>
      </c>
      <c r="D206">
        <v>-0.12837837837837834</v>
      </c>
      <c r="E206">
        <v>-0.20540540540540544</v>
      </c>
      <c r="F206">
        <v>-0.20540540540540544</v>
      </c>
      <c r="G206">
        <v>-0.20540540540540544</v>
      </c>
      <c r="H206">
        <v>0.10555555555555556</v>
      </c>
      <c r="I206">
        <v>0.36944444444444446</v>
      </c>
      <c r="J206">
        <v>0.51416111111111107</v>
      </c>
      <c r="K206">
        <v>0.46993333333333326</v>
      </c>
      <c r="L206">
        <v>0.54825555555555561</v>
      </c>
      <c r="M206">
        <v>0</v>
      </c>
      <c r="N206">
        <v>0</v>
      </c>
      <c r="O206">
        <v>0</v>
      </c>
      <c r="P206">
        <v>0</v>
      </c>
    </row>
    <row r="207" spans="1:16">
      <c r="P207">
        <v>0</v>
      </c>
    </row>
    <row r="208" spans="1:16">
      <c r="P208">
        <v>0</v>
      </c>
    </row>
    <row r="209" spans="1:16">
      <c r="P209">
        <v>0</v>
      </c>
    </row>
    <row r="210" spans="1:16">
      <c r="P210">
        <v>0</v>
      </c>
    </row>
    <row r="211" spans="1:16">
      <c r="P211">
        <v>0</v>
      </c>
    </row>
    <row r="212" spans="1:16">
      <c r="B212" t="s">
        <v>103</v>
      </c>
      <c r="C212">
        <v>-0.22409999999999999</v>
      </c>
      <c r="D212">
        <v>-0.4159000000000001</v>
      </c>
      <c r="E212">
        <v>0.19089999999999999</v>
      </c>
      <c r="F212">
        <v>0.25480000000000003</v>
      </c>
      <c r="G212">
        <v>0.1469</v>
      </c>
      <c r="H212">
        <v>0.12089999999999999</v>
      </c>
      <c r="I212">
        <v>9.9299999999999999E-2</v>
      </c>
      <c r="J212">
        <v>8.7400000000000005E-2</v>
      </c>
      <c r="K212">
        <v>8.3599999999999994E-2</v>
      </c>
      <c r="L212">
        <v>2.1700000000000001E-2</v>
      </c>
      <c r="M212">
        <v>0</v>
      </c>
      <c r="N212">
        <v>0</v>
      </c>
      <c r="O212">
        <v>0</v>
      </c>
      <c r="P212">
        <v>0</v>
      </c>
    </row>
    <row r="213" spans="1:16">
      <c r="B213" t="s">
        <v>99</v>
      </c>
      <c r="C213">
        <v>-0.22409999999999999</v>
      </c>
      <c r="D213">
        <v>-0.64</v>
      </c>
      <c r="E213">
        <v>-0.44910000000000005</v>
      </c>
      <c r="F213">
        <v>-0.19430000000000003</v>
      </c>
      <c r="G213">
        <v>-4.7400000000000025E-2</v>
      </c>
      <c r="H213">
        <v>7.3499999999999968E-2</v>
      </c>
      <c r="I213">
        <v>0.17279999999999995</v>
      </c>
      <c r="J213">
        <v>0.26019999999999999</v>
      </c>
      <c r="K213">
        <v>0.34379999999999999</v>
      </c>
      <c r="L213">
        <v>0.36549999999999999</v>
      </c>
      <c r="M213">
        <v>0.36549999999999999</v>
      </c>
      <c r="N213">
        <v>0</v>
      </c>
      <c r="O213">
        <v>0</v>
      </c>
      <c r="P213">
        <v>0</v>
      </c>
    </row>
    <row r="214" spans="1:16">
      <c r="B214" t="s">
        <v>49</v>
      </c>
      <c r="C214">
        <v>-0.22409999999999999</v>
      </c>
      <c r="D214">
        <v>-0.4159000000000001</v>
      </c>
      <c r="E214">
        <v>0.21871387369467929</v>
      </c>
      <c r="F214">
        <v>0.2919240179015416</v>
      </c>
      <c r="G214">
        <v>0.1683031327697663</v>
      </c>
      <c r="H214">
        <v>0.13851496767777224</v>
      </c>
      <c r="I214">
        <v>0.11376787667826951</v>
      </c>
      <c r="J214">
        <v>0.10013406265539536</v>
      </c>
      <c r="K214">
        <v>9.5780407757334651E-2</v>
      </c>
      <c r="L214">
        <v>2.4861660865241175E-2</v>
      </c>
      <c r="M214">
        <v>0</v>
      </c>
      <c r="N214">
        <v>0</v>
      </c>
      <c r="O214">
        <v>0</v>
      </c>
      <c r="P214">
        <v>0</v>
      </c>
    </row>
    <row r="215" spans="1:16">
      <c r="B215" t="s">
        <v>63</v>
      </c>
      <c r="C215">
        <v>-0.22409999999999999</v>
      </c>
      <c r="D215">
        <v>-0.64</v>
      </c>
      <c r="E215">
        <v>-0.4212861263053207</v>
      </c>
      <c r="F215">
        <v>-0.12936210840377915</v>
      </c>
      <c r="G215">
        <v>3.8941024365987155E-2</v>
      </c>
      <c r="H215">
        <v>0.17745599204375939</v>
      </c>
      <c r="I215">
        <v>0.29122386872202888</v>
      </c>
      <c r="J215">
        <v>0.39135793137742425</v>
      </c>
      <c r="K215">
        <v>0.4871383391347589</v>
      </c>
      <c r="L215">
        <v>0.51200000000000012</v>
      </c>
      <c r="M215">
        <v>0.51200000000000012</v>
      </c>
      <c r="N215">
        <v>0</v>
      </c>
      <c r="O215">
        <v>0</v>
      </c>
      <c r="P215">
        <v>0</v>
      </c>
    </row>
    <row r="216" spans="1:16">
      <c r="B216" t="s">
        <v>62</v>
      </c>
      <c r="C216">
        <v>0</v>
      </c>
      <c r="D216">
        <v>0</v>
      </c>
      <c r="E216">
        <v>0</v>
      </c>
      <c r="F216">
        <v>0</v>
      </c>
      <c r="G216">
        <v>1.0046784286424684E-2</v>
      </c>
      <c r="H216">
        <v>3.5736861660865239E-2</v>
      </c>
      <c r="I216">
        <v>2.9352112182993537E-2</v>
      </c>
      <c r="J216">
        <v>2.5834588165092001E-2</v>
      </c>
      <c r="K216">
        <v>2.4711345201392339E-2</v>
      </c>
      <c r="L216">
        <v>6.4143085032322229E-3</v>
      </c>
      <c r="M216">
        <v>0</v>
      </c>
      <c r="N216">
        <v>0</v>
      </c>
      <c r="O216">
        <v>0</v>
      </c>
      <c r="P216">
        <v>0</v>
      </c>
    </row>
    <row r="217" spans="1:16">
      <c r="A217" t="s">
        <v>104</v>
      </c>
      <c r="B217" t="s">
        <v>65</v>
      </c>
      <c r="C217">
        <v>-0.22409999999999999</v>
      </c>
      <c r="D217">
        <v>-0.4159000000000001</v>
      </c>
      <c r="E217">
        <v>0.21871387369467929</v>
      </c>
      <c r="F217">
        <v>0.2919240179015416</v>
      </c>
      <c r="G217">
        <v>0.15825634848334161</v>
      </c>
      <c r="H217">
        <v>0.102778106016907</v>
      </c>
      <c r="I217">
        <v>8.4415764495275977E-2</v>
      </c>
      <c r="J217">
        <v>7.4299474490303344E-2</v>
      </c>
      <c r="K217">
        <v>7.1069062555942308E-2</v>
      </c>
      <c r="L217">
        <v>1.8447352362008951E-2</v>
      </c>
      <c r="M217">
        <v>0</v>
      </c>
      <c r="N217">
        <v>0</v>
      </c>
      <c r="O217">
        <v>0</v>
      </c>
      <c r="P217">
        <v>0</v>
      </c>
    </row>
    <row r="218" spans="1:16">
      <c r="P218">
        <v>0</v>
      </c>
    </row>
    <row r="219" spans="1:16">
      <c r="P219">
        <v>0</v>
      </c>
    </row>
    <row r="220" spans="1:16">
      <c r="B220" t="s">
        <v>105</v>
      </c>
      <c r="C220">
        <v>-7.86262956356754E-2</v>
      </c>
      <c r="D220">
        <v>-0.12320606262800912</v>
      </c>
      <c r="E220">
        <v>-0.31206696164071551</v>
      </c>
      <c r="F220">
        <v>-0.15608363465892511</v>
      </c>
      <c r="G220">
        <v>-3.0286487881919219E-2</v>
      </c>
      <c r="H220">
        <v>6.8257734666903352E-2</v>
      </c>
      <c r="I220">
        <v>0.21538687163200057</v>
      </c>
      <c r="J220">
        <v>0.20451750019049633</v>
      </c>
      <c r="K220">
        <v>5.8690466574813867E-2</v>
      </c>
      <c r="L220">
        <v>0.10783897366847789</v>
      </c>
      <c r="M220">
        <v>0.27581379635027586</v>
      </c>
      <c r="N220">
        <v>0</v>
      </c>
      <c r="O220">
        <v>0</v>
      </c>
      <c r="P220">
        <v>0</v>
      </c>
    </row>
    <row r="221" spans="1:16">
      <c r="B221" t="s">
        <v>99</v>
      </c>
      <c r="C221">
        <v>-7.86262956356754E-2</v>
      </c>
      <c r="D221">
        <v>-0.20183235826368451</v>
      </c>
      <c r="E221">
        <v>-0.51389931990439996</v>
      </c>
      <c r="F221">
        <v>-0.66998295456332513</v>
      </c>
      <c r="G221">
        <v>-0.70026944244524436</v>
      </c>
      <c r="H221">
        <v>-0.63201170777834104</v>
      </c>
      <c r="I221">
        <v>-0.41662483614634049</v>
      </c>
      <c r="J221">
        <v>-0.21210733595584416</v>
      </c>
      <c r="K221">
        <v>-0.1534168693810303</v>
      </c>
      <c r="L221">
        <v>-4.5577895712552413E-2</v>
      </c>
      <c r="M221">
        <v>0.23023590063772345</v>
      </c>
      <c r="N221">
        <v>0</v>
      </c>
      <c r="O221">
        <v>0</v>
      </c>
      <c r="P221">
        <v>0</v>
      </c>
    </row>
    <row r="222" spans="1:16">
      <c r="B222" t="s">
        <v>49</v>
      </c>
      <c r="C222">
        <v>-7.86262956356754E-2</v>
      </c>
      <c r="D222">
        <v>-0.12320606262800912</v>
      </c>
      <c r="E222">
        <v>-0.31206696164071551</v>
      </c>
      <c r="F222">
        <v>-0.15608363465892511</v>
      </c>
      <c r="G222">
        <v>-3.0286487881919219E-2</v>
      </c>
      <c r="H222">
        <v>0.11557946855914858</v>
      </c>
      <c r="I222">
        <v>0.36471031860825681</v>
      </c>
      <c r="J222">
        <v>0.34630542748622284</v>
      </c>
      <c r="K222">
        <v>9.9379403217941614E-2</v>
      </c>
      <c r="L222">
        <v>0.18260159566371006</v>
      </c>
      <c r="M222">
        <v>0.4670300319665201</v>
      </c>
      <c r="N222">
        <v>0</v>
      </c>
      <c r="O222">
        <v>0</v>
      </c>
      <c r="P222">
        <v>0</v>
      </c>
    </row>
    <row r="223" spans="1:16">
      <c r="B223" t="s">
        <v>63</v>
      </c>
      <c r="C223">
        <v>-7.86262956356754E-2</v>
      </c>
      <c r="D223">
        <v>-0.20183235826368451</v>
      </c>
      <c r="E223">
        <v>-0.51389931990439996</v>
      </c>
      <c r="F223">
        <v>-0.66998295456332513</v>
      </c>
      <c r="G223">
        <v>-0.70026944244524436</v>
      </c>
      <c r="H223">
        <v>-0.58468997388609578</v>
      </c>
      <c r="I223">
        <v>-0.21997965527783897</v>
      </c>
      <c r="J223">
        <v>0.12632577220838387</v>
      </c>
      <c r="K223">
        <v>0.22570517542632548</v>
      </c>
      <c r="L223">
        <v>0.40830677109003555</v>
      </c>
      <c r="M223">
        <v>0.87533680305655559</v>
      </c>
      <c r="N223">
        <v>0</v>
      </c>
      <c r="O223">
        <v>0</v>
      </c>
      <c r="P223">
        <v>0</v>
      </c>
    </row>
    <row r="224" spans="1:16">
      <c r="B224" t="s">
        <v>62</v>
      </c>
      <c r="C224">
        <v>0</v>
      </c>
      <c r="D224">
        <v>0</v>
      </c>
      <c r="E224">
        <v>0</v>
      </c>
      <c r="F224">
        <v>0</v>
      </c>
      <c r="G224">
        <v>0</v>
      </c>
      <c r="H224">
        <v>0</v>
      </c>
      <c r="I224">
        <v>0</v>
      </c>
      <c r="J224">
        <v>3.259204922976304E-2</v>
      </c>
      <c r="K224">
        <v>2.5639886030228935E-2</v>
      </c>
      <c r="L224">
        <v>4.7111211681237199E-2</v>
      </c>
      <c r="M224">
        <v>0.12049374824736218</v>
      </c>
      <c r="N224">
        <v>0</v>
      </c>
      <c r="O224">
        <v>0</v>
      </c>
      <c r="P224">
        <v>0</v>
      </c>
    </row>
    <row r="225" spans="1:16">
      <c r="A225" t="s">
        <v>106</v>
      </c>
      <c r="B225" t="s">
        <v>65</v>
      </c>
      <c r="C225">
        <v>-7.86262956356754E-2</v>
      </c>
      <c r="D225">
        <v>-0.12320606262800912</v>
      </c>
      <c r="E225">
        <v>-0.31206696164071551</v>
      </c>
      <c r="F225">
        <v>-0.15608363465892511</v>
      </c>
      <c r="G225">
        <v>-3.0286487881919219E-2</v>
      </c>
      <c r="H225">
        <v>0.11557946855914858</v>
      </c>
      <c r="I225">
        <v>0.36471031860825681</v>
      </c>
      <c r="J225">
        <v>0.31371337825645979</v>
      </c>
      <c r="K225">
        <v>7.3739517187712683E-2</v>
      </c>
      <c r="L225">
        <v>0.13549038398247287</v>
      </c>
      <c r="M225">
        <v>0.3465362837191579</v>
      </c>
      <c r="N225">
        <v>0</v>
      </c>
      <c r="O225">
        <v>0</v>
      </c>
      <c r="P225">
        <v>0</v>
      </c>
    </row>
    <row r="226" spans="1:16">
      <c r="P226">
        <v>0</v>
      </c>
    </row>
    <row r="227" spans="1:16">
      <c r="P227">
        <v>0</v>
      </c>
    </row>
    <row r="228" spans="1:16">
      <c r="B228" t="s">
        <v>107</v>
      </c>
      <c r="C228">
        <v>-0.105</v>
      </c>
      <c r="D228">
        <v>-0.26500000000000001</v>
      </c>
      <c r="E228">
        <v>-0.25</v>
      </c>
      <c r="F228">
        <v>-9.1999999999999998E-2</v>
      </c>
      <c r="G228">
        <v>0.127</v>
      </c>
      <c r="H228">
        <v>0.34300000000000003</v>
      </c>
      <c r="I228">
        <v>0.44500000000000001</v>
      </c>
      <c r="J228">
        <v>0.316</v>
      </c>
      <c r="K228">
        <v>0.218</v>
      </c>
      <c r="L228">
        <v>0.11600000000000001</v>
      </c>
      <c r="M228">
        <v>7.1999999999999995E-2</v>
      </c>
      <c r="N228">
        <v>0</v>
      </c>
      <c r="O228">
        <v>0</v>
      </c>
      <c r="P228">
        <v>0</v>
      </c>
    </row>
    <row r="229" spans="1:16">
      <c r="B229" t="s">
        <v>99</v>
      </c>
      <c r="C229">
        <v>-0.105</v>
      </c>
      <c r="D229">
        <v>-0.37</v>
      </c>
      <c r="E229">
        <v>-0.62</v>
      </c>
      <c r="F229">
        <v>-0.71199999999999997</v>
      </c>
      <c r="G229">
        <v>-0.58499999999999996</v>
      </c>
      <c r="H229">
        <v>-0.24199999999999991</v>
      </c>
      <c r="I229">
        <v>0.20300000000000007</v>
      </c>
      <c r="J229">
        <v>0.51900000000000013</v>
      </c>
      <c r="K229">
        <v>0.7370000000000001</v>
      </c>
      <c r="L229">
        <v>0.85300000000000009</v>
      </c>
      <c r="M229">
        <v>0.92500000000000004</v>
      </c>
      <c r="N229">
        <v>0</v>
      </c>
      <c r="O229">
        <v>0</v>
      </c>
      <c r="P229">
        <v>0</v>
      </c>
    </row>
    <row r="230" spans="1:16">
      <c r="B230" t="s">
        <v>49</v>
      </c>
      <c r="C230">
        <v>-0.105</v>
      </c>
      <c r="D230">
        <v>-0.26500000000000001</v>
      </c>
      <c r="E230">
        <v>-0.25</v>
      </c>
      <c r="F230">
        <v>-9.1999999999999998E-2</v>
      </c>
      <c r="G230">
        <v>0.12428466707391568</v>
      </c>
      <c r="H230">
        <v>0.3356664630421502</v>
      </c>
      <c r="I230">
        <v>0.43548564447159421</v>
      </c>
      <c r="J230">
        <v>0.30924373854612092</v>
      </c>
      <c r="K230">
        <v>0.21333903481979224</v>
      </c>
      <c r="L230">
        <v>0.11351985339034819</v>
      </c>
      <c r="M230">
        <v>7.0460598656078177E-2</v>
      </c>
      <c r="N230">
        <v>0</v>
      </c>
      <c r="O230">
        <v>0</v>
      </c>
      <c r="P230">
        <v>0</v>
      </c>
    </row>
    <row r="231" spans="1:16">
      <c r="B231" t="s">
        <v>63</v>
      </c>
      <c r="C231">
        <v>-0.105</v>
      </c>
      <c r="D231">
        <v>-0.37</v>
      </c>
      <c r="E231">
        <v>-0.62</v>
      </c>
      <c r="F231">
        <v>-0.71199999999999997</v>
      </c>
      <c r="G231">
        <v>-0.58771533292608424</v>
      </c>
      <c r="H231">
        <v>-0.25204886988393405</v>
      </c>
      <c r="I231">
        <v>0.18343677458766025</v>
      </c>
      <c r="J231">
        <v>0.49268051313378114</v>
      </c>
      <c r="K231">
        <v>0.70601954795357336</v>
      </c>
      <c r="L231">
        <v>0.81953940134392156</v>
      </c>
      <c r="M231">
        <v>0.88999999999999968</v>
      </c>
      <c r="N231">
        <v>0</v>
      </c>
      <c r="O231">
        <v>0</v>
      </c>
      <c r="P231">
        <v>0</v>
      </c>
    </row>
    <row r="232" spans="1:16">
      <c r="B232" t="s">
        <v>62</v>
      </c>
      <c r="C232">
        <v>0</v>
      </c>
      <c r="D232">
        <v>0</v>
      </c>
      <c r="E232">
        <v>0</v>
      </c>
      <c r="F232">
        <v>0</v>
      </c>
      <c r="G232">
        <v>0</v>
      </c>
      <c r="H232">
        <v>0</v>
      </c>
      <c r="I232">
        <v>4.7326687843616336E-2</v>
      </c>
      <c r="J232">
        <v>7.9784884544899196E-2</v>
      </c>
      <c r="K232">
        <v>5.5041470983506403E-2</v>
      </c>
      <c r="L232">
        <v>2.9288122174709833E-2</v>
      </c>
      <c r="M232">
        <v>1.8178834453268171E-2</v>
      </c>
      <c r="N232">
        <v>0</v>
      </c>
      <c r="O232">
        <v>0</v>
      </c>
      <c r="P232">
        <v>0</v>
      </c>
    </row>
    <row r="233" spans="1:16">
      <c r="A233" t="s">
        <v>108</v>
      </c>
      <c r="B233" t="s">
        <v>65</v>
      </c>
      <c r="C233">
        <v>-0.105</v>
      </c>
      <c r="D233">
        <v>-0.26500000000000001</v>
      </c>
      <c r="E233">
        <v>-0.25</v>
      </c>
      <c r="F233">
        <v>-9.1999999999999998E-2</v>
      </c>
      <c r="G233">
        <v>0.12428466707391568</v>
      </c>
      <c r="H233">
        <v>0.3356664630421502</v>
      </c>
      <c r="I233">
        <v>0.38815895662797795</v>
      </c>
      <c r="J233">
        <v>0.22945885400122171</v>
      </c>
      <c r="K233">
        <v>0.15829756383628585</v>
      </c>
      <c r="L233">
        <v>8.4231731215638359E-2</v>
      </c>
      <c r="M233">
        <v>5.2281764202810006E-2</v>
      </c>
      <c r="N233">
        <v>0</v>
      </c>
      <c r="O233">
        <v>0</v>
      </c>
      <c r="P233">
        <v>0</v>
      </c>
    </row>
    <row r="234" spans="1:16">
      <c r="P234">
        <v>0</v>
      </c>
    </row>
    <row r="235" spans="1:16">
      <c r="B235" t="s">
        <v>107</v>
      </c>
      <c r="C235">
        <v>-0.542055305082353</v>
      </c>
      <c r="D235">
        <v>3.8639037327058846E-2</v>
      </c>
      <c r="E235">
        <v>0.35575829614117643</v>
      </c>
      <c r="F235">
        <v>0.51683184584470587</v>
      </c>
      <c r="G235">
        <v>0.46435744422588232</v>
      </c>
      <c r="H235">
        <v>0.11802162271999996</v>
      </c>
      <c r="I235">
        <v>1.884705882352938E-2</v>
      </c>
      <c r="J235">
        <v>2.9599999999999991E-2</v>
      </c>
      <c r="K235">
        <v>0</v>
      </c>
      <c r="L235">
        <v>0</v>
      </c>
      <c r="M235">
        <v>0</v>
      </c>
      <c r="N235">
        <v>0</v>
      </c>
      <c r="O235">
        <v>0</v>
      </c>
      <c r="P235">
        <v>0</v>
      </c>
    </row>
    <row r="236" spans="1:16">
      <c r="B236" t="s">
        <v>99</v>
      </c>
      <c r="C236">
        <v>-0.542055305082353</v>
      </c>
      <c r="D236">
        <v>-0.50341626775529413</v>
      </c>
      <c r="E236">
        <v>-0.1476579716141177</v>
      </c>
      <c r="F236">
        <v>0.36917387423058817</v>
      </c>
      <c r="G236">
        <v>0.83353131845647055</v>
      </c>
      <c r="H236">
        <v>0.9515529411764706</v>
      </c>
      <c r="I236">
        <v>0.97039999999999982</v>
      </c>
      <c r="J236">
        <v>0.99999999999999989</v>
      </c>
      <c r="K236">
        <v>0.99999999999999989</v>
      </c>
      <c r="L236">
        <v>0.99999999999999978</v>
      </c>
      <c r="M236">
        <v>0.99999999999999978</v>
      </c>
      <c r="N236">
        <v>0</v>
      </c>
      <c r="O236">
        <v>0</v>
      </c>
      <c r="P236">
        <v>0</v>
      </c>
    </row>
    <row r="237" spans="1:16">
      <c r="B237" t="s">
        <v>49</v>
      </c>
      <c r="C237">
        <v>-0.542055305082353</v>
      </c>
      <c r="D237">
        <v>2.4447950196909311E-2</v>
      </c>
      <c r="E237">
        <v>0.22509776919586735</v>
      </c>
      <c r="F237">
        <v>0.32701330316372756</v>
      </c>
      <c r="G237">
        <v>0.29381134871205156</v>
      </c>
      <c r="H237">
        <v>7.4675430704800413E-2</v>
      </c>
      <c r="I237">
        <v>1.1925037147682472E-2</v>
      </c>
      <c r="J237">
        <v>1.872871002719672E-2</v>
      </c>
      <c r="K237">
        <v>0</v>
      </c>
      <c r="L237">
        <v>0</v>
      </c>
      <c r="M237">
        <v>0</v>
      </c>
      <c r="N237">
        <v>0</v>
      </c>
      <c r="O237">
        <v>0</v>
      </c>
      <c r="P237">
        <v>0</v>
      </c>
    </row>
    <row r="238" spans="1:16">
      <c r="B238" t="s">
        <v>63</v>
      </c>
      <c r="C238">
        <v>-0.542055305082353</v>
      </c>
      <c r="D238">
        <v>-0.51760735488544374</v>
      </c>
      <c r="E238">
        <v>-0.29250958568957641</v>
      </c>
      <c r="F238">
        <v>3.4503717474151152E-2</v>
      </c>
      <c r="G238">
        <v>0.32831506618620271</v>
      </c>
      <c r="H238">
        <v>0.40299049689100314</v>
      </c>
      <c r="I238">
        <v>0.41491553403868559</v>
      </c>
      <c r="J238">
        <v>0.43364424406588231</v>
      </c>
      <c r="K238">
        <v>0.43364424406588231</v>
      </c>
      <c r="L238">
        <v>0.43364424406588231</v>
      </c>
      <c r="M238">
        <v>0.43364424406588231</v>
      </c>
      <c r="N238">
        <v>0</v>
      </c>
      <c r="O238">
        <v>0</v>
      </c>
      <c r="P238">
        <v>0</v>
      </c>
    </row>
    <row r="239" spans="1:16">
      <c r="B239" t="s">
        <v>62</v>
      </c>
      <c r="C239">
        <v>0</v>
      </c>
      <c r="D239">
        <v>0</v>
      </c>
      <c r="E239">
        <v>0</v>
      </c>
      <c r="F239">
        <v>8.9019591083309979E-3</v>
      </c>
      <c r="G239">
        <v>7.5803327967709305E-2</v>
      </c>
      <c r="H239">
        <v>1.9266261121838508E-2</v>
      </c>
      <c r="I239">
        <v>3.0766595841020786E-3</v>
      </c>
      <c r="J239">
        <v>4.8320071870167538E-3</v>
      </c>
      <c r="K239">
        <v>0</v>
      </c>
      <c r="L239">
        <v>0</v>
      </c>
      <c r="M239">
        <v>0</v>
      </c>
      <c r="N239">
        <v>0</v>
      </c>
      <c r="O239">
        <v>0</v>
      </c>
      <c r="P239">
        <v>0</v>
      </c>
    </row>
    <row r="240" spans="1:16">
      <c r="A240" t="s">
        <v>109</v>
      </c>
      <c r="B240" t="s">
        <v>65</v>
      </c>
      <c r="C240">
        <v>-0.542055305082353</v>
      </c>
      <c r="D240">
        <v>2.4447950196909311E-2</v>
      </c>
      <c r="E240">
        <v>0.22509776919586735</v>
      </c>
      <c r="F240">
        <v>0.31811134405539654</v>
      </c>
      <c r="G240">
        <v>0.21800802074434225</v>
      </c>
      <c r="H240">
        <v>5.5409169582961909E-2</v>
      </c>
      <c r="I240">
        <v>8.8483775635803952E-3</v>
      </c>
      <c r="J240">
        <v>1.3896702840179966E-2</v>
      </c>
      <c r="K240">
        <v>0</v>
      </c>
      <c r="L240">
        <v>0</v>
      </c>
      <c r="M240">
        <v>0</v>
      </c>
      <c r="N240">
        <v>0</v>
      </c>
      <c r="O240">
        <v>0</v>
      </c>
      <c r="P240">
        <v>0</v>
      </c>
    </row>
    <row r="241" spans="1:16">
      <c r="P241">
        <v>0</v>
      </c>
    </row>
    <row r="242" spans="1:16">
      <c r="B242" t="s">
        <v>107</v>
      </c>
      <c r="C242">
        <v>-1</v>
      </c>
      <c r="D242">
        <v>0</v>
      </c>
      <c r="E242">
        <v>0</v>
      </c>
      <c r="F242">
        <v>0</v>
      </c>
      <c r="G242">
        <v>0</v>
      </c>
      <c r="H242">
        <v>0</v>
      </c>
      <c r="I242">
        <v>0</v>
      </c>
      <c r="J242">
        <v>0</v>
      </c>
      <c r="K242">
        <v>0</v>
      </c>
      <c r="L242">
        <v>0</v>
      </c>
      <c r="M242">
        <v>1.9671513572895656</v>
      </c>
      <c r="N242">
        <v>0</v>
      </c>
      <c r="O242">
        <v>0</v>
      </c>
      <c r="P242">
        <v>0</v>
      </c>
    </row>
    <row r="243" spans="1:16">
      <c r="B243" t="s">
        <v>99</v>
      </c>
      <c r="C243">
        <v>-1</v>
      </c>
      <c r="D243">
        <v>-1</v>
      </c>
      <c r="E243">
        <v>-1</v>
      </c>
      <c r="F243">
        <v>-1</v>
      </c>
      <c r="G243">
        <v>-1</v>
      </c>
      <c r="H243">
        <v>-1</v>
      </c>
      <c r="I243">
        <v>-1</v>
      </c>
      <c r="J243">
        <v>-1</v>
      </c>
      <c r="K243">
        <v>-1</v>
      </c>
      <c r="L243">
        <v>-1</v>
      </c>
      <c r="M243">
        <v>0.96715135728956558</v>
      </c>
      <c r="N243">
        <v>0</v>
      </c>
      <c r="O243">
        <v>0</v>
      </c>
      <c r="P243">
        <v>0</v>
      </c>
    </row>
    <row r="244" spans="1:16">
      <c r="B244" t="s">
        <v>62</v>
      </c>
      <c r="C244">
        <v>0</v>
      </c>
      <c r="D244">
        <v>0</v>
      </c>
      <c r="E244">
        <v>0</v>
      </c>
      <c r="F244">
        <v>0</v>
      </c>
      <c r="G244">
        <v>0</v>
      </c>
      <c r="H244">
        <v>0</v>
      </c>
      <c r="I244">
        <v>0</v>
      </c>
      <c r="J244">
        <v>0</v>
      </c>
      <c r="K244">
        <v>0</v>
      </c>
      <c r="L244">
        <v>0</v>
      </c>
      <c r="M244">
        <v>0.24952505018070792</v>
      </c>
      <c r="N244">
        <v>0</v>
      </c>
      <c r="O244">
        <v>0</v>
      </c>
      <c r="P244">
        <v>0</v>
      </c>
    </row>
    <row r="245" spans="1:16">
      <c r="A245" t="s">
        <v>110</v>
      </c>
      <c r="B245" t="s">
        <v>65</v>
      </c>
      <c r="C245">
        <v>-1</v>
      </c>
      <c r="D245">
        <v>0</v>
      </c>
      <c r="E245">
        <v>0</v>
      </c>
      <c r="F245">
        <v>0</v>
      </c>
      <c r="G245">
        <v>0</v>
      </c>
      <c r="H245">
        <v>0</v>
      </c>
      <c r="I245">
        <v>0</v>
      </c>
      <c r="J245">
        <v>0</v>
      </c>
      <c r="K245">
        <v>0</v>
      </c>
      <c r="L245">
        <v>0</v>
      </c>
      <c r="M245">
        <v>1.7176263071088576</v>
      </c>
      <c r="N245">
        <v>0</v>
      </c>
      <c r="O245">
        <v>0</v>
      </c>
      <c r="P245">
        <v>0</v>
      </c>
    </row>
    <row r="246" spans="1:16">
      <c r="P246">
        <v>0</v>
      </c>
    </row>
    <row r="247" spans="1:16">
      <c r="B247" t="s">
        <v>107</v>
      </c>
      <c r="C247">
        <v>-0.4</v>
      </c>
      <c r="D247">
        <v>-0.15</v>
      </c>
      <c r="E247">
        <v>-0.15</v>
      </c>
      <c r="F247">
        <v>-0.1</v>
      </c>
      <c r="G247">
        <v>0.1045</v>
      </c>
      <c r="H247">
        <v>0.3125</v>
      </c>
      <c r="I247">
        <v>0.62180000000000002</v>
      </c>
      <c r="J247">
        <v>0.57199999999999995</v>
      </c>
      <c r="K247">
        <v>0.4133</v>
      </c>
      <c r="L247">
        <v>0.1865</v>
      </c>
      <c r="M247">
        <v>0</v>
      </c>
      <c r="N247">
        <v>0</v>
      </c>
      <c r="O247">
        <v>0</v>
      </c>
      <c r="P247">
        <v>0</v>
      </c>
    </row>
    <row r="248" spans="1:16">
      <c r="B248" t="s">
        <v>111</v>
      </c>
      <c r="C248">
        <v>-0.4</v>
      </c>
      <c r="D248">
        <v>-0.55000000000000004</v>
      </c>
      <c r="E248">
        <v>-0.70000000000000007</v>
      </c>
      <c r="F248">
        <v>-0.8</v>
      </c>
      <c r="G248">
        <v>-0.69550000000000001</v>
      </c>
      <c r="H248">
        <v>-0.38300000000000001</v>
      </c>
      <c r="I248">
        <v>0.23880000000000001</v>
      </c>
      <c r="J248">
        <v>0.81079999999999997</v>
      </c>
      <c r="K248">
        <v>1.2241</v>
      </c>
      <c r="L248">
        <v>1.4106000000000001</v>
      </c>
      <c r="M248">
        <v>1.4106000000000001</v>
      </c>
      <c r="N248">
        <v>0</v>
      </c>
      <c r="O248">
        <v>0</v>
      </c>
      <c r="P248">
        <v>0</v>
      </c>
    </row>
    <row r="249" spans="1:16">
      <c r="B249" t="s">
        <v>112</v>
      </c>
      <c r="C249">
        <v>-0.4</v>
      </c>
      <c r="D249">
        <v>-0.15</v>
      </c>
      <c r="E249">
        <v>-0.15</v>
      </c>
      <c r="F249">
        <v>-0.1</v>
      </c>
      <c r="G249">
        <v>6.239934859314214E-2</v>
      </c>
      <c r="H249">
        <v>0.18660092282638199</v>
      </c>
      <c r="I249">
        <v>0.37129105220302183</v>
      </c>
      <c r="J249">
        <v>0.34155432914140954</v>
      </c>
      <c r="K249">
        <v>0.24679091649325977</v>
      </c>
      <c r="L249">
        <v>0.11136343074278478</v>
      </c>
      <c r="M249">
        <v>0</v>
      </c>
      <c r="N249">
        <v>0</v>
      </c>
      <c r="O249">
        <v>0</v>
      </c>
      <c r="P249">
        <v>0</v>
      </c>
    </row>
    <row r="250" spans="1:16">
      <c r="B250" t="s">
        <v>113</v>
      </c>
      <c r="C250">
        <v>-0.4</v>
      </c>
      <c r="D250">
        <v>-0.55000000000000004</v>
      </c>
      <c r="E250">
        <v>-0.70000000000000007</v>
      </c>
      <c r="F250">
        <v>-0.8</v>
      </c>
      <c r="G250">
        <v>-0.73760065140685793</v>
      </c>
      <c r="H250">
        <v>-0.55099972858047597</v>
      </c>
      <c r="I250">
        <v>-0.17970867637745414</v>
      </c>
      <c r="J250">
        <v>0.16184565276395541</v>
      </c>
      <c r="K250">
        <v>0.40863656925721514</v>
      </c>
      <c r="L250">
        <v>0.51999999999999991</v>
      </c>
      <c r="M250">
        <v>0.51999999999999991</v>
      </c>
      <c r="N250">
        <v>0</v>
      </c>
      <c r="O250">
        <v>0</v>
      </c>
      <c r="P250">
        <v>0</v>
      </c>
    </row>
    <row r="251" spans="1:16">
      <c r="B251" t="s">
        <v>62</v>
      </c>
      <c r="C251">
        <v>0</v>
      </c>
      <c r="D251">
        <v>0</v>
      </c>
      <c r="E251">
        <v>0</v>
      </c>
      <c r="F251">
        <v>0</v>
      </c>
      <c r="G251">
        <v>0</v>
      </c>
      <c r="H251">
        <v>0</v>
      </c>
      <c r="I251">
        <v>0</v>
      </c>
      <c r="J251">
        <v>4.1756178413100496E-2</v>
      </c>
      <c r="K251">
        <v>6.3672056455261028E-2</v>
      </c>
      <c r="L251">
        <v>2.8731765131638474E-2</v>
      </c>
      <c r="M251">
        <v>0</v>
      </c>
      <c r="N251">
        <v>0</v>
      </c>
      <c r="O251">
        <v>0</v>
      </c>
      <c r="P251">
        <v>0</v>
      </c>
    </row>
    <row r="252" spans="1:16">
      <c r="A252" t="s">
        <v>114</v>
      </c>
      <c r="B252" t="s">
        <v>65</v>
      </c>
      <c r="C252">
        <v>-0.4</v>
      </c>
      <c r="D252">
        <v>-0.15</v>
      </c>
      <c r="E252">
        <v>-0.15</v>
      </c>
      <c r="F252">
        <v>-0.1</v>
      </c>
      <c r="G252">
        <v>6.239934859314214E-2</v>
      </c>
      <c r="H252">
        <v>0.18660092282638199</v>
      </c>
      <c r="I252">
        <v>0.37129105220302183</v>
      </c>
      <c r="J252">
        <v>0.29979815072830907</v>
      </c>
      <c r="K252">
        <v>0.18311886003799871</v>
      </c>
      <c r="L252">
        <v>8.2631665611146307E-2</v>
      </c>
      <c r="M252">
        <v>0</v>
      </c>
      <c r="N252">
        <v>0</v>
      </c>
      <c r="O252">
        <v>0</v>
      </c>
      <c r="P252">
        <v>0</v>
      </c>
    </row>
    <row r="253" spans="1:16">
      <c r="P253">
        <v>0</v>
      </c>
    </row>
    <row r="254" spans="1:16">
      <c r="P254">
        <v>0</v>
      </c>
    </row>
    <row r="255" spans="1:16">
      <c r="B255" t="s">
        <v>107</v>
      </c>
      <c r="C255">
        <v>-0.12910392711937019</v>
      </c>
      <c r="D255">
        <v>-0.18508170201763877</v>
      </c>
      <c r="E255">
        <v>-0.20475376671308709</v>
      </c>
      <c r="F255">
        <v>-0.16771987693679366</v>
      </c>
      <c r="G255">
        <v>-8.5477661699103424E-2</v>
      </c>
      <c r="H255">
        <v>8.4412809380416412E-2</v>
      </c>
      <c r="I255">
        <v>0.18737211186793321</v>
      </c>
      <c r="J255">
        <v>0.26590396935897337</v>
      </c>
      <c r="K255">
        <v>0.26696977544789163</v>
      </c>
      <c r="L255">
        <v>0.21204398164544724</v>
      </c>
      <c r="M255">
        <v>0.17089511572883254</v>
      </c>
      <c r="N255">
        <v>6.5421107601473849E-2</v>
      </c>
      <c r="O255">
        <v>1.1972524055571383E-2</v>
      </c>
      <c r="P255">
        <v>0</v>
      </c>
    </row>
    <row r="256" spans="1:16">
      <c r="B256" t="s">
        <v>111</v>
      </c>
      <c r="C256">
        <v>-0.12910392711937019</v>
      </c>
      <c r="D256">
        <v>-0.31418562913700898</v>
      </c>
      <c r="E256">
        <v>-0.51893939585009607</v>
      </c>
      <c r="F256">
        <v>-0.68665927278688976</v>
      </c>
      <c r="G256">
        <v>-0.77213693448599308</v>
      </c>
      <c r="H256">
        <v>-0.68772412510557679</v>
      </c>
      <c r="I256">
        <v>-0.50035201323764356</v>
      </c>
      <c r="J256">
        <v>-0.23444804387867019</v>
      </c>
      <c r="K256">
        <v>3.2521731569221446E-2</v>
      </c>
      <c r="L256">
        <v>0.24456571321466869</v>
      </c>
      <c r="M256">
        <v>0.41546082894350123</v>
      </c>
      <c r="N256">
        <v>0.48088193654497507</v>
      </c>
      <c r="O256">
        <v>0.49285446060054644</v>
      </c>
      <c r="P256">
        <v>0</v>
      </c>
    </row>
    <row r="257" spans="1:16">
      <c r="B257" t="s">
        <v>112</v>
      </c>
      <c r="C257">
        <v>-0.12910392711937019</v>
      </c>
      <c r="D257">
        <v>-0.18508170201763877</v>
      </c>
      <c r="E257">
        <v>-0.20475376671308709</v>
      </c>
      <c r="F257">
        <v>-0.16771987693679366</v>
      </c>
      <c r="G257">
        <v>-8.5477661699103424E-2</v>
      </c>
      <c r="H257">
        <v>8.5015684215079074E-2</v>
      </c>
      <c r="I257">
        <v>0.18871032027246212</v>
      </c>
      <c r="J257">
        <v>0.26780305094078632</v>
      </c>
      <c r="K257">
        <v>0.26887646899848461</v>
      </c>
      <c r="L257">
        <v>0.21355839612014627</v>
      </c>
      <c r="M257">
        <v>0.17211564570995622</v>
      </c>
      <c r="N257">
        <v>6.5888344028245796E-2</v>
      </c>
      <c r="O257">
        <v>1.2058031616727994E-2</v>
      </c>
      <c r="P257">
        <v>0</v>
      </c>
    </row>
    <row r="258" spans="1:16">
      <c r="B258" t="s">
        <v>113</v>
      </c>
      <c r="C258">
        <v>-0.12910392711937019</v>
      </c>
      <c r="D258">
        <v>-0.31418562913700898</v>
      </c>
      <c r="E258">
        <v>-0.51893939585009607</v>
      </c>
      <c r="F258">
        <v>-0.68665927278688976</v>
      </c>
      <c r="G258">
        <v>-0.77213693448599308</v>
      </c>
      <c r="H258">
        <v>-0.68712125027091409</v>
      </c>
      <c r="I258">
        <v>-0.49841092999845193</v>
      </c>
      <c r="J258">
        <v>-0.23060787905766561</v>
      </c>
      <c r="K258">
        <v>3.8268589940818998E-2</v>
      </c>
      <c r="L258">
        <v>0.25182698606096526</v>
      </c>
      <c r="M258">
        <v>0.42394263177092151</v>
      </c>
      <c r="N258">
        <v>0.48983097579916729</v>
      </c>
      <c r="O258">
        <v>0.50188900741589526</v>
      </c>
      <c r="P258">
        <v>0</v>
      </c>
    </row>
    <row r="259" spans="1:16">
      <c r="B259" t="s">
        <v>62</v>
      </c>
      <c r="C259">
        <v>0</v>
      </c>
      <c r="D259">
        <v>0</v>
      </c>
      <c r="E259">
        <v>0</v>
      </c>
      <c r="F259">
        <v>0</v>
      </c>
      <c r="G259">
        <v>0</v>
      </c>
      <c r="H259">
        <v>0</v>
      </c>
      <c r="I259">
        <v>0</v>
      </c>
      <c r="J259">
        <v>0</v>
      </c>
      <c r="K259">
        <v>9.8732962047313015E-3</v>
      </c>
      <c r="L259">
        <v>5.5098066198997736E-2</v>
      </c>
      <c r="M259">
        <v>4.4405836593168706E-2</v>
      </c>
      <c r="N259">
        <v>1.6999192759287417E-2</v>
      </c>
      <c r="O259">
        <v>3.1109721571158226E-3</v>
      </c>
      <c r="P259">
        <v>0</v>
      </c>
    </row>
    <row r="260" spans="1:16">
      <c r="A260" t="s">
        <v>115</v>
      </c>
      <c r="B260" t="s">
        <v>65</v>
      </c>
      <c r="C260">
        <v>-0.12910392711937019</v>
      </c>
      <c r="D260">
        <v>-0.18508170201763877</v>
      </c>
      <c r="E260">
        <v>-0.20475376671308709</v>
      </c>
      <c r="F260">
        <v>-0.16771987693679366</v>
      </c>
      <c r="G260">
        <v>-8.5477661699103424E-2</v>
      </c>
      <c r="H260">
        <v>8.5015684215079074E-2</v>
      </c>
      <c r="I260">
        <v>0.18871032027246212</v>
      </c>
      <c r="J260">
        <v>0.26780305094078632</v>
      </c>
      <c r="K260">
        <v>0.25900317279375329</v>
      </c>
      <c r="L260">
        <v>0.15846032992114853</v>
      </c>
      <c r="M260">
        <v>0.1277098091167875</v>
      </c>
      <c r="N260">
        <v>4.8889151268958375E-2</v>
      </c>
      <c r="O260">
        <v>8.9470594596121715E-3</v>
      </c>
      <c r="P260">
        <v>0</v>
      </c>
    </row>
    <row r="261" spans="1:16">
      <c r="P261">
        <v>0</v>
      </c>
    </row>
    <row r="262" spans="1:16">
      <c r="B262" t="s">
        <v>107</v>
      </c>
      <c r="C262">
        <v>-0.1</v>
      </c>
      <c r="D262">
        <v>-0.2</v>
      </c>
      <c r="E262">
        <v>-0.2</v>
      </c>
      <c r="F262">
        <v>-0.08</v>
      </c>
      <c r="G262">
        <v>-7.0000000000000007E-2</v>
      </c>
      <c r="H262">
        <v>0.29937999999999998</v>
      </c>
      <c r="I262">
        <v>0.29937999999999998</v>
      </c>
      <c r="J262">
        <v>0.66874999999999996</v>
      </c>
      <c r="K262">
        <v>1.4075</v>
      </c>
      <c r="L262">
        <v>0.66874999999999996</v>
      </c>
      <c r="M262">
        <v>0</v>
      </c>
      <c r="N262">
        <v>0</v>
      </c>
      <c r="O262">
        <v>0</v>
      </c>
      <c r="P262">
        <v>0</v>
      </c>
    </row>
    <row r="263" spans="1:16">
      <c r="B263" t="s">
        <v>111</v>
      </c>
      <c r="C263">
        <v>-0.1</v>
      </c>
      <c r="D263">
        <v>-0.30000000000000004</v>
      </c>
      <c r="E263">
        <v>-0.5</v>
      </c>
      <c r="F263">
        <v>-0.57999999999999996</v>
      </c>
      <c r="G263">
        <v>-0.64999999999999991</v>
      </c>
      <c r="H263">
        <v>-0.35061999999999993</v>
      </c>
      <c r="I263">
        <v>-5.1239999999999952E-2</v>
      </c>
      <c r="J263">
        <v>0.61751</v>
      </c>
      <c r="K263">
        <v>2.02501</v>
      </c>
      <c r="L263">
        <v>2.6937600000000002</v>
      </c>
      <c r="M263">
        <v>2.6937600000000002</v>
      </c>
      <c r="N263">
        <v>2.6937600000000002</v>
      </c>
      <c r="O263">
        <v>2.6937600000000002</v>
      </c>
      <c r="P263">
        <v>0</v>
      </c>
    </row>
    <row r="264" spans="1:16">
      <c r="B264" t="s">
        <v>112</v>
      </c>
      <c r="C264">
        <v>-0.1</v>
      </c>
      <c r="D264">
        <v>-0.2</v>
      </c>
      <c r="E264">
        <v>-0.2</v>
      </c>
      <c r="F264">
        <v>-0.08</v>
      </c>
      <c r="G264">
        <v>-7.0000000000000007E-2</v>
      </c>
      <c r="H264">
        <v>0.11639411919515752</v>
      </c>
      <c r="I264">
        <v>0.11639411919515752</v>
      </c>
      <c r="J264">
        <v>0.25999922243223195</v>
      </c>
      <c r="K264">
        <v>0.547213316745221</v>
      </c>
      <c r="L264">
        <v>0.25999922243223195</v>
      </c>
      <c r="M264">
        <v>0</v>
      </c>
      <c r="N264">
        <v>0</v>
      </c>
      <c r="O264">
        <v>0</v>
      </c>
      <c r="P264">
        <v>0</v>
      </c>
    </row>
    <row r="265" spans="1:16">
      <c r="B265" t="s">
        <v>113</v>
      </c>
      <c r="C265">
        <v>-0.1</v>
      </c>
      <c r="D265">
        <v>-0.30000000000000004</v>
      </c>
      <c r="E265">
        <v>-0.5</v>
      </c>
      <c r="F265">
        <v>-0.57999999999999996</v>
      </c>
      <c r="G265">
        <v>-0.64999999999999991</v>
      </c>
      <c r="H265">
        <v>-0.53360588080484239</v>
      </c>
      <c r="I265">
        <v>-0.41721176160968487</v>
      </c>
      <c r="J265">
        <v>-0.15721253917745293</v>
      </c>
      <c r="K265">
        <v>0.39000077756776808</v>
      </c>
      <c r="L265">
        <v>0.65</v>
      </c>
      <c r="M265">
        <v>0.65</v>
      </c>
      <c r="N265">
        <v>0.65</v>
      </c>
      <c r="O265">
        <v>0.65</v>
      </c>
      <c r="P265">
        <v>0</v>
      </c>
    </row>
    <row r="266" spans="1:16">
      <c r="B266" t="s">
        <v>62</v>
      </c>
      <c r="C266">
        <v>0</v>
      </c>
      <c r="D266">
        <v>0</v>
      </c>
      <c r="E266">
        <v>0</v>
      </c>
      <c r="F266">
        <v>0</v>
      </c>
      <c r="G266">
        <v>0</v>
      </c>
      <c r="H266">
        <v>0</v>
      </c>
      <c r="I266">
        <v>0</v>
      </c>
      <c r="J266">
        <v>0</v>
      </c>
      <c r="K266">
        <v>0.10062020061248415</v>
      </c>
      <c r="L266">
        <v>6.7079799387515848E-2</v>
      </c>
      <c r="M266">
        <v>0</v>
      </c>
      <c r="N266">
        <v>0</v>
      </c>
      <c r="O266">
        <v>0</v>
      </c>
      <c r="P266">
        <v>0</v>
      </c>
    </row>
    <row r="267" spans="1:16">
      <c r="A267" t="s">
        <v>116</v>
      </c>
      <c r="B267" t="s">
        <v>65</v>
      </c>
      <c r="C267">
        <v>-0.1</v>
      </c>
      <c r="D267">
        <v>-0.2</v>
      </c>
      <c r="E267">
        <v>-0.2</v>
      </c>
      <c r="F267">
        <v>-0.08</v>
      </c>
      <c r="G267">
        <v>-7.0000000000000007E-2</v>
      </c>
      <c r="H267">
        <v>0.11639411919515752</v>
      </c>
      <c r="I267">
        <v>0.11639411919515752</v>
      </c>
      <c r="J267">
        <v>0.25999922243223195</v>
      </c>
      <c r="K267">
        <v>0.44659311613273678</v>
      </c>
      <c r="L267">
        <v>0.1929194230447161</v>
      </c>
      <c r="M267">
        <v>0</v>
      </c>
      <c r="N267">
        <v>0</v>
      </c>
      <c r="O267">
        <v>0</v>
      </c>
      <c r="P267">
        <v>0</v>
      </c>
    </row>
    <row r="268" spans="1:16">
      <c r="P268">
        <v>0</v>
      </c>
    </row>
    <row r="269" spans="1:16">
      <c r="B269" t="s">
        <v>107</v>
      </c>
      <c r="C269">
        <v>-0.33</v>
      </c>
      <c r="D269">
        <v>-0.52</v>
      </c>
      <c r="E269">
        <v>-0.15</v>
      </c>
      <c r="F269">
        <v>0</v>
      </c>
      <c r="G269">
        <v>0.51500000000000001</v>
      </c>
      <c r="H269">
        <v>0.72250000000000003</v>
      </c>
      <c r="I269">
        <v>0.94499999999999995</v>
      </c>
      <c r="J269">
        <v>0.57499999999999996</v>
      </c>
      <c r="K269">
        <v>0.27500000000000002</v>
      </c>
      <c r="L269">
        <v>0</v>
      </c>
      <c r="M269">
        <v>0</v>
      </c>
      <c r="N269">
        <v>0</v>
      </c>
      <c r="O269">
        <v>0</v>
      </c>
      <c r="P269">
        <v>0</v>
      </c>
    </row>
    <row r="270" spans="1:16">
      <c r="B270" t="s">
        <v>111</v>
      </c>
      <c r="C270">
        <v>-0.33</v>
      </c>
      <c r="D270">
        <v>-0.8500000000000002</v>
      </c>
      <c r="E270">
        <v>-1</v>
      </c>
      <c r="F270">
        <v>-1</v>
      </c>
      <c r="G270">
        <v>-0.48499999999999999</v>
      </c>
      <c r="H270">
        <v>0.23750000000000004</v>
      </c>
      <c r="I270">
        <v>1.1825000000000001</v>
      </c>
      <c r="J270">
        <v>1.7575000000000001</v>
      </c>
      <c r="K270">
        <v>2.0325000000000002</v>
      </c>
      <c r="L270">
        <v>2.0325000000000002</v>
      </c>
      <c r="M270">
        <v>2.0325000000000002</v>
      </c>
      <c r="N270">
        <v>2.0325000000000002</v>
      </c>
      <c r="O270">
        <v>2.0325000000000002</v>
      </c>
      <c r="P270">
        <v>0</v>
      </c>
    </row>
    <row r="271" spans="1:16">
      <c r="B271" t="s">
        <v>112</v>
      </c>
      <c r="C271">
        <v>-0.33</v>
      </c>
      <c r="D271">
        <v>-0.52</v>
      </c>
      <c r="E271">
        <v>-0.15</v>
      </c>
      <c r="F271">
        <v>0</v>
      </c>
      <c r="G271">
        <v>0.33965375103050288</v>
      </c>
      <c r="H271">
        <v>0.47650453421269579</v>
      </c>
      <c r="I271">
        <v>0.62324814509480619</v>
      </c>
      <c r="J271">
        <v>0.37922506183017302</v>
      </c>
      <c r="K271">
        <v>0.18136850783182193</v>
      </c>
      <c r="L271">
        <v>0</v>
      </c>
      <c r="M271">
        <v>0</v>
      </c>
      <c r="N271">
        <v>0</v>
      </c>
      <c r="O271">
        <v>0</v>
      </c>
      <c r="P271">
        <v>0</v>
      </c>
    </row>
    <row r="272" spans="1:16">
      <c r="B272" t="s">
        <v>113</v>
      </c>
      <c r="C272">
        <v>-0.33</v>
      </c>
      <c r="D272">
        <v>-0.8500000000000002</v>
      </c>
      <c r="E272">
        <v>-1</v>
      </c>
      <c r="F272">
        <v>-1</v>
      </c>
      <c r="G272">
        <v>-0.66034624896949712</v>
      </c>
      <c r="H272">
        <v>-0.18384171475680133</v>
      </c>
      <c r="I272">
        <v>0.43940643033800486</v>
      </c>
      <c r="J272">
        <v>0.81863149216817788</v>
      </c>
      <c r="K272">
        <v>0.99999999999999989</v>
      </c>
      <c r="L272">
        <v>0.99999999999999978</v>
      </c>
      <c r="M272">
        <v>0.99999999999999978</v>
      </c>
      <c r="N272">
        <v>0.99999999999999978</v>
      </c>
      <c r="O272">
        <v>0.99999999999999978</v>
      </c>
      <c r="P272">
        <v>0</v>
      </c>
    </row>
    <row r="273" spans="1:16">
      <c r="B273" t="s">
        <v>62</v>
      </c>
      <c r="C273">
        <v>0</v>
      </c>
      <c r="D273">
        <v>0</v>
      </c>
      <c r="E273">
        <v>0</v>
      </c>
      <c r="F273">
        <v>0</v>
      </c>
      <c r="G273">
        <v>0</v>
      </c>
      <c r="H273">
        <v>0</v>
      </c>
      <c r="I273">
        <v>0.11336685902720524</v>
      </c>
      <c r="J273">
        <v>9.7840065952184654E-2</v>
      </c>
      <c r="K273">
        <v>4.6793075020610059E-2</v>
      </c>
      <c r="L273">
        <v>0</v>
      </c>
      <c r="M273">
        <v>0</v>
      </c>
      <c r="N273">
        <v>0</v>
      </c>
      <c r="O273">
        <v>0</v>
      </c>
      <c r="P273">
        <v>0</v>
      </c>
    </row>
    <row r="274" spans="1:16">
      <c r="A274" t="s">
        <v>117</v>
      </c>
      <c r="B274" t="s">
        <v>65</v>
      </c>
      <c r="C274">
        <v>-0.33</v>
      </c>
      <c r="D274">
        <v>-0.52</v>
      </c>
      <c r="E274">
        <v>-0.15</v>
      </c>
      <c r="F274">
        <v>0</v>
      </c>
      <c r="G274">
        <v>0.33965375103050288</v>
      </c>
      <c r="H274">
        <v>0.47650453421269579</v>
      </c>
      <c r="I274">
        <v>0.50988128606760097</v>
      </c>
      <c r="J274">
        <v>0.28138499587798843</v>
      </c>
      <c r="K274">
        <v>0.13457543281121187</v>
      </c>
      <c r="L274">
        <v>0</v>
      </c>
      <c r="M274">
        <v>0</v>
      </c>
      <c r="N274">
        <v>0</v>
      </c>
      <c r="O274">
        <v>0</v>
      </c>
      <c r="P274">
        <v>0</v>
      </c>
    </row>
    <row r="275" spans="1:16">
      <c r="P275">
        <v>0</v>
      </c>
    </row>
    <row r="276" spans="1:16">
      <c r="B276" t="s">
        <v>107</v>
      </c>
      <c r="C276">
        <v>-0.2</v>
      </c>
      <c r="D276">
        <v>-0.3</v>
      </c>
      <c r="E276">
        <v>-0.3</v>
      </c>
      <c r="F276">
        <v>-0.15</v>
      </c>
      <c r="G276">
        <v>0.4</v>
      </c>
      <c r="H276">
        <v>0.4</v>
      </c>
      <c r="I276">
        <v>0.6</v>
      </c>
      <c r="J276">
        <v>0.5</v>
      </c>
      <c r="K276">
        <v>0.5</v>
      </c>
      <c r="L276">
        <v>0.2</v>
      </c>
      <c r="M276">
        <v>0.1</v>
      </c>
      <c r="N276">
        <v>0</v>
      </c>
      <c r="O276">
        <v>0</v>
      </c>
      <c r="P276">
        <v>0</v>
      </c>
    </row>
    <row r="277" spans="1:16">
      <c r="B277" t="s">
        <v>111</v>
      </c>
      <c r="C277">
        <v>-0.2</v>
      </c>
      <c r="D277">
        <v>-0.5</v>
      </c>
      <c r="E277">
        <v>-0.8</v>
      </c>
      <c r="F277">
        <v>-0.95</v>
      </c>
      <c r="G277">
        <v>-0.55000000000000004</v>
      </c>
      <c r="H277">
        <v>-0.15000000000000002</v>
      </c>
      <c r="I277">
        <v>0.45</v>
      </c>
      <c r="J277">
        <v>0.95</v>
      </c>
      <c r="K277">
        <v>1.45</v>
      </c>
      <c r="L277">
        <v>1.65</v>
      </c>
      <c r="M277">
        <v>1.75</v>
      </c>
      <c r="N277">
        <v>1.75</v>
      </c>
      <c r="O277">
        <v>1.75</v>
      </c>
      <c r="P277">
        <v>0</v>
      </c>
    </row>
    <row r="278" spans="1:16">
      <c r="B278" t="s">
        <v>112</v>
      </c>
      <c r="C278">
        <v>-0.2</v>
      </c>
      <c r="D278">
        <v>-0.3</v>
      </c>
      <c r="E278">
        <v>-0.3</v>
      </c>
      <c r="F278">
        <v>-0.15</v>
      </c>
      <c r="G278">
        <v>0.2814814814814815</v>
      </c>
      <c r="H278">
        <v>0.2814814814814815</v>
      </c>
      <c r="I278">
        <v>0.42222222222222222</v>
      </c>
      <c r="J278">
        <v>0.35185185185185186</v>
      </c>
      <c r="K278">
        <v>0.35185185185185186</v>
      </c>
      <c r="L278">
        <v>0.14074074074074075</v>
      </c>
      <c r="M278">
        <v>7.0370370370370375E-2</v>
      </c>
      <c r="N278">
        <v>0</v>
      </c>
      <c r="O278">
        <v>0</v>
      </c>
      <c r="P278">
        <v>0</v>
      </c>
    </row>
    <row r="279" spans="1:16">
      <c r="B279" t="s">
        <v>113</v>
      </c>
      <c r="C279">
        <v>-0.2</v>
      </c>
      <c r="D279">
        <v>-0.5</v>
      </c>
      <c r="E279">
        <v>-0.8</v>
      </c>
      <c r="F279">
        <v>-0.95</v>
      </c>
      <c r="G279">
        <v>-0.66851851851851851</v>
      </c>
      <c r="H279">
        <v>-0.38703703703703701</v>
      </c>
      <c r="I279">
        <v>3.5185185185185208E-2</v>
      </c>
      <c r="J279">
        <v>0.38703703703703701</v>
      </c>
      <c r="K279">
        <v>0.73888888888888893</v>
      </c>
      <c r="L279">
        <v>0.87962962962962965</v>
      </c>
      <c r="M279">
        <v>0.95000000000000007</v>
      </c>
      <c r="N279">
        <v>0.95000000000000007</v>
      </c>
      <c r="O279">
        <v>0.95000000000000007</v>
      </c>
      <c r="P279">
        <v>0</v>
      </c>
    </row>
    <row r="280" spans="1:16">
      <c r="B280" t="s">
        <v>62</v>
      </c>
      <c r="C280">
        <v>0</v>
      </c>
      <c r="D280">
        <v>0</v>
      </c>
      <c r="E280">
        <v>0</v>
      </c>
      <c r="F280">
        <v>0</v>
      </c>
      <c r="G280">
        <v>0</v>
      </c>
      <c r="H280">
        <v>0</v>
      </c>
      <c r="I280">
        <v>9.0777777777777836E-3</v>
      </c>
      <c r="J280">
        <v>9.0777777777777777E-2</v>
      </c>
      <c r="K280">
        <v>9.0777777777777777E-2</v>
      </c>
      <c r="L280">
        <v>3.6311111111111113E-2</v>
      </c>
      <c r="M280">
        <v>1.8155555555555557E-2</v>
      </c>
      <c r="N280">
        <v>0</v>
      </c>
      <c r="O280">
        <v>0</v>
      </c>
      <c r="P280">
        <v>0</v>
      </c>
    </row>
    <row r="281" spans="1:16">
      <c r="A281" t="s">
        <v>118</v>
      </c>
      <c r="B281" t="s">
        <v>65</v>
      </c>
      <c r="C281">
        <v>-0.2</v>
      </c>
      <c r="D281">
        <v>-0.3</v>
      </c>
      <c r="E281">
        <v>-0.3</v>
      </c>
      <c r="F281">
        <v>-0.15</v>
      </c>
      <c r="G281">
        <v>0.2814814814814815</v>
      </c>
      <c r="H281">
        <v>0.2814814814814815</v>
      </c>
      <c r="I281">
        <v>0.41314444444444443</v>
      </c>
      <c r="J281">
        <v>0.26107407407407407</v>
      </c>
      <c r="K281">
        <v>0.26107407407407407</v>
      </c>
      <c r="L281">
        <v>0.10442962962962964</v>
      </c>
      <c r="M281">
        <v>5.2214814814814818E-2</v>
      </c>
      <c r="N281">
        <v>0</v>
      </c>
      <c r="O281">
        <v>0</v>
      </c>
      <c r="P281">
        <v>0</v>
      </c>
    </row>
    <row r="282" spans="1:16">
      <c r="P282">
        <v>0</v>
      </c>
    </row>
    <row r="283" spans="1:16">
      <c r="B283" t="s">
        <v>107</v>
      </c>
      <c r="C283">
        <v>-0.11661347222222222</v>
      </c>
      <c r="D283">
        <v>-0.19352590277777776</v>
      </c>
      <c r="E283">
        <v>-0.245805</v>
      </c>
      <c r="F283">
        <v>-0.245805</v>
      </c>
      <c r="G283">
        <v>-3.15415E-2</v>
      </c>
      <c r="H283">
        <v>0.41982825000000001</v>
      </c>
      <c r="I283">
        <v>0.64611111499999985</v>
      </c>
      <c r="J283">
        <v>0.56715618999999984</v>
      </c>
      <c r="K283">
        <v>0.47855438999999983</v>
      </c>
      <c r="L283">
        <v>0.16844808999999988</v>
      </c>
      <c r="M283">
        <v>0</v>
      </c>
      <c r="N283">
        <v>0</v>
      </c>
      <c r="O283">
        <v>0</v>
      </c>
      <c r="P283">
        <v>0</v>
      </c>
    </row>
    <row r="284" spans="1:16">
      <c r="B284" t="s">
        <v>111</v>
      </c>
      <c r="C284">
        <v>-0.11661347222222222</v>
      </c>
      <c r="D284">
        <v>-0.31013937499999999</v>
      </c>
      <c r="E284">
        <v>-0.55594437499999994</v>
      </c>
      <c r="F284">
        <v>-0.80174937499999999</v>
      </c>
      <c r="G284">
        <v>-0.83329087499999999</v>
      </c>
      <c r="H284">
        <v>-0.41346262499999997</v>
      </c>
      <c r="I284">
        <v>0.23264848999999987</v>
      </c>
      <c r="J284">
        <v>0.79980467999999971</v>
      </c>
      <c r="K284">
        <v>1.2783590699999996</v>
      </c>
      <c r="L284">
        <v>1.4468071599999994</v>
      </c>
      <c r="M284">
        <v>1.4468071599999994</v>
      </c>
      <c r="N284">
        <v>1.4468071599999994</v>
      </c>
      <c r="O284">
        <v>1.4468071599999994</v>
      </c>
      <c r="P284">
        <v>0</v>
      </c>
    </row>
    <row r="285" spans="1:16">
      <c r="B285" t="s">
        <v>112</v>
      </c>
      <c r="C285">
        <v>-0.11661347222222222</v>
      </c>
      <c r="D285">
        <v>-0.19352590277777776</v>
      </c>
      <c r="E285">
        <v>-0.245805</v>
      </c>
      <c r="F285">
        <v>-0.245805</v>
      </c>
      <c r="G285">
        <v>-3.15415E-2</v>
      </c>
      <c r="H285">
        <v>0.30686316502370814</v>
      </c>
      <c r="I285">
        <v>0.4722590766721797</v>
      </c>
      <c r="J285">
        <v>0.41454891024171792</v>
      </c>
      <c r="K285">
        <v>0.34978759707425577</v>
      </c>
      <c r="L285">
        <v>0.12312300098813839</v>
      </c>
      <c r="M285">
        <v>0</v>
      </c>
      <c r="N285">
        <v>0</v>
      </c>
      <c r="O285">
        <v>0</v>
      </c>
      <c r="P285">
        <v>0</v>
      </c>
    </row>
    <row r="286" spans="1:16">
      <c r="B286" t="s">
        <v>113</v>
      </c>
      <c r="C286">
        <v>-0.11661347222222222</v>
      </c>
      <c r="D286">
        <v>-0.31013937499999999</v>
      </c>
      <c r="E286">
        <v>-0.55594437499999994</v>
      </c>
      <c r="F286">
        <v>-0.80174937499999999</v>
      </c>
      <c r="G286">
        <v>-0.83329087499999999</v>
      </c>
      <c r="H286">
        <v>-0.52642770997629185</v>
      </c>
      <c r="I286">
        <v>-5.4168633304112146E-2</v>
      </c>
      <c r="J286">
        <v>0.36038027693760577</v>
      </c>
      <c r="K286">
        <v>0.71016787401186154</v>
      </c>
      <c r="L286">
        <v>0.83329087499999988</v>
      </c>
      <c r="M286">
        <v>0.83329087499999988</v>
      </c>
      <c r="N286">
        <v>0.83329087499999988</v>
      </c>
      <c r="O286">
        <v>0.83329087499999988</v>
      </c>
      <c r="P286">
        <v>0</v>
      </c>
    </row>
    <row r="287" spans="1:16">
      <c r="B287" t="s">
        <v>62</v>
      </c>
      <c r="C287">
        <v>0</v>
      </c>
      <c r="D287">
        <v>0</v>
      </c>
      <c r="E287">
        <v>0</v>
      </c>
      <c r="F287">
        <v>0</v>
      </c>
      <c r="G287">
        <v>0</v>
      </c>
      <c r="H287">
        <v>0</v>
      </c>
      <c r="I287">
        <v>0</v>
      </c>
      <c r="J287">
        <v>9.2978111449902298E-2</v>
      </c>
      <c r="K287">
        <v>9.0245200045157986E-2</v>
      </c>
      <c r="L287">
        <v>3.1765734254939705E-2</v>
      </c>
      <c r="M287">
        <v>0</v>
      </c>
      <c r="N287">
        <v>0</v>
      </c>
      <c r="O287">
        <v>0</v>
      </c>
      <c r="P287">
        <v>0</v>
      </c>
    </row>
    <row r="288" spans="1:16">
      <c r="A288" t="s">
        <v>119</v>
      </c>
      <c r="B288" t="s">
        <v>65</v>
      </c>
      <c r="C288">
        <v>-0.11661347222222222</v>
      </c>
      <c r="D288">
        <v>-0.19352590277777776</v>
      </c>
      <c r="E288">
        <v>-0.245805</v>
      </c>
      <c r="F288">
        <v>-0.245805</v>
      </c>
      <c r="G288">
        <v>-3.15415E-2</v>
      </c>
      <c r="H288">
        <v>0.30686316502370814</v>
      </c>
      <c r="I288">
        <v>0.4722590766721797</v>
      </c>
      <c r="J288">
        <v>0.3215707987918156</v>
      </c>
      <c r="K288">
        <v>0.25954239702909776</v>
      </c>
      <c r="L288">
        <v>9.1357266733198689E-2</v>
      </c>
      <c r="M288">
        <v>0</v>
      </c>
      <c r="N288">
        <v>0</v>
      </c>
      <c r="O288">
        <v>0</v>
      </c>
      <c r="P288">
        <v>0</v>
      </c>
    </row>
    <row r="289" spans="1:16">
      <c r="P289">
        <v>0</v>
      </c>
    </row>
    <row r="290" spans="1:16">
      <c r="B290" t="s">
        <v>107</v>
      </c>
      <c r="C290">
        <v>-0.47</v>
      </c>
      <c r="D290">
        <v>-0.27</v>
      </c>
      <c r="E290">
        <v>-0.14000000000000001</v>
      </c>
      <c r="F290">
        <v>-0.12</v>
      </c>
      <c r="G290">
        <v>0.11227155523387317</v>
      </c>
      <c r="H290">
        <v>0.33574029675201306</v>
      </c>
      <c r="I290">
        <v>0.66804261286528555</v>
      </c>
      <c r="J290">
        <v>0.61453903917488462</v>
      </c>
      <c r="K290">
        <v>0.44403668687234232</v>
      </c>
      <c r="L290">
        <v>0.2003698091016014</v>
      </c>
      <c r="M290">
        <v>0</v>
      </c>
      <c r="N290">
        <v>0</v>
      </c>
      <c r="O290">
        <v>0</v>
      </c>
      <c r="P290">
        <v>0</v>
      </c>
    </row>
    <row r="291" spans="1:16">
      <c r="B291" t="s">
        <v>111</v>
      </c>
      <c r="C291">
        <v>-0.47</v>
      </c>
      <c r="D291">
        <v>-0.74</v>
      </c>
      <c r="E291">
        <v>-0.88</v>
      </c>
      <c r="F291">
        <v>-1</v>
      </c>
      <c r="G291">
        <v>-0.88772844476612689</v>
      </c>
      <c r="H291">
        <v>-0.55198814801411378</v>
      </c>
      <c r="I291">
        <v>0.11605446485117175</v>
      </c>
      <c r="J291">
        <v>0.73059350402605627</v>
      </c>
      <c r="K291">
        <v>1.1746301908983987</v>
      </c>
      <c r="L291">
        <v>1.375</v>
      </c>
      <c r="M291">
        <v>1.375</v>
      </c>
      <c r="N291">
        <v>1.375</v>
      </c>
      <c r="O291">
        <v>1.375</v>
      </c>
      <c r="P291">
        <v>0</v>
      </c>
    </row>
    <row r="292" spans="1:16">
      <c r="B292" t="s">
        <v>112</v>
      </c>
      <c r="C292">
        <v>-0.47</v>
      </c>
      <c r="D292">
        <v>-0.27</v>
      </c>
      <c r="E292">
        <v>-0.14000000000000001</v>
      </c>
      <c r="F292">
        <v>-0.12</v>
      </c>
      <c r="G292">
        <v>0.11818058445670857</v>
      </c>
      <c r="H292">
        <v>0.35341083868632944</v>
      </c>
      <c r="I292">
        <v>0.70320275038451086</v>
      </c>
      <c r="J292">
        <v>0.64688319913145731</v>
      </c>
      <c r="K292">
        <v>0.46740703881299184</v>
      </c>
      <c r="L292">
        <v>0.21091558852800144</v>
      </c>
      <c r="M292">
        <v>0</v>
      </c>
      <c r="N292">
        <v>0</v>
      </c>
      <c r="O292">
        <v>0</v>
      </c>
      <c r="P292">
        <v>0</v>
      </c>
    </row>
    <row r="293" spans="1:16">
      <c r="B293" t="s">
        <v>113</v>
      </c>
      <c r="C293">
        <v>-0.47</v>
      </c>
      <c r="D293">
        <v>-0.74</v>
      </c>
      <c r="E293">
        <v>-0.88</v>
      </c>
      <c r="F293">
        <v>-1</v>
      </c>
      <c r="G293">
        <v>-0.88181941554329157</v>
      </c>
      <c r="H293">
        <v>-0.52840857685696196</v>
      </c>
      <c r="I293">
        <v>0.17479417352754889</v>
      </c>
      <c r="J293">
        <v>0.8216773726590062</v>
      </c>
      <c r="K293">
        <v>1.2890844114719979</v>
      </c>
      <c r="L293">
        <v>1.4999999999999996</v>
      </c>
      <c r="M293">
        <v>1.4999999999999996</v>
      </c>
      <c r="N293">
        <v>1.4999999999999996</v>
      </c>
      <c r="O293">
        <v>1.4999999999999996</v>
      </c>
      <c r="P293">
        <v>0</v>
      </c>
    </row>
    <row r="294" spans="1:16">
      <c r="A294" t="s">
        <v>120</v>
      </c>
      <c r="B294" t="s">
        <v>62</v>
      </c>
      <c r="C294">
        <v>0</v>
      </c>
      <c r="D294">
        <v>0</v>
      </c>
      <c r="E294">
        <v>0</v>
      </c>
      <c r="F294">
        <v>0</v>
      </c>
      <c r="G294">
        <v>0</v>
      </c>
      <c r="H294">
        <v>0</v>
      </c>
      <c r="I294">
        <v>4.5096896770107614E-2</v>
      </c>
      <c r="J294">
        <v>0.166895865375916</v>
      </c>
      <c r="K294">
        <v>0.1205910160137519</v>
      </c>
      <c r="L294">
        <v>5.441622184022437E-2</v>
      </c>
      <c r="M294">
        <v>0</v>
      </c>
      <c r="N294">
        <v>0</v>
      </c>
      <c r="O294">
        <v>0</v>
      </c>
      <c r="P294">
        <v>0</v>
      </c>
    </row>
    <row r="295" spans="1:16">
      <c r="P295">
        <v>0</v>
      </c>
    </row>
    <row r="296" spans="1:16">
      <c r="P296">
        <v>0</v>
      </c>
    </row>
    <row r="297" spans="1:16">
      <c r="P297">
        <v>0</v>
      </c>
    </row>
    <row r="298" spans="1:16">
      <c r="B298" t="s">
        <v>121</v>
      </c>
      <c r="C298">
        <v>-0.14000000000000001</v>
      </c>
      <c r="D298">
        <v>-0.23</v>
      </c>
      <c r="E298">
        <v>-0.08</v>
      </c>
      <c r="F298">
        <v>0.03</v>
      </c>
      <c r="G298">
        <v>0.13</v>
      </c>
      <c r="H298">
        <v>0.22000000000000003</v>
      </c>
      <c r="I298">
        <v>0.25</v>
      </c>
      <c r="J298">
        <v>0.19</v>
      </c>
      <c r="K298">
        <v>0.13</v>
      </c>
      <c r="L298">
        <v>0.05</v>
      </c>
      <c r="M298">
        <v>0.01</v>
      </c>
      <c r="N298">
        <v>0</v>
      </c>
      <c r="O298">
        <v>0</v>
      </c>
      <c r="P298">
        <v>0</v>
      </c>
    </row>
    <row r="299" spans="1:16">
      <c r="B299" t="s">
        <v>99</v>
      </c>
      <c r="C299">
        <v>-0.14000000000000001</v>
      </c>
      <c r="D299">
        <v>-0.37</v>
      </c>
      <c r="E299">
        <v>-0.45</v>
      </c>
      <c r="F299">
        <v>-0.42</v>
      </c>
      <c r="G299">
        <v>-0.29000000000000004</v>
      </c>
      <c r="H299">
        <v>-7.0000000000000007E-2</v>
      </c>
      <c r="I299">
        <v>0.18</v>
      </c>
      <c r="J299">
        <v>0.37</v>
      </c>
      <c r="K299">
        <v>0.5</v>
      </c>
      <c r="L299">
        <v>0.55000000000000004</v>
      </c>
      <c r="M299">
        <v>0.56000000000000005</v>
      </c>
      <c r="N299">
        <v>0.56000000000000005</v>
      </c>
      <c r="O299">
        <v>0.56000000000000005</v>
      </c>
      <c r="P299">
        <v>0</v>
      </c>
    </row>
    <row r="300" spans="1:16">
      <c r="B300" t="s">
        <v>49</v>
      </c>
      <c r="C300">
        <v>-0.14000000000000001</v>
      </c>
      <c r="D300">
        <v>-0.23</v>
      </c>
      <c r="E300">
        <v>-0.08</v>
      </c>
      <c r="F300">
        <v>0.03</v>
      </c>
      <c r="G300">
        <v>0.13</v>
      </c>
      <c r="H300">
        <v>0.22000000000000003</v>
      </c>
      <c r="I300">
        <v>0.25</v>
      </c>
      <c r="J300">
        <v>0.19</v>
      </c>
      <c r="K300">
        <v>0.13</v>
      </c>
      <c r="L300">
        <v>0.05</v>
      </c>
      <c r="M300">
        <v>0.01</v>
      </c>
      <c r="N300">
        <v>0</v>
      </c>
      <c r="O300">
        <v>0</v>
      </c>
      <c r="P300">
        <v>0</v>
      </c>
    </row>
    <row r="301" spans="1:16">
      <c r="B301" t="s">
        <v>78</v>
      </c>
      <c r="C301">
        <v>-0.14000000000000001</v>
      </c>
      <c r="D301">
        <v>-0.37</v>
      </c>
      <c r="E301">
        <v>-0.45</v>
      </c>
      <c r="F301">
        <v>-0.42</v>
      </c>
      <c r="G301">
        <v>-0.29000000000000004</v>
      </c>
      <c r="H301">
        <v>-7.0000000000000007E-2</v>
      </c>
      <c r="I301">
        <v>0.18</v>
      </c>
      <c r="J301">
        <v>0.37</v>
      </c>
      <c r="K301">
        <v>0.5</v>
      </c>
      <c r="L301">
        <v>0.55000000000000004</v>
      </c>
      <c r="M301">
        <v>0.56000000000000005</v>
      </c>
      <c r="N301">
        <v>0</v>
      </c>
      <c r="O301">
        <v>0</v>
      </c>
      <c r="P301">
        <v>0</v>
      </c>
    </row>
    <row r="302" spans="1:16">
      <c r="B302" t="s">
        <v>62</v>
      </c>
      <c r="C302">
        <v>0</v>
      </c>
      <c r="D302">
        <v>0</v>
      </c>
      <c r="E302">
        <v>0</v>
      </c>
      <c r="F302">
        <v>0</v>
      </c>
      <c r="G302">
        <v>0</v>
      </c>
      <c r="H302">
        <v>0</v>
      </c>
      <c r="I302">
        <v>4.6440000000000002E-2</v>
      </c>
      <c r="J302">
        <v>4.9020000000000001E-2</v>
      </c>
      <c r="K302">
        <v>3.354E-2</v>
      </c>
      <c r="L302">
        <v>1.2900000000000002E-2</v>
      </c>
      <c r="M302">
        <v>2.5800000000000003E-3</v>
      </c>
      <c r="N302">
        <v>0</v>
      </c>
      <c r="O302">
        <v>0</v>
      </c>
      <c r="P302">
        <v>0</v>
      </c>
    </row>
    <row r="303" spans="1:16">
      <c r="A303" t="s">
        <v>122</v>
      </c>
      <c r="B303" t="s">
        <v>90</v>
      </c>
      <c r="C303">
        <v>-0.14000000000000001</v>
      </c>
      <c r="D303">
        <v>-0.23</v>
      </c>
      <c r="E303">
        <v>-0.08</v>
      </c>
      <c r="F303">
        <v>0.03</v>
      </c>
      <c r="G303">
        <v>0.13</v>
      </c>
      <c r="H303">
        <v>0.22000000000000003</v>
      </c>
      <c r="I303">
        <v>0.20355999999999999</v>
      </c>
      <c r="J303">
        <v>0.14097999999999999</v>
      </c>
      <c r="K303">
        <v>9.6460000000000004E-2</v>
      </c>
      <c r="L303">
        <v>3.7100000000000001E-2</v>
      </c>
      <c r="M303">
        <v>7.4199999999999995E-3</v>
      </c>
      <c r="N303">
        <v>0</v>
      </c>
      <c r="O303">
        <v>0</v>
      </c>
      <c r="P303">
        <v>0</v>
      </c>
    </row>
    <row r="304" spans="1:16">
      <c r="P304">
        <v>0</v>
      </c>
    </row>
    <row r="305" spans="1:16">
      <c r="B305" t="s">
        <v>231</v>
      </c>
      <c r="C305">
        <v>-0.6</v>
      </c>
      <c r="D305">
        <v>-0.2</v>
      </c>
      <c r="E305">
        <v>-0.2</v>
      </c>
      <c r="F305">
        <v>0</v>
      </c>
      <c r="G305">
        <v>0</v>
      </c>
      <c r="H305">
        <v>0</v>
      </c>
      <c r="I305">
        <v>0</v>
      </c>
      <c r="J305">
        <v>0</v>
      </c>
      <c r="K305">
        <v>0</v>
      </c>
      <c r="L305">
        <v>0</v>
      </c>
      <c r="M305">
        <v>0</v>
      </c>
      <c r="N305">
        <v>0</v>
      </c>
      <c r="O305">
        <v>0</v>
      </c>
      <c r="P305">
        <v>0</v>
      </c>
    </row>
    <row r="306" spans="1:16">
      <c r="B306" t="s">
        <v>232</v>
      </c>
      <c r="C306">
        <v>0</v>
      </c>
      <c r="D306">
        <v>0</v>
      </c>
      <c r="E306">
        <v>0</v>
      </c>
      <c r="F306">
        <v>3.5000000000000003E-2</v>
      </c>
      <c r="G306">
        <v>0.255</v>
      </c>
      <c r="H306">
        <v>0.4</v>
      </c>
      <c r="I306">
        <v>0.65</v>
      </c>
      <c r="J306">
        <v>0.95</v>
      </c>
      <c r="K306">
        <v>1.71</v>
      </c>
      <c r="L306">
        <v>0</v>
      </c>
      <c r="M306">
        <v>0</v>
      </c>
      <c r="N306">
        <v>0</v>
      </c>
      <c r="O306">
        <v>0</v>
      </c>
      <c r="P306">
        <v>0</v>
      </c>
    </row>
    <row r="307" spans="1:16">
      <c r="B307" t="s">
        <v>233</v>
      </c>
      <c r="C307">
        <v>-0.6</v>
      </c>
      <c r="D307">
        <v>-0.2</v>
      </c>
      <c r="E307">
        <v>-0.2</v>
      </c>
      <c r="F307">
        <v>3.5000000000000003E-2</v>
      </c>
      <c r="G307">
        <v>0.255</v>
      </c>
      <c r="H307">
        <v>0.4</v>
      </c>
      <c r="I307">
        <v>0.65</v>
      </c>
      <c r="J307">
        <v>0.95</v>
      </c>
      <c r="K307">
        <v>1.71</v>
      </c>
      <c r="L307">
        <v>0</v>
      </c>
      <c r="M307">
        <v>0</v>
      </c>
      <c r="N307">
        <v>0</v>
      </c>
      <c r="O307">
        <v>0</v>
      </c>
      <c r="P307">
        <v>0</v>
      </c>
    </row>
    <row r="308" spans="1:16">
      <c r="B308" t="s">
        <v>234</v>
      </c>
      <c r="C308">
        <v>-0.4</v>
      </c>
      <c r="D308">
        <v>-0.6</v>
      </c>
      <c r="E308">
        <v>-0.8</v>
      </c>
      <c r="F308">
        <v>-1</v>
      </c>
      <c r="G308">
        <v>-0.96499999999999997</v>
      </c>
      <c r="H308">
        <v>-0.71</v>
      </c>
      <c r="I308">
        <v>-0.31</v>
      </c>
      <c r="J308">
        <v>0.34</v>
      </c>
      <c r="K308">
        <v>1.29</v>
      </c>
      <c r="L308">
        <v>3</v>
      </c>
      <c r="M308">
        <v>3</v>
      </c>
      <c r="N308">
        <v>3</v>
      </c>
      <c r="O308">
        <v>3</v>
      </c>
      <c r="P308">
        <v>0</v>
      </c>
    </row>
    <row r="309" spans="1:16">
      <c r="B309" t="s">
        <v>49</v>
      </c>
      <c r="C309">
        <v>-0.6</v>
      </c>
      <c r="D309">
        <v>-0.2</v>
      </c>
      <c r="E309">
        <v>-0.2</v>
      </c>
      <c r="F309">
        <v>2.1874999999999999E-2</v>
      </c>
      <c r="G309">
        <v>0.15937499999999999</v>
      </c>
      <c r="H309">
        <v>0.25</v>
      </c>
      <c r="I309">
        <v>0.40625</v>
      </c>
      <c r="J309">
        <v>0.59375</v>
      </c>
      <c r="K309">
        <v>1.0687500000000001</v>
      </c>
      <c r="L309">
        <v>0</v>
      </c>
      <c r="M309">
        <v>0</v>
      </c>
      <c r="N309">
        <v>0</v>
      </c>
      <c r="O309">
        <v>0</v>
      </c>
      <c r="P309">
        <v>0</v>
      </c>
    </row>
    <row r="310" spans="1:16">
      <c r="B310" t="s">
        <v>78</v>
      </c>
      <c r="C310">
        <v>-0.6</v>
      </c>
      <c r="D310">
        <v>-0.8</v>
      </c>
      <c r="E310">
        <v>-1</v>
      </c>
      <c r="F310">
        <v>-0.97812500000000002</v>
      </c>
      <c r="G310">
        <v>-0.8187500000000002</v>
      </c>
      <c r="H310">
        <v>-0.56875000000000009</v>
      </c>
      <c r="I310">
        <v>-0.16250000000000009</v>
      </c>
      <c r="J310">
        <v>0.43124999999999991</v>
      </c>
      <c r="K310">
        <v>1.5</v>
      </c>
      <c r="L310">
        <v>1.5</v>
      </c>
      <c r="M310">
        <v>1.5</v>
      </c>
      <c r="N310">
        <v>0</v>
      </c>
      <c r="O310">
        <v>0</v>
      </c>
      <c r="P310">
        <v>0</v>
      </c>
    </row>
    <row r="311" spans="1:16">
      <c r="B311" t="s">
        <v>62</v>
      </c>
      <c r="C311">
        <v>0</v>
      </c>
      <c r="D311">
        <v>0</v>
      </c>
      <c r="E311">
        <v>0</v>
      </c>
      <c r="F311">
        <v>0</v>
      </c>
      <c r="G311">
        <v>0</v>
      </c>
      <c r="H311">
        <v>0</v>
      </c>
      <c r="I311">
        <v>0</v>
      </c>
      <c r="J311">
        <v>0</v>
      </c>
      <c r="K311">
        <v>0</v>
      </c>
      <c r="L311">
        <v>0</v>
      </c>
      <c r="M311">
        <v>0</v>
      </c>
      <c r="N311">
        <v>0</v>
      </c>
      <c r="O311">
        <v>0</v>
      </c>
      <c r="P311">
        <v>0</v>
      </c>
    </row>
    <row r="312" spans="1:16">
      <c r="A312" t="s">
        <v>235</v>
      </c>
      <c r="B312" t="s">
        <v>90</v>
      </c>
      <c r="C312">
        <v>-0.6</v>
      </c>
      <c r="D312">
        <v>-0.2</v>
      </c>
      <c r="E312">
        <v>-0.2</v>
      </c>
      <c r="F312">
        <v>2.1874999999999999E-2</v>
      </c>
      <c r="G312">
        <v>0.15937499999999999</v>
      </c>
      <c r="H312">
        <v>0.25</v>
      </c>
      <c r="I312">
        <v>0.40625</v>
      </c>
      <c r="J312">
        <v>0.59375</v>
      </c>
      <c r="K312">
        <v>1.0687500000000001</v>
      </c>
      <c r="L312">
        <v>0</v>
      </c>
      <c r="M312">
        <v>0</v>
      </c>
      <c r="N312">
        <v>0</v>
      </c>
      <c r="O312">
        <v>0</v>
      </c>
      <c r="P312">
        <v>0</v>
      </c>
    </row>
    <row r="313" spans="1:16">
      <c r="P313">
        <v>0</v>
      </c>
    </row>
    <row r="314" spans="1:16">
      <c r="B314" t="s">
        <v>238</v>
      </c>
      <c r="P314">
        <v>0</v>
      </c>
    </row>
    <row r="315" spans="1:16">
      <c r="B315" t="s">
        <v>238</v>
      </c>
      <c r="C315">
        <v>-0.29499999999999998</v>
      </c>
      <c r="D315">
        <v>-0.20499999999999999</v>
      </c>
      <c r="E315">
        <v>-0.20499999999999999</v>
      </c>
      <c r="F315">
        <v>-0.20499999999999999</v>
      </c>
      <c r="G315">
        <v>-0.109</v>
      </c>
      <c r="H315">
        <v>-1.6E-2</v>
      </c>
      <c r="I315">
        <v>-1.2999999999999999E-2</v>
      </c>
      <c r="J315">
        <v>-8.9999999999999993E-3</v>
      </c>
      <c r="K315">
        <v>-7.0000000000000001E-3</v>
      </c>
      <c r="L315">
        <v>-6.0000000000000001E-3</v>
      </c>
      <c r="M315">
        <v>-5.0000000000000001E-3</v>
      </c>
      <c r="N315">
        <v>0</v>
      </c>
      <c r="O315">
        <v>0</v>
      </c>
      <c r="P315">
        <v>0</v>
      </c>
    </row>
    <row r="316" spans="1:16">
      <c r="B316" t="s">
        <v>238</v>
      </c>
      <c r="C316">
        <v>0</v>
      </c>
      <c r="D316">
        <v>0</v>
      </c>
      <c r="E316">
        <v>0</v>
      </c>
      <c r="F316">
        <v>0.113</v>
      </c>
      <c r="G316">
        <v>0.33800000000000002</v>
      </c>
      <c r="H316">
        <v>0.39400000000000002</v>
      </c>
      <c r="I316">
        <v>0.45</v>
      </c>
      <c r="J316">
        <v>0.30499999999999999</v>
      </c>
      <c r="K316">
        <v>0.18</v>
      </c>
      <c r="L316">
        <v>0.17100000000000001</v>
      </c>
      <c r="M316">
        <v>5.3999999999999999E-2</v>
      </c>
      <c r="N316">
        <v>0</v>
      </c>
      <c r="O316">
        <v>0</v>
      </c>
      <c r="P316">
        <v>0</v>
      </c>
    </row>
    <row r="317" spans="1:16">
      <c r="B317" t="s">
        <v>238</v>
      </c>
      <c r="C317">
        <v>-0.29499999999999998</v>
      </c>
      <c r="D317">
        <v>-0.20499999999999999</v>
      </c>
      <c r="E317">
        <v>-0.20499999999999999</v>
      </c>
      <c r="F317">
        <v>-9.1999999999999998E-2</v>
      </c>
      <c r="G317">
        <v>0.22900000000000001</v>
      </c>
      <c r="H317">
        <v>0.378</v>
      </c>
      <c r="I317">
        <v>0.437</v>
      </c>
      <c r="J317">
        <v>0.29599999999999999</v>
      </c>
      <c r="K317">
        <v>0.17299999999999999</v>
      </c>
      <c r="L317">
        <v>0.16500000000000001</v>
      </c>
      <c r="M317">
        <v>4.9000000000000002E-2</v>
      </c>
      <c r="N317">
        <v>0</v>
      </c>
      <c r="O317">
        <v>0</v>
      </c>
      <c r="P317">
        <v>0</v>
      </c>
    </row>
    <row r="318" spans="1:16">
      <c r="B318" t="s">
        <v>77</v>
      </c>
      <c r="C318">
        <v>-0.29499999999999998</v>
      </c>
      <c r="D318">
        <v>-0.5</v>
      </c>
      <c r="E318">
        <v>-0.70499999999999996</v>
      </c>
      <c r="F318">
        <v>-0.79700000000000004</v>
      </c>
      <c r="G318">
        <v>-0.56799999999999995</v>
      </c>
      <c r="H318">
        <v>-0.18999999999999995</v>
      </c>
      <c r="I318">
        <v>0.24700000000000005</v>
      </c>
      <c r="J318">
        <v>0.54300000000000004</v>
      </c>
      <c r="K318">
        <v>0.71599999999999997</v>
      </c>
      <c r="L318">
        <v>0.88100000000000001</v>
      </c>
      <c r="M318">
        <v>0.93</v>
      </c>
      <c r="N318">
        <v>0.93</v>
      </c>
      <c r="O318">
        <v>0.93</v>
      </c>
      <c r="P318">
        <v>0</v>
      </c>
    </row>
    <row r="319" spans="1:16">
      <c r="B319" t="s">
        <v>49</v>
      </c>
      <c r="C319">
        <v>-0.37013801756587206</v>
      </c>
      <c r="D319">
        <v>-0.25721455457967379</v>
      </c>
      <c r="E319">
        <v>-0.25721455457967379</v>
      </c>
      <c r="F319">
        <v>-0.11543287327478044</v>
      </c>
      <c r="G319">
        <v>0.298349739432542</v>
      </c>
      <c r="H319">
        <v>0.49247249565720896</v>
      </c>
      <c r="I319">
        <v>0.5693398957730168</v>
      </c>
      <c r="J319">
        <v>0.38563983786913719</v>
      </c>
      <c r="K319">
        <v>0.22539085118702951</v>
      </c>
      <c r="L319">
        <v>0.21496815286624202</v>
      </c>
      <c r="M319">
        <v>6.3839027214823388E-2</v>
      </c>
      <c r="N319">
        <v>0</v>
      </c>
      <c r="O319">
        <v>0</v>
      </c>
      <c r="P319">
        <v>0</v>
      </c>
    </row>
    <row r="320" spans="1:16">
      <c r="B320" t="s">
        <v>77</v>
      </c>
      <c r="C320">
        <v>-0.37013801756587206</v>
      </c>
      <c r="D320">
        <v>-0.62735257214554585</v>
      </c>
      <c r="E320">
        <v>-0.88456712672521964</v>
      </c>
      <c r="F320">
        <v>-1</v>
      </c>
      <c r="G320">
        <v>-0.70165026056745794</v>
      </c>
      <c r="H320">
        <v>-0.20917776491024895</v>
      </c>
      <c r="I320">
        <v>0.36016213086276783</v>
      </c>
      <c r="J320">
        <v>0.74580196873190507</v>
      </c>
      <c r="K320">
        <v>0.97119281991893458</v>
      </c>
      <c r="L320">
        <v>1.1861609727851765</v>
      </c>
      <c r="M320">
        <v>1.25</v>
      </c>
      <c r="N320">
        <v>0</v>
      </c>
      <c r="O320">
        <v>0</v>
      </c>
      <c r="P320">
        <v>0</v>
      </c>
    </row>
    <row r="321" spans="1:16">
      <c r="B321" t="s">
        <v>62</v>
      </c>
      <c r="C321">
        <v>0</v>
      </c>
      <c r="D321">
        <v>0</v>
      </c>
      <c r="E321">
        <v>0</v>
      </c>
      <c r="F321">
        <v>0</v>
      </c>
      <c r="G321">
        <v>0</v>
      </c>
      <c r="H321">
        <v>0</v>
      </c>
      <c r="I321">
        <v>9.2921829762594096E-2</v>
      </c>
      <c r="J321">
        <v>9.9495078170237394E-2</v>
      </c>
      <c r="K321">
        <v>5.8150839606253613E-2</v>
      </c>
      <c r="L321">
        <v>5.5461783439490445E-2</v>
      </c>
      <c r="M321">
        <v>1.6470469021424433E-2</v>
      </c>
      <c r="N321">
        <v>0</v>
      </c>
      <c r="O321">
        <v>0</v>
      </c>
      <c r="P321">
        <v>0</v>
      </c>
    </row>
    <row r="322" spans="1:16">
      <c r="A322" t="s">
        <v>238</v>
      </c>
      <c r="B322" t="s">
        <v>90</v>
      </c>
      <c r="C322">
        <v>-0.37013801756587206</v>
      </c>
      <c r="D322">
        <v>-0.25721455457967379</v>
      </c>
      <c r="E322">
        <v>-0.25721455457967379</v>
      </c>
      <c r="F322">
        <v>-0.11543287327478044</v>
      </c>
      <c r="G322">
        <v>0.298349739432542</v>
      </c>
      <c r="H322">
        <v>0.49247249565720896</v>
      </c>
      <c r="I322">
        <v>0.47641806601042275</v>
      </c>
      <c r="J322">
        <v>0.2861447596988998</v>
      </c>
      <c r="K322">
        <v>0.16724001158077589</v>
      </c>
      <c r="L322">
        <v>0.15950636942675156</v>
      </c>
      <c r="M322">
        <v>4.7368558193398955E-2</v>
      </c>
      <c r="N322">
        <v>0</v>
      </c>
      <c r="O322">
        <v>0</v>
      </c>
      <c r="P322">
        <v>0</v>
      </c>
    </row>
    <row r="323" spans="1:16">
      <c r="P323">
        <v>0</v>
      </c>
    </row>
    <row r="324" spans="1:16">
      <c r="B324" t="s">
        <v>107</v>
      </c>
      <c r="C324">
        <v>-1</v>
      </c>
      <c r="D324">
        <v>0.05</v>
      </c>
      <c r="E324">
        <v>0.05</v>
      </c>
      <c r="F324">
        <v>0.05</v>
      </c>
      <c r="G324">
        <v>0.05</v>
      </c>
      <c r="H324">
        <v>1.4</v>
      </c>
      <c r="I324">
        <v>0</v>
      </c>
      <c r="J324">
        <v>0</v>
      </c>
      <c r="K324">
        <v>0</v>
      </c>
      <c r="L324">
        <v>0</v>
      </c>
      <c r="M324">
        <v>0</v>
      </c>
      <c r="N324">
        <v>0</v>
      </c>
      <c r="O324">
        <v>0</v>
      </c>
      <c r="P324">
        <v>0</v>
      </c>
    </row>
    <row r="325" spans="1:16">
      <c r="B325" t="s">
        <v>111</v>
      </c>
      <c r="C325">
        <v>-1</v>
      </c>
      <c r="D325">
        <v>-0.95</v>
      </c>
      <c r="E325">
        <v>-0.8999999999999998</v>
      </c>
      <c r="F325">
        <v>-0.84999999999999987</v>
      </c>
      <c r="G325">
        <v>-0.79999999999999982</v>
      </c>
      <c r="H325">
        <v>0.60000000000000009</v>
      </c>
      <c r="I325">
        <v>0.60000000000000009</v>
      </c>
      <c r="J325">
        <v>0.60000000000000009</v>
      </c>
      <c r="K325">
        <v>0.60000000000000009</v>
      </c>
      <c r="L325">
        <v>0.60000000000000009</v>
      </c>
      <c r="M325">
        <v>0.60000000000000009</v>
      </c>
      <c r="N325">
        <v>0.60000000000000009</v>
      </c>
      <c r="O325">
        <v>0.60000000000000009</v>
      </c>
      <c r="P325">
        <v>0</v>
      </c>
    </row>
    <row r="326" spans="1:16">
      <c r="B326" t="s">
        <v>112</v>
      </c>
      <c r="C326">
        <v>-1</v>
      </c>
      <c r="D326">
        <v>0.05</v>
      </c>
      <c r="E326">
        <v>0.05</v>
      </c>
      <c r="F326">
        <v>0.05</v>
      </c>
      <c r="G326">
        <v>0.05</v>
      </c>
      <c r="H326">
        <v>1.4</v>
      </c>
      <c r="I326">
        <v>0</v>
      </c>
      <c r="J326">
        <v>0</v>
      </c>
      <c r="K326">
        <v>0</v>
      </c>
      <c r="L326">
        <v>0</v>
      </c>
      <c r="M326">
        <v>0</v>
      </c>
      <c r="N326">
        <v>0</v>
      </c>
      <c r="O326">
        <v>0</v>
      </c>
      <c r="P326">
        <v>0</v>
      </c>
    </row>
    <row r="327" spans="1:16">
      <c r="B327" t="s">
        <v>113</v>
      </c>
      <c r="C327">
        <v>-1</v>
      </c>
      <c r="D327">
        <v>-0.95</v>
      </c>
      <c r="E327">
        <v>-0.8999999999999998</v>
      </c>
      <c r="F327">
        <v>-0.84999999999999987</v>
      </c>
      <c r="G327">
        <v>-0.79999999999999982</v>
      </c>
      <c r="H327">
        <v>0.60000000000000009</v>
      </c>
      <c r="I327">
        <v>0.60000000000000009</v>
      </c>
      <c r="J327">
        <v>0.60000000000000009</v>
      </c>
      <c r="K327">
        <v>0.60000000000000009</v>
      </c>
      <c r="L327">
        <v>0.60000000000000009</v>
      </c>
      <c r="M327">
        <v>0.60000000000000009</v>
      </c>
      <c r="N327">
        <v>0.60000000000000009</v>
      </c>
      <c r="O327">
        <v>0.60000000000000009</v>
      </c>
      <c r="P327">
        <v>0</v>
      </c>
    </row>
    <row r="328" spans="1:16">
      <c r="B328" t="s">
        <v>62</v>
      </c>
      <c r="C328">
        <v>0</v>
      </c>
      <c r="D328">
        <v>0</v>
      </c>
      <c r="E328">
        <v>0</v>
      </c>
      <c r="F328">
        <v>0</v>
      </c>
      <c r="G328">
        <v>0</v>
      </c>
      <c r="H328">
        <v>0.15480000000000002</v>
      </c>
      <c r="I328">
        <v>0</v>
      </c>
      <c r="J328">
        <v>0</v>
      </c>
      <c r="K328">
        <v>0</v>
      </c>
      <c r="L328">
        <v>0</v>
      </c>
      <c r="M328">
        <v>0</v>
      </c>
      <c r="N328">
        <v>0</v>
      </c>
      <c r="O328">
        <v>0</v>
      </c>
      <c r="P328">
        <v>0</v>
      </c>
    </row>
    <row r="329" spans="1:16">
      <c r="A329" t="s">
        <v>239</v>
      </c>
      <c r="B329" t="s">
        <v>65</v>
      </c>
      <c r="C329">
        <v>-1</v>
      </c>
      <c r="D329">
        <v>0.05</v>
      </c>
      <c r="E329">
        <v>0.05</v>
      </c>
      <c r="F329">
        <v>0.05</v>
      </c>
      <c r="G329">
        <v>0.05</v>
      </c>
      <c r="H329">
        <v>1.2452000000000001</v>
      </c>
      <c r="I329">
        <v>0</v>
      </c>
      <c r="J329">
        <v>0</v>
      </c>
      <c r="K329">
        <v>0</v>
      </c>
      <c r="L329">
        <v>0</v>
      </c>
      <c r="M329">
        <v>0</v>
      </c>
      <c r="N329">
        <v>0</v>
      </c>
      <c r="O329">
        <v>0</v>
      </c>
      <c r="P329">
        <v>0</v>
      </c>
    </row>
    <row r="330" spans="1:16">
      <c r="P330">
        <v>0</v>
      </c>
    </row>
    <row r="331" spans="1:16">
      <c r="B331" t="s">
        <v>107</v>
      </c>
      <c r="C331">
        <v>-1</v>
      </c>
      <c r="D331">
        <v>0</v>
      </c>
      <c r="E331">
        <v>0</v>
      </c>
      <c r="F331">
        <v>0</v>
      </c>
      <c r="G331">
        <v>3</v>
      </c>
      <c r="P331">
        <v>0</v>
      </c>
    </row>
    <row r="332" spans="1:16">
      <c r="B332" t="s">
        <v>111</v>
      </c>
      <c r="C332">
        <v>-1</v>
      </c>
      <c r="D332">
        <v>-1</v>
      </c>
      <c r="E332">
        <v>-1</v>
      </c>
      <c r="F332">
        <v>-1</v>
      </c>
      <c r="G332">
        <v>2</v>
      </c>
      <c r="P332">
        <v>0</v>
      </c>
    </row>
    <row r="333" spans="1:16">
      <c r="B333" t="s">
        <v>62</v>
      </c>
      <c r="C333">
        <v>0</v>
      </c>
      <c r="D333">
        <v>0</v>
      </c>
      <c r="E333">
        <v>0</v>
      </c>
      <c r="F333">
        <v>0</v>
      </c>
      <c r="G333">
        <v>0.51600000000000001</v>
      </c>
      <c r="H333">
        <v>0</v>
      </c>
      <c r="I333">
        <v>0</v>
      </c>
      <c r="J333">
        <v>0</v>
      </c>
      <c r="K333">
        <v>0</v>
      </c>
      <c r="L333">
        <v>0</v>
      </c>
      <c r="M333">
        <v>0</v>
      </c>
      <c r="N333">
        <v>0</v>
      </c>
      <c r="O333">
        <v>0</v>
      </c>
      <c r="P333">
        <v>0</v>
      </c>
    </row>
    <row r="334" spans="1:16">
      <c r="A334" t="s">
        <v>242</v>
      </c>
      <c r="B334" t="s">
        <v>90</v>
      </c>
      <c r="C334">
        <v>-1</v>
      </c>
      <c r="D334">
        <v>0</v>
      </c>
      <c r="E334">
        <v>0</v>
      </c>
      <c r="F334">
        <v>0</v>
      </c>
      <c r="G334">
        <v>2.484</v>
      </c>
      <c r="H334">
        <v>0</v>
      </c>
      <c r="I334">
        <v>0</v>
      </c>
      <c r="J334">
        <v>0</v>
      </c>
      <c r="K334">
        <v>0</v>
      </c>
      <c r="L334">
        <v>0</v>
      </c>
      <c r="M334">
        <v>0</v>
      </c>
      <c r="N334">
        <v>0</v>
      </c>
      <c r="O334">
        <v>0</v>
      </c>
      <c r="P334">
        <v>0</v>
      </c>
    </row>
    <row r="335" spans="1:16">
      <c r="P335">
        <v>0</v>
      </c>
    </row>
    <row r="336" spans="1:16">
      <c r="P336">
        <v>0</v>
      </c>
    </row>
    <row r="337" spans="1:16">
      <c r="B337" t="s">
        <v>107</v>
      </c>
      <c r="C337">
        <v>-0.2134891158928571</v>
      </c>
      <c r="D337">
        <v>-0.15008858928571425</v>
      </c>
      <c r="E337">
        <v>-0.12625544073660713</v>
      </c>
      <c r="F337">
        <v>-2.8363536429746219E-2</v>
      </c>
      <c r="G337">
        <v>0.2827821146616542</v>
      </c>
      <c r="H337">
        <v>0.32007684426804911</v>
      </c>
      <c r="I337">
        <v>0.25539420284732195</v>
      </c>
      <c r="J337">
        <v>0.21917965114147697</v>
      </c>
      <c r="K337">
        <v>0.15121739538610554</v>
      </c>
      <c r="L337">
        <v>8.9093639666448413E-2</v>
      </c>
      <c r="M337">
        <v>3.7241084555276985E-2</v>
      </c>
      <c r="N337">
        <v>3.6089328847813519E-3</v>
      </c>
      <c r="P337">
        <v>0</v>
      </c>
    </row>
    <row r="338" spans="1:16">
      <c r="B338" t="s">
        <v>111</v>
      </c>
      <c r="C338">
        <v>-0.2134891158928571</v>
      </c>
      <c r="D338">
        <v>-0.36357770517857135</v>
      </c>
      <c r="E338">
        <v>-0.48983314591517846</v>
      </c>
      <c r="F338">
        <v>-0.51819668234492466</v>
      </c>
      <c r="G338">
        <v>-0.23541456768327049</v>
      </c>
      <c r="H338">
        <v>8.4662276584778651E-2</v>
      </c>
      <c r="I338">
        <v>0.3400564794321006</v>
      </c>
      <c r="J338">
        <v>0.55923613057357757</v>
      </c>
      <c r="K338">
        <v>0.71045352595968314</v>
      </c>
      <c r="L338">
        <v>0.7995471656261316</v>
      </c>
      <c r="M338">
        <v>0.83678825018140857</v>
      </c>
      <c r="N338">
        <v>0.84039718306618993</v>
      </c>
      <c r="O338">
        <v>0.84039718306618993</v>
      </c>
      <c r="P338">
        <v>0</v>
      </c>
    </row>
    <row r="339" spans="1:16">
      <c r="B339" t="s">
        <v>112</v>
      </c>
      <c r="C339">
        <v>-0.2134891158928571</v>
      </c>
      <c r="D339">
        <v>-0.15008858928571425</v>
      </c>
      <c r="E339">
        <v>-0.12625544073660713</v>
      </c>
      <c r="F339">
        <v>-1.8799842370713624E-2</v>
      </c>
      <c r="G339">
        <v>0.19462656653133337</v>
      </c>
      <c r="H339">
        <v>0.22029489842598615</v>
      </c>
      <c r="I339">
        <v>0.17577666420542346</v>
      </c>
      <c r="J339">
        <v>0.15085177153527252</v>
      </c>
      <c r="K339">
        <v>0.10407632215008576</v>
      </c>
      <c r="L339">
        <v>6.1319257085292588E-2</v>
      </c>
      <c r="M339">
        <v>2.5631410351283732E-2</v>
      </c>
      <c r="N339">
        <v>2.4838707251603298E-3</v>
      </c>
      <c r="O339">
        <v>0</v>
      </c>
      <c r="P339">
        <v>0</v>
      </c>
    </row>
    <row r="340" spans="1:16">
      <c r="B340" t="s">
        <v>113</v>
      </c>
      <c r="C340">
        <v>-0.2134891158928571</v>
      </c>
      <c r="D340">
        <v>-0.36357770517857135</v>
      </c>
      <c r="E340">
        <v>-0.48983314591517846</v>
      </c>
      <c r="F340">
        <v>-0.5086329882858921</v>
      </c>
      <c r="G340">
        <v>-0.31400642175455873</v>
      </c>
      <c r="H340">
        <v>-9.3711523328572577E-2</v>
      </c>
      <c r="I340">
        <v>8.2065140876850878E-2</v>
      </c>
      <c r="J340">
        <v>0.23291691241212339</v>
      </c>
      <c r="K340">
        <v>0.33699323456220914</v>
      </c>
      <c r="L340">
        <v>0.39831249164750171</v>
      </c>
      <c r="M340">
        <v>0.42394390199878546</v>
      </c>
      <c r="N340">
        <v>0.42642777272394577</v>
      </c>
      <c r="O340">
        <v>0.42642777272394577</v>
      </c>
      <c r="P340">
        <v>0</v>
      </c>
    </row>
    <row r="341" spans="1:16">
      <c r="B341" t="s">
        <v>62</v>
      </c>
      <c r="C341">
        <v>0</v>
      </c>
      <c r="D341">
        <v>0</v>
      </c>
      <c r="E341">
        <v>0</v>
      </c>
      <c r="F341">
        <v>0</v>
      </c>
      <c r="G341">
        <v>0</v>
      </c>
      <c r="H341">
        <v>0</v>
      </c>
      <c r="I341">
        <v>2.1172806346227528E-2</v>
      </c>
      <c r="J341">
        <v>3.8919757056100311E-2</v>
      </c>
      <c r="K341">
        <v>2.6851691114722125E-2</v>
      </c>
      <c r="L341">
        <v>1.5820368328005489E-2</v>
      </c>
      <c r="M341">
        <v>6.6129038706312033E-3</v>
      </c>
      <c r="N341">
        <v>6.408386470913651E-4</v>
      </c>
      <c r="O341">
        <v>0</v>
      </c>
      <c r="P341">
        <v>0</v>
      </c>
    </row>
    <row r="342" spans="1:16">
      <c r="A342" t="s">
        <v>244</v>
      </c>
      <c r="B342" t="s">
        <v>65</v>
      </c>
      <c r="C342">
        <v>-0.2134891158928571</v>
      </c>
      <c r="D342">
        <v>-0.15008858928571425</v>
      </c>
      <c r="E342">
        <v>-0.12625544073660713</v>
      </c>
      <c r="F342">
        <v>-1.8799842370713624E-2</v>
      </c>
      <c r="G342">
        <v>0.19462656653133337</v>
      </c>
      <c r="H342">
        <v>0.22029489842598615</v>
      </c>
      <c r="I342">
        <v>0.15460385785919592</v>
      </c>
      <c r="J342">
        <v>0.1119320144791722</v>
      </c>
      <c r="K342">
        <v>7.7224631035363617E-2</v>
      </c>
      <c r="L342">
        <v>4.5498888757287095E-2</v>
      </c>
      <c r="M342">
        <v>1.9018506480652529E-2</v>
      </c>
      <c r="N342">
        <v>1.8430320780689646E-3</v>
      </c>
      <c r="O342">
        <v>0</v>
      </c>
      <c r="P342">
        <v>0</v>
      </c>
    </row>
    <row r="343" spans="1:16">
      <c r="P343">
        <v>0</v>
      </c>
    </row>
    <row r="344" spans="1:16">
      <c r="B344" t="s">
        <v>107</v>
      </c>
      <c r="C344">
        <v>-0.4</v>
      </c>
      <c r="D344">
        <v>-0.25</v>
      </c>
      <c r="E344">
        <v>-0.111813</v>
      </c>
      <c r="F344">
        <v>6.4560999999999993E-2</v>
      </c>
      <c r="G344">
        <v>0.217309</v>
      </c>
      <c r="H344">
        <v>0.217309</v>
      </c>
      <c r="I344">
        <v>0.217309</v>
      </c>
      <c r="J344">
        <v>0.18742500000000001</v>
      </c>
      <c r="K344">
        <v>7.8986000000000001E-2</v>
      </c>
      <c r="L344">
        <v>9.4499E-2</v>
      </c>
      <c r="M344">
        <v>6.3949000000000006E-2</v>
      </c>
      <c r="N344">
        <v>3.245E-2</v>
      </c>
      <c r="P344">
        <v>0</v>
      </c>
    </row>
    <row r="345" spans="1:16">
      <c r="B345" t="s">
        <v>99</v>
      </c>
      <c r="C345">
        <v>-0.4</v>
      </c>
      <c r="D345">
        <v>-0.65</v>
      </c>
      <c r="E345">
        <v>-0.76181299999999996</v>
      </c>
      <c r="F345">
        <v>-0.69725200000000009</v>
      </c>
      <c r="G345">
        <v>-0.47994300000000018</v>
      </c>
      <c r="H345">
        <v>-0.26263400000000015</v>
      </c>
      <c r="I345">
        <v>-4.5325000000000143E-2</v>
      </c>
      <c r="J345">
        <v>0.14209999999999989</v>
      </c>
      <c r="K345">
        <v>0.22108599999999989</v>
      </c>
      <c r="L345">
        <v>0.31558499999999989</v>
      </c>
      <c r="M345">
        <v>0.37953399999999993</v>
      </c>
      <c r="N345">
        <v>0</v>
      </c>
      <c r="O345">
        <v>0</v>
      </c>
      <c r="P345">
        <v>0</v>
      </c>
    </row>
    <row r="346" spans="1:16">
      <c r="B346" t="s">
        <v>49</v>
      </c>
      <c r="C346">
        <v>-0.4</v>
      </c>
      <c r="D346">
        <v>-0.25</v>
      </c>
      <c r="E346">
        <v>-0.111813</v>
      </c>
      <c r="F346">
        <v>6.4560999999999993E-2</v>
      </c>
      <c r="G346">
        <v>0.217309</v>
      </c>
      <c r="H346">
        <v>0.217309</v>
      </c>
      <c r="I346">
        <v>0.217309</v>
      </c>
      <c r="J346">
        <v>0.18742500000000001</v>
      </c>
      <c r="K346">
        <v>7.8986000000000001E-2</v>
      </c>
      <c r="L346">
        <v>9.4499E-2</v>
      </c>
      <c r="M346">
        <v>6.3949000000000006E-2</v>
      </c>
      <c r="N346">
        <v>3.245E-2</v>
      </c>
      <c r="O346">
        <v>0</v>
      </c>
      <c r="P346">
        <v>0</v>
      </c>
    </row>
    <row r="347" spans="1:16">
      <c r="B347" t="s">
        <v>63</v>
      </c>
      <c r="C347">
        <v>-0.4</v>
      </c>
      <c r="D347">
        <v>-0.65</v>
      </c>
      <c r="E347">
        <v>-0.76181299999999996</v>
      </c>
      <c r="F347">
        <v>-0.69725200000000009</v>
      </c>
      <c r="G347">
        <v>-0.47994300000000018</v>
      </c>
      <c r="H347">
        <v>-0.26263400000000015</v>
      </c>
      <c r="I347">
        <v>-4.5325000000000143E-2</v>
      </c>
      <c r="J347">
        <v>0.14209999999999989</v>
      </c>
      <c r="K347">
        <v>0.22108599999999989</v>
      </c>
      <c r="L347">
        <v>0.31558499999999989</v>
      </c>
      <c r="M347">
        <v>0.37953399999999993</v>
      </c>
      <c r="N347">
        <v>0</v>
      </c>
      <c r="O347">
        <v>0</v>
      </c>
      <c r="P347">
        <v>0</v>
      </c>
    </row>
    <row r="348" spans="1:16">
      <c r="B348" t="s">
        <v>62</v>
      </c>
      <c r="C348">
        <v>0</v>
      </c>
      <c r="D348">
        <v>0</v>
      </c>
      <c r="E348">
        <v>0</v>
      </c>
      <c r="F348">
        <v>0</v>
      </c>
      <c r="G348">
        <v>0</v>
      </c>
      <c r="H348">
        <v>0</v>
      </c>
      <c r="I348">
        <v>0</v>
      </c>
      <c r="J348">
        <v>3.6661799999999967E-2</v>
      </c>
      <c r="K348">
        <v>2.0378388000000001E-2</v>
      </c>
      <c r="L348">
        <v>2.4380742E-2</v>
      </c>
      <c r="M348">
        <v>1.6498842000000003E-2</v>
      </c>
      <c r="N348">
        <v>0</v>
      </c>
      <c r="O348">
        <v>0</v>
      </c>
      <c r="P348">
        <v>0</v>
      </c>
    </row>
    <row r="349" spans="1:16">
      <c r="A349" t="s">
        <v>246</v>
      </c>
      <c r="B349" t="s">
        <v>65</v>
      </c>
      <c r="C349">
        <v>-0.4</v>
      </c>
      <c r="D349">
        <v>-0.25</v>
      </c>
      <c r="E349">
        <v>-0.111813</v>
      </c>
      <c r="F349">
        <v>6.4560999999999993E-2</v>
      </c>
      <c r="G349">
        <v>0.217309</v>
      </c>
      <c r="H349">
        <v>0.217309</v>
      </c>
      <c r="I349">
        <v>0.217309</v>
      </c>
      <c r="J349">
        <v>0.15076320000000004</v>
      </c>
      <c r="K349">
        <v>5.8607612000000003E-2</v>
      </c>
      <c r="L349">
        <v>7.0118258000000003E-2</v>
      </c>
      <c r="M349">
        <v>4.7450158000000006E-2</v>
      </c>
      <c r="N349">
        <v>0</v>
      </c>
      <c r="O349">
        <v>0</v>
      </c>
      <c r="P349">
        <v>0</v>
      </c>
    </row>
    <row r="350" spans="1:16">
      <c r="P350">
        <v>0</v>
      </c>
    </row>
    <row r="351" spans="1:16">
      <c r="B351" t="s">
        <v>107</v>
      </c>
      <c r="C351">
        <v>-0.25</v>
      </c>
      <c r="D351">
        <v>-0.15</v>
      </c>
      <c r="E351">
        <v>-0.15</v>
      </c>
      <c r="F351">
        <v>-0.15</v>
      </c>
      <c r="G351">
        <v>-2.0867E-2</v>
      </c>
      <c r="H351">
        <v>4.8266000000000003E-2</v>
      </c>
      <c r="I351">
        <v>0.363931</v>
      </c>
      <c r="J351">
        <v>0.501224</v>
      </c>
      <c r="K351">
        <v>0.31897999999999999</v>
      </c>
      <c r="L351">
        <v>0.29182200000000003</v>
      </c>
      <c r="M351">
        <v>0.20970900000000001</v>
      </c>
      <c r="N351">
        <v>6.3189999999999996E-2</v>
      </c>
      <c r="O351">
        <v>0</v>
      </c>
      <c r="P351">
        <v>0</v>
      </c>
    </row>
    <row r="352" spans="1:16">
      <c r="B352" t="s">
        <v>99</v>
      </c>
      <c r="C352">
        <v>-0.25</v>
      </c>
      <c r="D352">
        <v>-0.4</v>
      </c>
      <c r="E352">
        <v>-0.55000000000000004</v>
      </c>
      <c r="F352">
        <v>-0.70000000000000007</v>
      </c>
      <c r="G352">
        <v>-0.72086700000000004</v>
      </c>
      <c r="H352">
        <v>-0.672601</v>
      </c>
      <c r="I352">
        <v>-0.30867</v>
      </c>
      <c r="J352">
        <v>0.192554</v>
      </c>
      <c r="K352">
        <v>0.51153399999999993</v>
      </c>
      <c r="L352">
        <v>0.80335599999999996</v>
      </c>
      <c r="M352">
        <v>1.0130649999999999</v>
      </c>
      <c r="N352">
        <v>0</v>
      </c>
      <c r="O352">
        <v>0</v>
      </c>
      <c r="P352">
        <v>0</v>
      </c>
    </row>
    <row r="353" spans="1:16">
      <c r="B353" t="s">
        <v>49</v>
      </c>
      <c r="C353">
        <v>-0.25</v>
      </c>
      <c r="D353">
        <v>-0.15</v>
      </c>
      <c r="E353">
        <v>-0.15</v>
      </c>
      <c r="F353">
        <v>-0.15</v>
      </c>
      <c r="G353">
        <v>-2.0867E-2</v>
      </c>
      <c r="H353">
        <v>4.8266000000000003E-2</v>
      </c>
      <c r="I353">
        <v>0.363931</v>
      </c>
      <c r="J353">
        <v>0.501224</v>
      </c>
      <c r="K353">
        <v>0.31897999999999999</v>
      </c>
      <c r="L353">
        <v>0.29182200000000003</v>
      </c>
      <c r="M353">
        <v>0.20970900000000001</v>
      </c>
      <c r="N353">
        <v>6.3189999999999996E-2</v>
      </c>
      <c r="O353">
        <v>0</v>
      </c>
      <c r="P353">
        <v>0</v>
      </c>
    </row>
    <row r="354" spans="1:16">
      <c r="B354" t="s">
        <v>63</v>
      </c>
      <c r="C354">
        <v>-0.25</v>
      </c>
      <c r="D354">
        <v>-0.4</v>
      </c>
      <c r="E354">
        <v>-0.55000000000000004</v>
      </c>
      <c r="F354">
        <v>-0.70000000000000007</v>
      </c>
      <c r="G354">
        <v>-0.72086700000000004</v>
      </c>
      <c r="H354">
        <v>-0.672601</v>
      </c>
      <c r="I354">
        <v>-0.30867</v>
      </c>
      <c r="J354">
        <v>0.192554</v>
      </c>
      <c r="K354">
        <v>0.51153399999999993</v>
      </c>
      <c r="L354">
        <v>0.80335599999999996</v>
      </c>
      <c r="M354">
        <v>1.0130649999999999</v>
      </c>
      <c r="N354">
        <v>0</v>
      </c>
      <c r="O354">
        <v>0</v>
      </c>
      <c r="P354">
        <v>0</v>
      </c>
    </row>
    <row r="355" spans="1:16">
      <c r="B355" t="s">
        <v>62</v>
      </c>
      <c r="C355">
        <v>0</v>
      </c>
      <c r="D355">
        <v>0</v>
      </c>
      <c r="E355">
        <v>0</v>
      </c>
      <c r="F355">
        <v>0</v>
      </c>
      <c r="G355">
        <v>0</v>
      </c>
      <c r="H355">
        <v>0</v>
      </c>
      <c r="I355">
        <v>0</v>
      </c>
      <c r="J355">
        <v>4.9678932000000002E-2</v>
      </c>
      <c r="K355">
        <v>8.2296839999999996E-2</v>
      </c>
      <c r="L355">
        <v>7.5290076000000011E-2</v>
      </c>
      <c r="M355">
        <v>5.4104922E-2</v>
      </c>
      <c r="N355">
        <v>0</v>
      </c>
      <c r="O355">
        <v>0</v>
      </c>
      <c r="P355">
        <v>0</v>
      </c>
    </row>
    <row r="356" spans="1:16">
      <c r="A356" t="s">
        <v>247</v>
      </c>
      <c r="B356" t="s">
        <v>65</v>
      </c>
      <c r="C356">
        <v>-0.25</v>
      </c>
      <c r="D356">
        <v>-0.15</v>
      </c>
      <c r="E356">
        <v>-0.15</v>
      </c>
      <c r="F356">
        <v>-0.15</v>
      </c>
      <c r="G356">
        <v>-2.0867E-2</v>
      </c>
      <c r="H356">
        <v>4.8266000000000003E-2</v>
      </c>
      <c r="I356">
        <v>0.363931</v>
      </c>
      <c r="J356">
        <v>0.45154506799999999</v>
      </c>
      <c r="K356">
        <v>0.23668316</v>
      </c>
      <c r="L356">
        <v>0.21653192400000001</v>
      </c>
      <c r="M356">
        <v>0.15560407800000001</v>
      </c>
      <c r="N356">
        <v>0</v>
      </c>
      <c r="O356">
        <v>0</v>
      </c>
      <c r="P356">
        <v>0</v>
      </c>
    </row>
    <row r="357" spans="1:16">
      <c r="P357">
        <v>0</v>
      </c>
    </row>
    <row r="358" spans="1:16">
      <c r="B358" t="s">
        <v>107</v>
      </c>
      <c r="C358">
        <v>-0.16500000000000001</v>
      </c>
      <c r="D358">
        <v>-0.17499999999999999</v>
      </c>
      <c r="E358">
        <v>-0.125</v>
      </c>
      <c r="F358">
        <v>-0.103327</v>
      </c>
      <c r="G358">
        <v>1.6683E-2</v>
      </c>
      <c r="H358">
        <v>1.6683E-2</v>
      </c>
      <c r="I358">
        <v>0.27504899999999999</v>
      </c>
      <c r="J358">
        <v>0.287605</v>
      </c>
      <c r="K358">
        <v>0.347381</v>
      </c>
      <c r="L358">
        <v>0.28903499999999999</v>
      </c>
      <c r="M358">
        <v>0.19602800000000001</v>
      </c>
      <c r="N358">
        <v>0.14935399999999999</v>
      </c>
      <c r="O358">
        <v>3.7338999999999997E-2</v>
      </c>
      <c r="P358">
        <v>0</v>
      </c>
    </row>
    <row r="359" spans="1:16">
      <c r="B359" t="s">
        <v>99</v>
      </c>
      <c r="C359">
        <v>-0.16500000000000001</v>
      </c>
      <c r="D359">
        <v>-0.33999999999999997</v>
      </c>
      <c r="E359">
        <v>-0.46500000000000002</v>
      </c>
      <c r="F359">
        <v>-0.56832700000000003</v>
      </c>
      <c r="G359">
        <v>-0.55164400000000002</v>
      </c>
      <c r="H359">
        <v>-0.53496100000000002</v>
      </c>
      <c r="I359">
        <v>-0.25991200000000003</v>
      </c>
      <c r="J359">
        <v>2.7692999999999968E-2</v>
      </c>
      <c r="K359">
        <v>0.37507400000000002</v>
      </c>
      <c r="L359">
        <v>0.66410899999999995</v>
      </c>
      <c r="M359">
        <v>0.86013699999999993</v>
      </c>
      <c r="N359">
        <v>0</v>
      </c>
      <c r="O359">
        <v>0</v>
      </c>
      <c r="P359">
        <v>0</v>
      </c>
    </row>
    <row r="360" spans="1:16">
      <c r="B360" t="s">
        <v>49</v>
      </c>
      <c r="C360">
        <v>-0.16500000000000001</v>
      </c>
      <c r="D360">
        <v>-0.17499999999999999</v>
      </c>
      <c r="E360">
        <v>-0.125</v>
      </c>
      <c r="F360">
        <v>-0.103327</v>
      </c>
      <c r="G360">
        <v>1.6683E-2</v>
      </c>
      <c r="H360">
        <v>1.6683E-2</v>
      </c>
      <c r="I360">
        <v>0.27504899999999999</v>
      </c>
      <c r="J360">
        <v>0.287605</v>
      </c>
      <c r="K360">
        <v>0.347381</v>
      </c>
      <c r="L360">
        <v>0.28903499999999999</v>
      </c>
      <c r="M360">
        <v>0.19602800000000001</v>
      </c>
      <c r="N360">
        <v>0.14935399999999999</v>
      </c>
      <c r="O360">
        <v>3.7338999999999997E-2</v>
      </c>
      <c r="P360">
        <v>0</v>
      </c>
    </row>
    <row r="361" spans="1:16">
      <c r="B361" t="s">
        <v>63</v>
      </c>
      <c r="C361">
        <v>-0.16500000000000001</v>
      </c>
      <c r="D361">
        <v>-0.33999999999999997</v>
      </c>
      <c r="E361">
        <v>-0.46500000000000002</v>
      </c>
      <c r="F361">
        <v>-0.56832700000000003</v>
      </c>
      <c r="G361">
        <v>-0.55164400000000002</v>
      </c>
      <c r="H361">
        <v>-0.53496100000000002</v>
      </c>
      <c r="I361">
        <v>-0.25991200000000003</v>
      </c>
      <c r="J361">
        <v>2.7692999999999968E-2</v>
      </c>
      <c r="K361">
        <v>0.37507400000000002</v>
      </c>
      <c r="L361">
        <v>0.66410899999999995</v>
      </c>
      <c r="M361">
        <v>0.86013699999999993</v>
      </c>
      <c r="N361">
        <v>0</v>
      </c>
      <c r="O361">
        <v>0</v>
      </c>
      <c r="P361">
        <v>0</v>
      </c>
    </row>
    <row r="362" spans="1:16">
      <c r="B362" t="s">
        <v>62</v>
      </c>
      <c r="C362">
        <v>0</v>
      </c>
      <c r="D362">
        <v>0</v>
      </c>
      <c r="E362">
        <v>0</v>
      </c>
      <c r="F362">
        <v>0</v>
      </c>
      <c r="G362">
        <v>0</v>
      </c>
      <c r="H362">
        <v>0</v>
      </c>
      <c r="I362">
        <v>0</v>
      </c>
      <c r="J362">
        <v>7.1447939999999916E-3</v>
      </c>
      <c r="K362">
        <v>8.9624298000000005E-2</v>
      </c>
      <c r="L362">
        <v>7.4571029999999996E-2</v>
      </c>
      <c r="M362">
        <v>5.0575224000000002E-2</v>
      </c>
      <c r="N362">
        <v>0</v>
      </c>
      <c r="O362">
        <v>0</v>
      </c>
      <c r="P362">
        <v>0</v>
      </c>
    </row>
    <row r="363" spans="1:16">
      <c r="A363" t="s">
        <v>248</v>
      </c>
      <c r="B363" t="s">
        <v>65</v>
      </c>
      <c r="C363">
        <v>-0.16500000000000001</v>
      </c>
      <c r="D363">
        <v>-0.17499999999999999</v>
      </c>
      <c r="E363">
        <v>-0.125</v>
      </c>
      <c r="F363">
        <v>-0.103327</v>
      </c>
      <c r="G363">
        <v>1.6683E-2</v>
      </c>
      <c r="H363">
        <v>1.6683E-2</v>
      </c>
      <c r="I363">
        <v>0.27504899999999999</v>
      </c>
      <c r="J363">
        <v>0.28046020599999999</v>
      </c>
      <c r="K363">
        <v>0.257756702</v>
      </c>
      <c r="L363">
        <v>0.21446397</v>
      </c>
      <c r="M363">
        <v>0.14545277600000001</v>
      </c>
      <c r="N363">
        <v>0</v>
      </c>
      <c r="O363">
        <v>0</v>
      </c>
      <c r="P363">
        <v>0</v>
      </c>
    </row>
    <row r="364" spans="1:16">
      <c r="P364">
        <v>0</v>
      </c>
    </row>
    <row r="365" spans="1:16">
      <c r="B365" t="s">
        <v>107</v>
      </c>
      <c r="C365">
        <v>-0.25</v>
      </c>
      <c r="D365">
        <v>-0.15</v>
      </c>
      <c r="E365">
        <v>-0.15</v>
      </c>
      <c r="F365">
        <v>-0.15</v>
      </c>
      <c r="G365">
        <v>-1.9903000000000001E-2</v>
      </c>
      <c r="H365">
        <v>5.0194000000000003E-2</v>
      </c>
      <c r="I365">
        <v>0.37068000000000001</v>
      </c>
      <c r="J365">
        <v>0.50980400000000003</v>
      </c>
      <c r="K365">
        <v>0.32458900000000002</v>
      </c>
      <c r="L365">
        <v>0.29698799999999997</v>
      </c>
      <c r="M365">
        <v>0.21333199999999999</v>
      </c>
      <c r="N365">
        <v>6.4423999999999995E-2</v>
      </c>
      <c r="O365">
        <v>0</v>
      </c>
      <c r="P365">
        <v>0</v>
      </c>
    </row>
    <row r="366" spans="1:16">
      <c r="B366" t="s">
        <v>99</v>
      </c>
      <c r="C366">
        <v>-0.25</v>
      </c>
      <c r="D366">
        <v>-0.4</v>
      </c>
      <c r="E366">
        <v>-0.55000000000000004</v>
      </c>
      <c r="F366">
        <v>-0.70000000000000007</v>
      </c>
      <c r="G366">
        <v>-0.71990300000000007</v>
      </c>
      <c r="H366">
        <v>-0.66970900000000011</v>
      </c>
      <c r="I366">
        <v>-0.2990290000000001</v>
      </c>
      <c r="J366">
        <v>0.21077499999999991</v>
      </c>
      <c r="K366">
        <v>0.53536399999999995</v>
      </c>
      <c r="L366">
        <v>0.83235199999999998</v>
      </c>
      <c r="M366">
        <v>1.0456840000000001</v>
      </c>
      <c r="N366">
        <v>0</v>
      </c>
      <c r="O366">
        <v>0</v>
      </c>
      <c r="P366">
        <v>0</v>
      </c>
    </row>
    <row r="367" spans="1:16">
      <c r="B367" t="s">
        <v>49</v>
      </c>
      <c r="C367">
        <v>-0.25</v>
      </c>
      <c r="D367">
        <v>-0.15</v>
      </c>
      <c r="E367">
        <v>-0.15</v>
      </c>
      <c r="F367">
        <v>-0.15</v>
      </c>
      <c r="G367">
        <v>-1.9903000000000001E-2</v>
      </c>
      <c r="H367">
        <v>5.0194000000000003E-2</v>
      </c>
      <c r="I367">
        <v>0.37068000000000001</v>
      </c>
      <c r="J367">
        <v>0.50980400000000003</v>
      </c>
      <c r="K367">
        <v>0.32458900000000002</v>
      </c>
      <c r="L367">
        <v>0.29698799999999997</v>
      </c>
      <c r="M367">
        <v>0.21333199999999999</v>
      </c>
      <c r="N367">
        <v>6.4423999999999995E-2</v>
      </c>
      <c r="O367">
        <v>0</v>
      </c>
      <c r="P367">
        <v>0</v>
      </c>
    </row>
    <row r="368" spans="1:16">
      <c r="B368" t="s">
        <v>63</v>
      </c>
      <c r="C368">
        <v>-0.25</v>
      </c>
      <c r="D368">
        <v>-0.4</v>
      </c>
      <c r="E368">
        <v>-0.55000000000000004</v>
      </c>
      <c r="F368">
        <v>-0.70000000000000007</v>
      </c>
      <c r="G368">
        <v>-0.71990300000000007</v>
      </c>
      <c r="H368">
        <v>-0.66970900000000011</v>
      </c>
      <c r="I368">
        <v>-0.2990290000000001</v>
      </c>
      <c r="J368">
        <v>0.21077499999999991</v>
      </c>
      <c r="K368">
        <v>0.53536399999999995</v>
      </c>
      <c r="L368">
        <v>0.83235199999999998</v>
      </c>
      <c r="M368">
        <v>1.0456840000000001</v>
      </c>
      <c r="N368">
        <v>0</v>
      </c>
      <c r="O368">
        <v>0</v>
      </c>
      <c r="P368">
        <v>0</v>
      </c>
    </row>
    <row r="369" spans="1:16">
      <c r="B369" t="s">
        <v>62</v>
      </c>
      <c r="C369">
        <v>0</v>
      </c>
      <c r="D369">
        <v>0</v>
      </c>
      <c r="E369">
        <v>0</v>
      </c>
      <c r="F369">
        <v>0</v>
      </c>
      <c r="G369">
        <v>0</v>
      </c>
      <c r="H369">
        <v>0</v>
      </c>
      <c r="I369">
        <v>0</v>
      </c>
      <c r="J369">
        <v>5.4379949999999982E-2</v>
      </c>
      <c r="K369">
        <v>8.3743962000000005E-2</v>
      </c>
      <c r="L369">
        <v>7.6622903999999992E-2</v>
      </c>
      <c r="M369">
        <v>5.5039655999999999E-2</v>
      </c>
      <c r="N369">
        <v>0</v>
      </c>
      <c r="O369">
        <v>0</v>
      </c>
      <c r="P369">
        <v>0</v>
      </c>
    </row>
    <row r="370" spans="1:16">
      <c r="A370" t="s">
        <v>249</v>
      </c>
      <c r="B370" t="s">
        <v>65</v>
      </c>
      <c r="C370">
        <v>-0.25</v>
      </c>
      <c r="D370">
        <v>-0.15</v>
      </c>
      <c r="E370">
        <v>-0.15</v>
      </c>
      <c r="F370">
        <v>-0.15</v>
      </c>
      <c r="G370">
        <v>-1.9903000000000001E-2</v>
      </c>
      <c r="H370">
        <v>5.0194000000000003E-2</v>
      </c>
      <c r="I370">
        <v>0.37068000000000001</v>
      </c>
      <c r="J370">
        <v>0.45542405000000008</v>
      </c>
      <c r="K370">
        <v>0.24084503800000001</v>
      </c>
      <c r="L370">
        <v>0.22036509599999998</v>
      </c>
      <c r="M370">
        <v>0.158292344</v>
      </c>
      <c r="N370">
        <v>0</v>
      </c>
      <c r="O370">
        <v>0</v>
      </c>
      <c r="P370">
        <v>0</v>
      </c>
    </row>
    <row r="371" spans="1:16">
      <c r="P371">
        <v>0</v>
      </c>
    </row>
    <row r="372" spans="1:16">
      <c r="B372" t="s">
        <v>238</v>
      </c>
      <c r="P372">
        <v>0</v>
      </c>
    </row>
    <row r="373" spans="1:16">
      <c r="B373" t="s">
        <v>238</v>
      </c>
      <c r="C373">
        <v>-0.29499999999999998</v>
      </c>
      <c r="D373">
        <v>-0.20499999999999999</v>
      </c>
      <c r="E373">
        <v>-0.20499999999999999</v>
      </c>
      <c r="F373">
        <v>-0.20499999999999999</v>
      </c>
      <c r="G373">
        <v>-0.109</v>
      </c>
      <c r="H373">
        <v>-1.6E-2</v>
      </c>
      <c r="I373">
        <v>-1.2999999999999999E-2</v>
      </c>
      <c r="J373">
        <v>-8.9999999999999993E-3</v>
      </c>
      <c r="K373">
        <v>-7.0000000000000001E-3</v>
      </c>
      <c r="L373">
        <v>-6.0000000000000001E-3</v>
      </c>
      <c r="M373">
        <v>-5.0000000000000001E-3</v>
      </c>
      <c r="N373">
        <v>0</v>
      </c>
      <c r="O373">
        <v>0</v>
      </c>
      <c r="P373">
        <v>0</v>
      </c>
    </row>
    <row r="374" spans="1:16">
      <c r="B374" t="s">
        <v>238</v>
      </c>
      <c r="C374">
        <v>0</v>
      </c>
      <c r="D374">
        <v>0</v>
      </c>
      <c r="E374">
        <v>0</v>
      </c>
      <c r="F374">
        <v>0.113</v>
      </c>
      <c r="G374">
        <v>0.33800000000000002</v>
      </c>
      <c r="H374">
        <v>0.39400000000000002</v>
      </c>
      <c r="I374">
        <v>0.45</v>
      </c>
      <c r="J374">
        <v>0.30499999999999999</v>
      </c>
      <c r="K374">
        <v>0.18</v>
      </c>
      <c r="L374">
        <v>0.17100000000000001</v>
      </c>
      <c r="M374">
        <v>5.3999999999999999E-2</v>
      </c>
      <c r="N374">
        <v>0</v>
      </c>
      <c r="O374">
        <v>0</v>
      </c>
      <c r="P374">
        <v>0</v>
      </c>
    </row>
    <row r="375" spans="1:16">
      <c r="B375" t="s">
        <v>238</v>
      </c>
      <c r="C375">
        <v>-0.29499999999999998</v>
      </c>
      <c r="D375">
        <v>-0.20499999999999999</v>
      </c>
      <c r="E375">
        <v>-0.20499999999999999</v>
      </c>
      <c r="F375">
        <v>-9.1999999999999998E-2</v>
      </c>
      <c r="G375">
        <v>0.22900000000000001</v>
      </c>
      <c r="H375">
        <v>0.378</v>
      </c>
      <c r="I375">
        <v>0.437</v>
      </c>
      <c r="J375">
        <v>0.29599999999999999</v>
      </c>
      <c r="K375">
        <v>0.17299999999999999</v>
      </c>
      <c r="L375">
        <v>0.16500000000000001</v>
      </c>
      <c r="M375">
        <v>4.9000000000000002E-2</v>
      </c>
      <c r="N375">
        <v>0</v>
      </c>
      <c r="O375">
        <v>0</v>
      </c>
      <c r="P375">
        <v>0</v>
      </c>
    </row>
    <row r="376" spans="1:16">
      <c r="B376" t="s">
        <v>77</v>
      </c>
      <c r="C376">
        <v>-0.29499999999999998</v>
      </c>
      <c r="D376">
        <v>-0.5</v>
      </c>
      <c r="E376">
        <v>-0.70499999999999996</v>
      </c>
      <c r="F376">
        <v>-0.79700000000000004</v>
      </c>
      <c r="G376">
        <v>-0.56799999999999995</v>
      </c>
      <c r="H376">
        <v>-0.18999999999999995</v>
      </c>
      <c r="I376">
        <v>0.24700000000000005</v>
      </c>
      <c r="J376">
        <v>0.54300000000000004</v>
      </c>
      <c r="K376">
        <v>0.71599999999999997</v>
      </c>
      <c r="L376">
        <v>0.88100000000000001</v>
      </c>
      <c r="M376">
        <v>0.93</v>
      </c>
      <c r="N376">
        <v>0.93</v>
      </c>
      <c r="O376">
        <v>0.93</v>
      </c>
      <c r="P376">
        <v>0</v>
      </c>
    </row>
    <row r="377" spans="1:16">
      <c r="B377" t="s">
        <v>49</v>
      </c>
      <c r="C377">
        <v>-0.37013801756587206</v>
      </c>
      <c r="D377">
        <v>-0.25721455457967379</v>
      </c>
      <c r="E377">
        <v>-0.25721455457967379</v>
      </c>
      <c r="F377">
        <v>-0.11543287327478044</v>
      </c>
      <c r="G377">
        <v>0.298349739432542</v>
      </c>
      <c r="H377">
        <v>0.49247249565720896</v>
      </c>
      <c r="I377">
        <v>0.5693398957730168</v>
      </c>
      <c r="J377">
        <v>0.38563983786913719</v>
      </c>
      <c r="K377">
        <v>0.22539085118702951</v>
      </c>
      <c r="L377">
        <v>0.21496815286624202</v>
      </c>
      <c r="M377">
        <v>6.3839027214823388E-2</v>
      </c>
      <c r="N377">
        <v>0</v>
      </c>
      <c r="O377">
        <v>0</v>
      </c>
      <c r="P377">
        <v>0</v>
      </c>
    </row>
    <row r="378" spans="1:16">
      <c r="B378" t="s">
        <v>77</v>
      </c>
      <c r="C378">
        <v>-0.37013801756587206</v>
      </c>
      <c r="D378">
        <v>-0.62735257214554585</v>
      </c>
      <c r="E378">
        <v>-0.88456712672521964</v>
      </c>
      <c r="F378">
        <v>-1</v>
      </c>
      <c r="G378">
        <v>-0.70165026056745794</v>
      </c>
      <c r="H378">
        <v>-0.20917776491024895</v>
      </c>
      <c r="I378">
        <v>0.36016213086276783</v>
      </c>
      <c r="J378">
        <v>0.74580196873190507</v>
      </c>
      <c r="K378">
        <v>0.97119281991893458</v>
      </c>
      <c r="L378">
        <v>1.1861609727851765</v>
      </c>
      <c r="M378">
        <v>1.25</v>
      </c>
      <c r="N378">
        <v>0</v>
      </c>
      <c r="O378">
        <v>0</v>
      </c>
      <c r="P378">
        <v>0</v>
      </c>
    </row>
    <row r="379" spans="1:16">
      <c r="B379" t="s">
        <v>62</v>
      </c>
      <c r="C379">
        <v>0</v>
      </c>
      <c r="D379">
        <v>0</v>
      </c>
      <c r="E379">
        <v>0</v>
      </c>
      <c r="F379">
        <v>0</v>
      </c>
      <c r="G379">
        <v>0</v>
      </c>
      <c r="H379">
        <v>0</v>
      </c>
      <c r="I379">
        <v>9.2921829762594096E-2</v>
      </c>
      <c r="J379">
        <v>9.9495078170237394E-2</v>
      </c>
      <c r="K379">
        <v>5.8150839606253613E-2</v>
      </c>
      <c r="L379">
        <v>5.5461783439490445E-2</v>
      </c>
      <c r="M379">
        <v>1.6470469021424433E-2</v>
      </c>
      <c r="N379">
        <v>0</v>
      </c>
      <c r="O379">
        <v>0</v>
      </c>
      <c r="P379">
        <v>0</v>
      </c>
    </row>
    <row r="380" spans="1:16">
      <c r="A380" t="s">
        <v>238</v>
      </c>
      <c r="B380" t="s">
        <v>90</v>
      </c>
      <c r="C380">
        <v>-0.37013801756587206</v>
      </c>
      <c r="D380">
        <v>-0.25721455457967379</v>
      </c>
      <c r="E380">
        <v>-0.25721455457967379</v>
      </c>
      <c r="F380">
        <v>-0.11543287327478044</v>
      </c>
      <c r="G380">
        <v>0.298349739432542</v>
      </c>
      <c r="H380">
        <v>0.49247249565720896</v>
      </c>
      <c r="I380">
        <v>0.47641806601042275</v>
      </c>
      <c r="J380">
        <v>0.2861447596988998</v>
      </c>
      <c r="K380">
        <v>0.16724001158077589</v>
      </c>
      <c r="L380">
        <v>0.15950636942675156</v>
      </c>
      <c r="M380">
        <v>4.7368558193398955E-2</v>
      </c>
      <c r="N380">
        <v>0</v>
      </c>
      <c r="O380">
        <v>0</v>
      </c>
      <c r="P380">
        <v>0</v>
      </c>
    </row>
    <row r="381" spans="1:16">
      <c r="P381">
        <v>0</v>
      </c>
    </row>
    <row r="382" spans="1:16">
      <c r="P382">
        <v>0</v>
      </c>
    </row>
    <row r="383" spans="1:16">
      <c r="B383" t="s">
        <v>96</v>
      </c>
      <c r="C383">
        <v>-0.35099999999999998</v>
      </c>
      <c r="D383">
        <v>-0.308</v>
      </c>
      <c r="E383">
        <v>-0.2271</v>
      </c>
      <c r="F383">
        <v>-1.9599999999999999E-2</v>
      </c>
      <c r="G383">
        <v>-3.7000000000000002E-3</v>
      </c>
      <c r="H383">
        <v>-3.0000000000000001E-3</v>
      </c>
      <c r="I383">
        <v>0</v>
      </c>
      <c r="J383">
        <v>0</v>
      </c>
      <c r="K383">
        <v>0</v>
      </c>
      <c r="L383">
        <v>0</v>
      </c>
      <c r="M383">
        <v>0</v>
      </c>
      <c r="N383">
        <v>0</v>
      </c>
      <c r="O383">
        <v>0</v>
      </c>
      <c r="P383">
        <v>0</v>
      </c>
    </row>
    <row r="384" spans="1:16">
      <c r="B384" t="s">
        <v>97</v>
      </c>
      <c r="C384">
        <v>0.05</v>
      </c>
      <c r="D384">
        <v>0</v>
      </c>
      <c r="E384">
        <v>0.16089999999999999</v>
      </c>
      <c r="F384">
        <v>0.69810000000000005</v>
      </c>
      <c r="G384">
        <v>1.1205000000000001</v>
      </c>
      <c r="H384">
        <v>3.39E-2</v>
      </c>
      <c r="I384">
        <v>0</v>
      </c>
      <c r="J384">
        <v>0</v>
      </c>
      <c r="K384">
        <v>0</v>
      </c>
      <c r="L384">
        <v>0</v>
      </c>
      <c r="M384">
        <v>0</v>
      </c>
      <c r="N384">
        <v>0</v>
      </c>
      <c r="O384">
        <v>0</v>
      </c>
      <c r="P384">
        <v>0</v>
      </c>
    </row>
    <row r="385" spans="1:16">
      <c r="B385" t="s">
        <v>98</v>
      </c>
      <c r="C385">
        <v>-0.30099999999999999</v>
      </c>
      <c r="D385">
        <v>-0.308</v>
      </c>
      <c r="E385">
        <v>-6.6200000000000009E-2</v>
      </c>
      <c r="F385">
        <v>0.6785000000000001</v>
      </c>
      <c r="G385">
        <v>1.1168</v>
      </c>
      <c r="H385">
        <v>3.09E-2</v>
      </c>
      <c r="I385">
        <v>0</v>
      </c>
      <c r="J385">
        <v>0</v>
      </c>
      <c r="K385">
        <v>0</v>
      </c>
      <c r="L385">
        <v>0</v>
      </c>
      <c r="M385">
        <v>0</v>
      </c>
      <c r="N385">
        <v>0</v>
      </c>
      <c r="O385">
        <v>0</v>
      </c>
      <c r="P385">
        <v>0</v>
      </c>
    </row>
    <row r="386" spans="1:16">
      <c r="B386" t="s">
        <v>99</v>
      </c>
      <c r="C386">
        <v>-0.30099999999999999</v>
      </c>
      <c r="D386">
        <v>-0.60899999999999999</v>
      </c>
      <c r="E386">
        <v>-0.67520000000000002</v>
      </c>
      <c r="F386">
        <v>3.3000000000000806E-3</v>
      </c>
      <c r="G386">
        <v>1.1201000000000001</v>
      </c>
      <c r="H386">
        <v>1.151</v>
      </c>
      <c r="I386">
        <v>1.151</v>
      </c>
      <c r="J386">
        <v>1.151</v>
      </c>
      <c r="K386">
        <v>1.151</v>
      </c>
      <c r="L386">
        <v>1.151</v>
      </c>
      <c r="M386">
        <v>1.151</v>
      </c>
      <c r="N386">
        <v>0</v>
      </c>
      <c r="O386">
        <v>0</v>
      </c>
      <c r="P386">
        <v>0</v>
      </c>
    </row>
    <row r="387" spans="1:16">
      <c r="B387" t="s">
        <v>49</v>
      </c>
      <c r="C387">
        <v>-0.30099999999999999</v>
      </c>
      <c r="D387">
        <v>-0.308</v>
      </c>
      <c r="E387">
        <v>-4.1232068181818189E-2</v>
      </c>
      <c r="F387">
        <v>0.4225975568181819</v>
      </c>
      <c r="G387">
        <v>0.69558872727272725</v>
      </c>
      <c r="H387">
        <v>1.9245784090909091E-2</v>
      </c>
      <c r="I387">
        <v>0</v>
      </c>
      <c r="J387">
        <v>0</v>
      </c>
      <c r="K387">
        <v>0</v>
      </c>
      <c r="L387">
        <v>0</v>
      </c>
      <c r="M387">
        <v>0</v>
      </c>
      <c r="N387">
        <v>0</v>
      </c>
      <c r="O387">
        <v>0</v>
      </c>
      <c r="P387">
        <v>0</v>
      </c>
    </row>
    <row r="388" spans="1:16">
      <c r="B388" t="s">
        <v>78</v>
      </c>
      <c r="C388">
        <v>-0.30099999999999999</v>
      </c>
      <c r="D388">
        <v>-0.60899999999999999</v>
      </c>
      <c r="E388">
        <v>-0.65023206818181822</v>
      </c>
      <c r="F388">
        <v>-0.22763451136363633</v>
      </c>
      <c r="G388">
        <v>0.46795421590909086</v>
      </c>
      <c r="H388">
        <v>0.48720000000000002</v>
      </c>
      <c r="I388">
        <v>0.48720000000000002</v>
      </c>
      <c r="J388">
        <v>0.48720000000000002</v>
      </c>
      <c r="K388">
        <v>0.48720000000000002</v>
      </c>
      <c r="L388">
        <v>0.48720000000000002</v>
      </c>
      <c r="M388">
        <v>0.48720000000000002</v>
      </c>
      <c r="N388">
        <v>0</v>
      </c>
      <c r="O388">
        <v>0</v>
      </c>
      <c r="P388">
        <v>0</v>
      </c>
    </row>
    <row r="389" spans="1:16">
      <c r="B389" t="s">
        <v>62</v>
      </c>
      <c r="C389">
        <v>0</v>
      </c>
      <c r="D389">
        <v>0</v>
      </c>
      <c r="E389">
        <v>0</v>
      </c>
      <c r="F389">
        <v>0</v>
      </c>
      <c r="G389">
        <v>0.12073218770454544</v>
      </c>
      <c r="H389">
        <v>4.965412295454546E-3</v>
      </c>
      <c r="I389">
        <v>0</v>
      </c>
      <c r="J389">
        <v>0</v>
      </c>
      <c r="K389">
        <v>0</v>
      </c>
      <c r="L389">
        <v>0</v>
      </c>
      <c r="M389">
        <v>0</v>
      </c>
      <c r="N389">
        <v>0</v>
      </c>
      <c r="O389">
        <v>0</v>
      </c>
      <c r="P389">
        <v>0</v>
      </c>
    </row>
    <row r="390" spans="1:16">
      <c r="A390" t="s">
        <v>254</v>
      </c>
      <c r="B390" t="s">
        <v>90</v>
      </c>
      <c r="C390">
        <v>-0.30099999999999999</v>
      </c>
      <c r="D390">
        <v>-0.308</v>
      </c>
      <c r="E390">
        <v>-4.1232068181818189E-2</v>
      </c>
      <c r="F390">
        <v>0.4225975568181819</v>
      </c>
      <c r="G390">
        <v>0.57485653956818183</v>
      </c>
      <c r="H390">
        <v>1.4280371795454546E-2</v>
      </c>
      <c r="I390">
        <v>0</v>
      </c>
      <c r="J390">
        <v>0</v>
      </c>
      <c r="K390">
        <v>0</v>
      </c>
      <c r="L390">
        <v>0</v>
      </c>
      <c r="M390">
        <v>0</v>
      </c>
      <c r="N390">
        <v>0</v>
      </c>
      <c r="O390">
        <v>0</v>
      </c>
      <c r="P390">
        <v>0</v>
      </c>
    </row>
    <row r="391" spans="1:16">
      <c r="P391">
        <v>0</v>
      </c>
    </row>
    <row r="392" spans="1:16">
      <c r="B392" t="s">
        <v>107</v>
      </c>
      <c r="C392">
        <v>-0.47</v>
      </c>
      <c r="D392">
        <v>-0.27</v>
      </c>
      <c r="E392">
        <v>-0.14000000000000001</v>
      </c>
      <c r="F392">
        <v>-0.12</v>
      </c>
      <c r="G392">
        <v>0.11227155523387317</v>
      </c>
      <c r="H392">
        <v>0.33574029675201306</v>
      </c>
      <c r="I392">
        <v>0.66804261286528555</v>
      </c>
      <c r="J392">
        <v>0.61453903917488462</v>
      </c>
      <c r="K392">
        <v>0.44403668687234232</v>
      </c>
      <c r="L392">
        <v>0.2003698091016014</v>
      </c>
      <c r="M392">
        <v>0</v>
      </c>
      <c r="N392">
        <v>0</v>
      </c>
      <c r="O392">
        <v>0</v>
      </c>
      <c r="P392">
        <v>0</v>
      </c>
    </row>
    <row r="393" spans="1:16">
      <c r="B393" t="s">
        <v>111</v>
      </c>
      <c r="C393">
        <v>-0.47</v>
      </c>
      <c r="D393">
        <v>-0.74</v>
      </c>
      <c r="E393">
        <v>-0.88</v>
      </c>
      <c r="F393">
        <v>-1</v>
      </c>
      <c r="G393">
        <v>-0.88772844476612689</v>
      </c>
      <c r="H393">
        <v>-0.55198814801411378</v>
      </c>
      <c r="I393">
        <v>0.11605446485117175</v>
      </c>
      <c r="J393">
        <v>0.73059350402605627</v>
      </c>
      <c r="K393">
        <v>1.1746301908983987</v>
      </c>
      <c r="L393">
        <v>1.375</v>
      </c>
      <c r="M393">
        <v>1.375</v>
      </c>
      <c r="N393">
        <v>1.375</v>
      </c>
      <c r="O393">
        <v>1.375</v>
      </c>
      <c r="P393">
        <v>0</v>
      </c>
    </row>
    <row r="394" spans="1:16">
      <c r="B394" t="s">
        <v>112</v>
      </c>
      <c r="C394">
        <v>-0.47</v>
      </c>
      <c r="D394">
        <v>-0.27</v>
      </c>
      <c r="E394">
        <v>-0.14000000000000001</v>
      </c>
      <c r="F394">
        <v>-0.12</v>
      </c>
      <c r="G394">
        <v>0.17788865536692469</v>
      </c>
      <c r="H394">
        <v>0.53196368231735847</v>
      </c>
      <c r="I394">
        <v>1.0584800565277872</v>
      </c>
      <c r="J394">
        <v>0.97370632411369284</v>
      </c>
      <c r="K394">
        <v>0.70355388768564553</v>
      </c>
      <c r="L394">
        <v>0.31747592560699955</v>
      </c>
      <c r="M394">
        <v>0</v>
      </c>
      <c r="N394">
        <v>0</v>
      </c>
      <c r="O394">
        <v>0</v>
      </c>
      <c r="P394">
        <v>0</v>
      </c>
    </row>
    <row r="395" spans="1:16">
      <c r="B395" t="s">
        <v>113</v>
      </c>
      <c r="C395">
        <v>-0.47</v>
      </c>
      <c r="D395">
        <v>-0.74</v>
      </c>
      <c r="E395">
        <v>-0.88</v>
      </c>
      <c r="F395">
        <v>-1</v>
      </c>
      <c r="G395">
        <v>-0.82211134463307534</v>
      </c>
      <c r="H395">
        <v>-0.29014766231571687</v>
      </c>
      <c r="I395">
        <v>0.76833239421207045</v>
      </c>
      <c r="J395">
        <v>1.7420387183257633</v>
      </c>
      <c r="K395">
        <v>2.4455926060114086</v>
      </c>
      <c r="L395">
        <v>2.763068531618408</v>
      </c>
      <c r="M395">
        <v>2.763068531618408</v>
      </c>
      <c r="N395">
        <v>2.763068531618408</v>
      </c>
      <c r="O395">
        <v>2.763068531618408</v>
      </c>
      <c r="P395">
        <v>0</v>
      </c>
    </row>
    <row r="396" spans="1:16">
      <c r="B396" t="s">
        <v>62</v>
      </c>
      <c r="C396">
        <v>0</v>
      </c>
      <c r="D396">
        <v>0</v>
      </c>
      <c r="E396">
        <v>0</v>
      </c>
      <c r="F396">
        <v>0</v>
      </c>
      <c r="G396">
        <v>0</v>
      </c>
      <c r="H396">
        <v>0</v>
      </c>
      <c r="I396">
        <v>0.19822975770671417</v>
      </c>
      <c r="J396">
        <v>0.25121623162133278</v>
      </c>
      <c r="K396">
        <v>0.18151690302289655</v>
      </c>
      <c r="L396">
        <v>8.1908788806605889E-2</v>
      </c>
      <c r="M396">
        <v>0</v>
      </c>
      <c r="N396">
        <v>0</v>
      </c>
      <c r="O396">
        <v>0</v>
      </c>
      <c r="P396">
        <v>0</v>
      </c>
    </row>
    <row r="397" spans="1:16">
      <c r="A397" t="s">
        <v>259</v>
      </c>
      <c r="B397" t="s">
        <v>65</v>
      </c>
      <c r="C397">
        <v>-0.47</v>
      </c>
      <c r="D397">
        <v>-0.27</v>
      </c>
      <c r="E397">
        <v>-0.14000000000000001</v>
      </c>
      <c r="F397">
        <v>-0.12</v>
      </c>
      <c r="G397">
        <v>0.17788865536692469</v>
      </c>
      <c r="H397">
        <v>0.53196368231735847</v>
      </c>
      <c r="I397">
        <v>0.86025029882107307</v>
      </c>
      <c r="J397">
        <v>0.72249009249235996</v>
      </c>
      <c r="K397">
        <v>0.52203698466274895</v>
      </c>
      <c r="L397">
        <v>0.23556713680039365</v>
      </c>
      <c r="M397">
        <v>0</v>
      </c>
      <c r="N397">
        <v>0</v>
      </c>
      <c r="O397">
        <v>0</v>
      </c>
      <c r="P397">
        <v>0</v>
      </c>
    </row>
    <row r="398" spans="1:16">
      <c r="P398">
        <v>0</v>
      </c>
    </row>
    <row r="399" spans="1:16">
      <c r="B399" t="s">
        <v>107</v>
      </c>
      <c r="C399">
        <v>-1</v>
      </c>
      <c r="D399">
        <v>0</v>
      </c>
      <c r="E399">
        <v>0</v>
      </c>
      <c r="F399">
        <v>0</v>
      </c>
      <c r="G399">
        <v>0</v>
      </c>
      <c r="H399">
        <v>2</v>
      </c>
      <c r="I399">
        <v>0</v>
      </c>
      <c r="J399">
        <v>0</v>
      </c>
      <c r="K399">
        <v>0</v>
      </c>
      <c r="L399">
        <v>0</v>
      </c>
      <c r="M399">
        <v>0</v>
      </c>
      <c r="N399">
        <v>0</v>
      </c>
      <c r="O399">
        <v>0</v>
      </c>
      <c r="P399">
        <v>0</v>
      </c>
    </row>
    <row r="400" spans="1:16">
      <c r="B400" t="s">
        <v>99</v>
      </c>
      <c r="C400">
        <v>-1</v>
      </c>
      <c r="D400">
        <v>-1</v>
      </c>
      <c r="E400">
        <v>-1</v>
      </c>
      <c r="F400">
        <v>-1</v>
      </c>
      <c r="G400">
        <v>-1</v>
      </c>
      <c r="H400">
        <v>1</v>
      </c>
      <c r="I400">
        <v>1</v>
      </c>
      <c r="J400">
        <v>1</v>
      </c>
      <c r="K400">
        <v>1</v>
      </c>
      <c r="L400">
        <v>1</v>
      </c>
      <c r="M400">
        <v>1</v>
      </c>
      <c r="N400">
        <v>0</v>
      </c>
      <c r="O400">
        <v>0</v>
      </c>
      <c r="P400">
        <v>0</v>
      </c>
    </row>
    <row r="401" spans="1:16">
      <c r="B401" t="s">
        <v>62</v>
      </c>
      <c r="C401">
        <v>0</v>
      </c>
      <c r="D401">
        <v>0</v>
      </c>
      <c r="E401">
        <v>0</v>
      </c>
      <c r="F401">
        <v>0</v>
      </c>
      <c r="G401">
        <v>0</v>
      </c>
      <c r="H401">
        <v>0.25800000000000001</v>
      </c>
      <c r="I401">
        <v>0</v>
      </c>
      <c r="J401">
        <v>0</v>
      </c>
      <c r="K401">
        <v>0</v>
      </c>
      <c r="L401">
        <v>0</v>
      </c>
      <c r="M401">
        <v>0</v>
      </c>
      <c r="N401">
        <v>0</v>
      </c>
      <c r="O401">
        <v>0</v>
      </c>
      <c r="P401">
        <v>0</v>
      </c>
    </row>
    <row r="402" spans="1:16">
      <c r="A402" t="s">
        <v>242</v>
      </c>
      <c r="B402" t="s">
        <v>65</v>
      </c>
      <c r="C402">
        <v>-1</v>
      </c>
      <c r="D402">
        <v>0</v>
      </c>
      <c r="E402">
        <v>0</v>
      </c>
      <c r="F402">
        <v>0</v>
      </c>
      <c r="G402">
        <v>0</v>
      </c>
      <c r="H402">
        <v>1.742</v>
      </c>
      <c r="I402">
        <v>0</v>
      </c>
      <c r="J402">
        <v>0</v>
      </c>
      <c r="K402">
        <v>0</v>
      </c>
      <c r="L402">
        <v>0</v>
      </c>
      <c r="M402">
        <v>0</v>
      </c>
      <c r="N402">
        <v>0</v>
      </c>
      <c r="O402">
        <v>0</v>
      </c>
      <c r="P402">
        <v>0</v>
      </c>
    </row>
    <row r="403" spans="1:16">
      <c r="P403">
        <v>0</v>
      </c>
    </row>
    <row r="404" spans="1:16">
      <c r="B404" t="s">
        <v>107</v>
      </c>
      <c r="C404">
        <v>-1</v>
      </c>
      <c r="D404">
        <v>0</v>
      </c>
      <c r="E404">
        <v>0</v>
      </c>
      <c r="F404">
        <v>0</v>
      </c>
      <c r="G404">
        <v>0</v>
      </c>
      <c r="H404">
        <v>0</v>
      </c>
      <c r="I404">
        <v>0</v>
      </c>
      <c r="J404">
        <v>0</v>
      </c>
      <c r="K404">
        <v>0</v>
      </c>
      <c r="L404">
        <v>0</v>
      </c>
      <c r="M404">
        <v>2.4782276134586465</v>
      </c>
      <c r="N404">
        <v>0</v>
      </c>
      <c r="O404">
        <v>0</v>
      </c>
      <c r="P404">
        <v>0</v>
      </c>
    </row>
    <row r="405" spans="1:16">
      <c r="B405" t="s">
        <v>99</v>
      </c>
      <c r="C405">
        <v>-1</v>
      </c>
      <c r="D405">
        <v>-1</v>
      </c>
      <c r="E405">
        <v>-1</v>
      </c>
      <c r="F405">
        <v>-1</v>
      </c>
      <c r="G405">
        <v>-1</v>
      </c>
      <c r="H405">
        <v>-1</v>
      </c>
      <c r="I405">
        <v>-1</v>
      </c>
      <c r="J405">
        <v>-1</v>
      </c>
      <c r="K405">
        <v>-1</v>
      </c>
      <c r="L405">
        <v>-1</v>
      </c>
      <c r="M405">
        <v>1.4782276134586465</v>
      </c>
      <c r="N405">
        <v>0</v>
      </c>
      <c r="O405">
        <v>0</v>
      </c>
      <c r="P405">
        <v>0</v>
      </c>
    </row>
    <row r="406" spans="1:16">
      <c r="B406" t="s">
        <v>62</v>
      </c>
      <c r="C406">
        <v>0</v>
      </c>
      <c r="D406">
        <v>0</v>
      </c>
      <c r="E406">
        <v>0</v>
      </c>
      <c r="F406">
        <v>0</v>
      </c>
      <c r="G406">
        <v>0</v>
      </c>
      <c r="H406">
        <v>0</v>
      </c>
      <c r="I406">
        <v>0</v>
      </c>
      <c r="J406">
        <v>0</v>
      </c>
      <c r="K406">
        <v>0</v>
      </c>
      <c r="L406">
        <v>0</v>
      </c>
      <c r="M406">
        <v>0.38138272427233083</v>
      </c>
      <c r="N406">
        <v>0</v>
      </c>
      <c r="O406">
        <v>0</v>
      </c>
      <c r="P406">
        <v>0</v>
      </c>
    </row>
    <row r="407" spans="1:16">
      <c r="A407" t="s">
        <v>260</v>
      </c>
      <c r="B407" t="s">
        <v>65</v>
      </c>
      <c r="C407">
        <v>-1</v>
      </c>
      <c r="D407">
        <v>0</v>
      </c>
      <c r="E407">
        <v>0</v>
      </c>
      <c r="F407">
        <v>0</v>
      </c>
      <c r="G407">
        <v>0</v>
      </c>
      <c r="H407">
        <v>0</v>
      </c>
      <c r="I407">
        <v>0</v>
      </c>
      <c r="J407">
        <v>0</v>
      </c>
      <c r="K407">
        <v>0</v>
      </c>
      <c r="L407">
        <v>0</v>
      </c>
      <c r="M407">
        <v>2.0968448891863156</v>
      </c>
      <c r="N407">
        <v>0</v>
      </c>
      <c r="O407">
        <v>0</v>
      </c>
      <c r="P407">
        <v>0</v>
      </c>
    </row>
    <row r="408" spans="1:16">
      <c r="B408" t="s">
        <v>121</v>
      </c>
      <c r="C408">
        <v>-7.5999999999999998E-2</v>
      </c>
      <c r="D408">
        <v>-0.128</v>
      </c>
      <c r="E408">
        <v>-0.104</v>
      </c>
      <c r="F408">
        <v>-0.214</v>
      </c>
      <c r="G408">
        <v>-0.18</v>
      </c>
      <c r="H408">
        <v>-0.126</v>
      </c>
      <c r="I408">
        <v>0.184</v>
      </c>
      <c r="J408">
        <v>0.4</v>
      </c>
      <c r="K408">
        <v>0.5</v>
      </c>
      <c r="L408">
        <v>0.3</v>
      </c>
      <c r="M408">
        <v>0.17</v>
      </c>
      <c r="N408">
        <v>0.2</v>
      </c>
      <c r="O408">
        <v>0.30399999999999999</v>
      </c>
      <c r="P408">
        <v>0</v>
      </c>
    </row>
    <row r="409" spans="1:16">
      <c r="B409" t="s">
        <v>99</v>
      </c>
      <c r="C409">
        <v>-7.5999999999999998E-2</v>
      </c>
      <c r="D409">
        <v>-0.20399999999999999</v>
      </c>
      <c r="E409">
        <v>-0.308</v>
      </c>
      <c r="F409">
        <v>-0.52200000000000002</v>
      </c>
      <c r="G409">
        <v>-0.70199999999999996</v>
      </c>
      <c r="H409">
        <v>-0.82799999999999996</v>
      </c>
      <c r="I409">
        <v>-0.64399999999999991</v>
      </c>
      <c r="J409">
        <v>-0.24399999999999988</v>
      </c>
      <c r="K409">
        <v>0.25600000000000012</v>
      </c>
      <c r="L409">
        <v>0.55600000000000005</v>
      </c>
      <c r="M409">
        <v>0.72600000000000009</v>
      </c>
      <c r="N409">
        <v>0.92600000000000016</v>
      </c>
      <c r="O409">
        <v>1.2300000000000002</v>
      </c>
      <c r="P409">
        <v>0</v>
      </c>
    </row>
    <row r="410" spans="1:16">
      <c r="B410" t="s">
        <v>49</v>
      </c>
      <c r="C410">
        <v>-7.5999999999999998E-2</v>
      </c>
      <c r="D410">
        <v>-0.128</v>
      </c>
      <c r="E410">
        <v>-0.104</v>
      </c>
      <c r="F410">
        <v>-0.214</v>
      </c>
      <c r="G410">
        <v>-0.18</v>
      </c>
      <c r="H410">
        <v>-0.126</v>
      </c>
      <c r="I410">
        <v>0.184</v>
      </c>
      <c r="J410">
        <v>0.4</v>
      </c>
      <c r="K410">
        <v>0.5</v>
      </c>
      <c r="L410">
        <v>0.3</v>
      </c>
      <c r="M410">
        <v>0.17</v>
      </c>
      <c r="N410">
        <v>0.2</v>
      </c>
      <c r="O410">
        <v>0.30399999999999999</v>
      </c>
      <c r="P410">
        <v>0</v>
      </c>
    </row>
    <row r="411" spans="1:16">
      <c r="B411" t="s">
        <v>78</v>
      </c>
      <c r="C411">
        <v>-7.5999999999999998E-2</v>
      </c>
      <c r="D411">
        <v>-0.20399999999999999</v>
      </c>
      <c r="E411">
        <v>-0.308</v>
      </c>
      <c r="F411">
        <v>-0.52200000000000002</v>
      </c>
      <c r="G411">
        <v>-0.70199999999999996</v>
      </c>
      <c r="H411">
        <v>-0.82799999999999996</v>
      </c>
      <c r="I411">
        <v>-0.64399999999999991</v>
      </c>
      <c r="J411">
        <v>-0.24399999999999988</v>
      </c>
      <c r="K411">
        <v>0.25600000000000012</v>
      </c>
      <c r="L411">
        <v>0.55600000000000005</v>
      </c>
      <c r="M411">
        <v>0.72600000000000009</v>
      </c>
      <c r="N411">
        <v>0.92600000000000016</v>
      </c>
      <c r="O411">
        <v>1.2300000000000002</v>
      </c>
      <c r="P411">
        <v>0</v>
      </c>
    </row>
    <row r="412" spans="1:16">
      <c r="B412" t="s">
        <v>62</v>
      </c>
      <c r="C412">
        <v>0</v>
      </c>
      <c r="D412">
        <v>0</v>
      </c>
      <c r="E412">
        <v>0</v>
      </c>
      <c r="F412">
        <v>0</v>
      </c>
      <c r="G412">
        <v>0</v>
      </c>
      <c r="H412">
        <v>0</v>
      </c>
      <c r="I412">
        <v>0</v>
      </c>
      <c r="J412">
        <v>0</v>
      </c>
      <c r="K412">
        <v>6.6048000000000037E-2</v>
      </c>
      <c r="L412">
        <v>7.7399999999999997E-2</v>
      </c>
      <c r="M412">
        <v>4.3860000000000003E-2</v>
      </c>
      <c r="N412">
        <v>5.1600000000000007E-2</v>
      </c>
      <c r="O412">
        <v>7.8432000000000002E-2</v>
      </c>
      <c r="P412">
        <v>0</v>
      </c>
    </row>
    <row r="413" spans="1:16">
      <c r="A413" t="s">
        <v>262</v>
      </c>
      <c r="B413" t="s">
        <v>90</v>
      </c>
      <c r="C413">
        <v>-7.5999999999999998E-2</v>
      </c>
      <c r="D413">
        <v>-0.128</v>
      </c>
      <c r="E413">
        <v>-0.104</v>
      </c>
      <c r="F413">
        <v>-0.214</v>
      </c>
      <c r="G413">
        <v>-0.18</v>
      </c>
      <c r="H413">
        <v>-0.126</v>
      </c>
      <c r="I413">
        <v>0.184</v>
      </c>
      <c r="J413">
        <v>0.4</v>
      </c>
      <c r="K413">
        <v>0.43395199999999989</v>
      </c>
      <c r="L413">
        <v>0.22259999999999999</v>
      </c>
      <c r="M413">
        <v>0.12614</v>
      </c>
      <c r="N413">
        <v>0.1484</v>
      </c>
      <c r="O413">
        <v>0.22556799999999999</v>
      </c>
      <c r="P413">
        <v>0</v>
      </c>
    </row>
    <row r="414" spans="1:16">
      <c r="B414" t="s">
        <v>107</v>
      </c>
      <c r="C414">
        <v>-0.5</v>
      </c>
      <c r="D414">
        <v>0</v>
      </c>
      <c r="E414">
        <v>-0.5</v>
      </c>
      <c r="F414">
        <v>0</v>
      </c>
      <c r="G414">
        <v>0</v>
      </c>
      <c r="H414">
        <v>0</v>
      </c>
      <c r="I414">
        <v>0</v>
      </c>
      <c r="J414">
        <v>0</v>
      </c>
      <c r="K414">
        <v>0</v>
      </c>
      <c r="L414">
        <v>3</v>
      </c>
      <c r="M414">
        <v>0</v>
      </c>
      <c r="N414">
        <v>0</v>
      </c>
      <c r="O414">
        <v>0</v>
      </c>
      <c r="P414">
        <v>0</v>
      </c>
    </row>
    <row r="415" spans="1:16">
      <c r="B415" t="s">
        <v>99</v>
      </c>
      <c r="C415">
        <v>-0.5</v>
      </c>
      <c r="D415">
        <v>-0.5</v>
      </c>
      <c r="E415">
        <v>-1</v>
      </c>
      <c r="F415">
        <v>-1</v>
      </c>
      <c r="G415">
        <v>-1</v>
      </c>
      <c r="H415">
        <v>-1</v>
      </c>
      <c r="I415">
        <v>-1</v>
      </c>
      <c r="J415">
        <v>-1</v>
      </c>
      <c r="K415">
        <v>-1</v>
      </c>
      <c r="L415">
        <v>2</v>
      </c>
      <c r="M415">
        <v>2</v>
      </c>
      <c r="N415">
        <v>0</v>
      </c>
      <c r="O415">
        <v>0</v>
      </c>
      <c r="P415">
        <v>0</v>
      </c>
    </row>
    <row r="416" spans="1:16">
      <c r="B416" t="s">
        <v>62</v>
      </c>
      <c r="C416">
        <v>0</v>
      </c>
      <c r="D416">
        <v>0</v>
      </c>
      <c r="E416">
        <v>0</v>
      </c>
      <c r="F416">
        <v>0</v>
      </c>
      <c r="G416">
        <v>0</v>
      </c>
      <c r="H416">
        <v>0</v>
      </c>
      <c r="I416">
        <v>0</v>
      </c>
      <c r="J416">
        <v>0</v>
      </c>
      <c r="K416">
        <v>0</v>
      </c>
      <c r="L416">
        <v>0.51600000000000001</v>
      </c>
      <c r="M416">
        <v>0</v>
      </c>
      <c r="N416">
        <v>0</v>
      </c>
      <c r="O416">
        <v>0</v>
      </c>
      <c r="P416">
        <v>0</v>
      </c>
    </row>
    <row r="417" spans="1:16">
      <c r="A417" t="s">
        <v>264</v>
      </c>
      <c r="B417" t="s">
        <v>65</v>
      </c>
      <c r="C417">
        <v>-0.5</v>
      </c>
      <c r="D417">
        <v>0</v>
      </c>
      <c r="E417">
        <v>-0.5</v>
      </c>
      <c r="F417">
        <v>0</v>
      </c>
      <c r="G417">
        <v>0</v>
      </c>
      <c r="H417">
        <v>0</v>
      </c>
      <c r="I417">
        <v>0</v>
      </c>
      <c r="J417">
        <v>0</v>
      </c>
      <c r="K417">
        <v>0</v>
      </c>
      <c r="L417">
        <v>2.484</v>
      </c>
      <c r="M417">
        <v>0</v>
      </c>
      <c r="N417">
        <v>0</v>
      </c>
      <c r="O417">
        <v>0</v>
      </c>
      <c r="P417">
        <v>0</v>
      </c>
    </row>
    <row r="418" spans="1:16">
      <c r="P418">
        <v>0</v>
      </c>
    </row>
    <row r="419" spans="1:16">
      <c r="B419" t="s">
        <v>107</v>
      </c>
      <c r="C419">
        <v>-0.42980151691964286</v>
      </c>
      <c r="D419">
        <v>-0.11887075597412348</v>
      </c>
      <c r="E419">
        <v>7.9913666663687585E-2</v>
      </c>
      <c r="F419">
        <v>0.18139441358624525</v>
      </c>
      <c r="G419">
        <v>0.23355172926718035</v>
      </c>
      <c r="H419">
        <v>0.18533026720483867</v>
      </c>
      <c r="I419">
        <v>0.15494537317538354</v>
      </c>
      <c r="J419">
        <v>0.10984304021706108</v>
      </c>
      <c r="K419">
        <v>6.7597000420350412E-2</v>
      </c>
      <c r="L419">
        <v>4.6429154965695787E-2</v>
      </c>
      <c r="M419">
        <v>3.2250956142157346E-2</v>
      </c>
      <c r="N419">
        <v>2.1795999999999999E-2</v>
      </c>
      <c r="O419">
        <v>0</v>
      </c>
      <c r="P419">
        <v>0</v>
      </c>
    </row>
    <row r="420" spans="1:16">
      <c r="B420" t="s">
        <v>99</v>
      </c>
      <c r="C420">
        <v>-0.42980151691964286</v>
      </c>
      <c r="D420">
        <v>-0.5486722728937663</v>
      </c>
      <c r="E420">
        <v>-0.4687586062300787</v>
      </c>
      <c r="F420">
        <v>-0.28736419264383345</v>
      </c>
      <c r="G420">
        <v>-5.3812463376653075E-2</v>
      </c>
      <c r="H420">
        <v>0.13151780382818562</v>
      </c>
      <c r="I420">
        <v>0.28646317700356916</v>
      </c>
      <c r="J420">
        <v>0.3963062172206302</v>
      </c>
      <c r="K420">
        <v>0.46390321764098064</v>
      </c>
      <c r="L420">
        <v>0.51033237260667641</v>
      </c>
      <c r="M420">
        <v>0.54258332874883375</v>
      </c>
      <c r="N420">
        <v>0.56437932874883379</v>
      </c>
      <c r="O420">
        <v>0.56437932874883379</v>
      </c>
      <c r="P420">
        <v>0</v>
      </c>
    </row>
    <row r="421" spans="1:16">
      <c r="B421" t="s">
        <v>112</v>
      </c>
      <c r="C421">
        <v>-0.42980151691964286</v>
      </c>
      <c r="D421">
        <v>-0.11887075597412348</v>
      </c>
      <c r="E421">
        <v>7.639206823255737E-2</v>
      </c>
      <c r="F421">
        <v>0.17340080862516322</v>
      </c>
      <c r="G421">
        <v>0.22325967988798723</v>
      </c>
      <c r="H421">
        <v>0.17716321887033809</v>
      </c>
      <c r="I421">
        <v>0.14811731227083666</v>
      </c>
      <c r="J421">
        <v>0.10500252802123228</v>
      </c>
      <c r="K421">
        <v>6.4618167129779053E-2</v>
      </c>
      <c r="L421">
        <v>4.4383136479596304E-2</v>
      </c>
      <c r="M421">
        <v>3.0829735951740541E-2</v>
      </c>
      <c r="N421">
        <v>2.0835503972106033E-2</v>
      </c>
      <c r="O421">
        <v>0</v>
      </c>
      <c r="P421">
        <v>0</v>
      </c>
    </row>
    <row r="422" spans="1:16">
      <c r="B422" t="s">
        <v>78</v>
      </c>
      <c r="C422">
        <v>-0.42980151691964286</v>
      </c>
      <c r="D422">
        <v>-0.5486722728937663</v>
      </c>
      <c r="E422">
        <v>-0.4722802046612089</v>
      </c>
      <c r="F422">
        <v>-0.29887939603604569</v>
      </c>
      <c r="G422">
        <v>-7.5619716148058458E-2</v>
      </c>
      <c r="H422">
        <v>0.10154350272227965</v>
      </c>
      <c r="I422">
        <v>0.24966081499311629</v>
      </c>
      <c r="J422">
        <v>0.35466334301434854</v>
      </c>
      <c r="K422">
        <v>0.41928151014412762</v>
      </c>
      <c r="L422">
        <v>0.46366464662372392</v>
      </c>
      <c r="M422">
        <v>0.49449438257546446</v>
      </c>
      <c r="N422">
        <v>0.5153298865475705</v>
      </c>
      <c r="O422">
        <v>0.5153298865475705</v>
      </c>
      <c r="P422">
        <v>0</v>
      </c>
    </row>
    <row r="423" spans="1:16">
      <c r="B423" t="s">
        <v>62</v>
      </c>
      <c r="C423">
        <v>0</v>
      </c>
      <c r="D423">
        <v>0</v>
      </c>
      <c r="E423">
        <v>0</v>
      </c>
      <c r="F423">
        <v>0</v>
      </c>
      <c r="G423">
        <v>0</v>
      </c>
      <c r="H423">
        <v>2.6198223702348145E-2</v>
      </c>
      <c r="I423">
        <v>3.8214266565875857E-2</v>
      </c>
      <c r="J423">
        <v>2.709065222947793E-2</v>
      </c>
      <c r="K423">
        <v>1.6671487119482995E-2</v>
      </c>
      <c r="L423">
        <v>1.1450849211735847E-2</v>
      </c>
      <c r="M423">
        <v>7.9540718755490604E-3</v>
      </c>
      <c r="N423">
        <v>5.375560024803357E-3</v>
      </c>
      <c r="O423">
        <v>0</v>
      </c>
      <c r="P423">
        <v>0</v>
      </c>
    </row>
    <row r="424" spans="1:16">
      <c r="A424" t="s">
        <v>266</v>
      </c>
      <c r="B424" t="s">
        <v>65</v>
      </c>
      <c r="C424">
        <v>-0.42980151691964286</v>
      </c>
      <c r="D424">
        <v>-0.11887075597412348</v>
      </c>
      <c r="E424">
        <v>7.639206823255737E-2</v>
      </c>
      <c r="F424">
        <v>0.17340080862516322</v>
      </c>
      <c r="G424">
        <v>0.22325967988798723</v>
      </c>
      <c r="H424">
        <v>0.15096499516798997</v>
      </c>
      <c r="I424">
        <v>0.1099030457049608</v>
      </c>
      <c r="J424">
        <v>7.7911875791754348E-2</v>
      </c>
      <c r="K424">
        <v>4.7946680010296061E-2</v>
      </c>
      <c r="L424">
        <v>3.2932287267860461E-2</v>
      </c>
      <c r="M424">
        <v>2.2875664076191481E-2</v>
      </c>
      <c r="N424">
        <v>1.5459943947302676E-2</v>
      </c>
      <c r="O424">
        <v>0</v>
      </c>
      <c r="P424">
        <v>0</v>
      </c>
    </row>
    <row r="425" spans="1:16">
      <c r="P425">
        <v>0</v>
      </c>
    </row>
    <row r="426" spans="1:16">
      <c r="B426" t="s">
        <v>107</v>
      </c>
      <c r="C426">
        <v>-0.45700000000000002</v>
      </c>
      <c r="D426">
        <v>-0.16500000000000001</v>
      </c>
      <c r="E426">
        <v>-0.1225</v>
      </c>
      <c r="F426">
        <v>0.13250000000000001</v>
      </c>
      <c r="G426">
        <v>0.193</v>
      </c>
      <c r="H426">
        <v>0.62749999999999995</v>
      </c>
      <c r="I426">
        <v>0.3095</v>
      </c>
      <c r="J426">
        <v>0.27400000000000002</v>
      </c>
      <c r="K426">
        <v>0.23150000000000001</v>
      </c>
      <c r="L426">
        <v>5.7000000000000002E-2</v>
      </c>
      <c r="M426">
        <v>5.7500000000000002E-2</v>
      </c>
      <c r="N426">
        <v>0</v>
      </c>
      <c r="P426">
        <v>0</v>
      </c>
    </row>
    <row r="427" spans="1:16">
      <c r="B427" t="s">
        <v>99</v>
      </c>
      <c r="C427">
        <v>-0.45700000000000002</v>
      </c>
      <c r="D427">
        <v>-0.622</v>
      </c>
      <c r="E427">
        <v>-0.74450000000000005</v>
      </c>
      <c r="F427">
        <v>-0.61199999999999988</v>
      </c>
      <c r="G427">
        <v>-0.41899999999999982</v>
      </c>
      <c r="H427">
        <v>0.20850000000000007</v>
      </c>
      <c r="I427">
        <v>0.51800000000000002</v>
      </c>
      <c r="J427">
        <v>0.79200000000000004</v>
      </c>
      <c r="K427">
        <v>1.0235000000000001</v>
      </c>
      <c r="L427">
        <v>1.0805</v>
      </c>
      <c r="M427">
        <v>1.1380000000000001</v>
      </c>
      <c r="N427">
        <v>1.1380000000000001</v>
      </c>
      <c r="P427">
        <v>0</v>
      </c>
    </row>
    <row r="428" spans="1:16">
      <c r="B428" t="s">
        <v>112</v>
      </c>
      <c r="C428">
        <v>-0.45700000000000002</v>
      </c>
      <c r="D428">
        <v>-0.16500000000000001</v>
      </c>
      <c r="E428">
        <v>-0.1225</v>
      </c>
      <c r="F428">
        <v>0.1179038844621514</v>
      </c>
      <c r="G428">
        <v>0.17173924302788843</v>
      </c>
      <c r="H428">
        <v>0.55837499999999995</v>
      </c>
      <c r="I428">
        <v>0.27540567729083665</v>
      </c>
      <c r="J428">
        <v>0.24381633466135455</v>
      </c>
      <c r="K428">
        <v>0.20599810756972112</v>
      </c>
      <c r="L428">
        <v>5.0720916334661359E-2</v>
      </c>
      <c r="M428">
        <v>5.1165836653386455E-2</v>
      </c>
      <c r="N428">
        <v>0</v>
      </c>
      <c r="P428">
        <v>0</v>
      </c>
    </row>
    <row r="429" spans="1:16">
      <c r="B429" t="s">
        <v>78</v>
      </c>
      <c r="C429">
        <v>-0.45700000000000002</v>
      </c>
      <c r="D429">
        <v>-0.622</v>
      </c>
      <c r="E429">
        <v>-0.74450000000000005</v>
      </c>
      <c r="F429">
        <v>-0.62659611553784855</v>
      </c>
      <c r="G429">
        <v>-0.4548568725099601</v>
      </c>
      <c r="H429">
        <v>0.10351812749003986</v>
      </c>
      <c r="I429">
        <v>0.37892380478087651</v>
      </c>
      <c r="J429">
        <v>0.62274013944223106</v>
      </c>
      <c r="K429">
        <v>0.8287382470119522</v>
      </c>
      <c r="L429">
        <v>0.87945916334661356</v>
      </c>
      <c r="M429">
        <v>0.93062500000000004</v>
      </c>
      <c r="N429">
        <v>0.93062500000000004</v>
      </c>
      <c r="P429">
        <v>0</v>
      </c>
    </row>
    <row r="430" spans="1:16">
      <c r="B430" t="s">
        <v>62</v>
      </c>
      <c r="C430">
        <v>0</v>
      </c>
      <c r="D430">
        <v>0</v>
      </c>
      <c r="E430">
        <v>0</v>
      </c>
      <c r="F430">
        <v>0</v>
      </c>
      <c r="G430">
        <v>0</v>
      </c>
      <c r="H430">
        <v>0.12455086323380092</v>
      </c>
      <c r="I430">
        <v>7.1054664741035861E-2</v>
      </c>
      <c r="J430">
        <v>6.2904614342629478E-2</v>
      </c>
      <c r="K430">
        <v>5.3147511752988048E-2</v>
      </c>
      <c r="L430">
        <v>1.308599641434263E-2</v>
      </c>
      <c r="M430">
        <v>1.3200785856573706E-2</v>
      </c>
      <c r="N430">
        <v>0</v>
      </c>
      <c r="P430">
        <v>0</v>
      </c>
    </row>
    <row r="431" spans="1:16">
      <c r="A431" t="s">
        <v>267</v>
      </c>
      <c r="B431" t="s">
        <v>65</v>
      </c>
      <c r="C431">
        <v>-0.45700000000000002</v>
      </c>
      <c r="D431">
        <v>-0.16500000000000001</v>
      </c>
      <c r="E431">
        <v>-0.1225</v>
      </c>
      <c r="F431">
        <v>0.1179038844621514</v>
      </c>
      <c r="G431">
        <v>0.17173924302788843</v>
      </c>
      <c r="H431">
        <v>0.43382413676619902</v>
      </c>
      <c r="I431">
        <v>0.20435101254980079</v>
      </c>
      <c r="J431">
        <v>0.1809117203187251</v>
      </c>
      <c r="K431">
        <v>0.15285059581673308</v>
      </c>
      <c r="L431">
        <v>3.7634919920318727E-2</v>
      </c>
      <c r="M431">
        <v>3.7965050796812748E-2</v>
      </c>
      <c r="N431">
        <v>0</v>
      </c>
      <c r="O431">
        <v>0</v>
      </c>
      <c r="P431">
        <v>0</v>
      </c>
    </row>
    <row r="432" spans="1:16">
      <c r="P432">
        <v>0</v>
      </c>
    </row>
    <row r="433" spans="1:16">
      <c r="B433" t="s">
        <v>107</v>
      </c>
      <c r="C433">
        <v>-0.31890000000000002</v>
      </c>
      <c r="D433">
        <v>-0.1305</v>
      </c>
      <c r="E433">
        <v>-4.2999999999999997E-2</v>
      </c>
      <c r="F433">
        <v>0.31190000000000001</v>
      </c>
      <c r="G433">
        <v>0.36030000000000001</v>
      </c>
      <c r="H433">
        <v>0.2029</v>
      </c>
      <c r="I433">
        <v>0.14410000000000001</v>
      </c>
      <c r="J433">
        <v>0.59099999999999997</v>
      </c>
      <c r="K433">
        <v>0.189</v>
      </c>
      <c r="L433">
        <v>0.71</v>
      </c>
      <c r="M433">
        <v>0</v>
      </c>
      <c r="N433">
        <v>0</v>
      </c>
      <c r="P433">
        <v>0</v>
      </c>
    </row>
    <row r="434" spans="1:16">
      <c r="B434" t="s">
        <v>99</v>
      </c>
      <c r="C434">
        <v>-0.31890000000000002</v>
      </c>
      <c r="D434">
        <v>-0.44940000000000002</v>
      </c>
      <c r="E434">
        <v>-0.4924</v>
      </c>
      <c r="F434">
        <v>-0.18049999999999999</v>
      </c>
      <c r="G434">
        <v>0.17980000000000002</v>
      </c>
      <c r="H434">
        <v>0.38269999999999998</v>
      </c>
      <c r="I434">
        <v>0.52680000000000005</v>
      </c>
      <c r="J434">
        <v>1.1177999999999999</v>
      </c>
      <c r="K434">
        <v>1.3068</v>
      </c>
      <c r="L434">
        <v>2.0167999999999999</v>
      </c>
      <c r="M434">
        <v>2.0167999999999999</v>
      </c>
      <c r="N434">
        <v>2.0167999999999999</v>
      </c>
      <c r="P434">
        <v>0</v>
      </c>
    </row>
    <row r="435" spans="1:16">
      <c r="B435" t="s">
        <v>112</v>
      </c>
      <c r="C435">
        <v>-0.31890000000000002</v>
      </c>
      <c r="D435">
        <v>-0.1305</v>
      </c>
      <c r="E435">
        <v>-4.2999999999999997E-2</v>
      </c>
      <c r="F435">
        <v>0.11017185078909614</v>
      </c>
      <c r="G435">
        <v>0.1272680918220947</v>
      </c>
      <c r="H435">
        <v>7.166998565279771E-2</v>
      </c>
      <c r="I435">
        <v>5.0900172166427546E-2</v>
      </c>
      <c r="J435">
        <v>0.20875781922525108</v>
      </c>
      <c r="K435">
        <v>6.6760114777618368E-2</v>
      </c>
      <c r="L435">
        <v>0.25079196556671446</v>
      </c>
      <c r="M435">
        <v>0</v>
      </c>
      <c r="N435">
        <v>0</v>
      </c>
      <c r="P435">
        <v>0</v>
      </c>
    </row>
    <row r="436" spans="1:16">
      <c r="B436" t="s">
        <v>78</v>
      </c>
      <c r="C436">
        <v>-0.31890000000000002</v>
      </c>
      <c r="D436">
        <v>-0.44940000000000002</v>
      </c>
      <c r="E436">
        <v>-0.4924</v>
      </c>
      <c r="F436">
        <v>-0.38222814921090387</v>
      </c>
      <c r="G436">
        <v>-0.25496005738880917</v>
      </c>
      <c r="H436">
        <v>-0.18329007173601147</v>
      </c>
      <c r="I436">
        <v>-0.13238989956958391</v>
      </c>
      <c r="J436">
        <v>7.6367919655667166E-2</v>
      </c>
      <c r="K436">
        <v>0.14312803443328553</v>
      </c>
      <c r="L436">
        <v>0.39391999999999999</v>
      </c>
      <c r="M436">
        <v>0.39391999999999999</v>
      </c>
      <c r="N436">
        <v>0.39391999999999999</v>
      </c>
      <c r="P436">
        <v>0</v>
      </c>
    </row>
    <row r="437" spans="1:16">
      <c r="B437" t="s">
        <v>62</v>
      </c>
      <c r="C437">
        <v>0</v>
      </c>
      <c r="D437">
        <v>0</v>
      </c>
      <c r="E437">
        <v>0</v>
      </c>
      <c r="F437">
        <v>0</v>
      </c>
      <c r="G437">
        <v>0</v>
      </c>
      <c r="H437">
        <v>0</v>
      </c>
      <c r="I437">
        <v>0</v>
      </c>
      <c r="J437">
        <v>1.9702923271162128E-2</v>
      </c>
      <c r="K437">
        <v>1.7224109612625538E-2</v>
      </c>
      <c r="L437">
        <v>6.4704327116212337E-2</v>
      </c>
      <c r="M437">
        <v>0</v>
      </c>
      <c r="N437">
        <v>0</v>
      </c>
      <c r="O437">
        <v>0</v>
      </c>
      <c r="P437">
        <v>0</v>
      </c>
    </row>
    <row r="438" spans="1:16">
      <c r="A438" t="s">
        <v>281</v>
      </c>
      <c r="B438" t="s">
        <v>65</v>
      </c>
      <c r="C438">
        <v>-0.31890000000000002</v>
      </c>
      <c r="D438">
        <v>-0.1305</v>
      </c>
      <c r="E438">
        <v>-4.2999999999999997E-2</v>
      </c>
      <c r="F438">
        <v>0.11017185078909614</v>
      </c>
      <c r="G438">
        <v>0.1272680918220947</v>
      </c>
      <c r="H438">
        <v>7.166998565279771E-2</v>
      </c>
      <c r="I438">
        <v>5.0900172166427546E-2</v>
      </c>
      <c r="J438">
        <v>0.18905489595408895</v>
      </c>
      <c r="K438">
        <v>4.9536005164992833E-2</v>
      </c>
      <c r="L438">
        <v>0.18608763845050214</v>
      </c>
      <c r="M438">
        <v>0</v>
      </c>
      <c r="N438">
        <v>0</v>
      </c>
      <c r="O438">
        <v>0</v>
      </c>
      <c r="P438">
        <v>0</v>
      </c>
    </row>
    <row r="439" spans="1:16">
      <c r="P439">
        <v>0</v>
      </c>
    </row>
    <row r="440" spans="1:16">
      <c r="B440" t="s">
        <v>107</v>
      </c>
      <c r="C440">
        <v>-0.30859025355555564</v>
      </c>
      <c r="D440">
        <v>-0.30750000000000011</v>
      </c>
      <c r="E440">
        <v>-0.3075</v>
      </c>
      <c r="F440">
        <v>0.19319203703703711</v>
      </c>
      <c r="G440">
        <v>0.29235000000000005</v>
      </c>
      <c r="H440">
        <v>0.47653333333333325</v>
      </c>
      <c r="I440">
        <v>0.59146297663703695</v>
      </c>
      <c r="J440">
        <v>0.49047666666666689</v>
      </c>
      <c r="K440">
        <v>0.14330666666666628</v>
      </c>
      <c r="L440">
        <v>-6.666666666627862E-5</v>
      </c>
      <c r="M440">
        <v>0</v>
      </c>
      <c r="N440">
        <v>0</v>
      </c>
      <c r="P440">
        <v>0</v>
      </c>
    </row>
    <row r="441" spans="1:16">
      <c r="B441" t="s">
        <v>99</v>
      </c>
      <c r="C441">
        <v>-0.30859025355555564</v>
      </c>
      <c r="D441">
        <v>-0.61609025355555569</v>
      </c>
      <c r="E441">
        <v>-0.92359025355555568</v>
      </c>
      <c r="F441">
        <v>-0.73039821651851855</v>
      </c>
      <c r="G441">
        <v>-0.4380482165185185</v>
      </c>
      <c r="H441">
        <v>3.8485116814814757E-2</v>
      </c>
      <c r="I441">
        <v>0.62994809345185176</v>
      </c>
      <c r="J441">
        <v>1.1204247601185189</v>
      </c>
      <c r="K441">
        <v>1.2637314267851849</v>
      </c>
      <c r="L441">
        <v>1.2636647601185187</v>
      </c>
      <c r="M441">
        <v>1.2636647601185187</v>
      </c>
      <c r="N441">
        <v>1.2636647601185187</v>
      </c>
      <c r="P441">
        <v>0</v>
      </c>
    </row>
    <row r="442" spans="1:16">
      <c r="B442" t="s">
        <v>112</v>
      </c>
      <c r="C442">
        <v>-0.30859025355555564</v>
      </c>
      <c r="D442">
        <v>-0.30750000000000011</v>
      </c>
      <c r="E442">
        <v>-0.3075</v>
      </c>
      <c r="F442">
        <v>0.18354325254040824</v>
      </c>
      <c r="G442">
        <v>0.27774886948317307</v>
      </c>
      <c r="H442">
        <v>0.45273334908288482</v>
      </c>
      <c r="I442">
        <v>0.56192294544925392</v>
      </c>
      <c r="J442">
        <v>0.46598029647525846</v>
      </c>
      <c r="K442">
        <v>0.13614935746902165</v>
      </c>
      <c r="L442">
        <v>-6.666666666627862E-5</v>
      </c>
      <c r="M442">
        <v>0</v>
      </c>
      <c r="N442">
        <v>0</v>
      </c>
      <c r="P442">
        <v>0</v>
      </c>
    </row>
    <row r="443" spans="1:16">
      <c r="B443" t="s">
        <v>78</v>
      </c>
      <c r="C443">
        <v>-0.30859025355555564</v>
      </c>
      <c r="D443">
        <v>-0.61609025355555569</v>
      </c>
      <c r="E443">
        <v>-0.92359025355555568</v>
      </c>
      <c r="F443">
        <v>-0.74004700101514731</v>
      </c>
      <c r="G443">
        <v>-0.4622981315319743</v>
      </c>
      <c r="H443">
        <v>-9.5647824490895927E-3</v>
      </c>
      <c r="I443">
        <v>0.55235816300016438</v>
      </c>
      <c r="J443">
        <v>1.0183384594754228</v>
      </c>
      <c r="K443">
        <v>1.1544878169444444</v>
      </c>
      <c r="L443">
        <v>1.1544211502777781</v>
      </c>
      <c r="M443">
        <v>1.1544211502777781</v>
      </c>
      <c r="N443">
        <v>1.1544211502777781</v>
      </c>
      <c r="P443">
        <v>0</v>
      </c>
    </row>
    <row r="444" spans="1:16">
      <c r="B444" t="s">
        <v>62</v>
      </c>
      <c r="C444">
        <v>0</v>
      </c>
      <c r="D444">
        <v>0</v>
      </c>
      <c r="E444">
        <v>0</v>
      </c>
      <c r="F444">
        <v>0</v>
      </c>
      <c r="G444">
        <v>0</v>
      </c>
      <c r="H444">
        <v>0</v>
      </c>
      <c r="I444">
        <v>0</v>
      </c>
      <c r="J444">
        <v>0</v>
      </c>
      <c r="K444">
        <v>0</v>
      </c>
      <c r="L444">
        <v>0</v>
      </c>
      <c r="M444">
        <v>0</v>
      </c>
      <c r="N444">
        <v>0</v>
      </c>
      <c r="O444">
        <v>0</v>
      </c>
      <c r="P444">
        <v>0</v>
      </c>
    </row>
    <row r="445" spans="1:16">
      <c r="A445" t="s">
        <v>285</v>
      </c>
      <c r="B445" t="s">
        <v>65</v>
      </c>
      <c r="C445">
        <v>-0.30859025355555564</v>
      </c>
      <c r="D445">
        <v>-0.30750000000000011</v>
      </c>
      <c r="E445">
        <v>-0.3075</v>
      </c>
      <c r="F445">
        <v>0.18354325254040824</v>
      </c>
      <c r="G445">
        <v>0.27774886948317307</v>
      </c>
      <c r="H445">
        <v>0.45273334908288482</v>
      </c>
      <c r="I445">
        <v>0.56192294544925392</v>
      </c>
      <c r="J445">
        <v>0.46598029647525846</v>
      </c>
      <c r="K445">
        <v>0.13614935746902165</v>
      </c>
      <c r="L445">
        <v>-6.666666666627862E-5</v>
      </c>
      <c r="M445">
        <v>0</v>
      </c>
      <c r="N445">
        <v>0</v>
      </c>
      <c r="O445">
        <v>0</v>
      </c>
      <c r="P445">
        <v>0</v>
      </c>
    </row>
    <row r="446" spans="1:16">
      <c r="P446">
        <v>0</v>
      </c>
    </row>
    <row r="447" spans="1:16">
      <c r="B447" t="s">
        <v>107</v>
      </c>
      <c r="C447">
        <v>-0.3931486334685953</v>
      </c>
      <c r="D447">
        <v>-0.11261098657962181</v>
      </c>
      <c r="E447">
        <v>3.2014862159142593E-2</v>
      </c>
      <c r="F447">
        <v>0.13877541354749151</v>
      </c>
      <c r="G447">
        <v>0.18798752614111253</v>
      </c>
      <c r="H447">
        <v>0.19222094951805924</v>
      </c>
      <c r="I447">
        <v>0.16277918472312908</v>
      </c>
      <c r="J447">
        <v>0.11595624423197746</v>
      </c>
      <c r="K447">
        <v>6.9327637500158273E-2</v>
      </c>
      <c r="L447">
        <v>3.4507186015261537E-2</v>
      </c>
      <c r="M447">
        <v>1.431228519105545E-2</v>
      </c>
      <c r="N447">
        <v>5.2134968728699401E-3</v>
      </c>
      <c r="P447">
        <v>0</v>
      </c>
    </row>
    <row r="448" spans="1:16">
      <c r="B448" t="s">
        <v>99</v>
      </c>
      <c r="C448">
        <v>-0.3931486334685953</v>
      </c>
      <c r="D448">
        <v>-0.50575962004821706</v>
      </c>
      <c r="E448">
        <v>-0.47374475788907439</v>
      </c>
      <c r="F448">
        <v>-0.33496934434158293</v>
      </c>
      <c r="G448">
        <v>-0.1469818182004704</v>
      </c>
      <c r="H448">
        <v>4.5239131317588832E-2</v>
      </c>
      <c r="I448">
        <v>0.20801831604071791</v>
      </c>
      <c r="J448">
        <v>0.32397456027269539</v>
      </c>
      <c r="K448">
        <v>0.39330219777285369</v>
      </c>
      <c r="L448">
        <v>0.42780938378811523</v>
      </c>
      <c r="M448">
        <v>0.44212166897917066</v>
      </c>
      <c r="N448">
        <v>0.44733516585204058</v>
      </c>
      <c r="P448">
        <v>0</v>
      </c>
    </row>
    <row r="449" spans="1:16">
      <c r="B449" t="s">
        <v>112</v>
      </c>
      <c r="C449">
        <v>-0.3931486334685953</v>
      </c>
      <c r="D449">
        <v>-0.11261098657962181</v>
      </c>
      <c r="E449">
        <v>3.2014862159142593E-2</v>
      </c>
      <c r="F449">
        <v>0.13877541354749151</v>
      </c>
      <c r="G449">
        <v>0.18798752614111253</v>
      </c>
      <c r="H449">
        <v>0.19222094951805924</v>
      </c>
      <c r="I449">
        <v>0.16277918472312908</v>
      </c>
      <c r="J449">
        <v>0.11595624423197746</v>
      </c>
      <c r="K449">
        <v>6.9327637500158273E-2</v>
      </c>
      <c r="L449">
        <v>3.4507186015261537E-2</v>
      </c>
      <c r="M449">
        <v>1.431228519105545E-2</v>
      </c>
      <c r="N449">
        <v>5.2134968728699401E-3</v>
      </c>
      <c r="P449">
        <v>0</v>
      </c>
    </row>
    <row r="450" spans="1:16">
      <c r="B450" t="s">
        <v>78</v>
      </c>
      <c r="C450">
        <v>-0.3931486334685953</v>
      </c>
      <c r="D450">
        <v>-0.50575962004821706</v>
      </c>
      <c r="E450">
        <v>-0.47374475788907439</v>
      </c>
      <c r="F450">
        <v>-0.33496934434158293</v>
      </c>
      <c r="G450">
        <v>-0.1469818182004704</v>
      </c>
      <c r="H450">
        <v>4.5239131317588832E-2</v>
      </c>
      <c r="I450">
        <v>0.20801831604071791</v>
      </c>
      <c r="J450">
        <v>0.32397456027269539</v>
      </c>
      <c r="K450">
        <v>0.39330219777285369</v>
      </c>
      <c r="L450">
        <v>0.42780938378811523</v>
      </c>
      <c r="M450">
        <v>0.44212166897917066</v>
      </c>
      <c r="N450">
        <v>0.44733516585204058</v>
      </c>
      <c r="P450">
        <v>0</v>
      </c>
    </row>
    <row r="451" spans="1:16">
      <c r="B451" t="s">
        <v>62</v>
      </c>
      <c r="C451">
        <v>0</v>
      </c>
      <c r="D451">
        <v>0</v>
      </c>
      <c r="E451">
        <v>0</v>
      </c>
      <c r="F451">
        <v>0</v>
      </c>
      <c r="G451">
        <v>0</v>
      </c>
      <c r="H451">
        <v>1.167169587993792E-2</v>
      </c>
      <c r="I451">
        <v>4.1997029658567303E-2</v>
      </c>
      <c r="J451">
        <v>2.9916711011850183E-2</v>
      </c>
      <c r="K451">
        <v>1.7886530475040834E-2</v>
      </c>
      <c r="L451">
        <v>8.9028539919374771E-3</v>
      </c>
      <c r="M451">
        <v>3.6925695792923061E-3</v>
      </c>
      <c r="N451">
        <v>1.3450821932004446E-3</v>
      </c>
      <c r="O451">
        <v>0</v>
      </c>
      <c r="P451">
        <v>0</v>
      </c>
    </row>
    <row r="452" spans="1:16">
      <c r="A452" t="s">
        <v>287</v>
      </c>
      <c r="B452" t="s">
        <v>65</v>
      </c>
      <c r="C452">
        <v>-0.3931486334685953</v>
      </c>
      <c r="D452">
        <v>-0.11261098657962181</v>
      </c>
      <c r="E452">
        <v>3.2014862159142593E-2</v>
      </c>
      <c r="F452">
        <v>0.13877541354749151</v>
      </c>
      <c r="G452">
        <v>0.18798752614111253</v>
      </c>
      <c r="H452">
        <v>0.18054925363812133</v>
      </c>
      <c r="I452">
        <v>0.12078215506456176</v>
      </c>
      <c r="J452">
        <v>8.6039533220127279E-2</v>
      </c>
      <c r="K452">
        <v>5.1441107025117443E-2</v>
      </c>
      <c r="L452">
        <v>2.5604332023324058E-2</v>
      </c>
      <c r="M452">
        <v>1.0619715611763144E-2</v>
      </c>
      <c r="N452">
        <v>3.8684146796694957E-3</v>
      </c>
      <c r="O452">
        <v>0</v>
      </c>
      <c r="P452">
        <v>0</v>
      </c>
    </row>
    <row r="453" spans="1:16">
      <c r="P453">
        <v>0</v>
      </c>
    </row>
    <row r="454" spans="1:16">
      <c r="B454" t="s">
        <v>107</v>
      </c>
      <c r="C454">
        <v>-0.27288314333333336</v>
      </c>
      <c r="D454">
        <v>-0.18204148000000001</v>
      </c>
      <c r="E454">
        <v>-1.091513E-2</v>
      </c>
      <c r="F454">
        <v>8.6146056666666679E-2</v>
      </c>
      <c r="G454">
        <v>0.13354383530000002</v>
      </c>
      <c r="H454">
        <v>0.16739026659999998</v>
      </c>
      <c r="I454">
        <v>0.18178458566666664</v>
      </c>
      <c r="J454">
        <v>0.15283941300000001</v>
      </c>
      <c r="K454">
        <v>0.127285605</v>
      </c>
      <c r="L454">
        <v>0.102295494</v>
      </c>
      <c r="M454">
        <v>5.8051613999999994E-2</v>
      </c>
      <c r="N454">
        <v>2.7068315999999999E-2</v>
      </c>
      <c r="O454">
        <v>1.1354823000000002E-2</v>
      </c>
      <c r="P454">
        <v>0</v>
      </c>
    </row>
    <row r="455" spans="1:16">
      <c r="B455" t="s">
        <v>99</v>
      </c>
      <c r="C455">
        <v>-0.27288314333333336</v>
      </c>
      <c r="D455">
        <v>-0.45492462333333333</v>
      </c>
      <c r="E455">
        <v>-0.46583975333333338</v>
      </c>
      <c r="F455">
        <v>-0.37969369666666675</v>
      </c>
      <c r="G455">
        <v>-0.24614986136666667</v>
      </c>
      <c r="H455">
        <v>-7.8759594766666691E-2</v>
      </c>
      <c r="I455">
        <v>0.10302499089999996</v>
      </c>
      <c r="J455">
        <v>0.25586440389999998</v>
      </c>
      <c r="K455">
        <v>0.38315000889999989</v>
      </c>
      <c r="L455">
        <v>0.48544550289999994</v>
      </c>
      <c r="M455">
        <v>0.54349711689999991</v>
      </c>
      <c r="N455">
        <v>0.57056543289999995</v>
      </c>
      <c r="O455">
        <v>0.58192025589999996</v>
      </c>
      <c r="P455">
        <v>0</v>
      </c>
    </row>
    <row r="456" spans="1:16">
      <c r="B456" t="s">
        <v>112</v>
      </c>
      <c r="C456">
        <v>-0.27288314333333336</v>
      </c>
      <c r="D456">
        <v>-0.18204148000000001</v>
      </c>
      <c r="E456">
        <v>-1.091513E-2</v>
      </c>
      <c r="F456">
        <v>8.6146056666666679E-2</v>
      </c>
      <c r="G456">
        <v>0.13354383530000002</v>
      </c>
      <c r="H456">
        <v>0.16739026659999998</v>
      </c>
      <c r="I456">
        <v>0.18178458566666664</v>
      </c>
      <c r="J456">
        <v>0.15283941300000001</v>
      </c>
      <c r="K456">
        <v>0.127285605</v>
      </c>
      <c r="L456">
        <v>0.102295494</v>
      </c>
      <c r="M456">
        <v>5.8051613999999994E-2</v>
      </c>
      <c r="N456">
        <v>2.7068315999999999E-2</v>
      </c>
      <c r="O456">
        <v>1.1354823000000002E-2</v>
      </c>
      <c r="P456">
        <v>0</v>
      </c>
    </row>
    <row r="457" spans="1:16">
      <c r="B457" t="s">
        <v>78</v>
      </c>
      <c r="C457">
        <v>-0.27288314333333336</v>
      </c>
      <c r="D457">
        <v>-0.45492462333333333</v>
      </c>
      <c r="E457">
        <v>-0.46583975333333338</v>
      </c>
      <c r="F457">
        <v>-0.37969369666666675</v>
      </c>
      <c r="G457">
        <v>-0.24614986136666667</v>
      </c>
      <c r="H457">
        <v>-7.8759594766666691E-2</v>
      </c>
      <c r="I457">
        <v>0.10302499089999996</v>
      </c>
      <c r="J457">
        <v>0.25586440389999998</v>
      </c>
      <c r="K457">
        <v>0.38315000889999989</v>
      </c>
      <c r="L457">
        <v>0.48544550289999994</v>
      </c>
      <c r="M457">
        <v>0.54349711689999991</v>
      </c>
      <c r="N457">
        <v>0.57056543289999995</v>
      </c>
      <c r="O457">
        <v>0.58192025589999996</v>
      </c>
      <c r="P457">
        <v>0</v>
      </c>
    </row>
    <row r="458" spans="1:16">
      <c r="B458" t="s">
        <v>62</v>
      </c>
      <c r="C458">
        <v>0</v>
      </c>
      <c r="D458">
        <v>0</v>
      </c>
      <c r="E458">
        <v>0</v>
      </c>
      <c r="F458">
        <v>0</v>
      </c>
      <c r="G458">
        <v>0</v>
      </c>
      <c r="H458">
        <v>0</v>
      </c>
      <c r="I458">
        <v>2.6580447652199996E-2</v>
      </c>
      <c r="J458">
        <v>3.9432568554E-2</v>
      </c>
      <c r="K458">
        <v>3.283968609E-2</v>
      </c>
      <c r="L458">
        <v>2.6392237452000002E-2</v>
      </c>
      <c r="M458">
        <v>1.4977316411999999E-2</v>
      </c>
      <c r="N458">
        <v>6.9836255279999999E-3</v>
      </c>
      <c r="O458">
        <v>2.9295443340000005E-3</v>
      </c>
      <c r="P458">
        <v>0</v>
      </c>
    </row>
    <row r="459" spans="1:16">
      <c r="A459" t="s">
        <v>292</v>
      </c>
      <c r="B459" t="s">
        <v>65</v>
      </c>
      <c r="C459">
        <v>-0.27288314333333336</v>
      </c>
      <c r="D459">
        <v>-0.18204148000000001</v>
      </c>
      <c r="E459">
        <v>-1.091513E-2</v>
      </c>
      <c r="F459">
        <v>8.6146056666666679E-2</v>
      </c>
      <c r="G459">
        <v>0.13354383530000002</v>
      </c>
      <c r="H459">
        <v>0.16739026659999998</v>
      </c>
      <c r="I459">
        <v>0.15520413801446667</v>
      </c>
      <c r="J459">
        <v>0.11340684444599999</v>
      </c>
      <c r="K459">
        <v>9.4445918909999996E-2</v>
      </c>
      <c r="L459">
        <v>7.5903256547999995E-2</v>
      </c>
      <c r="M459">
        <v>4.3074297587999993E-2</v>
      </c>
      <c r="N459">
        <v>2.0084690471999997E-2</v>
      </c>
      <c r="O459">
        <v>8.4252786660000013E-3</v>
      </c>
      <c r="P459">
        <v>0</v>
      </c>
    </row>
    <row r="460" spans="1:16">
      <c r="P460">
        <v>0</v>
      </c>
    </row>
    <row r="461" spans="1:16">
      <c r="B461">
        <v>0.12674896349482245</v>
      </c>
      <c r="P461">
        <v>0</v>
      </c>
    </row>
    <row r="462" spans="1:16">
      <c r="P462">
        <v>0</v>
      </c>
    </row>
    <row r="463" spans="1:16">
      <c r="B463" t="s">
        <v>294</v>
      </c>
      <c r="C463">
        <v>-0.19750000000000001</v>
      </c>
      <c r="D463">
        <v>-0.19</v>
      </c>
      <c r="E463">
        <v>-0.19</v>
      </c>
      <c r="F463">
        <v>-0.19</v>
      </c>
      <c r="G463">
        <v>-0.19</v>
      </c>
      <c r="H463">
        <v>0.83470000000000011</v>
      </c>
      <c r="I463">
        <v>0.69810000000000016</v>
      </c>
      <c r="J463">
        <v>0.67149999999999999</v>
      </c>
      <c r="K463">
        <v>0.67490000000000006</v>
      </c>
      <c r="L463">
        <v>0.56579999999999986</v>
      </c>
      <c r="M463">
        <v>0</v>
      </c>
      <c r="N463">
        <v>0</v>
      </c>
      <c r="O463">
        <v>0</v>
      </c>
      <c r="P463">
        <v>0</v>
      </c>
    </row>
    <row r="464" spans="1:16">
      <c r="B464" t="s">
        <v>77</v>
      </c>
      <c r="C464">
        <v>-0.19750000000000001</v>
      </c>
      <c r="D464">
        <v>-0.38750000000000001</v>
      </c>
      <c r="E464">
        <v>-0.57750000000000001</v>
      </c>
      <c r="F464">
        <v>-0.76749999999999996</v>
      </c>
      <c r="G464">
        <v>-0.95750000000000002</v>
      </c>
      <c r="H464">
        <v>-0.12279999999999992</v>
      </c>
      <c r="I464">
        <v>0.57530000000000026</v>
      </c>
      <c r="J464">
        <v>1.2468000000000004</v>
      </c>
      <c r="K464">
        <v>1.9217000000000004</v>
      </c>
      <c r="L464">
        <v>2.4875000000000003</v>
      </c>
      <c r="M464">
        <v>2.4875000000000003</v>
      </c>
      <c r="N464">
        <v>2.4875000000000003</v>
      </c>
      <c r="O464">
        <v>2.4875000000000003</v>
      </c>
      <c r="P464">
        <v>0</v>
      </c>
    </row>
    <row r="465" spans="1:16">
      <c r="B465" t="s">
        <v>49</v>
      </c>
      <c r="C465">
        <v>-0.19750000000000001</v>
      </c>
      <c r="D465">
        <v>-0.19</v>
      </c>
      <c r="E465">
        <v>-0.19</v>
      </c>
      <c r="F465">
        <v>-0.19</v>
      </c>
      <c r="G465">
        <v>-0.19</v>
      </c>
      <c r="H465">
        <v>0.52199036647314945</v>
      </c>
      <c r="I465">
        <v>0.43656580188679256</v>
      </c>
      <c r="J465">
        <v>0.41993115021770677</v>
      </c>
      <c r="K465">
        <v>0.42205738388969521</v>
      </c>
      <c r="L465">
        <v>0.35383029753265588</v>
      </c>
      <c r="M465">
        <v>0</v>
      </c>
      <c r="N465">
        <v>0</v>
      </c>
      <c r="O465">
        <v>0</v>
      </c>
      <c r="P465">
        <v>0</v>
      </c>
    </row>
    <row r="466" spans="1:16">
      <c r="B466" t="s">
        <v>77</v>
      </c>
      <c r="C466">
        <v>-0.19750000000000001</v>
      </c>
      <c r="D466">
        <v>-0.38750000000000001</v>
      </c>
      <c r="E466">
        <v>-0.57750000000000001</v>
      </c>
      <c r="F466">
        <v>-0.76749999999999996</v>
      </c>
      <c r="G466">
        <v>-0.95750000000000002</v>
      </c>
      <c r="H466">
        <v>-0.43550963352685057</v>
      </c>
      <c r="I466">
        <v>1.0561683599419891E-3</v>
      </c>
      <c r="J466">
        <v>0.42098731857764882</v>
      </c>
      <c r="K466">
        <v>0.84304470246734398</v>
      </c>
      <c r="L466">
        <v>1.1968749999999999</v>
      </c>
      <c r="M466">
        <v>1.1968749999999999</v>
      </c>
      <c r="N466">
        <v>1.1968749999999999</v>
      </c>
      <c r="O466">
        <v>1.1968749999999999</v>
      </c>
      <c r="P466">
        <v>0</v>
      </c>
    </row>
    <row r="467" spans="1:16">
      <c r="B467" t="s">
        <v>62</v>
      </c>
      <c r="C467">
        <v>0</v>
      </c>
      <c r="D467">
        <v>0</v>
      </c>
      <c r="E467">
        <v>0</v>
      </c>
      <c r="F467">
        <v>0</v>
      </c>
      <c r="G467">
        <v>0</v>
      </c>
      <c r="H467">
        <v>0</v>
      </c>
      <c r="I467">
        <v>0</v>
      </c>
      <c r="J467">
        <v>0</v>
      </c>
      <c r="K467">
        <v>0</v>
      </c>
      <c r="L467">
        <v>0</v>
      </c>
      <c r="M467">
        <v>0</v>
      </c>
      <c r="N467">
        <v>0</v>
      </c>
      <c r="O467">
        <v>0</v>
      </c>
      <c r="P467">
        <v>0</v>
      </c>
    </row>
    <row r="468" spans="1:16">
      <c r="A468" t="s">
        <v>293</v>
      </c>
      <c r="B468" t="s">
        <v>90</v>
      </c>
      <c r="C468">
        <v>-0.19750000000000001</v>
      </c>
      <c r="D468">
        <v>-0.19</v>
      </c>
      <c r="E468">
        <v>-0.19</v>
      </c>
      <c r="F468">
        <v>-0.19</v>
      </c>
      <c r="G468">
        <v>-0.19</v>
      </c>
      <c r="H468">
        <v>0.52199036647314945</v>
      </c>
      <c r="I468">
        <v>0.43656580188679256</v>
      </c>
      <c r="J468">
        <v>0.41993115021770677</v>
      </c>
      <c r="K468">
        <v>0.42205738388969521</v>
      </c>
      <c r="L468">
        <v>0.35383029753265588</v>
      </c>
      <c r="M468">
        <v>0</v>
      </c>
      <c r="N468">
        <v>0</v>
      </c>
      <c r="O468">
        <v>0</v>
      </c>
      <c r="P468">
        <v>0</v>
      </c>
    </row>
    <row r="469" spans="1:16">
      <c r="P469">
        <v>0</v>
      </c>
    </row>
    <row r="470" spans="1:16">
      <c r="P470">
        <v>0</v>
      </c>
    </row>
    <row r="471" spans="1:16">
      <c r="C471">
        <v>-0.15</v>
      </c>
      <c r="D471">
        <v>-0.18</v>
      </c>
      <c r="E471">
        <v>-0.18</v>
      </c>
      <c r="F471">
        <v>-0.18</v>
      </c>
      <c r="G471">
        <v>-0.1</v>
      </c>
      <c r="H471">
        <v>0.15</v>
      </c>
      <c r="I471">
        <v>0.36</v>
      </c>
      <c r="J471">
        <v>0.72</v>
      </c>
      <c r="K471">
        <v>0.88</v>
      </c>
      <c r="L471">
        <v>0.88</v>
      </c>
      <c r="M471">
        <v>0.8</v>
      </c>
      <c r="N471">
        <v>0</v>
      </c>
      <c r="O471">
        <v>0</v>
      </c>
      <c r="P471">
        <v>0</v>
      </c>
    </row>
    <row r="472" spans="1:16">
      <c r="B472" t="s">
        <v>77</v>
      </c>
      <c r="C472">
        <v>-0.15</v>
      </c>
      <c r="D472">
        <v>-0.32999999999999996</v>
      </c>
      <c r="E472">
        <v>-0.51</v>
      </c>
      <c r="F472">
        <v>-0.69</v>
      </c>
      <c r="G472">
        <v>-0.79</v>
      </c>
      <c r="H472">
        <v>-0.6399999999999999</v>
      </c>
      <c r="I472">
        <v>-0.27999999999999992</v>
      </c>
      <c r="J472">
        <v>0.44000000000000006</v>
      </c>
      <c r="K472">
        <v>1.32</v>
      </c>
      <c r="L472">
        <v>2.2000000000000002</v>
      </c>
      <c r="M472">
        <v>3</v>
      </c>
      <c r="N472">
        <v>3</v>
      </c>
      <c r="O472">
        <v>3</v>
      </c>
      <c r="P472">
        <v>0</v>
      </c>
    </row>
    <row r="473" spans="1:16">
      <c r="B473" t="s">
        <v>49</v>
      </c>
      <c r="C473">
        <v>-0.15</v>
      </c>
      <c r="D473">
        <v>-0.18</v>
      </c>
      <c r="E473">
        <v>-0.18</v>
      </c>
      <c r="F473">
        <v>-0.18</v>
      </c>
      <c r="G473">
        <v>-0.1</v>
      </c>
      <c r="H473">
        <v>7.8166226912928752E-2</v>
      </c>
      <c r="I473">
        <v>0.18759894459102899</v>
      </c>
      <c r="J473">
        <v>0.37519788918205799</v>
      </c>
      <c r="K473">
        <v>0.45857519788918211</v>
      </c>
      <c r="L473">
        <v>0.45857519788918205</v>
      </c>
      <c r="M473">
        <v>0.41688654353562005</v>
      </c>
      <c r="N473">
        <v>0</v>
      </c>
      <c r="O473">
        <v>0</v>
      </c>
      <c r="P473">
        <v>0</v>
      </c>
    </row>
    <row r="474" spans="1:16">
      <c r="B474" t="s">
        <v>77</v>
      </c>
      <c r="C474">
        <v>-0.15</v>
      </c>
      <c r="D474">
        <v>-0.32999999999999996</v>
      </c>
      <c r="E474">
        <v>-0.51</v>
      </c>
      <c r="F474">
        <v>-0.69</v>
      </c>
      <c r="G474">
        <v>-0.79</v>
      </c>
      <c r="H474">
        <v>-0.71183377308707119</v>
      </c>
      <c r="I474">
        <v>-0.52423482849604219</v>
      </c>
      <c r="J474">
        <v>-0.14903693931398421</v>
      </c>
      <c r="K474">
        <v>0.30953825857519784</v>
      </c>
      <c r="L474">
        <v>0.7681134564643799</v>
      </c>
      <c r="M474">
        <v>1.1850000000000001</v>
      </c>
      <c r="N474">
        <v>1.1850000000000001</v>
      </c>
      <c r="O474">
        <v>1.1850000000000001</v>
      </c>
      <c r="P474">
        <v>0</v>
      </c>
    </row>
    <row r="475" spans="1:16">
      <c r="B475" t="s">
        <v>62</v>
      </c>
      <c r="C475">
        <v>0</v>
      </c>
      <c r="D475">
        <v>0</v>
      </c>
      <c r="E475">
        <v>0</v>
      </c>
      <c r="F475">
        <v>0</v>
      </c>
      <c r="G475">
        <v>0</v>
      </c>
      <c r="H475">
        <v>0</v>
      </c>
      <c r="I475">
        <v>0</v>
      </c>
      <c r="J475">
        <v>0</v>
      </c>
      <c r="K475">
        <v>0</v>
      </c>
      <c r="L475">
        <v>0</v>
      </c>
      <c r="M475">
        <v>0</v>
      </c>
      <c r="N475">
        <v>0</v>
      </c>
      <c r="O475">
        <v>0</v>
      </c>
      <c r="P475">
        <v>0</v>
      </c>
    </row>
    <row r="476" spans="1:16">
      <c r="A476" t="s">
        <v>296</v>
      </c>
      <c r="B476" t="s">
        <v>90</v>
      </c>
      <c r="C476">
        <v>-0.15</v>
      </c>
      <c r="D476">
        <v>-0.18</v>
      </c>
      <c r="E476">
        <v>-0.18</v>
      </c>
      <c r="F476">
        <v>-0.18</v>
      </c>
      <c r="G476">
        <v>-0.1</v>
      </c>
      <c r="H476">
        <v>7.8166226912928752E-2</v>
      </c>
      <c r="I476">
        <v>0.18759894459102899</v>
      </c>
      <c r="J476">
        <v>0.37519788918205799</v>
      </c>
      <c r="K476">
        <v>0.45857519788918211</v>
      </c>
      <c r="L476">
        <v>0.45857519788918205</v>
      </c>
      <c r="M476">
        <v>0.41688654353562005</v>
      </c>
      <c r="N476">
        <v>0</v>
      </c>
      <c r="O476">
        <v>0</v>
      </c>
      <c r="P476">
        <v>0</v>
      </c>
    </row>
    <row r="477" spans="1:16">
      <c r="P477">
        <v>0</v>
      </c>
    </row>
    <row r="478" spans="1:16">
      <c r="B478" t="s">
        <v>107</v>
      </c>
      <c r="C478">
        <v>-1</v>
      </c>
      <c r="D478">
        <v>0</v>
      </c>
      <c r="E478">
        <v>0</v>
      </c>
      <c r="F478">
        <v>0</v>
      </c>
      <c r="G478">
        <v>0</v>
      </c>
      <c r="H478">
        <v>0</v>
      </c>
      <c r="I478">
        <v>0</v>
      </c>
      <c r="J478">
        <v>0</v>
      </c>
      <c r="K478">
        <v>0</v>
      </c>
      <c r="L478">
        <v>0</v>
      </c>
      <c r="M478">
        <v>2.4782276134586465</v>
      </c>
      <c r="N478">
        <v>0</v>
      </c>
      <c r="O478">
        <v>0</v>
      </c>
      <c r="P478">
        <v>0</v>
      </c>
    </row>
    <row r="479" spans="1:16">
      <c r="B479" t="s">
        <v>99</v>
      </c>
      <c r="C479">
        <v>-1</v>
      </c>
      <c r="D479">
        <v>-1</v>
      </c>
      <c r="E479">
        <v>-1</v>
      </c>
      <c r="F479">
        <v>-1</v>
      </c>
      <c r="G479">
        <v>-1</v>
      </c>
      <c r="H479">
        <v>-1</v>
      </c>
      <c r="I479">
        <v>-1</v>
      </c>
      <c r="J479">
        <v>-1</v>
      </c>
      <c r="K479">
        <v>-1</v>
      </c>
      <c r="L479">
        <v>-1</v>
      </c>
      <c r="M479">
        <v>1.4782276134586465</v>
      </c>
      <c r="N479">
        <v>0</v>
      </c>
      <c r="O479">
        <v>0</v>
      </c>
      <c r="P479">
        <v>0</v>
      </c>
    </row>
    <row r="480" spans="1:16">
      <c r="B480" t="s">
        <v>62</v>
      </c>
      <c r="C480">
        <v>0</v>
      </c>
      <c r="D480">
        <v>0</v>
      </c>
      <c r="E480">
        <v>0</v>
      </c>
      <c r="F480">
        <v>0</v>
      </c>
      <c r="G480">
        <v>0</v>
      </c>
      <c r="H480">
        <v>0</v>
      </c>
      <c r="I480">
        <v>0</v>
      </c>
      <c r="J480">
        <v>0</v>
      </c>
      <c r="K480">
        <v>0</v>
      </c>
      <c r="L480">
        <v>0</v>
      </c>
      <c r="M480">
        <v>0.38138272427233083</v>
      </c>
      <c r="N480">
        <v>0</v>
      </c>
      <c r="O480">
        <v>0</v>
      </c>
      <c r="P480">
        <v>0</v>
      </c>
    </row>
    <row r="481" spans="1:16">
      <c r="A481" t="s">
        <v>316</v>
      </c>
      <c r="B481" t="s">
        <v>65</v>
      </c>
      <c r="C481">
        <v>-1</v>
      </c>
      <c r="D481">
        <v>0</v>
      </c>
      <c r="E481">
        <v>0</v>
      </c>
      <c r="F481">
        <v>0</v>
      </c>
      <c r="G481">
        <v>0</v>
      </c>
      <c r="H481">
        <v>0</v>
      </c>
      <c r="I481">
        <v>0</v>
      </c>
      <c r="J481">
        <v>0</v>
      </c>
      <c r="K481">
        <v>0</v>
      </c>
      <c r="L481">
        <v>0</v>
      </c>
      <c r="M481">
        <v>2.0968448891863156</v>
      </c>
      <c r="N481">
        <v>0</v>
      </c>
      <c r="O481">
        <v>0</v>
      </c>
      <c r="P481">
        <v>0</v>
      </c>
    </row>
    <row r="482" spans="1:16">
      <c r="P482">
        <v>0</v>
      </c>
    </row>
    <row r="483" spans="1:16">
      <c r="B483" t="s">
        <v>84</v>
      </c>
      <c r="C483">
        <v>1</v>
      </c>
      <c r="D483">
        <v>2</v>
      </c>
      <c r="E483">
        <v>3</v>
      </c>
      <c r="F483">
        <v>4</v>
      </c>
      <c r="G483">
        <v>5</v>
      </c>
      <c r="H483">
        <v>6</v>
      </c>
      <c r="I483">
        <v>7</v>
      </c>
      <c r="J483">
        <v>8</v>
      </c>
      <c r="K483">
        <v>9</v>
      </c>
      <c r="L483">
        <v>10</v>
      </c>
      <c r="M483">
        <v>11</v>
      </c>
      <c r="P483">
        <v>0</v>
      </c>
    </row>
    <row r="484" spans="1:16">
      <c r="B484" t="s">
        <v>77</v>
      </c>
      <c r="C484">
        <v>-0.1</v>
      </c>
      <c r="D484">
        <v>-0.1</v>
      </c>
      <c r="E484">
        <v>-0.15</v>
      </c>
      <c r="F484">
        <v>-0.15</v>
      </c>
      <c r="G484">
        <v>0.05</v>
      </c>
      <c r="H484">
        <v>0.2</v>
      </c>
      <c r="I484">
        <v>0.3</v>
      </c>
      <c r="J484">
        <v>0.4</v>
      </c>
      <c r="K484">
        <v>0.35</v>
      </c>
      <c r="L484">
        <v>0.1</v>
      </c>
      <c r="P484">
        <v>0</v>
      </c>
    </row>
    <row r="485" spans="1:16">
      <c r="P485">
        <v>0</v>
      </c>
    </row>
    <row r="486" spans="1:16">
      <c r="P486">
        <v>0</v>
      </c>
    </row>
    <row r="487" spans="1:16">
      <c r="B487" t="s">
        <v>77</v>
      </c>
      <c r="C487">
        <v>-0.1</v>
      </c>
      <c r="D487">
        <v>-0.2</v>
      </c>
      <c r="E487">
        <v>-0.35</v>
      </c>
      <c r="F487">
        <v>-0.5</v>
      </c>
      <c r="G487">
        <v>-0.45</v>
      </c>
      <c r="H487">
        <v>-0.25</v>
      </c>
      <c r="I487">
        <v>4.9999999999999989E-2</v>
      </c>
      <c r="J487">
        <v>0.45</v>
      </c>
      <c r="K487">
        <v>0.8</v>
      </c>
      <c r="L487">
        <v>0.9</v>
      </c>
      <c r="M487">
        <v>0.9</v>
      </c>
      <c r="N487">
        <v>0</v>
      </c>
      <c r="O487">
        <v>0</v>
      </c>
      <c r="P487">
        <v>0</v>
      </c>
    </row>
    <row r="488" spans="1:16">
      <c r="B488" t="s">
        <v>49</v>
      </c>
      <c r="C488">
        <v>-0.1</v>
      </c>
      <c r="D488">
        <v>-0.1</v>
      </c>
      <c r="E488">
        <v>-0.15</v>
      </c>
      <c r="F488">
        <v>-0.15</v>
      </c>
      <c r="G488">
        <v>3.6573780873970875E-2</v>
      </c>
      <c r="H488">
        <v>0.1462951234958835</v>
      </c>
      <c r="I488">
        <v>0.21944268524382521</v>
      </c>
      <c r="J488">
        <v>0.292590246991767</v>
      </c>
      <c r="K488">
        <v>0.2560164661177961</v>
      </c>
      <c r="L488">
        <v>7.314756174794175E-2</v>
      </c>
      <c r="M488">
        <v>0</v>
      </c>
      <c r="N488">
        <v>0</v>
      </c>
      <c r="O488">
        <v>0</v>
      </c>
      <c r="P488">
        <v>0</v>
      </c>
    </row>
    <row r="489" spans="1:16">
      <c r="B489" t="s">
        <v>78</v>
      </c>
      <c r="C489">
        <v>-0.1</v>
      </c>
      <c r="D489">
        <v>-0.2</v>
      </c>
      <c r="E489">
        <v>-0.35</v>
      </c>
      <c r="F489">
        <v>-0.5</v>
      </c>
      <c r="G489">
        <v>-0.4634262191260291</v>
      </c>
      <c r="H489">
        <v>-0.31713109563014563</v>
      </c>
      <c r="I489">
        <v>-9.7688410386320451E-2</v>
      </c>
      <c r="J489">
        <v>0.19490183660544655</v>
      </c>
      <c r="K489">
        <v>0.45091830272324263</v>
      </c>
      <c r="L489">
        <v>0.52406586447118442</v>
      </c>
      <c r="M489">
        <v>0.52406586447118442</v>
      </c>
      <c r="N489">
        <v>0</v>
      </c>
      <c r="O489">
        <v>0</v>
      </c>
      <c r="P489">
        <v>0</v>
      </c>
    </row>
    <row r="490" spans="1:16">
      <c r="B490" t="s">
        <v>62</v>
      </c>
      <c r="C490">
        <v>0</v>
      </c>
      <c r="D490">
        <v>0</v>
      </c>
      <c r="E490">
        <v>0</v>
      </c>
      <c r="F490">
        <v>0</v>
      </c>
      <c r="G490">
        <v>0</v>
      </c>
      <c r="H490">
        <v>0</v>
      </c>
      <c r="I490">
        <v>0</v>
      </c>
      <c r="J490">
        <v>5.0284673844205208E-2</v>
      </c>
      <c r="K490">
        <v>6.6052248258391399E-2</v>
      </c>
      <c r="L490">
        <v>1.8872070930968973E-2</v>
      </c>
      <c r="M490">
        <v>0</v>
      </c>
      <c r="N490">
        <v>0</v>
      </c>
      <c r="O490">
        <v>0</v>
      </c>
      <c r="P490">
        <v>0</v>
      </c>
    </row>
    <row r="491" spans="1:16">
      <c r="A491" t="s">
        <v>317</v>
      </c>
      <c r="B491" t="s">
        <v>65</v>
      </c>
      <c r="C491">
        <v>-0.1</v>
      </c>
      <c r="D491">
        <v>-0.1</v>
      </c>
      <c r="E491">
        <v>-0.15</v>
      </c>
      <c r="F491">
        <v>-0.15</v>
      </c>
      <c r="G491">
        <v>3.6573780873970875E-2</v>
      </c>
      <c r="H491">
        <v>0.1462951234958835</v>
      </c>
      <c r="I491">
        <v>0.21944268524382521</v>
      </c>
      <c r="J491">
        <v>0.24230557314756179</v>
      </c>
      <c r="K491">
        <v>0.1899642178594047</v>
      </c>
      <c r="L491">
        <v>5.4275490816972777E-2</v>
      </c>
      <c r="M491">
        <v>0</v>
      </c>
      <c r="N491">
        <v>0</v>
      </c>
      <c r="O491">
        <v>0</v>
      </c>
      <c r="P491">
        <v>0</v>
      </c>
    </row>
    <row r="492" spans="1:16">
      <c r="P492">
        <v>0</v>
      </c>
    </row>
    <row r="493" spans="1:16">
      <c r="P493">
        <v>0</v>
      </c>
    </row>
    <row r="494" spans="1:16">
      <c r="P494">
        <v>0</v>
      </c>
    </row>
    <row r="495" spans="1:16">
      <c r="B495">
        <v>0</v>
      </c>
      <c r="C495">
        <v>-0.85</v>
      </c>
      <c r="D495">
        <v>-0.15</v>
      </c>
      <c r="E495">
        <v>0</v>
      </c>
      <c r="F495">
        <v>0</v>
      </c>
      <c r="G495">
        <v>0</v>
      </c>
      <c r="H495">
        <v>0.1045</v>
      </c>
      <c r="I495">
        <v>0.3125</v>
      </c>
      <c r="J495">
        <v>0.62180000000000002</v>
      </c>
      <c r="K495">
        <v>0.57199999999999995</v>
      </c>
      <c r="L495">
        <v>0.4133</v>
      </c>
      <c r="M495">
        <v>0.1865</v>
      </c>
      <c r="N495">
        <v>0</v>
      </c>
      <c r="O495">
        <v>0</v>
      </c>
      <c r="P495">
        <v>0</v>
      </c>
    </row>
    <row r="496" spans="1:16">
      <c r="B496">
        <v>0</v>
      </c>
      <c r="C496">
        <v>-0.85</v>
      </c>
      <c r="D496">
        <v>-1</v>
      </c>
      <c r="E496">
        <v>-1</v>
      </c>
      <c r="F496">
        <v>-1</v>
      </c>
      <c r="G496">
        <v>-1</v>
      </c>
      <c r="H496">
        <v>-0.89549999999999996</v>
      </c>
      <c r="I496">
        <v>-0.58299999999999996</v>
      </c>
      <c r="J496">
        <v>3.8800000000000057E-2</v>
      </c>
      <c r="K496">
        <v>0.61080000000000001</v>
      </c>
      <c r="L496">
        <v>1.0241</v>
      </c>
      <c r="M496">
        <v>1.2105999999999999</v>
      </c>
      <c r="N496">
        <v>0</v>
      </c>
      <c r="O496">
        <v>0</v>
      </c>
      <c r="P496">
        <v>0</v>
      </c>
    </row>
    <row r="497" spans="1:16">
      <c r="B497" t="s">
        <v>62</v>
      </c>
      <c r="P497">
        <v>0</v>
      </c>
    </row>
    <row r="498" spans="1:16">
      <c r="P498">
        <v>0</v>
      </c>
    </row>
    <row r="499" spans="1:16">
      <c r="B499" t="s">
        <v>78</v>
      </c>
      <c r="C499">
        <v>-0.85</v>
      </c>
      <c r="D499">
        <v>-0.15</v>
      </c>
      <c r="E499">
        <v>0</v>
      </c>
      <c r="F499">
        <v>0</v>
      </c>
      <c r="G499">
        <v>0</v>
      </c>
      <c r="H499">
        <v>0.1418167013480503</v>
      </c>
      <c r="I499">
        <v>0.42409300642359543</v>
      </c>
      <c r="J499">
        <v>0.8438433004614132</v>
      </c>
      <c r="K499">
        <v>0.77625983895774897</v>
      </c>
      <c r="L499">
        <v>0.56088844657559034</v>
      </c>
      <c r="M499">
        <v>0.25309870623360176</v>
      </c>
      <c r="N499">
        <v>0</v>
      </c>
      <c r="O499">
        <v>0</v>
      </c>
      <c r="P499">
        <v>0</v>
      </c>
    </row>
    <row r="500" spans="1:16">
      <c r="B500" t="s">
        <v>62</v>
      </c>
      <c r="C500">
        <v>-0.85</v>
      </c>
      <c r="D500">
        <v>-1</v>
      </c>
      <c r="E500">
        <v>-1</v>
      </c>
      <c r="F500">
        <v>-1</v>
      </c>
      <c r="G500">
        <v>-1</v>
      </c>
      <c r="H500">
        <v>-0.85818329865194976</v>
      </c>
      <c r="I500">
        <v>-0.43409029222835432</v>
      </c>
      <c r="J500">
        <v>0.40975300823305888</v>
      </c>
      <c r="K500">
        <v>1.1860128471908078</v>
      </c>
      <c r="L500">
        <v>1.7469012937663981</v>
      </c>
      <c r="M500">
        <v>2</v>
      </c>
      <c r="N500">
        <v>0</v>
      </c>
      <c r="O500">
        <v>0</v>
      </c>
      <c r="P500">
        <v>0</v>
      </c>
    </row>
    <row r="501" spans="1:16">
      <c r="B501" t="s">
        <v>62</v>
      </c>
      <c r="C501">
        <v>0</v>
      </c>
      <c r="D501">
        <v>0</v>
      </c>
      <c r="E501">
        <v>0</v>
      </c>
      <c r="F501">
        <v>0</v>
      </c>
      <c r="G501">
        <v>0</v>
      </c>
      <c r="H501">
        <v>0</v>
      </c>
      <c r="I501">
        <v>0</v>
      </c>
      <c r="J501">
        <v>0.1057162761241292</v>
      </c>
      <c r="K501">
        <v>0.20027503845109923</v>
      </c>
      <c r="L501">
        <v>0.14470921921650232</v>
      </c>
      <c r="M501">
        <v>6.529946620826925E-2</v>
      </c>
      <c r="N501">
        <v>0</v>
      </c>
      <c r="O501">
        <v>0</v>
      </c>
      <c r="P501">
        <v>0</v>
      </c>
    </row>
    <row r="502" spans="1:16">
      <c r="A502" t="s">
        <v>318</v>
      </c>
      <c r="B502" t="s">
        <v>65</v>
      </c>
      <c r="C502">
        <v>-0.85</v>
      </c>
      <c r="D502">
        <v>-0.15</v>
      </c>
      <c r="E502">
        <v>0</v>
      </c>
      <c r="F502">
        <v>0</v>
      </c>
      <c r="G502">
        <v>0</v>
      </c>
      <c r="H502">
        <v>0.1418167013480503</v>
      </c>
      <c r="I502">
        <v>0.42409300642359543</v>
      </c>
      <c r="J502">
        <v>0.73812702433728405</v>
      </c>
      <c r="K502">
        <v>0.57598480050664969</v>
      </c>
      <c r="L502">
        <v>0.41617922735908802</v>
      </c>
      <c r="M502">
        <v>0.18779924002533249</v>
      </c>
      <c r="N502">
        <v>0</v>
      </c>
      <c r="O502">
        <v>0</v>
      </c>
      <c r="P502">
        <v>0</v>
      </c>
    </row>
    <row r="503" spans="1:16">
      <c r="P503">
        <v>0</v>
      </c>
    </row>
    <row r="504" spans="1:16">
      <c r="B504" t="s">
        <v>107</v>
      </c>
      <c r="C504">
        <v>-0.31890000000000002</v>
      </c>
      <c r="D504">
        <v>-0.1305</v>
      </c>
      <c r="E504">
        <v>-4.2999999999999997E-2</v>
      </c>
      <c r="F504">
        <v>0.31190000000000001</v>
      </c>
      <c r="G504">
        <v>0.36030000000000001</v>
      </c>
      <c r="H504">
        <v>0.2029</v>
      </c>
      <c r="I504">
        <v>0.14410000000000001</v>
      </c>
      <c r="J504">
        <v>0.59099999999999997</v>
      </c>
      <c r="K504">
        <v>0.189</v>
      </c>
      <c r="L504">
        <v>0.71</v>
      </c>
      <c r="M504">
        <v>0</v>
      </c>
      <c r="N504">
        <v>0</v>
      </c>
      <c r="P504">
        <v>0</v>
      </c>
    </row>
    <row r="505" spans="1:16">
      <c r="B505" t="s">
        <v>99</v>
      </c>
      <c r="C505">
        <v>-0.31890000000000002</v>
      </c>
      <c r="D505">
        <v>-0.44940000000000002</v>
      </c>
      <c r="E505">
        <v>-0.4924</v>
      </c>
      <c r="F505">
        <v>-0.18049999999999999</v>
      </c>
      <c r="G505">
        <v>0.17980000000000002</v>
      </c>
      <c r="H505">
        <v>0.38269999999999998</v>
      </c>
      <c r="I505">
        <v>0.52680000000000005</v>
      </c>
      <c r="J505">
        <v>1.1177999999999999</v>
      </c>
      <c r="K505">
        <v>1.3068</v>
      </c>
      <c r="L505">
        <v>2.0167999999999999</v>
      </c>
      <c r="M505">
        <v>2.0167999999999999</v>
      </c>
      <c r="N505">
        <v>2.0167999999999999</v>
      </c>
      <c r="P505">
        <v>0</v>
      </c>
    </row>
    <row r="506" spans="1:16">
      <c r="B506" t="s">
        <v>112</v>
      </c>
      <c r="C506">
        <v>-0.31890000000000002</v>
      </c>
      <c r="D506">
        <v>-0.1305</v>
      </c>
      <c r="E506">
        <v>-4.2999999999999997E-2</v>
      </c>
      <c r="F506">
        <v>0.11017185078909614</v>
      </c>
      <c r="G506">
        <v>0.1272680918220947</v>
      </c>
      <c r="H506">
        <v>7.166998565279771E-2</v>
      </c>
      <c r="I506">
        <v>5.0900172166427546E-2</v>
      </c>
      <c r="J506">
        <v>0.20875781922525108</v>
      </c>
      <c r="K506">
        <v>6.6760114777618368E-2</v>
      </c>
      <c r="L506">
        <v>0.25079196556671446</v>
      </c>
      <c r="M506">
        <v>0</v>
      </c>
      <c r="N506">
        <v>0</v>
      </c>
      <c r="P506">
        <v>0</v>
      </c>
    </row>
    <row r="507" spans="1:16">
      <c r="B507" t="s">
        <v>78</v>
      </c>
      <c r="C507">
        <v>-0.31890000000000002</v>
      </c>
      <c r="D507">
        <v>-0.44940000000000002</v>
      </c>
      <c r="E507">
        <v>-0.4924</v>
      </c>
      <c r="F507">
        <v>-0.38222814921090387</v>
      </c>
      <c r="G507">
        <v>-0.25496005738880917</v>
      </c>
      <c r="H507">
        <v>-0.18329007173601147</v>
      </c>
      <c r="I507">
        <v>-0.13238989956958391</v>
      </c>
      <c r="J507">
        <v>7.6367919655667166E-2</v>
      </c>
      <c r="K507">
        <v>0.14312803443328553</v>
      </c>
      <c r="L507">
        <v>0.39391999999999999</v>
      </c>
      <c r="M507">
        <v>0.39391999999999999</v>
      </c>
      <c r="N507">
        <v>0.39391999999999999</v>
      </c>
      <c r="P507">
        <v>0</v>
      </c>
    </row>
    <row r="508" spans="1:16">
      <c r="B508" t="s">
        <v>62</v>
      </c>
      <c r="C508">
        <v>0</v>
      </c>
      <c r="D508">
        <v>0</v>
      </c>
      <c r="E508">
        <v>0</v>
      </c>
      <c r="F508">
        <v>0</v>
      </c>
      <c r="G508">
        <v>0</v>
      </c>
      <c r="H508">
        <v>0</v>
      </c>
      <c r="I508">
        <v>0</v>
      </c>
      <c r="J508">
        <v>1.9702923271162128E-2</v>
      </c>
      <c r="K508">
        <v>1.7224109612625538E-2</v>
      </c>
      <c r="L508">
        <v>6.4704327116212337E-2</v>
      </c>
      <c r="M508">
        <v>0</v>
      </c>
      <c r="N508">
        <v>0</v>
      </c>
      <c r="O508">
        <v>0</v>
      </c>
      <c r="P508">
        <v>0</v>
      </c>
    </row>
    <row r="509" spans="1:16">
      <c r="A509" t="s">
        <v>281</v>
      </c>
      <c r="B509" t="s">
        <v>65</v>
      </c>
      <c r="C509">
        <v>-0.31890000000000002</v>
      </c>
      <c r="D509">
        <v>-0.1305</v>
      </c>
      <c r="E509">
        <v>-4.2999999999999997E-2</v>
      </c>
      <c r="F509">
        <v>0.11017185078909614</v>
      </c>
      <c r="G509">
        <v>0.1272680918220947</v>
      </c>
      <c r="H509">
        <v>7.166998565279771E-2</v>
      </c>
      <c r="I509">
        <v>5.0900172166427546E-2</v>
      </c>
      <c r="J509">
        <v>0.18905489595408895</v>
      </c>
      <c r="K509">
        <v>4.9536005164992833E-2</v>
      </c>
      <c r="L509">
        <v>0.18608763845050214</v>
      </c>
      <c r="M509">
        <v>0</v>
      </c>
      <c r="N509">
        <v>0</v>
      </c>
      <c r="O509">
        <v>0</v>
      </c>
      <c r="P509">
        <v>0</v>
      </c>
    </row>
    <row r="510" spans="1:16">
      <c r="P510">
        <v>0</v>
      </c>
    </row>
    <row r="511" spans="1:16">
      <c r="B511" t="s">
        <v>68</v>
      </c>
      <c r="C511">
        <v>1</v>
      </c>
      <c r="D511">
        <v>2</v>
      </c>
      <c r="E511">
        <v>3</v>
      </c>
      <c r="F511">
        <v>4</v>
      </c>
      <c r="G511">
        <v>5</v>
      </c>
      <c r="H511">
        <v>6</v>
      </c>
      <c r="I511">
        <v>7</v>
      </c>
      <c r="J511">
        <v>8</v>
      </c>
      <c r="K511">
        <v>9</v>
      </c>
      <c r="L511">
        <v>10</v>
      </c>
      <c r="M511">
        <v>11</v>
      </c>
      <c r="P511">
        <v>0</v>
      </c>
    </row>
    <row r="512" spans="1:16">
      <c r="B512" t="s">
        <v>60</v>
      </c>
      <c r="C512">
        <v>-0.2</v>
      </c>
      <c r="D512">
        <v>-0.2</v>
      </c>
      <c r="E512">
        <v>-0.2</v>
      </c>
      <c r="F512">
        <v>0.24890000000000001</v>
      </c>
      <c r="G512">
        <v>0.185</v>
      </c>
      <c r="H512">
        <v>0.13100000000000001</v>
      </c>
      <c r="I512">
        <v>0.14710000000000001</v>
      </c>
      <c r="J512">
        <v>0.1215</v>
      </c>
      <c r="K512">
        <v>8.43E-2</v>
      </c>
      <c r="L512">
        <v>1.3100000000000001E-2</v>
      </c>
      <c r="M512">
        <v>5.7000000000000002E-3</v>
      </c>
      <c r="N512">
        <v>0</v>
      </c>
      <c r="O512">
        <v>0</v>
      </c>
      <c r="P512">
        <v>0</v>
      </c>
    </row>
    <row r="513" spans="1:16">
      <c r="B513" t="s">
        <v>61</v>
      </c>
      <c r="C513">
        <v>-0.2</v>
      </c>
      <c r="D513">
        <v>-0.4</v>
      </c>
      <c r="E513">
        <v>-0.60000000000000009</v>
      </c>
      <c r="F513">
        <v>-0.35110000000000008</v>
      </c>
      <c r="G513">
        <v>-0.16610000000000008</v>
      </c>
      <c r="H513">
        <v>-3.5100000000000076E-2</v>
      </c>
      <c r="I513">
        <v>0.11199999999999992</v>
      </c>
      <c r="J513">
        <v>0.23349999999999993</v>
      </c>
      <c r="K513">
        <v>0.31779999999999992</v>
      </c>
      <c r="L513">
        <v>0.33089999999999992</v>
      </c>
      <c r="M513">
        <v>0.3365999999999999</v>
      </c>
      <c r="N513">
        <v>0</v>
      </c>
      <c r="O513">
        <v>0</v>
      </c>
      <c r="P513">
        <v>0</v>
      </c>
    </row>
    <row r="514" spans="1:16">
      <c r="B514" t="s">
        <v>62</v>
      </c>
      <c r="C514">
        <v>0</v>
      </c>
      <c r="D514">
        <v>0</v>
      </c>
      <c r="E514">
        <v>0</v>
      </c>
      <c r="F514">
        <v>0</v>
      </c>
      <c r="G514">
        <v>0</v>
      </c>
      <c r="H514">
        <v>0</v>
      </c>
      <c r="I514">
        <v>2.8895999999999984E-2</v>
      </c>
      <c r="J514">
        <v>3.1347E-2</v>
      </c>
      <c r="K514">
        <v>2.1749399999999999E-2</v>
      </c>
      <c r="L514">
        <v>3.3798000000000001E-3</v>
      </c>
      <c r="M514">
        <v>1.4706000000000001E-3</v>
      </c>
      <c r="N514">
        <v>0</v>
      </c>
      <c r="O514">
        <v>0</v>
      </c>
      <c r="P514">
        <v>0</v>
      </c>
    </row>
    <row r="515" spans="1:16">
      <c r="P515">
        <v>0</v>
      </c>
    </row>
    <row r="516" spans="1:16">
      <c r="B516" t="s">
        <v>49</v>
      </c>
      <c r="C516">
        <v>-0.21</v>
      </c>
      <c r="D516">
        <v>-0.21</v>
      </c>
      <c r="E516">
        <v>-0.21</v>
      </c>
      <c r="F516">
        <v>2.4275386491099289E-2</v>
      </c>
      <c r="G516">
        <v>1.8043175977715421E-2</v>
      </c>
      <c r="H516">
        <v>1.2776519205841733E-2</v>
      </c>
      <c r="I516">
        <v>1.4346763169307776E-2</v>
      </c>
      <c r="J516">
        <v>1.1849977736715801E-2</v>
      </c>
      <c r="K516">
        <v>8.2218364049805939E-3</v>
      </c>
      <c r="L516">
        <v>1.277651920584173E-3</v>
      </c>
      <c r="M516">
        <v>5.5592488147555613E-4</v>
      </c>
      <c r="N516">
        <v>0</v>
      </c>
      <c r="O516">
        <v>0</v>
      </c>
      <c r="P516">
        <v>0</v>
      </c>
    </row>
    <row r="517" spans="1:16">
      <c r="B517" t="s">
        <v>63</v>
      </c>
      <c r="C517">
        <v>-0.21</v>
      </c>
      <c r="D517">
        <v>-0.42</v>
      </c>
      <c r="E517">
        <v>-0.63</v>
      </c>
      <c r="F517">
        <v>-0.60572461350890072</v>
      </c>
      <c r="G517">
        <v>-0.58768143753118529</v>
      </c>
      <c r="H517">
        <v>-0.57490491832534352</v>
      </c>
      <c r="I517">
        <v>-0.56055815515603569</v>
      </c>
      <c r="J517">
        <v>-0.54870817741931988</v>
      </c>
      <c r="K517">
        <v>-0.54048634101433923</v>
      </c>
      <c r="L517">
        <v>-0.53920868909375508</v>
      </c>
      <c r="M517">
        <v>-0.53865276421227948</v>
      </c>
      <c r="N517">
        <v>0</v>
      </c>
      <c r="O517">
        <v>0</v>
      </c>
      <c r="P517">
        <v>0</v>
      </c>
    </row>
    <row r="518" spans="1:16">
      <c r="B518" t="s">
        <v>62</v>
      </c>
      <c r="C518">
        <v>0</v>
      </c>
      <c r="D518">
        <v>0</v>
      </c>
      <c r="E518">
        <v>0</v>
      </c>
      <c r="F518">
        <v>0</v>
      </c>
      <c r="G518">
        <v>0</v>
      </c>
      <c r="H518">
        <v>0</v>
      </c>
      <c r="I518">
        <v>0</v>
      </c>
      <c r="J518">
        <v>0</v>
      </c>
      <c r="K518">
        <v>0</v>
      </c>
      <c r="L518">
        <v>0</v>
      </c>
      <c r="M518">
        <v>0</v>
      </c>
      <c r="N518">
        <v>0</v>
      </c>
      <c r="O518">
        <v>0</v>
      </c>
      <c r="P518">
        <v>0</v>
      </c>
    </row>
    <row r="519" spans="1:16">
      <c r="A519" t="s">
        <v>150</v>
      </c>
      <c r="B519" t="s">
        <v>65</v>
      </c>
      <c r="C519">
        <v>-0.21</v>
      </c>
      <c r="D519">
        <v>-0.21</v>
      </c>
      <c r="E519">
        <v>-0.21</v>
      </c>
      <c r="F519">
        <v>2.4275386491099289E-2</v>
      </c>
      <c r="G519">
        <v>1.8043175977715421E-2</v>
      </c>
      <c r="H519">
        <v>1.2776519205841733E-2</v>
      </c>
      <c r="I519">
        <v>1.4346763169307776E-2</v>
      </c>
      <c r="J519">
        <v>1.1849977736715801E-2</v>
      </c>
      <c r="K519">
        <v>8.2218364049805939E-3</v>
      </c>
      <c r="L519">
        <v>1.277651920584173E-3</v>
      </c>
      <c r="M519">
        <v>5.5592488147555613E-4</v>
      </c>
      <c r="N519">
        <v>0</v>
      </c>
      <c r="O519">
        <v>0</v>
      </c>
      <c r="P519">
        <v>0</v>
      </c>
    </row>
    <row r="520" spans="1:16">
      <c r="P520">
        <v>0</v>
      </c>
    </row>
    <row r="521" spans="1:16">
      <c r="P521">
        <v>0</v>
      </c>
    </row>
    <row r="522" spans="1:16">
      <c r="B522" t="s">
        <v>85</v>
      </c>
      <c r="P522">
        <v>0</v>
      </c>
    </row>
    <row r="523" spans="1:16">
      <c r="B523" t="s">
        <v>86</v>
      </c>
      <c r="C523">
        <v>-0.29499999999999998</v>
      </c>
      <c r="D523">
        <v>-0.20499999999999999</v>
      </c>
      <c r="E523">
        <v>-0.20499999999999999</v>
      </c>
      <c r="F523">
        <v>-0.20499999999999999</v>
      </c>
      <c r="G523">
        <v>-0.109</v>
      </c>
      <c r="H523">
        <v>-1.6E-2</v>
      </c>
      <c r="I523">
        <v>-1.2999999999999999E-2</v>
      </c>
      <c r="J523">
        <v>-8.9999999999999993E-3</v>
      </c>
      <c r="K523">
        <v>-7.0000000000000001E-3</v>
      </c>
      <c r="L523">
        <v>-6.0000000000000001E-3</v>
      </c>
      <c r="M523">
        <v>-5.0000000000000001E-3</v>
      </c>
      <c r="N523">
        <v>0</v>
      </c>
      <c r="O523">
        <v>0</v>
      </c>
      <c r="P523">
        <v>0</v>
      </c>
    </row>
    <row r="524" spans="1:16">
      <c r="B524" t="s">
        <v>87</v>
      </c>
      <c r="C524">
        <v>0</v>
      </c>
      <c r="D524">
        <v>0</v>
      </c>
      <c r="E524">
        <v>0</v>
      </c>
      <c r="F524">
        <v>0.113</v>
      </c>
      <c r="G524">
        <v>0.33800000000000002</v>
      </c>
      <c r="H524">
        <v>0.39400000000000002</v>
      </c>
      <c r="I524">
        <v>0.45</v>
      </c>
      <c r="J524">
        <v>0.30499999999999999</v>
      </c>
      <c r="K524">
        <v>0.18</v>
      </c>
      <c r="L524">
        <v>0.17100000000000001</v>
      </c>
      <c r="M524">
        <v>5.3999999999999999E-2</v>
      </c>
      <c r="N524">
        <v>0</v>
      </c>
      <c r="O524">
        <v>0</v>
      </c>
      <c r="P524">
        <v>0</v>
      </c>
    </row>
    <row r="525" spans="1:16">
      <c r="B525" t="s">
        <v>88</v>
      </c>
      <c r="C525">
        <v>-0.29499999999999998</v>
      </c>
      <c r="D525">
        <v>-0.20499999999999999</v>
      </c>
      <c r="E525">
        <v>-0.20499999999999999</v>
      </c>
      <c r="F525">
        <v>-9.1999999999999998E-2</v>
      </c>
      <c r="G525">
        <v>0.22900000000000001</v>
      </c>
      <c r="H525">
        <v>0.378</v>
      </c>
      <c r="I525">
        <v>0.437</v>
      </c>
      <c r="J525">
        <v>0.29599999999999999</v>
      </c>
      <c r="K525">
        <v>0.17299999999999999</v>
      </c>
      <c r="L525">
        <v>0.16500000000000001</v>
      </c>
      <c r="M525">
        <v>4.9000000000000002E-2</v>
      </c>
      <c r="N525">
        <v>0</v>
      </c>
      <c r="O525">
        <v>0</v>
      </c>
      <c r="P525">
        <v>0</v>
      </c>
    </row>
    <row r="526" spans="1:16">
      <c r="B526" t="s">
        <v>77</v>
      </c>
      <c r="C526">
        <v>-0.29499999999999998</v>
      </c>
      <c r="D526">
        <v>-0.5</v>
      </c>
      <c r="E526">
        <v>-0.70499999999999996</v>
      </c>
      <c r="F526">
        <v>-0.79700000000000004</v>
      </c>
      <c r="G526">
        <v>-0.56799999999999995</v>
      </c>
      <c r="H526">
        <v>-0.18999999999999995</v>
      </c>
      <c r="I526">
        <v>0.24700000000000005</v>
      </c>
      <c r="J526">
        <v>0.54300000000000004</v>
      </c>
      <c r="K526">
        <v>0.71599999999999997</v>
      </c>
      <c r="L526">
        <v>0.88100000000000001</v>
      </c>
      <c r="M526">
        <v>0.93</v>
      </c>
      <c r="N526">
        <v>0.93</v>
      </c>
      <c r="O526">
        <v>0.93</v>
      </c>
      <c r="P526">
        <v>0</v>
      </c>
    </row>
    <row r="527" spans="1:16">
      <c r="B527" t="s">
        <v>49</v>
      </c>
      <c r="C527">
        <v>-0.28101396486825603</v>
      </c>
      <c r="D527">
        <v>-0.19528089084065248</v>
      </c>
      <c r="E527">
        <v>-0.19528089084065248</v>
      </c>
      <c r="F527">
        <v>-8.7638253450439157E-2</v>
      </c>
      <c r="G527">
        <v>4.8085877076273882E-2</v>
      </c>
      <c r="H527">
        <v>7.9373194475246836E-2</v>
      </c>
      <c r="I527">
        <v>9.1762132237256266E-2</v>
      </c>
      <c r="J527">
        <v>0.5200585651537335</v>
      </c>
      <c r="K527">
        <v>0.30395314787701316</v>
      </c>
      <c r="L527">
        <v>0.28989751098096633</v>
      </c>
      <c r="M527">
        <v>8.6090775988286974E-2</v>
      </c>
      <c r="N527">
        <v>0</v>
      </c>
      <c r="O527">
        <v>0</v>
      </c>
      <c r="P527">
        <v>0</v>
      </c>
    </row>
    <row r="528" spans="1:16">
      <c r="B528" t="s">
        <v>77</v>
      </c>
      <c r="C528">
        <v>-0.28101396486825603</v>
      </c>
      <c r="D528">
        <v>-0.4762948557089085</v>
      </c>
      <c r="E528">
        <v>-0.67157574654956098</v>
      </c>
      <c r="F528">
        <v>-0.75921400000000017</v>
      </c>
      <c r="G528">
        <v>-0.71112812292372629</v>
      </c>
      <c r="H528">
        <v>-0.63175492844847947</v>
      </c>
      <c r="I528">
        <v>-0.5399927962112232</v>
      </c>
      <c r="J528">
        <v>-1.9934231057489704E-2</v>
      </c>
      <c r="K528">
        <v>0.28401891681952346</v>
      </c>
      <c r="L528">
        <v>0.57391642780048979</v>
      </c>
      <c r="M528">
        <v>0.66000720378877675</v>
      </c>
      <c r="N528">
        <v>0.66000720378877675</v>
      </c>
      <c r="O528">
        <v>0.66000720378877675</v>
      </c>
      <c r="P528">
        <v>0</v>
      </c>
    </row>
    <row r="529" spans="1:16">
      <c r="B529" t="s">
        <v>62</v>
      </c>
      <c r="C529">
        <v>0</v>
      </c>
      <c r="D529">
        <v>0</v>
      </c>
      <c r="E529">
        <v>0</v>
      </c>
      <c r="F529">
        <v>0</v>
      </c>
      <c r="G529">
        <v>0</v>
      </c>
      <c r="H529">
        <v>0</v>
      </c>
      <c r="I529">
        <v>0</v>
      </c>
      <c r="J529">
        <v>0</v>
      </c>
      <c r="K529">
        <v>3.9490968387167653E-2</v>
      </c>
      <c r="L529">
        <v>4.2570000000000004E-2</v>
      </c>
      <c r="M529">
        <v>1.2642E-2</v>
      </c>
      <c r="N529">
        <v>0</v>
      </c>
      <c r="O529">
        <v>0</v>
      </c>
      <c r="P529">
        <v>0</v>
      </c>
    </row>
    <row r="530" spans="1:16">
      <c r="A530" t="s">
        <v>319</v>
      </c>
      <c r="B530" t="s">
        <v>90</v>
      </c>
      <c r="C530">
        <v>-0.28101396486825603</v>
      </c>
      <c r="D530">
        <v>-0.19528089084065248</v>
      </c>
      <c r="E530">
        <v>-0.19528089084065248</v>
      </c>
      <c r="F530">
        <v>-8.7638253450439157E-2</v>
      </c>
      <c r="G530">
        <v>4.8085877076273882E-2</v>
      </c>
      <c r="H530">
        <v>7.9373194475246836E-2</v>
      </c>
      <c r="I530">
        <v>9.1762132237256266E-2</v>
      </c>
      <c r="J530">
        <v>0.5200585651537335</v>
      </c>
      <c r="K530">
        <v>0.26446217948984552</v>
      </c>
      <c r="L530">
        <v>0.24732751098096634</v>
      </c>
      <c r="M530">
        <v>7.3448775988286974E-2</v>
      </c>
      <c r="N530">
        <v>0</v>
      </c>
      <c r="O530">
        <v>0</v>
      </c>
      <c r="P530">
        <v>0</v>
      </c>
    </row>
    <row r="531" spans="1:16">
      <c r="P531">
        <v>0</v>
      </c>
    </row>
    <row r="532" spans="1:16">
      <c r="B532" t="s">
        <v>85</v>
      </c>
      <c r="P532">
        <v>0</v>
      </c>
    </row>
    <row r="533" spans="1:16">
      <c r="B533" t="s">
        <v>86</v>
      </c>
      <c r="C533">
        <v>-0.29499999999999998</v>
      </c>
      <c r="D533">
        <v>-0.20499999999999999</v>
      </c>
      <c r="E533">
        <v>-0.20499999999999999</v>
      </c>
      <c r="F533">
        <v>-0.20499999999999999</v>
      </c>
      <c r="G533">
        <v>-0.109</v>
      </c>
      <c r="H533">
        <v>-1.6E-2</v>
      </c>
      <c r="I533">
        <v>-1.2999999999999999E-2</v>
      </c>
      <c r="J533">
        <v>-8.9999999999999993E-3</v>
      </c>
      <c r="K533">
        <v>-7.0000000000000001E-3</v>
      </c>
      <c r="L533">
        <v>-6.0000000000000001E-3</v>
      </c>
      <c r="M533">
        <v>-5.0000000000000001E-3</v>
      </c>
      <c r="N533">
        <v>0</v>
      </c>
      <c r="O533">
        <v>0</v>
      </c>
      <c r="P533">
        <v>0</v>
      </c>
    </row>
    <row r="534" spans="1:16">
      <c r="B534" t="s">
        <v>87</v>
      </c>
      <c r="C534">
        <v>0</v>
      </c>
      <c r="D534">
        <v>0</v>
      </c>
      <c r="E534">
        <v>0</v>
      </c>
      <c r="F534">
        <v>0.113</v>
      </c>
      <c r="G534">
        <v>0.33800000000000002</v>
      </c>
      <c r="H534">
        <v>0.39400000000000002</v>
      </c>
      <c r="I534">
        <v>0.45</v>
      </c>
      <c r="J534">
        <v>0.30499999999999999</v>
      </c>
      <c r="K534">
        <v>0.18</v>
      </c>
      <c r="L534">
        <v>0.17100000000000001</v>
      </c>
      <c r="M534">
        <v>5.3999999999999999E-2</v>
      </c>
      <c r="N534">
        <v>0</v>
      </c>
      <c r="O534">
        <v>0</v>
      </c>
      <c r="P534">
        <v>0</v>
      </c>
    </row>
    <row r="535" spans="1:16">
      <c r="B535" t="s">
        <v>88</v>
      </c>
      <c r="C535">
        <v>-0.29499999999999998</v>
      </c>
      <c r="D535">
        <v>-0.20499999999999999</v>
      </c>
      <c r="E535">
        <v>-0.20499999999999999</v>
      </c>
      <c r="F535">
        <v>-9.1999999999999998E-2</v>
      </c>
      <c r="G535">
        <v>0.22900000000000001</v>
      </c>
      <c r="H535">
        <v>0.378</v>
      </c>
      <c r="I535">
        <v>0.437</v>
      </c>
      <c r="J535">
        <v>0.29599999999999999</v>
      </c>
      <c r="K535">
        <v>0.17299999999999999</v>
      </c>
      <c r="L535">
        <v>0.16500000000000001</v>
      </c>
      <c r="M535">
        <v>4.9000000000000002E-2</v>
      </c>
      <c r="N535">
        <v>0</v>
      </c>
      <c r="O535">
        <v>0</v>
      </c>
      <c r="P535">
        <v>0</v>
      </c>
    </row>
    <row r="536" spans="1:16">
      <c r="B536" t="s">
        <v>77</v>
      </c>
      <c r="C536">
        <v>-0.29499999999999998</v>
      </c>
      <c r="D536">
        <v>-0.5</v>
      </c>
      <c r="E536">
        <v>-0.70499999999999996</v>
      </c>
      <c r="F536">
        <v>-0.79700000000000004</v>
      </c>
      <c r="G536">
        <v>-0.56799999999999995</v>
      </c>
      <c r="H536">
        <v>-0.18999999999999995</v>
      </c>
      <c r="I536">
        <v>0.24700000000000005</v>
      </c>
      <c r="J536">
        <v>0.54300000000000004</v>
      </c>
      <c r="K536">
        <v>0.71599999999999997</v>
      </c>
      <c r="L536">
        <v>0.88100000000000001</v>
      </c>
      <c r="M536">
        <v>0.93</v>
      </c>
      <c r="N536">
        <v>0.93</v>
      </c>
      <c r="O536">
        <v>0.93</v>
      </c>
      <c r="P536">
        <v>0</v>
      </c>
    </row>
    <row r="537" spans="1:16">
      <c r="B537" t="s">
        <v>49</v>
      </c>
      <c r="C537">
        <v>-0.25458931827687165</v>
      </c>
      <c r="D537">
        <v>-0.17691800083647011</v>
      </c>
      <c r="E537">
        <v>-0.17691800083647011</v>
      </c>
      <c r="F537">
        <v>-7.9397346716854902E-2</v>
      </c>
      <c r="G537">
        <v>0.10749519055464032</v>
      </c>
      <c r="H537">
        <v>0.17743747611202637</v>
      </c>
      <c r="I537">
        <v>0.39017857142857154</v>
      </c>
      <c r="J537">
        <v>0.26428571428571429</v>
      </c>
      <c r="K537">
        <v>0.15446428571428572</v>
      </c>
      <c r="L537">
        <v>0.1473214285714286</v>
      </c>
      <c r="M537">
        <v>4.3750000000000004E-2</v>
      </c>
      <c r="N537">
        <v>0</v>
      </c>
      <c r="O537">
        <v>0</v>
      </c>
      <c r="P537">
        <v>0</v>
      </c>
    </row>
    <row r="538" spans="1:16">
      <c r="B538" t="s">
        <v>77</v>
      </c>
      <c r="C538">
        <v>-0.25458931827687165</v>
      </c>
      <c r="D538">
        <v>-0.43150731911334178</v>
      </c>
      <c r="E538">
        <v>-0.60842531994981186</v>
      </c>
      <c r="F538">
        <v>-0.68782266666666669</v>
      </c>
      <c r="G538">
        <v>-0.5803274761120264</v>
      </c>
      <c r="H538">
        <v>-0.40289000000000003</v>
      </c>
      <c r="I538">
        <v>-1.271142857142854E-2</v>
      </c>
      <c r="J538">
        <v>0.25157428571428575</v>
      </c>
      <c r="K538">
        <v>0.40603857142857142</v>
      </c>
      <c r="L538">
        <v>0.55336000000000007</v>
      </c>
      <c r="M538">
        <v>0.59711000000000003</v>
      </c>
      <c r="N538">
        <v>0.59711000000000003</v>
      </c>
      <c r="O538">
        <v>0.59711000000000003</v>
      </c>
      <c r="P538">
        <v>0</v>
      </c>
    </row>
    <row r="539" spans="1:16">
      <c r="B539" t="s">
        <v>62</v>
      </c>
      <c r="C539">
        <v>0</v>
      </c>
      <c r="D539">
        <v>0</v>
      </c>
      <c r="E539">
        <v>0</v>
      </c>
      <c r="F539">
        <v>0</v>
      </c>
      <c r="G539">
        <v>0</v>
      </c>
      <c r="H539">
        <v>0</v>
      </c>
      <c r="I539">
        <v>0</v>
      </c>
      <c r="J539">
        <v>7.3088451428571441E-2</v>
      </c>
      <c r="K539">
        <v>4.4634E-2</v>
      </c>
      <c r="L539">
        <v>4.2570000000000004E-2</v>
      </c>
      <c r="M539">
        <v>1.2642E-2</v>
      </c>
      <c r="N539">
        <v>0</v>
      </c>
      <c r="O539">
        <v>0</v>
      </c>
      <c r="P539">
        <v>0</v>
      </c>
    </row>
    <row r="540" spans="1:16">
      <c r="A540" t="s">
        <v>320</v>
      </c>
      <c r="B540" t="s">
        <v>90</v>
      </c>
      <c r="C540">
        <v>-0.25458931827687165</v>
      </c>
      <c r="D540">
        <v>-0.17691800083647011</v>
      </c>
      <c r="E540">
        <v>-0.17691800083647011</v>
      </c>
      <c r="F540">
        <v>-7.9397346716854902E-2</v>
      </c>
      <c r="G540">
        <v>0.10749519055464032</v>
      </c>
      <c r="H540">
        <v>0.17743747611202637</v>
      </c>
      <c r="I540">
        <v>0.39017857142857154</v>
      </c>
      <c r="J540">
        <v>0.19119726285714284</v>
      </c>
      <c r="K540">
        <v>0.10983028571428571</v>
      </c>
      <c r="L540">
        <v>0.10475142857142861</v>
      </c>
      <c r="M540">
        <v>3.1108000000000004E-2</v>
      </c>
      <c r="N540">
        <v>0</v>
      </c>
      <c r="O540">
        <v>0</v>
      </c>
      <c r="P540">
        <v>0</v>
      </c>
    </row>
    <row r="541" spans="1:16">
      <c r="P541">
        <v>0</v>
      </c>
    </row>
    <row r="542" spans="1:16">
      <c r="P542">
        <v>0</v>
      </c>
    </row>
    <row r="543" spans="1:16">
      <c r="P543">
        <v>0</v>
      </c>
    </row>
    <row r="544" spans="1:16">
      <c r="P544">
        <v>0</v>
      </c>
    </row>
    <row r="545" spans="1:16">
      <c r="B545" t="s">
        <v>88</v>
      </c>
      <c r="C545">
        <v>-0.29499999999999998</v>
      </c>
      <c r="D545">
        <v>-0.20499999999999999</v>
      </c>
      <c r="E545">
        <v>-0.20499999999999999</v>
      </c>
      <c r="F545">
        <v>-0.2</v>
      </c>
      <c r="G545">
        <v>-0.2</v>
      </c>
      <c r="H545">
        <v>0.3</v>
      </c>
      <c r="I545">
        <v>0.35</v>
      </c>
      <c r="J545">
        <v>0.25</v>
      </c>
      <c r="K545">
        <v>0.14000000000000001</v>
      </c>
      <c r="L545">
        <v>0.12</v>
      </c>
      <c r="M545">
        <v>4.9000000000000002E-2</v>
      </c>
      <c r="N545">
        <v>0</v>
      </c>
      <c r="O545">
        <v>0</v>
      </c>
      <c r="P545">
        <v>0</v>
      </c>
    </row>
    <row r="546" spans="1:16">
      <c r="B546" t="s">
        <v>77</v>
      </c>
      <c r="C546">
        <v>-0.29499999999999998</v>
      </c>
      <c r="D546">
        <v>-0.5</v>
      </c>
      <c r="E546">
        <v>-0.70499999999999996</v>
      </c>
      <c r="F546">
        <v>-0.90500000000000003</v>
      </c>
      <c r="G546">
        <v>-1.105</v>
      </c>
      <c r="H546">
        <v>-0.80500000000000005</v>
      </c>
      <c r="I546">
        <v>-0.45500000000000002</v>
      </c>
      <c r="J546">
        <v>-0.20499999999999996</v>
      </c>
      <c r="K546">
        <v>-6.4999999999999947E-2</v>
      </c>
      <c r="L546">
        <v>5.5000000000000049E-2</v>
      </c>
      <c r="M546">
        <v>0.10400000000000005</v>
      </c>
      <c r="N546">
        <v>0.10400000000000005</v>
      </c>
      <c r="O546">
        <v>0.10400000000000005</v>
      </c>
      <c r="P546">
        <v>0</v>
      </c>
    </row>
    <row r="547" spans="1:16">
      <c r="B547" t="s">
        <v>49</v>
      </c>
      <c r="C547">
        <v>-8.4106382978723401E-2</v>
      </c>
      <c r="D547">
        <v>-5.8446808510638298E-2</v>
      </c>
      <c r="E547">
        <v>-5.8446808510638298E-2</v>
      </c>
      <c r="F547">
        <v>-0.18784530386740331</v>
      </c>
      <c r="G547">
        <v>-0.18784530386740331</v>
      </c>
      <c r="H547">
        <v>0.3</v>
      </c>
      <c r="I547">
        <v>0.35</v>
      </c>
      <c r="J547">
        <v>0.25</v>
      </c>
      <c r="K547">
        <v>0.14000000000000001</v>
      </c>
      <c r="L547">
        <v>0.12</v>
      </c>
      <c r="M547">
        <v>4.9000000000000002E-2</v>
      </c>
      <c r="N547">
        <v>0</v>
      </c>
      <c r="O547">
        <v>0</v>
      </c>
      <c r="P547">
        <v>0</v>
      </c>
    </row>
    <row r="548" spans="1:16">
      <c r="B548" t="s">
        <v>77</v>
      </c>
      <c r="C548">
        <v>-8.4106382978723401E-2</v>
      </c>
      <c r="D548">
        <v>-0.14255319148936169</v>
      </c>
      <c r="E548">
        <v>-0.20100000000000001</v>
      </c>
      <c r="F548">
        <v>-0.38884530386740335</v>
      </c>
      <c r="G548">
        <v>-0.57669060773480663</v>
      </c>
      <c r="H548">
        <v>-0.27669060773480664</v>
      </c>
      <c r="I548">
        <v>7.3309392265193341E-2</v>
      </c>
      <c r="J548">
        <v>0.32330939226519334</v>
      </c>
      <c r="K548">
        <v>0.46330939226519335</v>
      </c>
      <c r="L548">
        <v>0.58330939226519329</v>
      </c>
      <c r="M548">
        <v>0.63230939226519334</v>
      </c>
      <c r="N548">
        <v>0.63230939226519334</v>
      </c>
      <c r="O548">
        <v>0.63230939226519334</v>
      </c>
      <c r="P548">
        <v>0</v>
      </c>
    </row>
    <row r="549" spans="1:16">
      <c r="B549" t="s">
        <v>62</v>
      </c>
      <c r="C549">
        <v>0</v>
      </c>
      <c r="D549">
        <v>0</v>
      </c>
      <c r="E549">
        <v>0</v>
      </c>
      <c r="F549">
        <v>0</v>
      </c>
      <c r="G549">
        <v>0</v>
      </c>
      <c r="H549">
        <v>0</v>
      </c>
      <c r="I549">
        <v>1.8913823204419884E-2</v>
      </c>
      <c r="J549">
        <v>6.4500000000000002E-2</v>
      </c>
      <c r="K549">
        <v>3.6120000000000006E-2</v>
      </c>
      <c r="L549">
        <v>3.0960000000000001E-2</v>
      </c>
      <c r="M549">
        <v>1.2642E-2</v>
      </c>
      <c r="N549">
        <v>0</v>
      </c>
      <c r="O549">
        <v>0</v>
      </c>
      <c r="P549">
        <v>0</v>
      </c>
    </row>
    <row r="550" spans="1:16">
      <c r="A550" t="s">
        <v>321</v>
      </c>
      <c r="B550" t="s">
        <v>90</v>
      </c>
      <c r="C550">
        <v>-8.4106382978723401E-2</v>
      </c>
      <c r="D550">
        <v>-5.8446808510638298E-2</v>
      </c>
      <c r="E550">
        <v>-5.8446808510638298E-2</v>
      </c>
      <c r="F550">
        <v>-0.18784530386740331</v>
      </c>
      <c r="G550">
        <v>-0.18784530386740331</v>
      </c>
      <c r="H550">
        <v>0.3</v>
      </c>
      <c r="I550">
        <v>0.33108617679558011</v>
      </c>
      <c r="J550">
        <v>0.1855</v>
      </c>
      <c r="K550">
        <v>0.10388</v>
      </c>
      <c r="L550">
        <v>8.9039999999999994E-2</v>
      </c>
      <c r="M550">
        <v>3.6358000000000001E-2</v>
      </c>
      <c r="N550">
        <v>0</v>
      </c>
      <c r="O550">
        <v>0</v>
      </c>
      <c r="P550">
        <v>0</v>
      </c>
    </row>
    <row r="551" spans="1:16">
      <c r="P551">
        <v>0</v>
      </c>
    </row>
    <row r="552" spans="1:16">
      <c r="B552" t="s">
        <v>59</v>
      </c>
      <c r="C552">
        <v>1</v>
      </c>
      <c r="D552">
        <v>2</v>
      </c>
      <c r="E552">
        <v>3</v>
      </c>
      <c r="F552">
        <v>4</v>
      </c>
      <c r="G552">
        <v>5</v>
      </c>
      <c r="H552">
        <v>6</v>
      </c>
      <c r="I552">
        <v>7</v>
      </c>
      <c r="J552">
        <v>8</v>
      </c>
      <c r="K552">
        <v>9</v>
      </c>
      <c r="L552">
        <v>10</v>
      </c>
      <c r="M552">
        <v>11</v>
      </c>
      <c r="N552">
        <v>12</v>
      </c>
      <c r="O552">
        <v>13</v>
      </c>
      <c r="P552">
        <v>0</v>
      </c>
    </row>
    <row r="553" spans="1:16">
      <c r="B553" t="s">
        <v>60</v>
      </c>
      <c r="C553">
        <v>-0.23830000000000001</v>
      </c>
      <c r="D553">
        <v>-0.23830000000000001</v>
      </c>
      <c r="E553">
        <v>-0.14899999999999999</v>
      </c>
      <c r="F553">
        <v>-7.3999999999999996E-2</v>
      </c>
      <c r="G553">
        <v>0.25219999999999998</v>
      </c>
      <c r="H553">
        <v>0.52529999999999999</v>
      </c>
      <c r="I553">
        <v>0.43630000000000002</v>
      </c>
      <c r="J553">
        <v>0.37280000000000002</v>
      </c>
      <c r="K553">
        <v>0.27529999999999999</v>
      </c>
      <c r="L553">
        <v>0.1585</v>
      </c>
      <c r="M553">
        <v>9.7000000000000003E-2</v>
      </c>
      <c r="N553">
        <v>0</v>
      </c>
      <c r="O553">
        <v>0</v>
      </c>
      <c r="P553">
        <v>0</v>
      </c>
    </row>
    <row r="554" spans="1:16">
      <c r="B554" t="s">
        <v>61</v>
      </c>
      <c r="C554">
        <v>-0.23830000000000001</v>
      </c>
      <c r="D554">
        <v>-0.47660000000000002</v>
      </c>
      <c r="E554">
        <v>-0.62560000000000004</v>
      </c>
      <c r="F554">
        <v>-0.6996</v>
      </c>
      <c r="G554">
        <v>-0.44740000000000002</v>
      </c>
      <c r="H554">
        <v>7.7899999999999969E-2</v>
      </c>
      <c r="I554">
        <v>0.51419999999999999</v>
      </c>
      <c r="J554">
        <v>0.88700000000000001</v>
      </c>
      <c r="K554">
        <v>1.1623000000000001</v>
      </c>
      <c r="L554">
        <v>1.3208000000000002</v>
      </c>
      <c r="M554">
        <v>1.4178000000000002</v>
      </c>
      <c r="N554">
        <v>0</v>
      </c>
      <c r="O554">
        <v>0</v>
      </c>
      <c r="P554">
        <v>0</v>
      </c>
    </row>
    <row r="555" spans="1:16">
      <c r="B555" t="s">
        <v>62</v>
      </c>
      <c r="C555">
        <v>0</v>
      </c>
      <c r="D555">
        <v>0</v>
      </c>
      <c r="E555">
        <v>0</v>
      </c>
      <c r="F555">
        <v>0</v>
      </c>
      <c r="G555">
        <v>0</v>
      </c>
      <c r="H555">
        <v>2.0098199999999993E-2</v>
      </c>
      <c r="I555">
        <v>0.1125654</v>
      </c>
      <c r="J555">
        <v>9.6182400000000001E-2</v>
      </c>
      <c r="K555">
        <v>7.1027400000000004E-2</v>
      </c>
      <c r="L555">
        <v>4.0892999999999999E-2</v>
      </c>
      <c r="M555">
        <v>2.5026000000000003E-2</v>
      </c>
      <c r="N555">
        <v>0</v>
      </c>
      <c r="O555">
        <v>0</v>
      </c>
      <c r="P555">
        <v>0</v>
      </c>
    </row>
    <row r="556" spans="1:16">
      <c r="P556">
        <v>0</v>
      </c>
    </row>
    <row r="557" spans="1:16">
      <c r="B557" t="s">
        <v>49</v>
      </c>
      <c r="C557">
        <v>-0.2895297312750143</v>
      </c>
      <c r="D557">
        <v>-0.2895297312750143</v>
      </c>
      <c r="E557">
        <v>-0.18103201829616919</v>
      </c>
      <c r="F557">
        <v>-8.9908519153802172E-2</v>
      </c>
      <c r="G557">
        <v>0.22779470104845559</v>
      </c>
      <c r="H557">
        <v>0.4744669169736469</v>
      </c>
      <c r="I557">
        <v>0.39407941343156705</v>
      </c>
      <c r="J557">
        <v>0.33672428449985831</v>
      </c>
      <c r="K557">
        <v>0.24865932275432129</v>
      </c>
      <c r="L557">
        <v>0.14316201473505241</v>
      </c>
      <c r="M557">
        <v>8.7613346557098321E-2</v>
      </c>
      <c r="N557">
        <v>0</v>
      </c>
      <c r="O557">
        <v>0</v>
      </c>
      <c r="P557">
        <v>0</v>
      </c>
    </row>
    <row r="558" spans="1:16">
      <c r="B558" t="s">
        <v>63</v>
      </c>
      <c r="C558">
        <v>-0.2895297312750143</v>
      </c>
      <c r="D558">
        <v>-0.5790594625500286</v>
      </c>
      <c r="E558">
        <v>-0.76009148084619771</v>
      </c>
      <c r="F558">
        <v>-0.85</v>
      </c>
      <c r="G558">
        <v>-0.62220529895154431</v>
      </c>
      <c r="H558">
        <v>-0.1477383819778974</v>
      </c>
      <c r="I558">
        <v>0.24634103145366965</v>
      </c>
      <c r="J558">
        <v>0.58306531595352795</v>
      </c>
      <c r="K558">
        <v>0.83172463870784907</v>
      </c>
      <c r="L558">
        <v>0.9748866534429016</v>
      </c>
      <c r="M558">
        <v>1.0625</v>
      </c>
      <c r="N558">
        <v>0</v>
      </c>
      <c r="O558">
        <v>0</v>
      </c>
      <c r="P558">
        <v>0</v>
      </c>
    </row>
    <row r="559" spans="1:16">
      <c r="B559" t="s">
        <v>62</v>
      </c>
      <c r="C559">
        <v>0</v>
      </c>
      <c r="D559">
        <v>0</v>
      </c>
      <c r="E559">
        <v>0</v>
      </c>
      <c r="F559">
        <v>0</v>
      </c>
      <c r="G559">
        <v>0</v>
      </c>
      <c r="H559">
        <v>0</v>
      </c>
      <c r="I559">
        <v>6.3555986115046773E-2</v>
      </c>
      <c r="J559">
        <v>8.6874865400963439E-2</v>
      </c>
      <c r="K559">
        <v>6.4154105270614895E-2</v>
      </c>
      <c r="L559">
        <v>3.6935799801643521E-2</v>
      </c>
      <c r="M559">
        <v>2.2604243411731367E-2</v>
      </c>
      <c r="N559">
        <v>0</v>
      </c>
      <c r="O559">
        <v>0</v>
      </c>
      <c r="P559">
        <v>0</v>
      </c>
    </row>
    <row r="560" spans="1:16">
      <c r="A560" t="s">
        <v>322</v>
      </c>
      <c r="B560" t="s">
        <v>65</v>
      </c>
      <c r="C560">
        <v>-0.2895297312750143</v>
      </c>
      <c r="D560">
        <v>-0.2895297312750143</v>
      </c>
      <c r="E560">
        <v>-0.18103201829616919</v>
      </c>
      <c r="F560">
        <v>-8.9908519153802172E-2</v>
      </c>
      <c r="G560">
        <v>0.22779470104845559</v>
      </c>
      <c r="H560">
        <v>0.4744669169736469</v>
      </c>
      <c r="I560">
        <v>0.33052342731652029</v>
      </c>
      <c r="J560">
        <v>0.24984941909889485</v>
      </c>
      <c r="K560">
        <v>0.18450521748370641</v>
      </c>
      <c r="L560">
        <v>0.10622621493340889</v>
      </c>
      <c r="M560">
        <v>6.5009103145366953E-2</v>
      </c>
      <c r="N560">
        <v>0</v>
      </c>
      <c r="O560">
        <v>0</v>
      </c>
      <c r="P560">
        <v>0</v>
      </c>
    </row>
    <row r="561" spans="1:16">
      <c r="P561">
        <v>0</v>
      </c>
    </row>
    <row r="562" spans="1:16">
      <c r="B562" t="s">
        <v>68</v>
      </c>
      <c r="C562">
        <v>1</v>
      </c>
      <c r="D562">
        <v>2</v>
      </c>
      <c r="E562">
        <v>3</v>
      </c>
      <c r="F562">
        <v>4</v>
      </c>
      <c r="G562">
        <v>5</v>
      </c>
      <c r="H562">
        <v>6</v>
      </c>
      <c r="I562">
        <v>7</v>
      </c>
      <c r="J562">
        <v>8</v>
      </c>
      <c r="K562">
        <v>9</v>
      </c>
      <c r="L562">
        <v>10</v>
      </c>
      <c r="M562">
        <v>11</v>
      </c>
      <c r="P562">
        <v>0</v>
      </c>
    </row>
    <row r="563" spans="1:16">
      <c r="B563" t="s">
        <v>60</v>
      </c>
      <c r="C563">
        <v>-0.2</v>
      </c>
      <c r="D563">
        <v>-0.2</v>
      </c>
      <c r="E563">
        <v>-0.2</v>
      </c>
      <c r="F563">
        <v>0.24890000000000001</v>
      </c>
      <c r="G563">
        <v>0.185</v>
      </c>
      <c r="H563">
        <v>0.13100000000000001</v>
      </c>
      <c r="I563">
        <v>0.14710000000000001</v>
      </c>
      <c r="J563">
        <v>0.1215</v>
      </c>
      <c r="K563">
        <v>8.43E-2</v>
      </c>
      <c r="L563">
        <v>1.3100000000000001E-2</v>
      </c>
      <c r="M563">
        <v>5.7000000000000002E-3</v>
      </c>
      <c r="N563">
        <v>0</v>
      </c>
      <c r="O563">
        <v>0</v>
      </c>
      <c r="P563">
        <v>0</v>
      </c>
    </row>
    <row r="564" spans="1:16">
      <c r="B564" t="s">
        <v>61</v>
      </c>
      <c r="C564">
        <v>-0.2</v>
      </c>
      <c r="D564">
        <v>-0.4</v>
      </c>
      <c r="E564">
        <v>-0.60000000000000009</v>
      </c>
      <c r="F564">
        <v>-0.35110000000000008</v>
      </c>
      <c r="G564">
        <v>-0.16610000000000008</v>
      </c>
      <c r="H564">
        <v>-3.5100000000000076E-2</v>
      </c>
      <c r="I564">
        <v>0.11199999999999992</v>
      </c>
      <c r="J564">
        <v>0.23349999999999993</v>
      </c>
      <c r="K564">
        <v>0.31779999999999992</v>
      </c>
      <c r="L564">
        <v>0.33089999999999992</v>
      </c>
      <c r="M564">
        <v>0.3365999999999999</v>
      </c>
      <c r="N564">
        <v>0</v>
      </c>
      <c r="O564">
        <v>0</v>
      </c>
      <c r="P564">
        <v>0</v>
      </c>
    </row>
    <row r="565" spans="1:16">
      <c r="B565" t="s">
        <v>62</v>
      </c>
      <c r="C565">
        <v>0</v>
      </c>
      <c r="D565">
        <v>0</v>
      </c>
      <c r="E565">
        <v>0</v>
      </c>
      <c r="F565">
        <v>0</v>
      </c>
      <c r="G565">
        <v>0</v>
      </c>
      <c r="H565">
        <v>0</v>
      </c>
      <c r="I565">
        <v>2.8895999999999984E-2</v>
      </c>
      <c r="J565">
        <v>3.1347E-2</v>
      </c>
      <c r="K565">
        <v>2.1749399999999999E-2</v>
      </c>
      <c r="L565">
        <v>3.3798000000000001E-3</v>
      </c>
      <c r="M565">
        <v>1.4706000000000001E-3</v>
      </c>
      <c r="N565">
        <v>0</v>
      </c>
      <c r="O565">
        <v>0</v>
      </c>
      <c r="P565">
        <v>0</v>
      </c>
    </row>
    <row r="566" spans="1:16">
      <c r="P566">
        <v>0</v>
      </c>
    </row>
    <row r="567" spans="1:16">
      <c r="B567" t="s">
        <v>49</v>
      </c>
      <c r="C567">
        <v>-0.21</v>
      </c>
      <c r="D567">
        <v>-0.21</v>
      </c>
      <c r="E567">
        <v>-0.21</v>
      </c>
      <c r="F567">
        <v>0.30135874439461885</v>
      </c>
      <c r="G567">
        <v>0.22399103139013457</v>
      </c>
      <c r="H567">
        <v>0.15860986547085204</v>
      </c>
      <c r="I567">
        <v>0.17810313901345295</v>
      </c>
      <c r="J567">
        <v>0.14710762331838567</v>
      </c>
      <c r="K567">
        <v>0.10206726457399104</v>
      </c>
      <c r="L567">
        <v>1.5860986547085204E-2</v>
      </c>
      <c r="M567">
        <v>6.9013452914798218E-3</v>
      </c>
      <c r="N567">
        <v>0</v>
      </c>
      <c r="O567">
        <v>0</v>
      </c>
      <c r="P567">
        <v>0</v>
      </c>
    </row>
    <row r="568" spans="1:16">
      <c r="B568" t="s">
        <v>63</v>
      </c>
      <c r="C568">
        <v>-0.21</v>
      </c>
      <c r="D568">
        <v>-0.42</v>
      </c>
      <c r="E568">
        <v>-0.63</v>
      </c>
      <c r="F568">
        <v>-0.32864125560538116</v>
      </c>
      <c r="G568">
        <v>-0.1046502242152466</v>
      </c>
      <c r="H568">
        <v>5.3959641255605421E-2</v>
      </c>
      <c r="I568">
        <v>0.23206278026905841</v>
      </c>
      <c r="J568">
        <v>0.37917040358744403</v>
      </c>
      <c r="K568">
        <v>0.48123766816143509</v>
      </c>
      <c r="L568">
        <v>0.49709865470852033</v>
      </c>
      <c r="M568">
        <v>0.50400000000000011</v>
      </c>
      <c r="N568">
        <v>0</v>
      </c>
      <c r="O568">
        <v>0</v>
      </c>
      <c r="P568">
        <v>0</v>
      </c>
    </row>
    <row r="569" spans="1:16">
      <c r="B569" t="s">
        <v>62</v>
      </c>
      <c r="C569">
        <v>0</v>
      </c>
      <c r="D569">
        <v>0</v>
      </c>
      <c r="E569">
        <v>0</v>
      </c>
      <c r="F569">
        <v>0</v>
      </c>
      <c r="G569">
        <v>0</v>
      </c>
      <c r="H569">
        <v>1.39215874439462E-2</v>
      </c>
      <c r="I569">
        <v>4.5950609865470865E-2</v>
      </c>
      <c r="J569">
        <v>3.7953766816143507E-2</v>
      </c>
      <c r="K569">
        <v>2.6333354260089689E-2</v>
      </c>
      <c r="L569">
        <v>4.0921345291479831E-3</v>
      </c>
      <c r="M569">
        <v>1.7805470852017941E-3</v>
      </c>
      <c r="N569">
        <v>0</v>
      </c>
      <c r="O569">
        <v>0</v>
      </c>
      <c r="P569">
        <v>0</v>
      </c>
    </row>
    <row r="570" spans="1:16">
      <c r="A570" t="s">
        <v>150</v>
      </c>
      <c r="B570" t="s">
        <v>65</v>
      </c>
      <c r="C570">
        <v>-0.21</v>
      </c>
      <c r="D570">
        <v>-0.21</v>
      </c>
      <c r="E570">
        <v>-0.21</v>
      </c>
      <c r="F570">
        <v>0.30135874439461885</v>
      </c>
      <c r="G570">
        <v>0.22399103139013457</v>
      </c>
      <c r="H570">
        <v>0.14468827802690584</v>
      </c>
      <c r="I570">
        <v>0.13215252914798209</v>
      </c>
      <c r="J570">
        <v>0.10915385650224216</v>
      </c>
      <c r="K570">
        <v>7.5733910313901351E-2</v>
      </c>
      <c r="L570">
        <v>1.1768852017937221E-2</v>
      </c>
      <c r="M570">
        <v>5.1207982062780278E-3</v>
      </c>
      <c r="N570">
        <v>0</v>
      </c>
      <c r="O570">
        <v>0</v>
      </c>
      <c r="P570">
        <v>0</v>
      </c>
    </row>
    <row r="571" spans="1:16">
      <c r="P571">
        <v>0</v>
      </c>
    </row>
    <row r="572" spans="1:16">
      <c r="B572" t="s">
        <v>107</v>
      </c>
      <c r="C572">
        <v>-1</v>
      </c>
      <c r="D572">
        <v>0.05</v>
      </c>
      <c r="E572">
        <v>0.05</v>
      </c>
      <c r="F572">
        <v>0.05</v>
      </c>
      <c r="G572">
        <v>0.05</v>
      </c>
      <c r="H572">
        <v>1.4</v>
      </c>
      <c r="I572">
        <v>0</v>
      </c>
      <c r="J572">
        <v>0</v>
      </c>
      <c r="K572">
        <v>0</v>
      </c>
      <c r="L572">
        <v>0</v>
      </c>
      <c r="M572">
        <v>0</v>
      </c>
      <c r="N572">
        <v>0</v>
      </c>
      <c r="O572">
        <v>0</v>
      </c>
      <c r="P572">
        <v>0</v>
      </c>
    </row>
    <row r="573" spans="1:16">
      <c r="B573" t="s">
        <v>111</v>
      </c>
      <c r="C573">
        <v>-1</v>
      </c>
      <c r="D573">
        <v>-0.95</v>
      </c>
      <c r="E573">
        <v>-0.8999999999999998</v>
      </c>
      <c r="F573">
        <v>-0.84999999999999987</v>
      </c>
      <c r="G573">
        <v>-0.79999999999999982</v>
      </c>
      <c r="H573">
        <v>0.60000000000000009</v>
      </c>
      <c r="I573">
        <v>0.60000000000000009</v>
      </c>
      <c r="J573">
        <v>0.60000000000000009</v>
      </c>
      <c r="K573">
        <v>0.60000000000000009</v>
      </c>
      <c r="L573">
        <v>0.60000000000000009</v>
      </c>
      <c r="M573">
        <v>0.60000000000000009</v>
      </c>
      <c r="N573">
        <v>0.60000000000000009</v>
      </c>
      <c r="O573">
        <v>0.60000000000000009</v>
      </c>
      <c r="P573">
        <v>0</v>
      </c>
    </row>
    <row r="574" spans="1:16">
      <c r="B574" t="s">
        <v>112</v>
      </c>
      <c r="C574">
        <v>-1</v>
      </c>
      <c r="D574">
        <v>0.05</v>
      </c>
      <c r="E574">
        <v>0.05</v>
      </c>
      <c r="F574">
        <v>0.05</v>
      </c>
      <c r="G574">
        <v>0.05</v>
      </c>
      <c r="H574">
        <v>1.4</v>
      </c>
      <c r="I574">
        <v>0</v>
      </c>
      <c r="J574">
        <v>0</v>
      </c>
      <c r="K574">
        <v>0</v>
      </c>
      <c r="L574">
        <v>0</v>
      </c>
      <c r="M574">
        <v>0</v>
      </c>
      <c r="N574">
        <v>0</v>
      </c>
      <c r="O574">
        <v>0</v>
      </c>
      <c r="P574">
        <v>0</v>
      </c>
    </row>
    <row r="575" spans="1:16">
      <c r="B575" t="s">
        <v>113</v>
      </c>
      <c r="C575">
        <v>-1</v>
      </c>
      <c r="D575">
        <v>-0.95</v>
      </c>
      <c r="E575">
        <v>-0.8999999999999998</v>
      </c>
      <c r="F575">
        <v>-0.84999999999999987</v>
      </c>
      <c r="G575">
        <v>-0.79999999999999982</v>
      </c>
      <c r="H575">
        <v>0.60000000000000009</v>
      </c>
      <c r="I575">
        <v>0.60000000000000009</v>
      </c>
      <c r="J575">
        <v>0.60000000000000009</v>
      </c>
      <c r="K575">
        <v>0.60000000000000009</v>
      </c>
      <c r="L575">
        <v>0.60000000000000009</v>
      </c>
      <c r="M575">
        <v>0.60000000000000009</v>
      </c>
      <c r="N575">
        <v>0.60000000000000009</v>
      </c>
      <c r="O575">
        <v>0.60000000000000009</v>
      </c>
      <c r="P575">
        <v>0</v>
      </c>
    </row>
    <row r="576" spans="1:16">
      <c r="B576" t="s">
        <v>62</v>
      </c>
      <c r="C576">
        <v>0</v>
      </c>
      <c r="D576">
        <v>0</v>
      </c>
      <c r="E576">
        <v>0</v>
      </c>
      <c r="F576">
        <v>0</v>
      </c>
      <c r="G576">
        <v>0</v>
      </c>
      <c r="H576">
        <v>0.15480000000000002</v>
      </c>
      <c r="I576">
        <v>0</v>
      </c>
      <c r="J576">
        <v>0</v>
      </c>
      <c r="K576">
        <v>0</v>
      </c>
      <c r="L576">
        <v>0</v>
      </c>
      <c r="M576">
        <v>0</v>
      </c>
      <c r="N576">
        <v>0</v>
      </c>
      <c r="O576">
        <v>0</v>
      </c>
      <c r="P576">
        <v>0</v>
      </c>
    </row>
    <row r="577" spans="1:16">
      <c r="A577" t="s">
        <v>239</v>
      </c>
      <c r="B577" t="s">
        <v>65</v>
      </c>
      <c r="C577">
        <v>-1</v>
      </c>
      <c r="D577">
        <v>0.05</v>
      </c>
      <c r="E577">
        <v>0.05</v>
      </c>
      <c r="F577">
        <v>0.05</v>
      </c>
      <c r="G577">
        <v>0.05</v>
      </c>
      <c r="H577">
        <v>1.2452000000000001</v>
      </c>
      <c r="I577">
        <v>0</v>
      </c>
      <c r="J577">
        <v>0</v>
      </c>
      <c r="K577">
        <v>0</v>
      </c>
      <c r="L577">
        <v>0</v>
      </c>
      <c r="M577">
        <v>0</v>
      </c>
      <c r="N577">
        <v>0</v>
      </c>
      <c r="O577">
        <v>0</v>
      </c>
      <c r="P577">
        <v>0</v>
      </c>
    </row>
    <row r="578" spans="1:16">
      <c r="P578">
        <v>0</v>
      </c>
    </row>
    <row r="579" spans="1:16">
      <c r="B579" t="s">
        <v>60</v>
      </c>
      <c r="C579">
        <v>-0.36599999999999999</v>
      </c>
      <c r="D579">
        <v>-0.2</v>
      </c>
      <c r="E579">
        <v>-0.15</v>
      </c>
      <c r="F579">
        <v>-0.1225</v>
      </c>
      <c r="G579">
        <v>-6.25E-2</v>
      </c>
      <c r="H579">
        <v>0.1875956361575517</v>
      </c>
      <c r="I579">
        <v>0.39073746103712098</v>
      </c>
      <c r="J579">
        <v>0.32453598753187873</v>
      </c>
      <c r="K579">
        <v>0.27730235194105979</v>
      </c>
      <c r="L579">
        <v>0.20477826579767638</v>
      </c>
      <c r="M579">
        <v>0.11789812978180787</v>
      </c>
      <c r="N579">
        <v>7.2152167752904506E-2</v>
      </c>
      <c r="O579">
        <v>0</v>
      </c>
      <c r="P579">
        <v>0</v>
      </c>
    </row>
    <row r="580" spans="1:16">
      <c r="B580" t="s">
        <v>61</v>
      </c>
      <c r="C580">
        <v>-0.36599999999999999</v>
      </c>
      <c r="D580">
        <v>-0.56600000000000006</v>
      </c>
      <c r="E580">
        <v>-0.71600000000000008</v>
      </c>
      <c r="F580">
        <v>-0.83850000000000002</v>
      </c>
      <c r="G580">
        <v>-0.90100000000000002</v>
      </c>
      <c r="H580">
        <v>-0.71340436384244832</v>
      </c>
      <c r="I580">
        <v>-0.32266690280532734</v>
      </c>
      <c r="J580">
        <v>1.8690847265513957E-3</v>
      </c>
      <c r="K580">
        <v>0.27917143666761118</v>
      </c>
      <c r="L580">
        <v>0.48394970246528757</v>
      </c>
      <c r="M580">
        <v>0.60184783224709548</v>
      </c>
      <c r="N580">
        <v>0</v>
      </c>
      <c r="O580">
        <v>0</v>
      </c>
      <c r="P580">
        <v>0</v>
      </c>
    </row>
    <row r="581" spans="1:16">
      <c r="B581" t="s">
        <v>62</v>
      </c>
      <c r="C581">
        <v>0</v>
      </c>
      <c r="D581">
        <v>0</v>
      </c>
      <c r="E581">
        <v>0</v>
      </c>
      <c r="F581">
        <v>0</v>
      </c>
      <c r="G581">
        <v>0</v>
      </c>
      <c r="H581">
        <v>0</v>
      </c>
      <c r="I581">
        <v>0</v>
      </c>
      <c r="J581">
        <v>4.8222385945025998E-4</v>
      </c>
      <c r="K581">
        <v>7.1544006800793425E-2</v>
      </c>
      <c r="L581">
        <v>5.2832792575800508E-2</v>
      </c>
      <c r="M581">
        <v>3.0417717483706433E-2</v>
      </c>
      <c r="N581">
        <v>0</v>
      </c>
      <c r="O581">
        <v>0</v>
      </c>
      <c r="P581">
        <v>0</v>
      </c>
    </row>
    <row r="582" spans="1:16">
      <c r="P582">
        <v>0</v>
      </c>
    </row>
    <row r="583" spans="1:16">
      <c r="B583" t="s">
        <v>49</v>
      </c>
      <c r="C583">
        <v>-0.36599999999999999</v>
      </c>
      <c r="D583">
        <v>-0.2</v>
      </c>
      <c r="E583">
        <v>-0.15</v>
      </c>
      <c r="F583">
        <v>-0.1225</v>
      </c>
      <c r="G583">
        <v>-6.25E-2</v>
      </c>
      <c r="H583">
        <v>0.24146238311136295</v>
      </c>
      <c r="I583">
        <v>0.50293493199206574</v>
      </c>
      <c r="J583">
        <v>0.41772417823746111</v>
      </c>
      <c r="K583">
        <v>0.3569277415698498</v>
      </c>
      <c r="L583">
        <v>0.26357888211958058</v>
      </c>
      <c r="M583">
        <v>0.15175173561915559</v>
      </c>
      <c r="N583">
        <v>9.2870147350524235E-2</v>
      </c>
      <c r="O583">
        <v>0</v>
      </c>
      <c r="P583">
        <v>0</v>
      </c>
    </row>
    <row r="584" spans="1:16">
      <c r="B584" t="s">
        <v>63</v>
      </c>
      <c r="C584">
        <v>-0.36599999999999999</v>
      </c>
      <c r="D584">
        <v>-0.56600000000000006</v>
      </c>
      <c r="E584">
        <v>-0.71600000000000008</v>
      </c>
      <c r="F584">
        <v>-0.83850000000000002</v>
      </c>
      <c r="G584">
        <v>-0.90100000000000002</v>
      </c>
      <c r="H584">
        <v>-0.6595376168886371</v>
      </c>
      <c r="I584">
        <v>-0.15660268489657136</v>
      </c>
      <c r="J584">
        <v>0.26112149334088974</v>
      </c>
      <c r="K584">
        <v>0.6180492349107396</v>
      </c>
      <c r="L584">
        <v>0.88162811703032018</v>
      </c>
      <c r="M584">
        <v>1.0333798526494757</v>
      </c>
      <c r="N584">
        <v>1.12625</v>
      </c>
      <c r="O584">
        <v>0</v>
      </c>
      <c r="P584">
        <v>0</v>
      </c>
    </row>
    <row r="585" spans="1:16">
      <c r="B585" t="s">
        <v>62</v>
      </c>
      <c r="C585">
        <v>0</v>
      </c>
      <c r="D585">
        <v>0</v>
      </c>
      <c r="E585">
        <v>0</v>
      </c>
      <c r="F585">
        <v>0</v>
      </c>
      <c r="G585">
        <v>0</v>
      </c>
      <c r="H585">
        <v>0</v>
      </c>
      <c r="I585">
        <v>0</v>
      </c>
      <c r="J585">
        <v>6.7369345281949558E-2</v>
      </c>
      <c r="K585">
        <v>9.2087357325021255E-2</v>
      </c>
      <c r="L585">
        <v>6.8003351586851793E-2</v>
      </c>
      <c r="M585">
        <v>3.9151947789742139E-2</v>
      </c>
      <c r="N585">
        <v>2.3960498016435253E-2</v>
      </c>
      <c r="O585">
        <v>0</v>
      </c>
      <c r="P585">
        <v>0</v>
      </c>
    </row>
    <row r="586" spans="1:16">
      <c r="A586" t="s">
        <v>323</v>
      </c>
      <c r="B586" t="s">
        <v>65</v>
      </c>
      <c r="C586">
        <v>-0.36599999999999999</v>
      </c>
      <c r="D586">
        <v>-0.2</v>
      </c>
      <c r="E586">
        <v>-0.15</v>
      </c>
      <c r="F586">
        <v>-0.1225</v>
      </c>
      <c r="G586">
        <v>-6.25E-2</v>
      </c>
      <c r="H586">
        <v>0.24146238311136295</v>
      </c>
      <c r="I586">
        <v>0.50293493199206574</v>
      </c>
      <c r="J586">
        <v>0.35035483295551156</v>
      </c>
      <c r="K586">
        <v>0.26484038424482853</v>
      </c>
      <c r="L586">
        <v>0.1955755305327288</v>
      </c>
      <c r="M586">
        <v>0.11259978782941345</v>
      </c>
      <c r="N586">
        <v>6.8909649334088982E-2</v>
      </c>
      <c r="O586">
        <v>0</v>
      </c>
      <c r="P586">
        <v>0</v>
      </c>
    </row>
    <row r="587" spans="1:16">
      <c r="P587">
        <v>0</v>
      </c>
    </row>
    <row r="588" spans="1:16">
      <c r="P588">
        <v>0</v>
      </c>
    </row>
    <row r="589" spans="1:16">
      <c r="B589" t="s">
        <v>60</v>
      </c>
      <c r="C589">
        <v>-0.54</v>
      </c>
      <c r="D589">
        <v>-0.25</v>
      </c>
      <c r="E589">
        <v>-0.04</v>
      </c>
      <c r="F589">
        <v>0.1875956361575517</v>
      </c>
      <c r="G589">
        <v>0.39073746103712098</v>
      </c>
      <c r="H589">
        <v>0.32453598753187873</v>
      </c>
      <c r="I589">
        <v>0.27730235194105979</v>
      </c>
      <c r="J589">
        <v>0.20477826579767641</v>
      </c>
      <c r="K589">
        <v>0.11789812978180789</v>
      </c>
      <c r="L589">
        <v>7.2152167752904506E-2</v>
      </c>
      <c r="M589">
        <v>0</v>
      </c>
      <c r="N589">
        <v>0</v>
      </c>
      <c r="O589">
        <v>0</v>
      </c>
      <c r="P589">
        <v>0</v>
      </c>
    </row>
    <row r="590" spans="1:16">
      <c r="B590" t="s">
        <v>61</v>
      </c>
      <c r="C590">
        <v>-0.54</v>
      </c>
      <c r="D590">
        <v>-0.79</v>
      </c>
      <c r="E590">
        <v>-0.83</v>
      </c>
      <c r="F590">
        <v>-0.64240436384244837</v>
      </c>
      <c r="G590">
        <v>-0.25166690280532739</v>
      </c>
      <c r="H590">
        <v>7.2869084726551347E-2</v>
      </c>
      <c r="I590">
        <v>0.35017143666761114</v>
      </c>
      <c r="J590">
        <v>0.55494970246528752</v>
      </c>
      <c r="K590">
        <v>0.67284783224709543</v>
      </c>
      <c r="L590">
        <v>0.74499999999999988</v>
      </c>
      <c r="M590">
        <v>0.74499999999999988</v>
      </c>
      <c r="N590">
        <v>0</v>
      </c>
      <c r="O590">
        <v>0</v>
      </c>
      <c r="P590">
        <v>0</v>
      </c>
    </row>
    <row r="591" spans="1:16">
      <c r="B591" t="s">
        <v>62</v>
      </c>
      <c r="C591">
        <v>0</v>
      </c>
      <c r="D591">
        <v>0</v>
      </c>
      <c r="E591">
        <v>0</v>
      </c>
      <c r="F591">
        <v>0</v>
      </c>
      <c r="G591">
        <v>0</v>
      </c>
      <c r="H591">
        <v>1.8800223859450248E-2</v>
      </c>
      <c r="I591">
        <v>7.1544006800793425E-2</v>
      </c>
      <c r="J591">
        <v>5.2832792575800515E-2</v>
      </c>
      <c r="K591">
        <v>3.0417717483706433E-2</v>
      </c>
      <c r="L591">
        <v>1.8615259280249364E-2</v>
      </c>
      <c r="M591">
        <v>0</v>
      </c>
      <c r="N591">
        <v>0</v>
      </c>
      <c r="O591">
        <v>0</v>
      </c>
      <c r="P591">
        <v>0</v>
      </c>
    </row>
    <row r="592" spans="1:16">
      <c r="P592">
        <v>0</v>
      </c>
    </row>
    <row r="593" spans="1:16">
      <c r="B593" t="s">
        <v>49</v>
      </c>
      <c r="C593">
        <v>-0.54</v>
      </c>
      <c r="D593">
        <v>-0.25</v>
      </c>
      <c r="E593">
        <v>-0.04</v>
      </c>
      <c r="F593">
        <v>0.22243482572966847</v>
      </c>
      <c r="G593">
        <v>0.46330298951544346</v>
      </c>
      <c r="H593">
        <v>0.38480695664494202</v>
      </c>
      <c r="I593">
        <v>0.32880136015868522</v>
      </c>
      <c r="J593">
        <v>0.24280851516010199</v>
      </c>
      <c r="K593">
        <v>0.13979349674128649</v>
      </c>
      <c r="L593">
        <v>8.5551856049872491E-2</v>
      </c>
      <c r="M593">
        <v>0</v>
      </c>
      <c r="N593">
        <v>0</v>
      </c>
      <c r="O593">
        <v>0</v>
      </c>
      <c r="P593">
        <v>0</v>
      </c>
    </row>
    <row r="594" spans="1:16">
      <c r="B594" t="s">
        <v>63</v>
      </c>
      <c r="C594">
        <v>-0.54</v>
      </c>
      <c r="D594">
        <v>-0.79</v>
      </c>
      <c r="E594">
        <v>-0.83</v>
      </c>
      <c r="F594">
        <v>-0.60756517427033163</v>
      </c>
      <c r="G594">
        <v>-0.14426218475488817</v>
      </c>
      <c r="H594">
        <v>0.2405447718900538</v>
      </c>
      <c r="I594">
        <v>0.56934613204873896</v>
      </c>
      <c r="J594">
        <v>0.81215464720884101</v>
      </c>
      <c r="K594">
        <v>0.95194814395012761</v>
      </c>
      <c r="L594">
        <v>1.0375000000000001</v>
      </c>
      <c r="M594">
        <v>1.0375000000000001</v>
      </c>
      <c r="N594">
        <v>1.0375000000000001</v>
      </c>
      <c r="O594">
        <v>0</v>
      </c>
      <c r="P594">
        <v>0</v>
      </c>
    </row>
    <row r="595" spans="1:16">
      <c r="B595" t="s">
        <v>62</v>
      </c>
      <c r="C595">
        <v>0</v>
      </c>
      <c r="D595">
        <v>0</v>
      </c>
      <c r="E595">
        <v>0</v>
      </c>
      <c r="F595">
        <v>0</v>
      </c>
      <c r="G595">
        <v>0</v>
      </c>
      <c r="H595">
        <v>6.2060551147633883E-2</v>
      </c>
      <c r="I595">
        <v>8.4830750920940806E-2</v>
      </c>
      <c r="J595">
        <v>6.2644596911306319E-2</v>
      </c>
      <c r="K595">
        <v>3.606672215925192E-2</v>
      </c>
      <c r="L595">
        <v>2.2072378860867103E-2</v>
      </c>
      <c r="M595">
        <v>0</v>
      </c>
      <c r="N595">
        <v>0</v>
      </c>
      <c r="O595">
        <v>0</v>
      </c>
      <c r="P595">
        <v>0</v>
      </c>
    </row>
    <row r="596" spans="1:16">
      <c r="A596" t="s">
        <v>324</v>
      </c>
      <c r="B596" t="s">
        <v>65</v>
      </c>
      <c r="C596">
        <v>-0.54</v>
      </c>
      <c r="D596">
        <v>-0.25</v>
      </c>
      <c r="E596">
        <v>-0.04</v>
      </c>
      <c r="F596">
        <v>0.22243482572966847</v>
      </c>
      <c r="G596">
        <v>0.46330298951544346</v>
      </c>
      <c r="H596">
        <v>0.3227464054973081</v>
      </c>
      <c r="I596">
        <v>0.24397060923774444</v>
      </c>
      <c r="J596">
        <v>0.18016391824879568</v>
      </c>
      <c r="K596">
        <v>0.10372677458203458</v>
      </c>
      <c r="L596">
        <v>6.3479477189005387E-2</v>
      </c>
      <c r="M596">
        <v>0</v>
      </c>
      <c r="N596">
        <v>0</v>
      </c>
      <c r="O596">
        <v>0</v>
      </c>
      <c r="P596">
        <v>0</v>
      </c>
    </row>
    <row r="597" spans="1:16">
      <c r="P597">
        <v>0</v>
      </c>
    </row>
    <row r="598" spans="1:16">
      <c r="P598">
        <v>0</v>
      </c>
    </row>
    <row r="599" spans="1:16">
      <c r="P599">
        <v>0</v>
      </c>
    </row>
    <row r="600" spans="1:16">
      <c r="B600" t="s">
        <v>60</v>
      </c>
      <c r="C600">
        <v>-0.27</v>
      </c>
      <c r="D600">
        <v>-0.3</v>
      </c>
      <c r="E600">
        <v>-0.2</v>
      </c>
      <c r="F600">
        <v>-8.5000000000000006E-2</v>
      </c>
      <c r="G600">
        <v>0.30259999999999998</v>
      </c>
      <c r="H600">
        <v>0.24890000000000001</v>
      </c>
      <c r="I600">
        <v>0.185</v>
      </c>
      <c r="J600">
        <v>0.13100000000000001</v>
      </c>
      <c r="K600">
        <v>0.14710000000000001</v>
      </c>
      <c r="L600">
        <v>0.1215</v>
      </c>
      <c r="M600">
        <v>8.43E-2</v>
      </c>
      <c r="N600">
        <v>1.3100000000000001E-2</v>
      </c>
      <c r="O600">
        <v>5.7000000000000002E-3</v>
      </c>
      <c r="P600">
        <v>0</v>
      </c>
    </row>
    <row r="601" spans="1:16">
      <c r="B601" t="s">
        <v>61</v>
      </c>
      <c r="C601">
        <v>-0.27</v>
      </c>
      <c r="D601">
        <v>-0.57000000000000006</v>
      </c>
      <c r="E601">
        <v>-0.77</v>
      </c>
      <c r="F601">
        <v>-0.85499999999999998</v>
      </c>
      <c r="G601">
        <v>-0.5524</v>
      </c>
      <c r="H601">
        <v>-0.30349999999999999</v>
      </c>
      <c r="I601">
        <v>-0.11849999999999999</v>
      </c>
      <c r="J601">
        <v>1.2500000000000013E-2</v>
      </c>
      <c r="K601">
        <v>0.15960000000000002</v>
      </c>
      <c r="L601">
        <v>0.28110000000000002</v>
      </c>
      <c r="M601">
        <v>0.3654</v>
      </c>
      <c r="N601">
        <v>0</v>
      </c>
      <c r="O601">
        <v>0</v>
      </c>
      <c r="P601">
        <v>0</v>
      </c>
    </row>
    <row r="602" spans="1:16">
      <c r="B602" t="s">
        <v>62</v>
      </c>
      <c r="C602">
        <v>0</v>
      </c>
      <c r="D602">
        <v>0</v>
      </c>
      <c r="E602">
        <v>0</v>
      </c>
      <c r="F602">
        <v>0</v>
      </c>
      <c r="G602">
        <v>0</v>
      </c>
      <c r="H602">
        <v>0</v>
      </c>
      <c r="I602">
        <v>0</v>
      </c>
      <c r="J602">
        <v>3.225000000000003E-3</v>
      </c>
      <c r="K602">
        <v>3.7951800000000001E-2</v>
      </c>
      <c r="L602">
        <v>3.1347E-2</v>
      </c>
      <c r="M602">
        <v>2.1749400000000002E-2</v>
      </c>
      <c r="N602">
        <v>0</v>
      </c>
      <c r="O602">
        <v>0</v>
      </c>
      <c r="P602">
        <v>0</v>
      </c>
    </row>
    <row r="603" spans="1:16">
      <c r="P603">
        <v>0</v>
      </c>
    </row>
    <row r="604" spans="1:16">
      <c r="B604" t="s">
        <v>49</v>
      </c>
      <c r="C604">
        <v>-0.27</v>
      </c>
      <c r="D604">
        <v>-0.3</v>
      </c>
      <c r="E604">
        <v>-0.2</v>
      </c>
      <c r="F604">
        <v>-8.5000000000000006E-2</v>
      </c>
      <c r="G604">
        <v>0.469760127501614</v>
      </c>
      <c r="H604">
        <v>0.38639555761781808</v>
      </c>
      <c r="I604">
        <v>0.28719637669464176</v>
      </c>
      <c r="J604">
        <v>0.20336608295674632</v>
      </c>
      <c r="K604">
        <v>0.22835992979341516</v>
      </c>
      <c r="L604">
        <v>0.18861816091026473</v>
      </c>
      <c r="M604">
        <v>0.13086840300193675</v>
      </c>
      <c r="N604">
        <v>2.0336608295674633E-2</v>
      </c>
      <c r="O604">
        <v>8.848753227888962E-3</v>
      </c>
      <c r="P604">
        <v>0</v>
      </c>
    </row>
    <row r="605" spans="1:16">
      <c r="B605" t="s">
        <v>63</v>
      </c>
      <c r="C605">
        <v>-0.27</v>
      </c>
      <c r="D605">
        <v>-0.57000000000000006</v>
      </c>
      <c r="E605">
        <v>-0.77</v>
      </c>
      <c r="F605">
        <v>-0.85499999999999998</v>
      </c>
      <c r="G605">
        <v>-0.38523987249838598</v>
      </c>
      <c r="H605">
        <v>1.1556851194320927E-3</v>
      </c>
      <c r="I605">
        <v>0.28835206181407386</v>
      </c>
      <c r="J605">
        <v>0.49171814477082026</v>
      </c>
      <c r="K605">
        <v>0.72007807456423534</v>
      </c>
      <c r="L605">
        <v>0.90869623547450007</v>
      </c>
      <c r="M605">
        <v>1.0395646384764368</v>
      </c>
      <c r="N605">
        <v>1.0599012467721114</v>
      </c>
      <c r="O605">
        <v>1.0687500000000003</v>
      </c>
      <c r="P605">
        <v>0</v>
      </c>
    </row>
    <row r="606" spans="1:16">
      <c r="B606" t="s">
        <v>62</v>
      </c>
      <c r="C606">
        <v>0</v>
      </c>
      <c r="D606">
        <v>0</v>
      </c>
      <c r="E606">
        <v>0</v>
      </c>
      <c r="F606">
        <v>0</v>
      </c>
      <c r="G606">
        <v>0</v>
      </c>
      <c r="H606">
        <v>2.9816676081347992E-4</v>
      </c>
      <c r="I606">
        <v>7.4096665187217581E-2</v>
      </c>
      <c r="J606">
        <v>5.2468449402840553E-2</v>
      </c>
      <c r="K606">
        <v>5.8916861886701109E-2</v>
      </c>
      <c r="L606">
        <v>4.8663485514848302E-2</v>
      </c>
      <c r="M606">
        <v>3.3764047974499681E-2</v>
      </c>
      <c r="N606">
        <v>5.2468449402840551E-3</v>
      </c>
      <c r="O606">
        <v>2.2829783327953522E-3</v>
      </c>
      <c r="P606">
        <v>0</v>
      </c>
    </row>
    <row r="607" spans="1:16">
      <c r="A607" t="s">
        <v>325</v>
      </c>
      <c r="B607" t="s">
        <v>65</v>
      </c>
      <c r="C607">
        <v>-0.27</v>
      </c>
      <c r="D607">
        <v>-0.3</v>
      </c>
      <c r="E607">
        <v>-0.2</v>
      </c>
      <c r="F607">
        <v>-8.5000000000000006E-2</v>
      </c>
      <c r="G607">
        <v>0.469760127501614</v>
      </c>
      <c r="H607">
        <v>0.38609739085700462</v>
      </c>
      <c r="I607">
        <v>0.21309971150742416</v>
      </c>
      <c r="J607">
        <v>0.15089763355390581</v>
      </c>
      <c r="K607">
        <v>0.16944306790671404</v>
      </c>
      <c r="L607">
        <v>0.13995467539541642</v>
      </c>
      <c r="M607">
        <v>9.710435502743707E-2</v>
      </c>
      <c r="N607">
        <v>1.5089763355390577E-2</v>
      </c>
      <c r="O607">
        <v>6.5657748950936103E-3</v>
      </c>
      <c r="P607">
        <v>0</v>
      </c>
    </row>
    <row r="608" spans="1:16">
      <c r="P608">
        <v>0</v>
      </c>
    </row>
    <row r="609" spans="1:16">
      <c r="B609" t="s">
        <v>60</v>
      </c>
      <c r="C609">
        <v>-0.1</v>
      </c>
      <c r="D609">
        <v>-7.4999999999999997E-2</v>
      </c>
      <c r="E609">
        <v>-0.115</v>
      </c>
      <c r="F609">
        <v>-0.15</v>
      </c>
      <c r="G609">
        <v>-0.15</v>
      </c>
      <c r="H609">
        <v>-0.27</v>
      </c>
      <c r="I609">
        <v>0.1875956361575517</v>
      </c>
      <c r="J609">
        <v>0.39073746103712098</v>
      </c>
      <c r="K609">
        <v>0.32453598753187873</v>
      </c>
      <c r="L609">
        <v>0.27730235194105979</v>
      </c>
      <c r="M609">
        <v>0.20477826579767638</v>
      </c>
      <c r="N609">
        <v>0.11789812978180787</v>
      </c>
      <c r="O609">
        <v>7.2152167752904506E-2</v>
      </c>
      <c r="P609">
        <v>0</v>
      </c>
    </row>
    <row r="610" spans="1:16">
      <c r="B610" t="s">
        <v>61</v>
      </c>
      <c r="C610">
        <v>-0.1</v>
      </c>
      <c r="D610">
        <v>-0.17499999999999999</v>
      </c>
      <c r="E610">
        <v>-0.28999999999999998</v>
      </c>
      <c r="F610">
        <v>-0.43999999999999995</v>
      </c>
      <c r="G610">
        <v>-0.59</v>
      </c>
      <c r="H610">
        <v>-0.86</v>
      </c>
      <c r="I610">
        <v>-0.67240436384244828</v>
      </c>
      <c r="J610">
        <v>-0.2816669028053273</v>
      </c>
      <c r="K610">
        <v>4.2869084726551432E-2</v>
      </c>
      <c r="L610">
        <v>0.32017143666761122</v>
      </c>
      <c r="M610">
        <v>0.5249497024652876</v>
      </c>
      <c r="N610">
        <v>0</v>
      </c>
      <c r="O610">
        <v>0</v>
      </c>
      <c r="P610">
        <v>0</v>
      </c>
    </row>
    <row r="611" spans="1:16">
      <c r="B611" t="s">
        <v>62</v>
      </c>
      <c r="C611">
        <v>0</v>
      </c>
      <c r="D611">
        <v>0</v>
      </c>
      <c r="E611">
        <v>0</v>
      </c>
      <c r="F611">
        <v>0</v>
      </c>
      <c r="G611">
        <v>0</v>
      </c>
      <c r="H611">
        <v>0</v>
      </c>
      <c r="I611">
        <v>0</v>
      </c>
      <c r="J611">
        <v>0</v>
      </c>
      <c r="K611">
        <v>1.1060223859450267E-2</v>
      </c>
      <c r="L611">
        <v>7.1544006800793425E-2</v>
      </c>
      <c r="M611">
        <v>5.2832792575800508E-2</v>
      </c>
      <c r="N611">
        <v>0</v>
      </c>
      <c r="O611">
        <v>0</v>
      </c>
      <c r="P611">
        <v>0</v>
      </c>
    </row>
    <row r="612" spans="1:16">
      <c r="P612">
        <v>0</v>
      </c>
    </row>
    <row r="613" spans="1:16">
      <c r="B613" t="s">
        <v>49</v>
      </c>
      <c r="C613">
        <v>-0.1</v>
      </c>
      <c r="D613">
        <v>-7.4999999999999997E-2</v>
      </c>
      <c r="E613">
        <v>-0.115</v>
      </c>
      <c r="F613">
        <v>-0.15</v>
      </c>
      <c r="G613">
        <v>-0.15</v>
      </c>
      <c r="H613">
        <v>-0.27</v>
      </c>
      <c r="I613">
        <v>0.23047463870784923</v>
      </c>
      <c r="J613">
        <v>0.48004888070274865</v>
      </c>
      <c r="K613">
        <v>0.39871564182487962</v>
      </c>
      <c r="L613">
        <v>0.34068574667044488</v>
      </c>
      <c r="M613">
        <v>0.25158472655143099</v>
      </c>
      <c r="N613">
        <v>0.1448462737319354</v>
      </c>
      <c r="O613">
        <v>8.8644091810711256E-2</v>
      </c>
      <c r="P613">
        <v>0</v>
      </c>
    </row>
    <row r="614" spans="1:16">
      <c r="B614" t="s">
        <v>63</v>
      </c>
      <c r="C614">
        <v>-0.1</v>
      </c>
      <c r="D614">
        <v>-0.17499999999999999</v>
      </c>
      <c r="E614">
        <v>-0.28999999999999998</v>
      </c>
      <c r="F614">
        <v>-0.43999999999999995</v>
      </c>
      <c r="G614">
        <v>-0.59</v>
      </c>
      <c r="H614">
        <v>-0.86</v>
      </c>
      <c r="I614">
        <v>-0.62952536129215075</v>
      </c>
      <c r="J614">
        <v>-0.14947648058940213</v>
      </c>
      <c r="K614">
        <v>0.24923916123547751</v>
      </c>
      <c r="L614">
        <v>0.58992490790592234</v>
      </c>
      <c r="M614">
        <v>0.84150963445735338</v>
      </c>
      <c r="N614">
        <v>0.98635590818928875</v>
      </c>
      <c r="O614">
        <v>1.075</v>
      </c>
      <c r="P614">
        <v>0</v>
      </c>
    </row>
    <row r="615" spans="1:16">
      <c r="B615" t="s">
        <v>62</v>
      </c>
      <c r="C615">
        <v>0</v>
      </c>
      <c r="D615">
        <v>0</v>
      </c>
      <c r="E615">
        <v>0</v>
      </c>
      <c r="F615">
        <v>0</v>
      </c>
      <c r="G615">
        <v>0</v>
      </c>
      <c r="H615">
        <v>0</v>
      </c>
      <c r="I615">
        <v>0</v>
      </c>
      <c r="J615">
        <v>0</v>
      </c>
      <c r="K615">
        <v>6.4303703598753204E-2</v>
      </c>
      <c r="L615">
        <v>8.7896922640974776E-2</v>
      </c>
      <c r="M615">
        <v>6.4908859450269196E-2</v>
      </c>
      <c r="N615">
        <v>3.7370338622839332E-2</v>
      </c>
      <c r="O615">
        <v>2.2870175687163506E-2</v>
      </c>
      <c r="P615">
        <v>0</v>
      </c>
    </row>
    <row r="616" spans="1:16">
      <c r="A616" t="s">
        <v>326</v>
      </c>
      <c r="B616" t="s">
        <v>65</v>
      </c>
      <c r="C616">
        <v>-0.1</v>
      </c>
      <c r="D616">
        <v>-7.4999999999999997E-2</v>
      </c>
      <c r="E616">
        <v>-0.115</v>
      </c>
      <c r="F616">
        <v>-0.15</v>
      </c>
      <c r="G616">
        <v>-0.15</v>
      </c>
      <c r="H616">
        <v>-0.27</v>
      </c>
      <c r="I616">
        <v>0.23047463870784923</v>
      </c>
      <c r="J616">
        <v>0.48004888070274865</v>
      </c>
      <c r="K616">
        <v>0.33441193822612642</v>
      </c>
      <c r="L616">
        <v>0.25278882402947012</v>
      </c>
      <c r="M616">
        <v>0.1866758671011618</v>
      </c>
      <c r="N616">
        <v>0.10747593510909606</v>
      </c>
      <c r="O616">
        <v>6.5773916123547743E-2</v>
      </c>
      <c r="P616">
        <v>0</v>
      </c>
    </row>
    <row r="617" spans="1:16">
      <c r="P617">
        <v>0</v>
      </c>
    </row>
    <row r="618" spans="1:16">
      <c r="B618" t="s">
        <v>107</v>
      </c>
      <c r="C618">
        <v>-1</v>
      </c>
      <c r="D618">
        <v>0</v>
      </c>
      <c r="E618">
        <v>0</v>
      </c>
      <c r="F618">
        <v>0</v>
      </c>
      <c r="G618">
        <v>0</v>
      </c>
      <c r="P618">
        <v>0</v>
      </c>
    </row>
    <row r="619" spans="1:16">
      <c r="B619" t="s">
        <v>111</v>
      </c>
      <c r="C619">
        <v>-1</v>
      </c>
      <c r="D619">
        <v>-1</v>
      </c>
      <c r="E619">
        <v>-1</v>
      </c>
      <c r="F619">
        <v>-1</v>
      </c>
      <c r="G619">
        <v>-1</v>
      </c>
      <c r="P619">
        <v>0</v>
      </c>
    </row>
    <row r="620" spans="1:16">
      <c r="B620" t="s">
        <v>62</v>
      </c>
      <c r="C620">
        <v>0</v>
      </c>
      <c r="D620">
        <v>0</v>
      </c>
      <c r="E620">
        <v>0</v>
      </c>
      <c r="F620">
        <v>0</v>
      </c>
      <c r="G620">
        <v>0</v>
      </c>
      <c r="H620">
        <v>0</v>
      </c>
      <c r="I620">
        <v>0</v>
      </c>
      <c r="J620">
        <v>0</v>
      </c>
      <c r="K620">
        <v>0</v>
      </c>
      <c r="L620">
        <v>0</v>
      </c>
      <c r="M620">
        <v>0</v>
      </c>
      <c r="N620">
        <v>0</v>
      </c>
      <c r="O620">
        <v>0</v>
      </c>
      <c r="P620">
        <v>0</v>
      </c>
    </row>
    <row r="621" spans="1:16">
      <c r="A621" t="s">
        <v>327</v>
      </c>
      <c r="B621" t="s">
        <v>90</v>
      </c>
      <c r="C621">
        <v>-1</v>
      </c>
      <c r="D621">
        <v>0</v>
      </c>
      <c r="E621">
        <v>0</v>
      </c>
      <c r="F621">
        <v>0</v>
      </c>
      <c r="G621">
        <v>0</v>
      </c>
      <c r="H621">
        <v>0</v>
      </c>
      <c r="I621">
        <v>0</v>
      </c>
      <c r="J621">
        <v>0</v>
      </c>
      <c r="K621">
        <v>0</v>
      </c>
      <c r="L621">
        <v>0</v>
      </c>
      <c r="M621">
        <v>0</v>
      </c>
      <c r="N621">
        <v>0</v>
      </c>
      <c r="O621">
        <v>0</v>
      </c>
      <c r="P621">
        <v>0</v>
      </c>
    </row>
    <row r="622" spans="1:16">
      <c r="P622">
        <v>0</v>
      </c>
    </row>
    <row r="623" spans="1:16">
      <c r="P623">
        <v>0</v>
      </c>
    </row>
    <row r="624" spans="1:16">
      <c r="A624" t="s">
        <v>328</v>
      </c>
      <c r="B624" t="s">
        <v>90</v>
      </c>
      <c r="C624">
        <v>-0.1</v>
      </c>
      <c r="D624">
        <v>-0.2</v>
      </c>
      <c r="E624">
        <v>-0.2</v>
      </c>
      <c r="F624">
        <v>-0.3</v>
      </c>
      <c r="G624">
        <v>-0.05</v>
      </c>
      <c r="H624">
        <v>0.2</v>
      </c>
      <c r="I624">
        <v>0.3</v>
      </c>
      <c r="J624">
        <v>0.3</v>
      </c>
      <c r="K624">
        <v>0.2</v>
      </c>
      <c r="L624">
        <v>0.15</v>
      </c>
      <c r="M624">
        <v>0.15</v>
      </c>
      <c r="N624">
        <v>0.15</v>
      </c>
      <c r="P624">
        <v>0</v>
      </c>
    </row>
    <row r="625" spans="1:16">
      <c r="P625">
        <v>0</v>
      </c>
    </row>
    <row r="626" spans="1:16">
      <c r="B626" t="s">
        <v>77</v>
      </c>
      <c r="C626">
        <v>-0.33</v>
      </c>
      <c r="D626">
        <v>-0.52</v>
      </c>
      <c r="E626">
        <v>-0.15</v>
      </c>
      <c r="F626">
        <v>1.0000000000000001E-11</v>
      </c>
      <c r="G626">
        <v>0.51500000000000001</v>
      </c>
      <c r="H626">
        <v>0.72250000000000003</v>
      </c>
      <c r="I626">
        <v>0.94499999999999995</v>
      </c>
      <c r="J626">
        <v>0.57499999999999996</v>
      </c>
      <c r="K626">
        <v>0.27500000000000002</v>
      </c>
      <c r="P626">
        <v>0</v>
      </c>
    </row>
    <row r="627" spans="1:16">
      <c r="P627">
        <v>0</v>
      </c>
    </row>
    <row r="628" spans="1:16">
      <c r="B628" t="s">
        <v>76</v>
      </c>
      <c r="P628">
        <v>0</v>
      </c>
    </row>
    <row r="629" spans="1:16">
      <c r="B629" t="s">
        <v>77</v>
      </c>
      <c r="C629">
        <v>-0.33</v>
      </c>
      <c r="D629">
        <v>-0.8500000000000002</v>
      </c>
      <c r="E629">
        <v>-1</v>
      </c>
      <c r="F629">
        <v>-0.99999999999</v>
      </c>
      <c r="G629">
        <v>-0.48499999998999999</v>
      </c>
      <c r="H629">
        <v>0.23750000001000005</v>
      </c>
      <c r="I629">
        <v>1.1825000000100001</v>
      </c>
      <c r="J629">
        <v>1.7575000000100001</v>
      </c>
      <c r="K629">
        <v>2.0325000000100002</v>
      </c>
      <c r="L629">
        <v>2.0325000000100002</v>
      </c>
      <c r="M629">
        <v>2.0325000000100002</v>
      </c>
      <c r="N629">
        <v>2.0325000000100002</v>
      </c>
      <c r="O629">
        <v>2.0325000000100002</v>
      </c>
      <c r="P629">
        <v>0</v>
      </c>
    </row>
    <row r="630" spans="1:16">
      <c r="B630" t="s">
        <v>49</v>
      </c>
      <c r="C630">
        <v>-0.33</v>
      </c>
      <c r="D630">
        <v>-0.52</v>
      </c>
      <c r="E630">
        <v>-0.15</v>
      </c>
      <c r="F630">
        <v>1.0000000000000001E-11</v>
      </c>
      <c r="G630">
        <v>0.38211046990549458</v>
      </c>
      <c r="H630">
        <v>0.53606760098392203</v>
      </c>
      <c r="I630">
        <v>0.70115416322464541</v>
      </c>
      <c r="J630">
        <v>0.42662819455467837</v>
      </c>
      <c r="K630">
        <v>0.20403957130875924</v>
      </c>
      <c r="L630">
        <v>0</v>
      </c>
      <c r="M630">
        <v>0</v>
      </c>
      <c r="N630">
        <v>0</v>
      </c>
      <c r="O630">
        <v>0</v>
      </c>
      <c r="P630">
        <v>0</v>
      </c>
    </row>
    <row r="631" spans="1:16">
      <c r="B631" t="s">
        <v>78</v>
      </c>
      <c r="C631">
        <v>-0.33</v>
      </c>
      <c r="D631">
        <v>-0.8500000000000002</v>
      </c>
      <c r="E631">
        <v>-1</v>
      </c>
      <c r="F631">
        <v>-0.99999999999</v>
      </c>
      <c r="G631">
        <v>-0.61788953008450542</v>
      </c>
      <c r="H631">
        <v>-8.182192910058339E-2</v>
      </c>
      <c r="I631">
        <v>0.61933223412406202</v>
      </c>
      <c r="J631">
        <v>1.0459604286787405</v>
      </c>
      <c r="K631">
        <v>1.2499999999874998</v>
      </c>
      <c r="L631">
        <v>1.2499999999874998</v>
      </c>
      <c r="M631">
        <v>1.2499999999874998</v>
      </c>
      <c r="N631">
        <v>1.2499999999874998</v>
      </c>
      <c r="O631">
        <v>1.2499999999874998</v>
      </c>
      <c r="P631">
        <v>0</v>
      </c>
    </row>
    <row r="632" spans="1:16">
      <c r="B632" t="s">
        <v>62</v>
      </c>
      <c r="C632">
        <v>0</v>
      </c>
      <c r="D632">
        <v>0</v>
      </c>
      <c r="E632">
        <v>0</v>
      </c>
      <c r="F632">
        <v>0</v>
      </c>
      <c r="G632">
        <v>0</v>
      </c>
      <c r="H632">
        <v>0</v>
      </c>
      <c r="I632">
        <v>0.15978771640400802</v>
      </c>
      <c r="J632">
        <v>0.11007007419510702</v>
      </c>
      <c r="K632">
        <v>5.2642209397659886E-2</v>
      </c>
      <c r="L632">
        <v>0</v>
      </c>
      <c r="M632">
        <v>0</v>
      </c>
      <c r="N632">
        <v>0</v>
      </c>
      <c r="O632">
        <v>0</v>
      </c>
      <c r="P632">
        <v>0</v>
      </c>
    </row>
    <row r="633" spans="1:16">
      <c r="A633" t="s">
        <v>329</v>
      </c>
      <c r="B633" t="s">
        <v>65</v>
      </c>
      <c r="C633">
        <v>-0.33</v>
      </c>
      <c r="D633">
        <v>-0.52</v>
      </c>
      <c r="E633">
        <v>-0.15</v>
      </c>
      <c r="F633">
        <v>1.0000000000000001E-11</v>
      </c>
      <c r="G633">
        <v>0.38211046990549458</v>
      </c>
      <c r="H633">
        <v>0.53606760098392203</v>
      </c>
      <c r="I633">
        <v>0.54136644682063739</v>
      </c>
      <c r="J633">
        <v>0.31655812035957137</v>
      </c>
      <c r="K633">
        <v>0.15139736191109937</v>
      </c>
      <c r="L633">
        <v>0</v>
      </c>
      <c r="M633">
        <v>0</v>
      </c>
      <c r="N633">
        <v>0</v>
      </c>
      <c r="O633">
        <v>0</v>
      </c>
      <c r="P633">
        <v>0</v>
      </c>
    </row>
    <row r="634" spans="1:16">
      <c r="P634">
        <v>0</v>
      </c>
    </row>
    <row r="635" spans="1:16">
      <c r="B635" t="s">
        <v>77</v>
      </c>
      <c r="C635">
        <v>-0.2</v>
      </c>
      <c r="D635">
        <v>-0.125</v>
      </c>
      <c r="E635">
        <v>-0.2</v>
      </c>
      <c r="F635">
        <v>-0.2</v>
      </c>
      <c r="G635">
        <v>-0.2</v>
      </c>
      <c r="H635">
        <v>0.05</v>
      </c>
      <c r="I635">
        <v>0.17499999999999999</v>
      </c>
      <c r="J635">
        <v>0.25</v>
      </c>
      <c r="K635">
        <v>0.3</v>
      </c>
      <c r="L635">
        <v>0.35</v>
      </c>
      <c r="M635">
        <v>0</v>
      </c>
      <c r="P635">
        <v>0</v>
      </c>
    </row>
    <row r="636" spans="1:16">
      <c r="P636">
        <v>0</v>
      </c>
    </row>
    <row r="637" spans="1:16">
      <c r="B637" t="s">
        <v>76</v>
      </c>
      <c r="P637">
        <v>0</v>
      </c>
    </row>
    <row r="638" spans="1:16">
      <c r="B638" t="s">
        <v>77</v>
      </c>
      <c r="C638">
        <v>-0.2</v>
      </c>
      <c r="D638">
        <v>-0.32500000000000001</v>
      </c>
      <c r="E638">
        <v>-0.52500000000000002</v>
      </c>
      <c r="F638">
        <v>-0.7250000000000002</v>
      </c>
      <c r="G638">
        <v>-0.92500000000000004</v>
      </c>
      <c r="H638">
        <v>-0.875</v>
      </c>
      <c r="I638">
        <v>-0.7</v>
      </c>
      <c r="J638">
        <v>-0.45</v>
      </c>
      <c r="K638">
        <v>-0.14999999999999997</v>
      </c>
      <c r="L638">
        <v>0.2</v>
      </c>
      <c r="M638">
        <v>0.2</v>
      </c>
      <c r="N638">
        <v>0.2</v>
      </c>
      <c r="O638">
        <v>0.2</v>
      </c>
      <c r="P638">
        <v>0</v>
      </c>
    </row>
    <row r="639" spans="1:16">
      <c r="B639" t="s">
        <v>49</v>
      </c>
      <c r="C639">
        <v>-0.2</v>
      </c>
      <c r="D639">
        <v>-0.125</v>
      </c>
      <c r="E639">
        <v>-0.2</v>
      </c>
      <c r="F639">
        <v>-0.2</v>
      </c>
      <c r="G639">
        <v>-0.2</v>
      </c>
      <c r="H639">
        <v>9.2500000000000013E-2</v>
      </c>
      <c r="I639">
        <v>0.32375000000000004</v>
      </c>
      <c r="J639">
        <v>0.46250000000000002</v>
      </c>
      <c r="K639">
        <v>0.55500000000000005</v>
      </c>
      <c r="L639">
        <v>0.64750000000000008</v>
      </c>
      <c r="M639">
        <v>0</v>
      </c>
      <c r="N639">
        <v>0</v>
      </c>
      <c r="O639">
        <v>0</v>
      </c>
      <c r="P639">
        <v>0</v>
      </c>
    </row>
    <row r="640" spans="1:16">
      <c r="B640" t="s">
        <v>78</v>
      </c>
      <c r="C640">
        <v>-0.2</v>
      </c>
      <c r="D640">
        <v>-0.32500000000000001</v>
      </c>
      <c r="E640">
        <v>-0.52500000000000002</v>
      </c>
      <c r="F640">
        <v>-0.7250000000000002</v>
      </c>
      <c r="G640">
        <v>-0.92500000000000004</v>
      </c>
      <c r="H640">
        <v>-0.83250000000000002</v>
      </c>
      <c r="I640">
        <v>-0.50875000000000004</v>
      </c>
      <c r="J640">
        <v>-4.6250000000000013E-2</v>
      </c>
      <c r="K640">
        <v>0.50875000000000004</v>
      </c>
      <c r="L640">
        <v>1.15625</v>
      </c>
      <c r="M640">
        <v>1.15625</v>
      </c>
      <c r="N640">
        <v>1.15625</v>
      </c>
      <c r="O640">
        <v>1.15625</v>
      </c>
      <c r="P640">
        <v>0</v>
      </c>
    </row>
    <row r="641" spans="1:16">
      <c r="B641" t="s">
        <v>62</v>
      </c>
      <c r="C641">
        <v>0</v>
      </c>
      <c r="D641">
        <v>0</v>
      </c>
      <c r="E641">
        <v>0</v>
      </c>
      <c r="F641">
        <v>0</v>
      </c>
      <c r="G641">
        <v>0</v>
      </c>
      <c r="H641">
        <v>0</v>
      </c>
      <c r="I641">
        <v>0</v>
      </c>
      <c r="J641">
        <v>0</v>
      </c>
      <c r="K641">
        <v>0.1312575</v>
      </c>
      <c r="L641">
        <v>0.16705500000000004</v>
      </c>
      <c r="M641">
        <v>0</v>
      </c>
      <c r="N641">
        <v>0</v>
      </c>
      <c r="O641">
        <v>0</v>
      </c>
      <c r="P641">
        <v>0</v>
      </c>
    </row>
    <row r="642" spans="1:16">
      <c r="A642" t="s">
        <v>330</v>
      </c>
      <c r="B642" t="s">
        <v>65</v>
      </c>
      <c r="C642">
        <v>-0.2</v>
      </c>
      <c r="D642">
        <v>-0.125</v>
      </c>
      <c r="E642">
        <v>-0.2</v>
      </c>
      <c r="F642">
        <v>-0.2</v>
      </c>
      <c r="G642">
        <v>-0.2</v>
      </c>
      <c r="H642">
        <v>9.2500000000000013E-2</v>
      </c>
      <c r="I642">
        <v>0.32375000000000004</v>
      </c>
      <c r="J642">
        <v>0.46250000000000002</v>
      </c>
      <c r="K642">
        <v>0.42374250000000002</v>
      </c>
      <c r="L642">
        <v>0.48044500000000001</v>
      </c>
      <c r="M642">
        <v>0</v>
      </c>
      <c r="N642">
        <v>0</v>
      </c>
      <c r="O642">
        <v>0</v>
      </c>
      <c r="P642">
        <v>0</v>
      </c>
    </row>
    <row r="643" spans="1:16">
      <c r="P643">
        <v>0</v>
      </c>
    </row>
    <row r="644" spans="1:16">
      <c r="P644">
        <v>0</v>
      </c>
    </row>
    <row r="645" spans="1:16">
      <c r="P645">
        <v>0</v>
      </c>
    </row>
    <row r="646" spans="1:16">
      <c r="P646">
        <v>0</v>
      </c>
    </row>
    <row r="647" spans="1:16">
      <c r="P647">
        <v>0</v>
      </c>
    </row>
    <row r="648" spans="1:16">
      <c r="P648">
        <v>0</v>
      </c>
    </row>
    <row r="649" spans="1:16">
      <c r="P649">
        <v>0</v>
      </c>
    </row>
    <row r="650" spans="1:16">
      <c r="A650" t="s">
        <v>331</v>
      </c>
      <c r="P650">
        <v>0</v>
      </c>
    </row>
    <row r="651" spans="1:16">
      <c r="B651" t="s">
        <v>107</v>
      </c>
      <c r="C651">
        <v>-1</v>
      </c>
      <c r="D651">
        <v>0</v>
      </c>
      <c r="E651">
        <v>0</v>
      </c>
      <c r="F651">
        <v>0</v>
      </c>
      <c r="G651">
        <v>0</v>
      </c>
      <c r="H651">
        <v>0</v>
      </c>
      <c r="I651">
        <v>0</v>
      </c>
      <c r="J651">
        <v>0</v>
      </c>
      <c r="K651">
        <v>0</v>
      </c>
      <c r="L651">
        <v>0</v>
      </c>
      <c r="M651">
        <v>1.6288946267774416</v>
      </c>
      <c r="P651">
        <v>0</v>
      </c>
    </row>
    <row r="652" spans="1:16">
      <c r="B652" t="s">
        <v>99</v>
      </c>
      <c r="C652">
        <v>-1</v>
      </c>
      <c r="D652">
        <v>-1</v>
      </c>
      <c r="E652">
        <v>-1</v>
      </c>
      <c r="F652">
        <v>-1</v>
      </c>
      <c r="G652">
        <v>-1</v>
      </c>
      <c r="H652">
        <v>-1</v>
      </c>
      <c r="I652">
        <v>-1</v>
      </c>
      <c r="J652">
        <v>-1</v>
      </c>
      <c r="K652">
        <v>-1</v>
      </c>
      <c r="L652">
        <v>-1</v>
      </c>
      <c r="M652">
        <v>0.62889462677744157</v>
      </c>
      <c r="P652">
        <v>0</v>
      </c>
    </row>
    <row r="653" spans="1:16">
      <c r="B653" t="s">
        <v>62</v>
      </c>
      <c r="C653">
        <v>0</v>
      </c>
      <c r="D653">
        <v>0</v>
      </c>
      <c r="E653">
        <v>0</v>
      </c>
      <c r="F653">
        <v>0</v>
      </c>
      <c r="G653">
        <v>0</v>
      </c>
      <c r="H653">
        <v>0</v>
      </c>
      <c r="I653">
        <v>0</v>
      </c>
      <c r="J653">
        <v>0</v>
      </c>
      <c r="K653">
        <v>0</v>
      </c>
      <c r="L653">
        <v>0</v>
      </c>
      <c r="M653">
        <v>0.16225481370857994</v>
      </c>
      <c r="P653">
        <v>0</v>
      </c>
    </row>
    <row r="654" spans="1:16">
      <c r="A654" t="s">
        <v>332</v>
      </c>
      <c r="B654" t="s">
        <v>65</v>
      </c>
      <c r="C654">
        <v>-1</v>
      </c>
      <c r="D654">
        <v>0</v>
      </c>
      <c r="E654">
        <v>0</v>
      </c>
      <c r="F654">
        <v>0</v>
      </c>
      <c r="G654">
        <v>0</v>
      </c>
      <c r="H654">
        <v>0</v>
      </c>
      <c r="I654">
        <v>0</v>
      </c>
      <c r="J654">
        <v>0</v>
      </c>
      <c r="K654">
        <v>0</v>
      </c>
      <c r="L654">
        <v>0</v>
      </c>
      <c r="M654">
        <v>1.4666398130688616</v>
      </c>
      <c r="P654">
        <v>0</v>
      </c>
    </row>
    <row r="655" spans="1:16">
      <c r="B655" t="s">
        <v>107</v>
      </c>
      <c r="C655">
        <v>-1</v>
      </c>
      <c r="D655">
        <v>0</v>
      </c>
      <c r="E655">
        <v>0</v>
      </c>
      <c r="F655">
        <v>0</v>
      </c>
      <c r="G655">
        <v>0</v>
      </c>
      <c r="H655">
        <v>0</v>
      </c>
      <c r="I655">
        <v>0</v>
      </c>
      <c r="J655">
        <v>0</v>
      </c>
      <c r="K655">
        <v>0</v>
      </c>
      <c r="L655">
        <v>0</v>
      </c>
      <c r="M655">
        <v>1.9671513572895656</v>
      </c>
      <c r="P655">
        <v>0</v>
      </c>
    </row>
    <row r="656" spans="1:16">
      <c r="B656" t="s">
        <v>99</v>
      </c>
      <c r="C656">
        <v>-1</v>
      </c>
      <c r="D656">
        <v>-1</v>
      </c>
      <c r="E656">
        <v>-1</v>
      </c>
      <c r="F656">
        <v>-1</v>
      </c>
      <c r="G656">
        <v>-1</v>
      </c>
      <c r="H656">
        <v>-1</v>
      </c>
      <c r="I656">
        <v>-1</v>
      </c>
      <c r="J656">
        <v>-1</v>
      </c>
      <c r="K656">
        <v>-1</v>
      </c>
      <c r="L656">
        <v>-1</v>
      </c>
      <c r="M656">
        <v>0.96715135728956558</v>
      </c>
      <c r="P656">
        <v>0</v>
      </c>
    </row>
    <row r="657" spans="1:16">
      <c r="B657" t="s">
        <v>62</v>
      </c>
      <c r="C657">
        <v>0</v>
      </c>
      <c r="D657">
        <v>0</v>
      </c>
      <c r="E657">
        <v>0</v>
      </c>
      <c r="F657">
        <v>0</v>
      </c>
      <c r="G657">
        <v>0</v>
      </c>
      <c r="H657">
        <v>0</v>
      </c>
      <c r="I657">
        <v>0</v>
      </c>
      <c r="J657">
        <v>0</v>
      </c>
      <c r="K657">
        <v>0</v>
      </c>
      <c r="L657">
        <v>0</v>
      </c>
      <c r="M657">
        <v>0.24952505018070792</v>
      </c>
      <c r="P657">
        <v>0</v>
      </c>
    </row>
    <row r="658" spans="1:16">
      <c r="A658" t="s">
        <v>110</v>
      </c>
      <c r="B658" t="s">
        <v>65</v>
      </c>
      <c r="C658">
        <v>-1</v>
      </c>
      <c r="D658">
        <v>0</v>
      </c>
      <c r="E658">
        <v>0</v>
      </c>
      <c r="F658">
        <v>0</v>
      </c>
      <c r="G658">
        <v>0</v>
      </c>
      <c r="H658">
        <v>0</v>
      </c>
      <c r="I658">
        <v>0</v>
      </c>
      <c r="J658">
        <v>0</v>
      </c>
      <c r="K658">
        <v>0</v>
      </c>
      <c r="L658">
        <v>0</v>
      </c>
      <c r="M658">
        <v>1.7176263071088576</v>
      </c>
      <c r="P658">
        <v>0</v>
      </c>
    </row>
    <row r="659" spans="1:16">
      <c r="P659">
        <v>0</v>
      </c>
    </row>
    <row r="660" spans="1:16">
      <c r="P660">
        <v>0</v>
      </c>
    </row>
    <row r="661" spans="1:16">
      <c r="B661" t="s">
        <v>107</v>
      </c>
      <c r="C661">
        <v>-0.1841212284184762</v>
      </c>
      <c r="D661">
        <v>-0.18044014647666903</v>
      </c>
      <c r="E661">
        <v>-0.16842394773399422</v>
      </c>
      <c r="F661">
        <v>-0.16423955663309031</v>
      </c>
      <c r="G661">
        <v>-0.16231316891164513</v>
      </c>
      <c r="H661">
        <v>0.12212987726619608</v>
      </c>
      <c r="I661">
        <v>0.30703028534599641</v>
      </c>
      <c r="J661">
        <v>0.3276728930042353</v>
      </c>
      <c r="K661">
        <v>0.27538957931783159</v>
      </c>
      <c r="L661">
        <v>0.19487369847791974</v>
      </c>
      <c r="M661">
        <v>0.1885911875715596</v>
      </c>
      <c r="N661">
        <v>0.12413846649243687</v>
      </c>
      <c r="O661">
        <v>0</v>
      </c>
      <c r="P661">
        <v>0</v>
      </c>
    </row>
    <row r="662" spans="1:16">
      <c r="B662" t="s">
        <v>111</v>
      </c>
      <c r="C662">
        <v>-0.1841212284184762</v>
      </c>
      <c r="D662">
        <v>-0.36456137489514517</v>
      </c>
      <c r="E662">
        <v>-0.53298532262913945</v>
      </c>
      <c r="F662">
        <v>-0.69722487926222976</v>
      </c>
      <c r="G662">
        <v>-0.85953804817387491</v>
      </c>
      <c r="H662">
        <v>-0.73740817090767885</v>
      </c>
      <c r="I662">
        <v>-0.43037788556168238</v>
      </c>
      <c r="J662">
        <v>-0.10270499255744714</v>
      </c>
      <c r="K662">
        <v>0.17268458676038445</v>
      </c>
      <c r="L662">
        <v>0.36755828523830419</v>
      </c>
      <c r="M662">
        <v>0.55614947280986382</v>
      </c>
      <c r="N662">
        <v>0.68028793930230069</v>
      </c>
      <c r="O662">
        <v>0.68028793930230069</v>
      </c>
      <c r="P662">
        <v>0</v>
      </c>
    </row>
    <row r="663" spans="1:16">
      <c r="B663" t="s">
        <v>112</v>
      </c>
      <c r="C663">
        <v>-0.1841212284184762</v>
      </c>
      <c r="D663">
        <v>-0.18044014647666903</v>
      </c>
      <c r="E663">
        <v>-0.16842394773399422</v>
      </c>
      <c r="F663">
        <v>-0.16423955663309031</v>
      </c>
      <c r="G663">
        <v>-0.16231316891164513</v>
      </c>
      <c r="H663">
        <v>0.13634693424178268</v>
      </c>
      <c r="I663">
        <v>0.34277147462501678</v>
      </c>
      <c r="J663">
        <v>0.36581707437471733</v>
      </c>
      <c r="K663">
        <v>0.30744749526177989</v>
      </c>
      <c r="L663">
        <v>0.2175588148173489</v>
      </c>
      <c r="M663">
        <v>0.21054496103646198</v>
      </c>
      <c r="N663">
        <v>0.13858934199064238</v>
      </c>
      <c r="O663">
        <v>0</v>
      </c>
      <c r="P663">
        <v>0</v>
      </c>
    </row>
    <row r="664" spans="1:16">
      <c r="B664" t="s">
        <v>113</v>
      </c>
      <c r="C664">
        <v>-0.1841212284184762</v>
      </c>
      <c r="D664">
        <v>-0.36456137489514517</v>
      </c>
      <c r="E664">
        <v>-0.53298532262913945</v>
      </c>
      <c r="F664">
        <v>-0.69722487926222976</v>
      </c>
      <c r="G664">
        <v>-0.85953804817387491</v>
      </c>
      <c r="H664">
        <v>-0.72319111393209212</v>
      </c>
      <c r="I664">
        <v>-0.38041963930707545</v>
      </c>
      <c r="J664">
        <v>-1.460256493235812E-2</v>
      </c>
      <c r="K664">
        <v>0.29284493032942177</v>
      </c>
      <c r="L664">
        <v>0.51040374514677067</v>
      </c>
      <c r="M664">
        <v>0.7209487061832327</v>
      </c>
      <c r="N664">
        <v>0.85953804817387502</v>
      </c>
      <c r="O664">
        <v>0.85953804817387502</v>
      </c>
      <c r="P664">
        <v>0</v>
      </c>
    </row>
    <row r="665" spans="1:16">
      <c r="B665" t="s">
        <v>62</v>
      </c>
      <c r="C665">
        <v>0</v>
      </c>
      <c r="D665">
        <v>0</v>
      </c>
      <c r="E665">
        <v>0</v>
      </c>
      <c r="F665">
        <v>0</v>
      </c>
      <c r="G665">
        <v>0</v>
      </c>
      <c r="H665">
        <v>0</v>
      </c>
      <c r="I665">
        <v>0</v>
      </c>
      <c r="J665">
        <v>0</v>
      </c>
      <c r="K665">
        <v>0</v>
      </c>
      <c r="L665">
        <v>0</v>
      </c>
      <c r="M665">
        <v>0</v>
      </c>
      <c r="N665">
        <v>0</v>
      </c>
      <c r="O665">
        <v>0</v>
      </c>
      <c r="P665">
        <v>0</v>
      </c>
    </row>
    <row r="666" spans="1:16">
      <c r="A666" t="s">
        <v>333</v>
      </c>
      <c r="B666" t="s">
        <v>65</v>
      </c>
      <c r="C666">
        <v>-0.1841212284184762</v>
      </c>
      <c r="D666">
        <v>-0.18044014647666903</v>
      </c>
      <c r="E666">
        <v>-0.16842394773399422</v>
      </c>
      <c r="F666">
        <v>-0.16423955663309031</v>
      </c>
      <c r="G666">
        <v>-0.16231316891164513</v>
      </c>
      <c r="H666">
        <v>0.13634693424178268</v>
      </c>
      <c r="I666">
        <v>0.34277147462501678</v>
      </c>
      <c r="J666">
        <v>0.36581707437471733</v>
      </c>
      <c r="K666">
        <v>0.30744749526177989</v>
      </c>
      <c r="L666">
        <v>0.2175588148173489</v>
      </c>
      <c r="M666">
        <v>0.21054496103646198</v>
      </c>
      <c r="N666">
        <v>0.13858934199064238</v>
      </c>
      <c r="O666">
        <v>0</v>
      </c>
      <c r="P666">
        <v>0</v>
      </c>
    </row>
    <row r="667" spans="1:16">
      <c r="P667">
        <v>0</v>
      </c>
    </row>
    <row r="668" spans="1:16">
      <c r="B668" t="s">
        <v>107</v>
      </c>
      <c r="C668">
        <v>-0.1</v>
      </c>
      <c r="D668">
        <v>-0.22</v>
      </c>
      <c r="E668">
        <v>-0.23</v>
      </c>
      <c r="F668">
        <v>-0.23</v>
      </c>
      <c r="G668">
        <v>-0.17</v>
      </c>
      <c r="H668">
        <v>0.25219999999999998</v>
      </c>
      <c r="I668">
        <v>0.52529999999999999</v>
      </c>
      <c r="J668">
        <v>0.43630000000000002</v>
      </c>
      <c r="K668">
        <v>0.37280000000000002</v>
      </c>
      <c r="L668">
        <v>0.27529999999999999</v>
      </c>
      <c r="M668">
        <v>0.1585</v>
      </c>
      <c r="N668">
        <v>9.7000000000000003E-2</v>
      </c>
      <c r="O668">
        <v>0</v>
      </c>
      <c r="P668">
        <v>0</v>
      </c>
    </row>
    <row r="669" spans="1:16">
      <c r="B669" t="s">
        <v>111</v>
      </c>
      <c r="C669">
        <v>-0.1</v>
      </c>
      <c r="D669">
        <v>-0.32</v>
      </c>
      <c r="E669">
        <v>-0.55000000000000004</v>
      </c>
      <c r="F669">
        <v>-0.78</v>
      </c>
      <c r="G669">
        <v>-0.95</v>
      </c>
      <c r="H669">
        <v>-0.69780000000000009</v>
      </c>
      <c r="I669">
        <v>-0.1725000000000001</v>
      </c>
      <c r="J669">
        <v>0.26379999999999992</v>
      </c>
      <c r="K669">
        <v>0.63659999999999994</v>
      </c>
      <c r="L669">
        <v>0.91189999999999993</v>
      </c>
      <c r="M669">
        <v>1.0704</v>
      </c>
      <c r="N669">
        <v>1.1674</v>
      </c>
      <c r="O669">
        <v>1.1674</v>
      </c>
      <c r="P669">
        <v>0</v>
      </c>
    </row>
    <row r="670" spans="1:16">
      <c r="B670" t="s">
        <v>112</v>
      </c>
      <c r="C670">
        <v>-0.1</v>
      </c>
      <c r="D670">
        <v>-0.22</v>
      </c>
      <c r="E670">
        <v>-0.23</v>
      </c>
      <c r="F670">
        <v>-0.23</v>
      </c>
      <c r="G670">
        <v>-0.17</v>
      </c>
      <c r="H670">
        <v>0.22630584679323695</v>
      </c>
      <c r="I670">
        <v>0.47136582601303489</v>
      </c>
      <c r="J670">
        <v>0.39150373099083791</v>
      </c>
      <c r="K670">
        <v>0.33452347218286582</v>
      </c>
      <c r="L670">
        <v>0.24703409842259375</v>
      </c>
      <c r="M670">
        <v>0.14222631529233967</v>
      </c>
      <c r="N670">
        <v>8.7040710305091154E-2</v>
      </c>
      <c r="O670">
        <v>0</v>
      </c>
      <c r="P670">
        <v>0</v>
      </c>
    </row>
    <row r="671" spans="1:16">
      <c r="B671" t="s">
        <v>113</v>
      </c>
      <c r="C671">
        <v>-0.1</v>
      </c>
      <c r="D671">
        <v>-0.32</v>
      </c>
      <c r="E671">
        <v>-0.55000000000000004</v>
      </c>
      <c r="F671">
        <v>-0.78</v>
      </c>
      <c r="G671">
        <v>-0.95</v>
      </c>
      <c r="H671">
        <v>-0.723694153206763</v>
      </c>
      <c r="I671">
        <v>-0.25232832719372822</v>
      </c>
      <c r="J671">
        <v>0.13917540379710969</v>
      </c>
      <c r="K671">
        <v>0.47369887597997551</v>
      </c>
      <c r="L671">
        <v>0.72073297440256923</v>
      </c>
      <c r="M671">
        <v>0.86295928969490887</v>
      </c>
      <c r="N671">
        <v>0.95000000000000007</v>
      </c>
      <c r="O671">
        <v>0.95000000000000007</v>
      </c>
      <c r="P671">
        <v>0</v>
      </c>
    </row>
    <row r="672" spans="1:16">
      <c r="B672" t="s">
        <v>62</v>
      </c>
      <c r="C672">
        <v>0</v>
      </c>
      <c r="D672">
        <v>0</v>
      </c>
      <c r="E672">
        <v>0</v>
      </c>
      <c r="F672">
        <v>0</v>
      </c>
      <c r="G672">
        <v>0</v>
      </c>
      <c r="H672">
        <v>0</v>
      </c>
      <c r="I672">
        <v>0</v>
      </c>
      <c r="J672">
        <v>3.5907254179654298E-2</v>
      </c>
      <c r="K672">
        <v>8.6307055823179379E-2</v>
      </c>
      <c r="L672">
        <v>6.3734797393029188E-2</v>
      </c>
      <c r="M672">
        <v>3.6694389345423635E-2</v>
      </c>
      <c r="N672">
        <v>2.2456503258713519E-2</v>
      </c>
      <c r="O672">
        <v>0</v>
      </c>
      <c r="P672">
        <v>0</v>
      </c>
    </row>
    <row r="673" spans="1:16">
      <c r="A673" t="s">
        <v>393</v>
      </c>
      <c r="B673" t="s">
        <v>65</v>
      </c>
      <c r="C673">
        <v>-0.1</v>
      </c>
      <c r="D673">
        <v>-0.22</v>
      </c>
      <c r="E673">
        <v>-0.23</v>
      </c>
      <c r="F673">
        <v>-0.23</v>
      </c>
      <c r="G673">
        <v>-0.17</v>
      </c>
      <c r="H673">
        <v>0.22630584679323695</v>
      </c>
      <c r="I673">
        <v>0.47136582601303489</v>
      </c>
      <c r="J673">
        <v>0.35559647681118361</v>
      </c>
      <c r="K673">
        <v>0.24821641635968644</v>
      </c>
      <c r="L673">
        <v>0.18329930102956454</v>
      </c>
      <c r="M673">
        <v>0.10553192594691604</v>
      </c>
      <c r="N673">
        <v>6.4584207046377629E-2</v>
      </c>
      <c r="O673">
        <v>0</v>
      </c>
      <c r="P673">
        <v>0</v>
      </c>
    </row>
    <row r="674" spans="1:16">
      <c r="P674">
        <v>0</v>
      </c>
    </row>
    <row r="675" spans="1:16">
      <c r="B675" t="s">
        <v>107</v>
      </c>
      <c r="C675">
        <v>-0.1</v>
      </c>
      <c r="D675">
        <v>-0.3</v>
      </c>
      <c r="E675">
        <v>-0.3</v>
      </c>
      <c r="F675">
        <v>0.14000000000000001</v>
      </c>
      <c r="G675">
        <v>0.24499999999999997</v>
      </c>
      <c r="H675">
        <v>0.24499999999999997</v>
      </c>
      <c r="I675">
        <v>0.24499999999999997</v>
      </c>
      <c r="J675">
        <v>0.14000000000000001</v>
      </c>
      <c r="K675">
        <v>0.14000000000000001</v>
      </c>
      <c r="L675">
        <v>0.14000000000000001</v>
      </c>
      <c r="M675">
        <v>0</v>
      </c>
      <c r="N675">
        <v>0</v>
      </c>
      <c r="O675">
        <v>0</v>
      </c>
      <c r="P675">
        <v>0</v>
      </c>
    </row>
    <row r="676" spans="1:16">
      <c r="B676" t="s">
        <v>111</v>
      </c>
      <c r="C676">
        <v>-0.1</v>
      </c>
      <c r="D676">
        <v>-0.4</v>
      </c>
      <c r="E676">
        <v>-0.7</v>
      </c>
      <c r="F676">
        <v>-0.55999999999999994</v>
      </c>
      <c r="G676">
        <v>-0.31499999999999995</v>
      </c>
      <c r="H676">
        <v>-6.9999999999999979E-2</v>
      </c>
      <c r="I676">
        <v>0.17499999999999999</v>
      </c>
      <c r="J676">
        <v>0.315</v>
      </c>
      <c r="K676">
        <v>0.45500000000000002</v>
      </c>
      <c r="L676">
        <v>0.59499999999999997</v>
      </c>
      <c r="M676">
        <v>0.59499999999999997</v>
      </c>
      <c r="N676">
        <v>0.59499999999999997</v>
      </c>
      <c r="O676">
        <v>0.59499999999999997</v>
      </c>
      <c r="P676">
        <v>0</v>
      </c>
    </row>
    <row r="677" spans="1:16">
      <c r="B677" t="s">
        <v>112</v>
      </c>
      <c r="C677">
        <v>-0.1</v>
      </c>
      <c r="D677">
        <v>-0.3</v>
      </c>
      <c r="E677">
        <v>-0.3</v>
      </c>
      <c r="F677">
        <v>0.14000000000000001</v>
      </c>
      <c r="G677">
        <v>0.29696969696969694</v>
      </c>
      <c r="H677">
        <v>0.29696969696969694</v>
      </c>
      <c r="I677">
        <v>0.29696969696969694</v>
      </c>
      <c r="J677">
        <v>0.16969696969696971</v>
      </c>
      <c r="K677">
        <v>0.16969696969696971</v>
      </c>
      <c r="L677">
        <v>0.16969696969696973</v>
      </c>
      <c r="M677">
        <v>0</v>
      </c>
      <c r="N677">
        <v>0</v>
      </c>
      <c r="O677">
        <v>0</v>
      </c>
      <c r="P677">
        <v>0</v>
      </c>
    </row>
    <row r="678" spans="1:16">
      <c r="B678" t="s">
        <v>113</v>
      </c>
      <c r="C678">
        <v>-0.1</v>
      </c>
      <c r="D678">
        <v>-0.4</v>
      </c>
      <c r="E678">
        <v>-0.7</v>
      </c>
      <c r="F678">
        <v>-0.55999999999999994</v>
      </c>
      <c r="G678">
        <v>-0.263030303030303</v>
      </c>
      <c r="H678">
        <v>3.3939393939393936E-2</v>
      </c>
      <c r="I678">
        <v>0.33090909090909087</v>
      </c>
      <c r="J678">
        <v>0.50060606060606061</v>
      </c>
      <c r="K678">
        <v>0.6703030303030304</v>
      </c>
      <c r="L678">
        <v>0.84000000000000008</v>
      </c>
      <c r="M678">
        <v>0.84000000000000008</v>
      </c>
      <c r="N678">
        <v>0.84000000000000008</v>
      </c>
      <c r="O678">
        <v>0.84000000000000008</v>
      </c>
      <c r="P678">
        <v>0</v>
      </c>
    </row>
    <row r="679" spans="1:16">
      <c r="B679" t="s">
        <v>62</v>
      </c>
      <c r="C679">
        <v>0</v>
      </c>
      <c r="D679">
        <v>0</v>
      </c>
      <c r="E679">
        <v>0</v>
      </c>
      <c r="F679">
        <v>0</v>
      </c>
      <c r="G679">
        <v>0</v>
      </c>
      <c r="H679">
        <v>8.756363636363635E-3</v>
      </c>
      <c r="I679">
        <v>7.6618181818181808E-2</v>
      </c>
      <c r="J679">
        <v>4.3781818181818193E-2</v>
      </c>
      <c r="K679">
        <v>4.3781818181818193E-2</v>
      </c>
      <c r="L679">
        <v>4.3781818181818193E-2</v>
      </c>
      <c r="M679">
        <v>0</v>
      </c>
      <c r="N679">
        <v>0</v>
      </c>
      <c r="O679">
        <v>0</v>
      </c>
      <c r="P679">
        <v>0</v>
      </c>
    </row>
    <row r="680" spans="1:16">
      <c r="A680" t="s">
        <v>394</v>
      </c>
      <c r="B680" t="s">
        <v>65</v>
      </c>
      <c r="C680">
        <v>-0.1</v>
      </c>
      <c r="D680">
        <v>-0.3</v>
      </c>
      <c r="E680">
        <v>-0.3</v>
      </c>
      <c r="F680">
        <v>0.14000000000000001</v>
      </c>
      <c r="G680">
        <v>0.29696969696969694</v>
      </c>
      <c r="H680">
        <v>0.28821333333333332</v>
      </c>
      <c r="I680">
        <v>0.22035151515151513</v>
      </c>
      <c r="J680">
        <v>0.12591515151515154</v>
      </c>
      <c r="K680">
        <v>0.12591515151515154</v>
      </c>
      <c r="L680">
        <v>0.12591515151515154</v>
      </c>
      <c r="M680">
        <v>0</v>
      </c>
      <c r="N680">
        <v>0</v>
      </c>
      <c r="O680">
        <v>0</v>
      </c>
      <c r="P680">
        <v>0</v>
      </c>
    </row>
    <row r="681" spans="1:16">
      <c r="P681">
        <v>0</v>
      </c>
    </row>
    <row r="682" spans="1:16">
      <c r="B682" t="s">
        <v>107</v>
      </c>
      <c r="C682">
        <v>-0.5</v>
      </c>
      <c r="D682">
        <v>0</v>
      </c>
      <c r="E682">
        <v>-0.5</v>
      </c>
      <c r="F682">
        <v>0</v>
      </c>
      <c r="G682">
        <v>0</v>
      </c>
      <c r="H682">
        <v>0</v>
      </c>
      <c r="I682">
        <v>0</v>
      </c>
      <c r="J682">
        <v>0</v>
      </c>
      <c r="K682">
        <v>0</v>
      </c>
      <c r="L682">
        <v>3</v>
      </c>
      <c r="M682">
        <v>0</v>
      </c>
      <c r="N682">
        <v>0</v>
      </c>
      <c r="O682">
        <v>0</v>
      </c>
      <c r="P682">
        <v>0</v>
      </c>
    </row>
    <row r="683" spans="1:16">
      <c r="B683" t="s">
        <v>99</v>
      </c>
      <c r="C683">
        <v>-0.5</v>
      </c>
      <c r="D683">
        <v>-0.5</v>
      </c>
      <c r="E683">
        <v>-1</v>
      </c>
      <c r="F683">
        <v>-1</v>
      </c>
      <c r="G683">
        <v>-1</v>
      </c>
      <c r="H683">
        <v>-1</v>
      </c>
      <c r="I683">
        <v>-1</v>
      </c>
      <c r="J683">
        <v>-1</v>
      </c>
      <c r="K683">
        <v>-1</v>
      </c>
      <c r="L683">
        <v>2</v>
      </c>
      <c r="M683">
        <v>2</v>
      </c>
      <c r="N683">
        <v>0</v>
      </c>
      <c r="O683">
        <v>0</v>
      </c>
      <c r="P683">
        <v>0</v>
      </c>
    </row>
    <row r="684" spans="1:16">
      <c r="B684" t="s">
        <v>62</v>
      </c>
      <c r="C684">
        <v>0</v>
      </c>
      <c r="D684">
        <v>0</v>
      </c>
      <c r="E684">
        <v>0</v>
      </c>
      <c r="F684">
        <v>0</v>
      </c>
      <c r="G684">
        <v>0</v>
      </c>
      <c r="H684">
        <v>0</v>
      </c>
      <c r="I684">
        <v>0</v>
      </c>
      <c r="J684">
        <v>0</v>
      </c>
      <c r="K684">
        <v>0</v>
      </c>
      <c r="L684">
        <v>0.51600000000000001</v>
      </c>
      <c r="M684">
        <v>0</v>
      </c>
      <c r="N684">
        <v>0</v>
      </c>
      <c r="O684">
        <v>0</v>
      </c>
      <c r="P684">
        <v>0</v>
      </c>
    </row>
    <row r="685" spans="1:16">
      <c r="A685" t="s">
        <v>264</v>
      </c>
      <c r="B685" t="s">
        <v>65</v>
      </c>
      <c r="C685">
        <v>-0.5</v>
      </c>
      <c r="D685">
        <v>0</v>
      </c>
      <c r="E685">
        <v>-0.5</v>
      </c>
      <c r="F685">
        <v>0</v>
      </c>
      <c r="G685">
        <v>0</v>
      </c>
      <c r="H685">
        <v>0</v>
      </c>
      <c r="I685">
        <v>0</v>
      </c>
      <c r="J685">
        <v>0</v>
      </c>
      <c r="K685">
        <v>0</v>
      </c>
      <c r="L685">
        <v>2.484</v>
      </c>
      <c r="M685">
        <v>0</v>
      </c>
      <c r="N685">
        <v>0</v>
      </c>
      <c r="O685">
        <v>0</v>
      </c>
      <c r="P685">
        <v>0</v>
      </c>
    </row>
    <row r="686" spans="1:16">
      <c r="P686">
        <v>0</v>
      </c>
    </row>
    <row r="687" spans="1:16">
      <c r="B687" t="s">
        <v>60</v>
      </c>
      <c r="C687">
        <v>-0.21657999999999999</v>
      </c>
      <c r="D687">
        <v>-0.08</v>
      </c>
      <c r="E687">
        <v>-0.28499999999999998</v>
      </c>
      <c r="F687">
        <v>-0.20540540540540544</v>
      </c>
      <c r="G687">
        <v>-0.15</v>
      </c>
      <c r="H687">
        <v>0.05</v>
      </c>
      <c r="I687">
        <v>0.17499999999999999</v>
      </c>
      <c r="J687">
        <v>0.25</v>
      </c>
      <c r="K687">
        <v>0.3</v>
      </c>
      <c r="L687">
        <v>0.35</v>
      </c>
      <c r="M687">
        <v>0</v>
      </c>
      <c r="N687">
        <v>0</v>
      </c>
      <c r="O687">
        <v>0</v>
      </c>
      <c r="P687">
        <v>0</v>
      </c>
    </row>
    <row r="688" spans="1:16">
      <c r="B688" t="s">
        <v>61</v>
      </c>
      <c r="C688">
        <v>-0.21657999999999999</v>
      </c>
      <c r="D688">
        <v>-0.29658000000000001</v>
      </c>
      <c r="E688">
        <v>-0.58157999999999999</v>
      </c>
      <c r="F688">
        <v>-0.7869854054054054</v>
      </c>
      <c r="G688">
        <v>-0.93698540540540542</v>
      </c>
      <c r="H688">
        <v>-0.88698540540540549</v>
      </c>
      <c r="I688">
        <v>-0.71198540540540534</v>
      </c>
      <c r="J688">
        <v>-0.46198540540540534</v>
      </c>
      <c r="K688">
        <v>-0.16198540540540535</v>
      </c>
      <c r="L688">
        <v>0.18801459459459463</v>
      </c>
      <c r="M688">
        <v>0.18801459459459463</v>
      </c>
      <c r="N688">
        <v>0</v>
      </c>
      <c r="O688">
        <v>0</v>
      </c>
      <c r="P688">
        <v>0</v>
      </c>
    </row>
    <row r="689" spans="1:16">
      <c r="B689" t="s">
        <v>62</v>
      </c>
      <c r="C689">
        <v>0</v>
      </c>
      <c r="D689">
        <v>0</v>
      </c>
      <c r="E689">
        <v>0</v>
      </c>
      <c r="F689">
        <v>0</v>
      </c>
      <c r="G689">
        <v>0</v>
      </c>
      <c r="H689">
        <v>0</v>
      </c>
      <c r="I689">
        <v>0</v>
      </c>
      <c r="J689">
        <v>0</v>
      </c>
      <c r="K689">
        <v>0</v>
      </c>
      <c r="L689">
        <v>4.8507765405405419E-2</v>
      </c>
      <c r="M689">
        <v>0</v>
      </c>
      <c r="N689">
        <v>0</v>
      </c>
      <c r="O689">
        <v>0</v>
      </c>
      <c r="P689">
        <v>0</v>
      </c>
    </row>
    <row r="690" spans="1:16">
      <c r="P690">
        <v>0</v>
      </c>
    </row>
    <row r="691" spans="1:16">
      <c r="B691" t="s">
        <v>49</v>
      </c>
      <c r="C691">
        <v>-0.21958826553011004</v>
      </c>
      <c r="D691">
        <v>-8.1111188671201429E-2</v>
      </c>
      <c r="E691">
        <v>-0.28895860964115505</v>
      </c>
      <c r="F691">
        <v>-0.20825845739903068</v>
      </c>
      <c r="G691">
        <v>-0.15208347875850267</v>
      </c>
      <c r="H691">
        <v>0.10410948948948948</v>
      </c>
      <c r="I691">
        <v>0.36438321321321321</v>
      </c>
      <c r="J691">
        <v>0.52054744744744741</v>
      </c>
      <c r="K691">
        <v>0.62465693693693691</v>
      </c>
      <c r="L691">
        <v>0.72876642642642642</v>
      </c>
      <c r="M691">
        <v>0</v>
      </c>
      <c r="N691">
        <v>0</v>
      </c>
      <c r="O691">
        <v>0</v>
      </c>
      <c r="P691">
        <v>0</v>
      </c>
    </row>
    <row r="692" spans="1:16">
      <c r="B692" t="s">
        <v>63</v>
      </c>
      <c r="C692">
        <v>-0.21958826553011004</v>
      </c>
      <c r="D692">
        <v>-0.3006994542013115</v>
      </c>
      <c r="E692">
        <v>-0.58965806384246655</v>
      </c>
      <c r="F692">
        <v>-0.79791652124149726</v>
      </c>
      <c r="G692">
        <v>-0.95</v>
      </c>
      <c r="H692">
        <v>-0.84589051051051045</v>
      </c>
      <c r="I692">
        <v>-0.4815072972972973</v>
      </c>
      <c r="J692">
        <v>3.9040150150150166E-2</v>
      </c>
      <c r="K692">
        <v>0.66369708708708708</v>
      </c>
      <c r="L692">
        <v>1.3924635135135135</v>
      </c>
      <c r="M692">
        <v>1.3924635135135135</v>
      </c>
      <c r="N692">
        <v>0</v>
      </c>
      <c r="O692">
        <v>0</v>
      </c>
      <c r="P692">
        <v>0</v>
      </c>
    </row>
    <row r="693" spans="1:16">
      <c r="B693" t="s">
        <v>62</v>
      </c>
      <c r="C693">
        <v>0</v>
      </c>
      <c r="D693">
        <v>0</v>
      </c>
      <c r="E693">
        <v>0</v>
      </c>
      <c r="F693">
        <v>0</v>
      </c>
      <c r="G693">
        <v>0</v>
      </c>
      <c r="H693">
        <v>0</v>
      </c>
      <c r="I693">
        <v>0</v>
      </c>
      <c r="J693">
        <v>1.0072358738738744E-2</v>
      </c>
      <c r="K693">
        <v>0.16116148972972974</v>
      </c>
      <c r="L693">
        <v>0.18802173801801803</v>
      </c>
      <c r="M693">
        <v>0</v>
      </c>
      <c r="N693">
        <v>0</v>
      </c>
      <c r="O693">
        <v>0</v>
      </c>
      <c r="P693">
        <v>0</v>
      </c>
    </row>
    <row r="694" spans="1:16">
      <c r="A694" t="s">
        <v>399</v>
      </c>
      <c r="B694" t="s">
        <v>65</v>
      </c>
      <c r="C694">
        <v>-0.21958826553011004</v>
      </c>
      <c r="D694">
        <v>-8.1111188671201429E-2</v>
      </c>
      <c r="E694">
        <v>-0.28895860964115505</v>
      </c>
      <c r="F694">
        <v>-0.20825845739903068</v>
      </c>
      <c r="G694">
        <v>-0.15208347875850267</v>
      </c>
      <c r="H694">
        <v>0.10410948948948948</v>
      </c>
      <c r="I694">
        <v>0.36438321321321321</v>
      </c>
      <c r="J694">
        <v>0.51047508870870861</v>
      </c>
      <c r="K694">
        <v>0.46349544720720715</v>
      </c>
      <c r="L694">
        <v>0.54074468840840839</v>
      </c>
      <c r="M694">
        <v>0</v>
      </c>
      <c r="N694">
        <v>0</v>
      </c>
      <c r="O694">
        <v>0</v>
      </c>
      <c r="P694">
        <v>0</v>
      </c>
    </row>
    <row r="695" spans="1:16">
      <c r="P695">
        <v>0</v>
      </c>
    </row>
    <row r="696" spans="1:16">
      <c r="B696" t="s">
        <v>107</v>
      </c>
      <c r="C696">
        <v>-1</v>
      </c>
      <c r="D696">
        <v>0</v>
      </c>
      <c r="E696">
        <v>0</v>
      </c>
      <c r="F696">
        <v>0</v>
      </c>
      <c r="G696">
        <v>0</v>
      </c>
      <c r="H696">
        <v>0</v>
      </c>
      <c r="I696">
        <v>0</v>
      </c>
      <c r="J696">
        <v>0</v>
      </c>
      <c r="K696">
        <v>0</v>
      </c>
      <c r="L696">
        <v>0</v>
      </c>
      <c r="M696">
        <v>0.8</v>
      </c>
      <c r="N696">
        <v>0</v>
      </c>
      <c r="O696">
        <v>0</v>
      </c>
      <c r="P696">
        <v>0</v>
      </c>
    </row>
    <row r="697" spans="1:16">
      <c r="B697" t="s">
        <v>99</v>
      </c>
      <c r="C697">
        <v>-1</v>
      </c>
      <c r="D697">
        <v>-1</v>
      </c>
      <c r="E697">
        <v>-1</v>
      </c>
      <c r="F697">
        <v>-1</v>
      </c>
      <c r="G697">
        <v>-1</v>
      </c>
      <c r="H697">
        <v>-1</v>
      </c>
      <c r="I697">
        <v>-1</v>
      </c>
      <c r="J697">
        <v>-1</v>
      </c>
      <c r="K697">
        <v>-1</v>
      </c>
      <c r="L697">
        <v>-1</v>
      </c>
      <c r="M697">
        <v>-0.19999999999999996</v>
      </c>
      <c r="N697">
        <v>0</v>
      </c>
      <c r="O697">
        <v>0</v>
      </c>
      <c r="P697">
        <v>0</v>
      </c>
    </row>
    <row r="698" spans="1:16">
      <c r="B698" t="s">
        <v>62</v>
      </c>
      <c r="C698">
        <v>0</v>
      </c>
      <c r="D698">
        <v>0</v>
      </c>
      <c r="E698">
        <v>0</v>
      </c>
      <c r="F698">
        <v>0</v>
      </c>
      <c r="G698">
        <v>0</v>
      </c>
      <c r="H698">
        <v>0</v>
      </c>
      <c r="I698">
        <v>0</v>
      </c>
      <c r="J698">
        <v>0</v>
      </c>
      <c r="K698">
        <v>0</v>
      </c>
      <c r="L698">
        <v>0</v>
      </c>
      <c r="M698">
        <v>0</v>
      </c>
      <c r="N698">
        <v>0</v>
      </c>
      <c r="O698">
        <v>0</v>
      </c>
      <c r="P698">
        <v>0</v>
      </c>
    </row>
    <row r="699" spans="1:16">
      <c r="A699" t="s">
        <v>400</v>
      </c>
      <c r="B699" t="s">
        <v>65</v>
      </c>
      <c r="C699">
        <v>-1</v>
      </c>
      <c r="D699">
        <v>0</v>
      </c>
      <c r="E699">
        <v>0</v>
      </c>
      <c r="F699">
        <v>0</v>
      </c>
      <c r="G699">
        <v>0</v>
      </c>
      <c r="H699">
        <v>0</v>
      </c>
      <c r="I699">
        <v>0</v>
      </c>
      <c r="J699">
        <v>0</v>
      </c>
      <c r="K699">
        <v>0</v>
      </c>
      <c r="L699">
        <v>0</v>
      </c>
      <c r="M699">
        <v>0.8</v>
      </c>
      <c r="N699">
        <v>0</v>
      </c>
      <c r="O699">
        <v>0</v>
      </c>
      <c r="P699">
        <v>0</v>
      </c>
    </row>
    <row r="700" spans="1:16">
      <c r="P700">
        <v>0</v>
      </c>
    </row>
    <row r="701" spans="1:16">
      <c r="C701">
        <v>-0.42099999999999999</v>
      </c>
      <c r="P701">
        <v>0</v>
      </c>
    </row>
    <row r="702" spans="1:16">
      <c r="C702">
        <v>-0.30599999999999999</v>
      </c>
      <c r="D702">
        <v>-0.115</v>
      </c>
      <c r="E702">
        <v>-0.04</v>
      </c>
      <c r="F702">
        <v>3.6436000000000003E-2</v>
      </c>
      <c r="G702">
        <v>0.192132</v>
      </c>
      <c r="H702">
        <v>0.32271300000000003</v>
      </c>
      <c r="I702">
        <v>0.63276600000000005</v>
      </c>
      <c r="J702">
        <v>0.46566200000000002</v>
      </c>
      <c r="K702">
        <v>0.23841799999999999</v>
      </c>
      <c r="L702">
        <v>0</v>
      </c>
      <c r="M702">
        <v>0</v>
      </c>
      <c r="N702">
        <v>0</v>
      </c>
      <c r="P702">
        <v>0</v>
      </c>
    </row>
    <row r="703" spans="1:16">
      <c r="B703" t="s">
        <v>61</v>
      </c>
      <c r="C703">
        <v>-0.30599999999999999</v>
      </c>
      <c r="D703">
        <v>-0.42099999999999999</v>
      </c>
      <c r="E703">
        <v>-0.46100000000000002</v>
      </c>
      <c r="F703">
        <v>-0.42456399999999994</v>
      </c>
      <c r="G703">
        <v>-0.23243199999999992</v>
      </c>
      <c r="H703">
        <v>9.0281000000000083E-2</v>
      </c>
      <c r="I703">
        <v>0.72304700000000011</v>
      </c>
      <c r="J703">
        <v>1.1887090000000002</v>
      </c>
      <c r="K703">
        <v>1.4271270000000005</v>
      </c>
      <c r="L703">
        <v>1.4271270000000003</v>
      </c>
      <c r="M703">
        <v>1.4271270000000003</v>
      </c>
      <c r="N703">
        <v>0</v>
      </c>
      <c r="O703">
        <v>0</v>
      </c>
      <c r="P703">
        <v>0</v>
      </c>
    </row>
    <row r="704" spans="1:16">
      <c r="B704" t="s">
        <v>62</v>
      </c>
      <c r="C704">
        <v>0</v>
      </c>
      <c r="D704">
        <v>0</v>
      </c>
      <c r="E704">
        <v>0</v>
      </c>
      <c r="F704">
        <v>0</v>
      </c>
      <c r="G704">
        <v>0</v>
      </c>
      <c r="H704">
        <v>0</v>
      </c>
      <c r="I704">
        <v>0</v>
      </c>
      <c r="J704">
        <v>0</v>
      </c>
      <c r="K704">
        <v>0</v>
      </c>
      <c r="L704">
        <v>0</v>
      </c>
      <c r="M704">
        <v>0</v>
      </c>
      <c r="N704">
        <v>0</v>
      </c>
      <c r="O704">
        <v>0</v>
      </c>
      <c r="P704">
        <v>0</v>
      </c>
    </row>
    <row r="705" spans="1:16">
      <c r="P705">
        <v>0</v>
      </c>
    </row>
    <row r="706" spans="1:16">
      <c r="B706" t="s">
        <v>49</v>
      </c>
      <c r="C706">
        <v>-0.30599999999999999</v>
      </c>
      <c r="D706">
        <v>-0.115</v>
      </c>
      <c r="E706">
        <v>-0.04</v>
      </c>
      <c r="F706">
        <v>2.2240288921243113E-2</v>
      </c>
      <c r="G706">
        <v>0.11727607835701728</v>
      </c>
      <c r="H706">
        <v>0.19698184099904295</v>
      </c>
      <c r="I706">
        <v>0.38623610329178065</v>
      </c>
      <c r="J706">
        <v>0.28423694751465339</v>
      </c>
      <c r="K706">
        <v>0.14552874091626247</v>
      </c>
      <c r="L706">
        <v>0</v>
      </c>
      <c r="M706">
        <v>0</v>
      </c>
      <c r="N706">
        <v>0</v>
      </c>
      <c r="O706">
        <v>0</v>
      </c>
      <c r="P706">
        <v>0</v>
      </c>
    </row>
    <row r="707" spans="1:16">
      <c r="B707" t="s">
        <v>63</v>
      </c>
      <c r="C707">
        <v>-0.30599999999999999</v>
      </c>
      <c r="D707">
        <v>-0.42099999999999999</v>
      </c>
      <c r="E707">
        <v>-0.46100000000000002</v>
      </c>
      <c r="F707">
        <v>-0.43875971107875678</v>
      </c>
      <c r="G707">
        <v>-0.32148363272173958</v>
      </c>
      <c r="H707">
        <v>-0.12450179172269664</v>
      </c>
      <c r="I707">
        <v>0.261734311569084</v>
      </c>
      <c r="J707">
        <v>0.54597125908373734</v>
      </c>
      <c r="K707">
        <v>0.69149999999999978</v>
      </c>
      <c r="L707">
        <v>0.69149999999999978</v>
      </c>
      <c r="M707">
        <v>0.69149999999999978</v>
      </c>
      <c r="N707">
        <v>0</v>
      </c>
      <c r="O707">
        <v>0</v>
      </c>
      <c r="P707">
        <v>0</v>
      </c>
    </row>
    <row r="708" spans="1:16">
      <c r="B708" t="s">
        <v>62</v>
      </c>
      <c r="C708">
        <v>0</v>
      </c>
      <c r="D708">
        <v>0</v>
      </c>
      <c r="E708">
        <v>0</v>
      </c>
      <c r="F708">
        <v>0</v>
      </c>
      <c r="G708">
        <v>0</v>
      </c>
      <c r="H708">
        <v>0</v>
      </c>
      <c r="I708">
        <v>6.7527452384823675E-2</v>
      </c>
      <c r="J708">
        <v>7.3333132458780578E-2</v>
      </c>
      <c r="K708">
        <v>3.7546415156395709E-2</v>
      </c>
      <c r="L708">
        <v>0</v>
      </c>
      <c r="M708">
        <v>0</v>
      </c>
      <c r="N708">
        <v>0</v>
      </c>
      <c r="O708">
        <v>0</v>
      </c>
      <c r="P708">
        <v>0</v>
      </c>
    </row>
    <row r="709" spans="1:16">
      <c r="A709" t="s">
        <v>401</v>
      </c>
      <c r="B709" t="s">
        <v>65</v>
      </c>
      <c r="C709">
        <v>-0.30599999999999999</v>
      </c>
      <c r="D709">
        <v>-0.115</v>
      </c>
      <c r="E709">
        <v>-0.04</v>
      </c>
      <c r="F709">
        <v>2.2240288921243113E-2</v>
      </c>
      <c r="G709">
        <v>0.11727607835701728</v>
      </c>
      <c r="H709">
        <v>0.19698184099904295</v>
      </c>
      <c r="I709">
        <v>0.31870865090695699</v>
      </c>
      <c r="J709">
        <v>0.2109038150558728</v>
      </c>
      <c r="K709">
        <v>0.10798232575986676</v>
      </c>
      <c r="L709">
        <v>0</v>
      </c>
      <c r="M709">
        <v>0</v>
      </c>
      <c r="N709">
        <v>0</v>
      </c>
      <c r="O709">
        <v>0</v>
      </c>
      <c r="P709">
        <v>0</v>
      </c>
    </row>
    <row r="710" spans="1:16">
      <c r="P710">
        <v>0</v>
      </c>
    </row>
    <row r="711" spans="1:16">
      <c r="B711" t="s">
        <v>107</v>
      </c>
      <c r="C711">
        <v>-0.23</v>
      </c>
      <c r="D711">
        <v>-0.2</v>
      </c>
      <c r="E711">
        <v>-0.2</v>
      </c>
      <c r="F711">
        <v>-0.2</v>
      </c>
      <c r="G711">
        <v>-0.17</v>
      </c>
      <c r="H711">
        <v>0.25219999999999998</v>
      </c>
      <c r="I711">
        <v>0.52529999999999999</v>
      </c>
      <c r="J711">
        <v>0.43630000000000002</v>
      </c>
      <c r="K711">
        <v>0.37280000000000002</v>
      </c>
      <c r="L711">
        <v>0.27529999999999999</v>
      </c>
      <c r="M711">
        <v>0.1585</v>
      </c>
      <c r="N711">
        <v>9.7000000000000003E-2</v>
      </c>
      <c r="O711">
        <v>0</v>
      </c>
      <c r="P711">
        <v>0</v>
      </c>
    </row>
    <row r="712" spans="1:16">
      <c r="B712" t="s">
        <v>111</v>
      </c>
      <c r="C712">
        <v>-0.23</v>
      </c>
      <c r="D712">
        <v>-0.4300000000000001</v>
      </c>
      <c r="E712">
        <v>-0.63000000000000012</v>
      </c>
      <c r="F712">
        <v>-0.83</v>
      </c>
      <c r="G712">
        <v>-1</v>
      </c>
      <c r="H712">
        <v>-0.74780000000000002</v>
      </c>
      <c r="I712">
        <v>-0.22250000000000003</v>
      </c>
      <c r="J712">
        <v>0.21379999999999999</v>
      </c>
      <c r="K712">
        <v>0.58660000000000001</v>
      </c>
      <c r="L712">
        <v>0.8619</v>
      </c>
      <c r="M712">
        <v>1.0204</v>
      </c>
      <c r="N712">
        <v>1.1173999999999999</v>
      </c>
      <c r="O712">
        <v>1.1173999999999999</v>
      </c>
      <c r="P712">
        <v>0</v>
      </c>
    </row>
    <row r="713" spans="1:16">
      <c r="B713" t="s">
        <v>112</v>
      </c>
      <c r="C713">
        <v>-0.19550000000000001</v>
      </c>
      <c r="D713">
        <v>-0.17</v>
      </c>
      <c r="E713">
        <v>-0.17</v>
      </c>
      <c r="F713">
        <v>-0.17</v>
      </c>
      <c r="G713">
        <v>-0.14450000000000002</v>
      </c>
      <c r="H713">
        <v>0.20248417870973837</v>
      </c>
      <c r="I713">
        <v>0.42174837064324178</v>
      </c>
      <c r="J713">
        <v>0.35029281193917078</v>
      </c>
      <c r="K713">
        <v>0.29931047511098519</v>
      </c>
      <c r="L713">
        <v>0.22103050911495231</v>
      </c>
      <c r="M713">
        <v>0.12725512420893551</v>
      </c>
      <c r="N713">
        <v>7.787853027297631E-2</v>
      </c>
      <c r="O713">
        <v>0</v>
      </c>
      <c r="P713">
        <v>0</v>
      </c>
    </row>
    <row r="714" spans="1:16">
      <c r="B714" t="s">
        <v>113</v>
      </c>
      <c r="C714">
        <v>-0.19550000000000001</v>
      </c>
      <c r="D714">
        <v>-0.3655000000000001</v>
      </c>
      <c r="E714">
        <v>-0.53550000000000009</v>
      </c>
      <c r="F714">
        <v>-0.70550000000000013</v>
      </c>
      <c r="G714">
        <v>-0.8500000000000002</v>
      </c>
      <c r="H714">
        <v>-0.64751582129026175</v>
      </c>
      <c r="I714">
        <v>-0.22576745064701997</v>
      </c>
      <c r="J714">
        <v>0.1245253612921508</v>
      </c>
      <c r="K714">
        <v>0.42383583640313599</v>
      </c>
      <c r="L714">
        <v>0.6448663455180883</v>
      </c>
      <c r="M714">
        <v>0.77212146972702378</v>
      </c>
      <c r="N714">
        <v>0.85000000000000009</v>
      </c>
      <c r="O714">
        <v>0.85000000000000009</v>
      </c>
      <c r="P714">
        <v>0</v>
      </c>
    </row>
    <row r="715" spans="1:16">
      <c r="B715" t="s">
        <v>62</v>
      </c>
      <c r="C715">
        <v>0</v>
      </c>
      <c r="D715">
        <v>0</v>
      </c>
      <c r="E715">
        <v>0</v>
      </c>
      <c r="F715">
        <v>0</v>
      </c>
      <c r="G715">
        <v>0</v>
      </c>
      <c r="H715">
        <v>0</v>
      </c>
      <c r="I715">
        <v>0</v>
      </c>
      <c r="J715">
        <v>3.2127543213374909E-2</v>
      </c>
      <c r="K715">
        <v>7.7222102578634169E-2</v>
      </c>
      <c r="L715">
        <v>5.7025871351657695E-2</v>
      </c>
      <c r="M715">
        <v>3.2831822045905359E-2</v>
      </c>
      <c r="N715">
        <v>2.009266081042789E-2</v>
      </c>
      <c r="O715">
        <v>0</v>
      </c>
      <c r="P715">
        <v>0</v>
      </c>
    </row>
    <row r="716" spans="1:16">
      <c r="A716" t="s">
        <v>402</v>
      </c>
      <c r="B716" t="s">
        <v>65</v>
      </c>
      <c r="C716">
        <v>-0.19550000000000001</v>
      </c>
      <c r="D716">
        <v>-0.17</v>
      </c>
      <c r="E716">
        <v>-0.17</v>
      </c>
      <c r="F716">
        <v>-0.17</v>
      </c>
      <c r="G716">
        <v>-0.14450000000000002</v>
      </c>
      <c r="H716">
        <v>0.20248417870973837</v>
      </c>
      <c r="I716">
        <v>0.42174837064324178</v>
      </c>
      <c r="J716">
        <v>0.31816526872579587</v>
      </c>
      <c r="K716">
        <v>0.222088372532351</v>
      </c>
      <c r="L716">
        <v>0.1640046377632946</v>
      </c>
      <c r="M716">
        <v>9.4423302163030146E-2</v>
      </c>
      <c r="N716">
        <v>5.778586946254842E-2</v>
      </c>
      <c r="O716">
        <v>0</v>
      </c>
      <c r="P716">
        <v>0</v>
      </c>
    </row>
    <row r="717" spans="1:16">
      <c r="P717">
        <v>0</v>
      </c>
    </row>
    <row r="718" spans="1:16">
      <c r="P718">
        <v>0</v>
      </c>
    </row>
    <row r="719" spans="1:16">
      <c r="P719">
        <v>0</v>
      </c>
    </row>
    <row r="720" spans="1:16">
      <c r="P720">
        <v>0</v>
      </c>
    </row>
    <row r="721" spans="1:16">
      <c r="B721" t="s">
        <v>107</v>
      </c>
      <c r="C721">
        <v>-0.51100000000000001</v>
      </c>
      <c r="D721">
        <v>-0.311</v>
      </c>
      <c r="E721">
        <v>-4.1000000000000002E-2</v>
      </c>
      <c r="F721">
        <v>-4.1000000000000002E-2</v>
      </c>
      <c r="G721">
        <v>0.32900000000000001</v>
      </c>
      <c r="H721">
        <v>0.83799999999999997</v>
      </c>
      <c r="I721">
        <v>0.53300000000000003</v>
      </c>
      <c r="J721">
        <v>0.14499999999999999</v>
      </c>
      <c r="K721">
        <v>0</v>
      </c>
      <c r="P721">
        <v>0</v>
      </c>
    </row>
    <row r="722" spans="1:16">
      <c r="B722" t="s">
        <v>111</v>
      </c>
      <c r="C722">
        <v>-0.51100000000000001</v>
      </c>
      <c r="D722">
        <v>-0.82199999999999995</v>
      </c>
      <c r="E722">
        <v>-0.8630000000000001</v>
      </c>
      <c r="F722">
        <v>-0.90400000000000014</v>
      </c>
      <c r="G722">
        <v>-0.57500000000000018</v>
      </c>
      <c r="H722">
        <v>0.26299999999999979</v>
      </c>
      <c r="I722">
        <v>0.79599999999999982</v>
      </c>
      <c r="J722">
        <v>0.94099999999999984</v>
      </c>
      <c r="K722">
        <v>0.94099999999999984</v>
      </c>
      <c r="L722">
        <v>0.94099999999999984</v>
      </c>
      <c r="M722">
        <v>0.94099999999999984</v>
      </c>
      <c r="N722">
        <v>0.94099999999999984</v>
      </c>
      <c r="O722">
        <v>0.94099999999999984</v>
      </c>
      <c r="P722">
        <v>0</v>
      </c>
    </row>
    <row r="723" spans="1:16">
      <c r="B723" t="s">
        <v>112</v>
      </c>
      <c r="C723">
        <v>-0.51100000000000001</v>
      </c>
      <c r="D723">
        <v>-0.311</v>
      </c>
      <c r="E723">
        <v>-4.1000000000000002E-2</v>
      </c>
      <c r="F723">
        <v>-4.1000000000000002E-2</v>
      </c>
      <c r="G723">
        <v>0.32900000000000001</v>
      </c>
      <c r="H723">
        <v>0.83799999999999997</v>
      </c>
      <c r="I723">
        <v>0.53300000000000003</v>
      </c>
      <c r="J723">
        <v>0.14499999999999999</v>
      </c>
      <c r="K723">
        <v>0</v>
      </c>
      <c r="P723">
        <v>0</v>
      </c>
    </row>
    <row r="724" spans="1:16">
      <c r="B724" t="s">
        <v>113</v>
      </c>
      <c r="C724">
        <v>-0.51100000000000001</v>
      </c>
      <c r="D724">
        <v>-0.82199999999999995</v>
      </c>
      <c r="E724">
        <v>-0.8630000000000001</v>
      </c>
      <c r="F724">
        <v>-0.90400000000000014</v>
      </c>
      <c r="G724">
        <v>-0.57500000000000018</v>
      </c>
      <c r="H724">
        <v>0.26299999999999979</v>
      </c>
      <c r="I724">
        <v>0.79599999999999982</v>
      </c>
      <c r="J724">
        <v>0.94099999999999984</v>
      </c>
      <c r="K724">
        <v>0.94099999999999984</v>
      </c>
      <c r="P724">
        <v>0</v>
      </c>
    </row>
    <row r="725" spans="1:16">
      <c r="B725" t="s">
        <v>62</v>
      </c>
      <c r="P725">
        <v>0</v>
      </c>
    </row>
    <row r="726" spans="1:16">
      <c r="A726" t="s">
        <v>403</v>
      </c>
      <c r="B726" t="s">
        <v>65</v>
      </c>
      <c r="C726">
        <v>-0.51100000000000001</v>
      </c>
      <c r="D726">
        <v>-0.311</v>
      </c>
      <c r="E726">
        <v>-4.1000000000000002E-2</v>
      </c>
      <c r="F726">
        <v>-4.1000000000000002E-2</v>
      </c>
      <c r="G726">
        <v>0.32900000000000001</v>
      </c>
      <c r="H726">
        <v>0.83799999999999997</v>
      </c>
      <c r="I726">
        <v>0.53300000000000003</v>
      </c>
      <c r="J726">
        <v>0.14499999999999999</v>
      </c>
      <c r="K726">
        <v>0</v>
      </c>
      <c r="L726">
        <v>0</v>
      </c>
      <c r="M726">
        <v>0</v>
      </c>
      <c r="N726">
        <v>0</v>
      </c>
      <c r="O726">
        <v>0</v>
      </c>
      <c r="P726">
        <v>0</v>
      </c>
    </row>
    <row r="727" spans="1:16">
      <c r="P727">
        <v>0</v>
      </c>
    </row>
    <row r="728" spans="1:16">
      <c r="P728">
        <v>0</v>
      </c>
    </row>
    <row r="729" spans="1:16">
      <c r="B729" t="s">
        <v>91</v>
      </c>
      <c r="P729">
        <v>0</v>
      </c>
    </row>
    <row r="730" spans="1:16">
      <c r="B730" t="s">
        <v>92</v>
      </c>
      <c r="D730">
        <v>-0.20499999999999999</v>
      </c>
      <c r="E730">
        <v>-0.20499999999999999</v>
      </c>
      <c r="F730">
        <v>-1.9E-2</v>
      </c>
      <c r="G730">
        <v>-1.6E-2</v>
      </c>
      <c r="H730">
        <v>-1.2999999999999999E-2</v>
      </c>
      <c r="I730">
        <v>-8.9999999999999993E-3</v>
      </c>
      <c r="J730">
        <v>-6.0000000000000001E-3</v>
      </c>
      <c r="K730">
        <v>-6.0000000000000001E-3</v>
      </c>
      <c r="L730">
        <v>0</v>
      </c>
      <c r="M730">
        <v>0</v>
      </c>
      <c r="N730">
        <v>0</v>
      </c>
      <c r="O730">
        <v>0</v>
      </c>
      <c r="P730">
        <v>0</v>
      </c>
    </row>
    <row r="731" spans="1:16">
      <c r="B731" t="s">
        <v>93</v>
      </c>
      <c r="C731">
        <v>0</v>
      </c>
      <c r="D731">
        <v>0</v>
      </c>
      <c r="E731">
        <v>0</v>
      </c>
      <c r="F731">
        <v>0</v>
      </c>
      <c r="G731">
        <v>0.113</v>
      </c>
      <c r="H731">
        <v>0.33800000000000002</v>
      </c>
      <c r="I731">
        <v>0.39400000000000002</v>
      </c>
      <c r="J731">
        <v>0.45</v>
      </c>
      <c r="K731">
        <v>0.309</v>
      </c>
      <c r="L731">
        <v>0.27</v>
      </c>
      <c r="M731">
        <v>0.13500000000000001</v>
      </c>
      <c r="N731">
        <v>0</v>
      </c>
      <c r="O731">
        <v>0</v>
      </c>
      <c r="P731">
        <v>0</v>
      </c>
    </row>
    <row r="732" spans="1:16">
      <c r="B732" t="s">
        <v>94</v>
      </c>
      <c r="D732">
        <v>-0.20499999999999999</v>
      </c>
      <c r="E732">
        <v>-0.20499999999999999</v>
      </c>
      <c r="F732">
        <v>-1.9E-2</v>
      </c>
      <c r="G732">
        <v>9.7000000000000003E-2</v>
      </c>
      <c r="H732">
        <v>0.32500000000000001</v>
      </c>
      <c r="I732">
        <v>0.38500000000000001</v>
      </c>
      <c r="J732">
        <v>0.44400000000000001</v>
      </c>
      <c r="K732">
        <v>0.30299999999999999</v>
      </c>
      <c r="L732">
        <v>0.27</v>
      </c>
      <c r="M732">
        <v>0.13500000000000001</v>
      </c>
      <c r="N732">
        <v>0</v>
      </c>
      <c r="O732">
        <v>0</v>
      </c>
      <c r="P732">
        <v>0</v>
      </c>
    </row>
    <row r="733" spans="1:16">
      <c r="P733">
        <v>0</v>
      </c>
    </row>
    <row r="734" spans="1:16">
      <c r="P734">
        <v>0</v>
      </c>
    </row>
    <row r="735" spans="1:16">
      <c r="B735" t="s">
        <v>77</v>
      </c>
      <c r="N735">
        <v>0</v>
      </c>
      <c r="O735">
        <v>0</v>
      </c>
      <c r="P735">
        <v>0</v>
      </c>
    </row>
    <row r="736" spans="1:16">
      <c r="B736" t="s">
        <v>49</v>
      </c>
      <c r="G736">
        <v>0.10153940886699506</v>
      </c>
      <c r="H736">
        <v>0.33746742906774746</v>
      </c>
      <c r="I736">
        <v>0.39976910828025469</v>
      </c>
      <c r="J736">
        <v>0.46103242617255347</v>
      </c>
      <c r="K736">
        <v>0.31462348002316143</v>
      </c>
      <c r="L736">
        <v>0.28035755645628252</v>
      </c>
      <c r="M736">
        <v>0.14017877822814126</v>
      </c>
      <c r="N736">
        <v>0</v>
      </c>
      <c r="O736">
        <v>0</v>
      </c>
      <c r="P736">
        <v>0</v>
      </c>
    </row>
    <row r="737" spans="1:22">
      <c r="B737" t="s">
        <v>78</v>
      </c>
      <c r="N737">
        <v>0</v>
      </c>
      <c r="O737">
        <v>0</v>
      </c>
      <c r="P737">
        <v>0</v>
      </c>
    </row>
    <row r="738" spans="1:22">
      <c r="B738" t="s">
        <v>62</v>
      </c>
      <c r="N738">
        <v>0</v>
      </c>
      <c r="O738">
        <v>0</v>
      </c>
      <c r="P738">
        <v>0</v>
      </c>
    </row>
    <row r="739" spans="1:22">
      <c r="A739" t="s">
        <v>426</v>
      </c>
      <c r="B739" t="s">
        <v>90</v>
      </c>
      <c r="N739">
        <v>0</v>
      </c>
      <c r="O739">
        <v>0</v>
      </c>
      <c r="P739">
        <v>0</v>
      </c>
    </row>
    <row r="740" spans="1:22">
      <c r="P740">
        <v>0</v>
      </c>
    </row>
    <row r="741" spans="1:22">
      <c r="P741">
        <v>0</v>
      </c>
    </row>
    <row r="742" spans="1:22">
      <c r="B742" t="s">
        <v>107</v>
      </c>
      <c r="C742">
        <v>-0.12</v>
      </c>
      <c r="D742">
        <v>-0.17</v>
      </c>
      <c r="E742">
        <v>-0.2</v>
      </c>
      <c r="F742">
        <v>-0.2</v>
      </c>
      <c r="G742">
        <v>-0.22</v>
      </c>
      <c r="H742">
        <v>0.1</v>
      </c>
      <c r="I742">
        <v>0.13</v>
      </c>
      <c r="J742">
        <v>0.88</v>
      </c>
      <c r="K742">
        <v>1.1000000000000001</v>
      </c>
      <c r="L742">
        <v>1.7</v>
      </c>
      <c r="M742">
        <v>0</v>
      </c>
      <c r="N742">
        <v>0</v>
      </c>
      <c r="O742">
        <v>0</v>
      </c>
      <c r="P742">
        <v>0</v>
      </c>
    </row>
    <row r="743" spans="1:22">
      <c r="B743" t="s">
        <v>77</v>
      </c>
      <c r="C743">
        <v>-0.12</v>
      </c>
      <c r="D743">
        <v>-0.29000000000000004</v>
      </c>
      <c r="E743">
        <v>-0.4900000000000001</v>
      </c>
      <c r="F743">
        <v>-0.69000000000000006</v>
      </c>
      <c r="G743">
        <v>-0.91</v>
      </c>
      <c r="H743">
        <v>-0.81</v>
      </c>
      <c r="I743">
        <v>-0.68</v>
      </c>
      <c r="J743">
        <v>0.19999999999999996</v>
      </c>
      <c r="K743">
        <v>1.3</v>
      </c>
      <c r="L743">
        <v>3</v>
      </c>
      <c r="M743">
        <v>3</v>
      </c>
      <c r="N743">
        <v>3</v>
      </c>
      <c r="O743">
        <v>3</v>
      </c>
      <c r="P743">
        <v>0</v>
      </c>
    </row>
    <row r="744" spans="1:22">
      <c r="B744" t="s">
        <v>112</v>
      </c>
      <c r="C744">
        <v>-0.12</v>
      </c>
      <c r="D744">
        <v>-0.17</v>
      </c>
      <c r="E744">
        <v>-0.2</v>
      </c>
      <c r="F744">
        <v>-0.2</v>
      </c>
      <c r="G744">
        <v>-0.22</v>
      </c>
      <c r="H744">
        <v>5.8184143222506389E-2</v>
      </c>
      <c r="I744">
        <v>7.563938618925832E-2</v>
      </c>
      <c r="J744">
        <v>0.51202046035805626</v>
      </c>
      <c r="K744">
        <v>0.64002557544757033</v>
      </c>
      <c r="L744">
        <v>0.98913043478260865</v>
      </c>
      <c r="M744">
        <v>0</v>
      </c>
      <c r="N744">
        <v>0</v>
      </c>
      <c r="O744">
        <v>0</v>
      </c>
      <c r="P744">
        <v>0</v>
      </c>
      <c r="Q744">
        <v>0</v>
      </c>
      <c r="R744" t="s">
        <v>427</v>
      </c>
      <c r="S744">
        <v>0</v>
      </c>
      <c r="T744">
        <v>0</v>
      </c>
      <c r="U744">
        <v>0</v>
      </c>
      <c r="V744">
        <v>0</v>
      </c>
    </row>
    <row r="745" spans="1:22">
      <c r="B745" t="s">
        <v>113</v>
      </c>
      <c r="C745">
        <v>-0.12</v>
      </c>
      <c r="D745">
        <v>-0.29000000000000004</v>
      </c>
      <c r="E745">
        <v>-0.4900000000000001</v>
      </c>
      <c r="F745">
        <v>-0.69000000000000006</v>
      </c>
      <c r="G745">
        <v>-0.91</v>
      </c>
      <c r="H745">
        <v>-0.85181585677749361</v>
      </c>
      <c r="I745">
        <v>-0.77617647058823525</v>
      </c>
      <c r="J745">
        <v>-0.26415601023017898</v>
      </c>
      <c r="K745">
        <v>0.37586956521739134</v>
      </c>
      <c r="L745">
        <v>1.365</v>
      </c>
      <c r="M745">
        <v>1.365</v>
      </c>
      <c r="N745">
        <v>1.365</v>
      </c>
      <c r="O745">
        <v>1.365</v>
      </c>
      <c r="P745">
        <v>0</v>
      </c>
    </row>
    <row r="746" spans="1:22">
      <c r="B746" t="s">
        <v>62</v>
      </c>
      <c r="C746">
        <v>0</v>
      </c>
      <c r="D746">
        <v>0</v>
      </c>
      <c r="E746">
        <v>0</v>
      </c>
      <c r="F746">
        <v>0</v>
      </c>
      <c r="G746">
        <v>0</v>
      </c>
      <c r="H746">
        <v>0</v>
      </c>
      <c r="I746">
        <v>0</v>
      </c>
      <c r="J746">
        <v>0</v>
      </c>
      <c r="K746">
        <v>9.6974347826086965E-2</v>
      </c>
      <c r="L746">
        <v>0.25519565217391305</v>
      </c>
      <c r="M746">
        <v>0</v>
      </c>
      <c r="N746">
        <v>0</v>
      </c>
      <c r="O746">
        <v>0</v>
      </c>
      <c r="P746">
        <v>0</v>
      </c>
    </row>
    <row r="747" spans="1:22">
      <c r="A747" t="s">
        <v>428</v>
      </c>
      <c r="B747" t="s">
        <v>65</v>
      </c>
      <c r="C747">
        <v>-0.12</v>
      </c>
      <c r="D747">
        <v>-0.17</v>
      </c>
      <c r="E747">
        <v>-0.2</v>
      </c>
      <c r="F747">
        <v>-0.2</v>
      </c>
      <c r="G747">
        <v>-0.22</v>
      </c>
      <c r="H747">
        <v>5.8184143222506389E-2</v>
      </c>
      <c r="I747">
        <v>7.563938618925832E-2</v>
      </c>
      <c r="J747">
        <v>0.51202046035805626</v>
      </c>
      <c r="K747">
        <v>0.54305122762148339</v>
      </c>
      <c r="L747">
        <v>0.7339347826086956</v>
      </c>
      <c r="M747">
        <v>0</v>
      </c>
      <c r="N747">
        <v>0</v>
      </c>
      <c r="O747">
        <v>0</v>
      </c>
      <c r="P747">
        <v>0</v>
      </c>
    </row>
    <row r="748" spans="1:22">
      <c r="P748">
        <v>0</v>
      </c>
    </row>
    <row r="750" spans="1:22">
      <c r="P750">
        <v>0</v>
      </c>
    </row>
    <row r="751" spans="1:22">
      <c r="P751">
        <v>0</v>
      </c>
    </row>
    <row r="752" spans="1:22">
      <c r="P752">
        <v>0</v>
      </c>
    </row>
    <row r="753" spans="1:19">
      <c r="C753">
        <v>20000</v>
      </c>
    </row>
    <row r="754" spans="1:19">
      <c r="C754">
        <v>-1500</v>
      </c>
      <c r="D754">
        <v>-4000</v>
      </c>
      <c r="E754">
        <v>-4000</v>
      </c>
      <c r="F754">
        <v>-4000</v>
      </c>
      <c r="G754">
        <v>-5890</v>
      </c>
      <c r="H754">
        <v>-1600</v>
      </c>
      <c r="I754">
        <v>-665</v>
      </c>
      <c r="J754">
        <v>-435</v>
      </c>
      <c r="K754">
        <v>-460</v>
      </c>
      <c r="L754">
        <v>-320</v>
      </c>
      <c r="M754">
        <v>-225</v>
      </c>
      <c r="N754">
        <v>-165</v>
      </c>
      <c r="O754">
        <v>-115</v>
      </c>
      <c r="P754">
        <v>-85</v>
      </c>
      <c r="Q754">
        <v>-15</v>
      </c>
    </row>
    <row r="755" spans="1:19">
      <c r="E755">
        <v>805</v>
      </c>
      <c r="F755">
        <v>1525</v>
      </c>
      <c r="G755">
        <v>5445</v>
      </c>
      <c r="H755">
        <v>4915</v>
      </c>
      <c r="I755">
        <v>4335</v>
      </c>
      <c r="J755">
        <v>4630</v>
      </c>
      <c r="K755">
        <v>3455</v>
      </c>
      <c r="L755">
        <v>3180</v>
      </c>
      <c r="M755">
        <v>2230</v>
      </c>
      <c r="N755">
        <v>1515</v>
      </c>
      <c r="O755">
        <v>1055</v>
      </c>
      <c r="P755">
        <v>815</v>
      </c>
      <c r="Q755">
        <v>810</v>
      </c>
    </row>
    <row r="756" spans="1:19">
      <c r="B756" t="s">
        <v>431</v>
      </c>
      <c r="C756">
        <v>-7.4999999999999997E-2</v>
      </c>
      <c r="D756">
        <v>-0.2</v>
      </c>
      <c r="E756">
        <v>-0.2</v>
      </c>
      <c r="F756">
        <v>-0.2</v>
      </c>
      <c r="G756">
        <v>-0.29449999999999998</v>
      </c>
      <c r="H756">
        <v>-0.08</v>
      </c>
      <c r="I756">
        <v>-3.3250000000000002E-2</v>
      </c>
      <c r="J756">
        <v>-2.1749999999999999E-2</v>
      </c>
      <c r="K756">
        <v>-2.3E-2</v>
      </c>
      <c r="L756">
        <v>-1.6E-2</v>
      </c>
      <c r="M756">
        <v>-1.125E-2</v>
      </c>
      <c r="N756">
        <v>-8.2500000000000004E-3</v>
      </c>
      <c r="O756">
        <v>-5.7499999999999999E-3</v>
      </c>
      <c r="P756">
        <v>0</v>
      </c>
      <c r="Q756">
        <v>-7.5000000000000002E-4</v>
      </c>
    </row>
    <row r="757" spans="1:19">
      <c r="B757" t="s">
        <v>432</v>
      </c>
      <c r="C757">
        <v>0</v>
      </c>
      <c r="D757">
        <v>0</v>
      </c>
      <c r="E757">
        <v>4.0250000000000001E-2</v>
      </c>
      <c r="F757">
        <v>7.6249999999999998E-2</v>
      </c>
      <c r="G757">
        <v>0.27224999999999999</v>
      </c>
      <c r="H757">
        <v>0.24575</v>
      </c>
      <c r="I757">
        <v>0.21675</v>
      </c>
      <c r="J757">
        <v>0.23150000000000001</v>
      </c>
      <c r="K757">
        <v>0.17274999999999999</v>
      </c>
      <c r="L757">
        <v>0.159</v>
      </c>
      <c r="M757">
        <v>0.1115</v>
      </c>
      <c r="N757">
        <v>7.5749999999999998E-2</v>
      </c>
      <c r="O757">
        <v>5.2749999999999998E-2</v>
      </c>
      <c r="P757">
        <v>0</v>
      </c>
      <c r="Q757">
        <v>4.0500000000000001E-2</v>
      </c>
      <c r="S757">
        <v>34.714999999999996</v>
      </c>
    </row>
    <row r="758" spans="1:19">
      <c r="B758" t="s">
        <v>433</v>
      </c>
      <c r="C758">
        <v>-7.4999999999999997E-2</v>
      </c>
      <c r="D758">
        <v>-0.2</v>
      </c>
      <c r="E758">
        <v>-0.15975</v>
      </c>
      <c r="F758">
        <v>-0.12375</v>
      </c>
      <c r="G758">
        <v>-2.2249999999999992E-2</v>
      </c>
      <c r="H758">
        <v>0.16575000000000001</v>
      </c>
      <c r="I758">
        <v>0.1835</v>
      </c>
      <c r="J758">
        <v>0.20974999999999999</v>
      </c>
      <c r="K758">
        <v>0.14974999999999999</v>
      </c>
      <c r="L758">
        <v>0.14300000000000002</v>
      </c>
      <c r="M758">
        <v>0.10025000000000001</v>
      </c>
      <c r="N758">
        <v>6.7500000000000004E-2</v>
      </c>
      <c r="O758">
        <v>4.7E-2</v>
      </c>
      <c r="P758">
        <v>0</v>
      </c>
      <c r="Q758">
        <v>3.9750000000000001E-2</v>
      </c>
    </row>
    <row r="759" spans="1:19">
      <c r="B759" t="s">
        <v>61</v>
      </c>
      <c r="C759">
        <v>-7.4999999999999997E-2</v>
      </c>
      <c r="D759">
        <v>-0.27500000000000002</v>
      </c>
      <c r="E759">
        <v>-0.43475000000000003</v>
      </c>
      <c r="F759">
        <v>-0.5585</v>
      </c>
      <c r="G759">
        <v>-0.58074999999999999</v>
      </c>
      <c r="H759">
        <v>-0.41499999999999998</v>
      </c>
      <c r="I759">
        <v>-0.23150000000000001</v>
      </c>
      <c r="J759">
        <v>-2.1749999999999964E-2</v>
      </c>
      <c r="K759">
        <v>0.12800000000000003</v>
      </c>
      <c r="L759">
        <v>0.27100000000000002</v>
      </c>
      <c r="M759">
        <v>0.37125000000000002</v>
      </c>
      <c r="N759">
        <v>0.43875000000000003</v>
      </c>
      <c r="O759">
        <v>0.48575000000000002</v>
      </c>
      <c r="P759">
        <v>1</v>
      </c>
      <c r="Q759">
        <v>0.56199999999999994</v>
      </c>
    </row>
    <row r="761" spans="1:19">
      <c r="B761" t="s">
        <v>49</v>
      </c>
      <c r="C761">
        <v>-7.490314248816185E-2</v>
      </c>
      <c r="D761">
        <v>-0.19974171330176496</v>
      </c>
      <c r="E761">
        <v>-0.15954369349978476</v>
      </c>
      <c r="F761">
        <v>-0.12359018510546708</v>
      </c>
      <c r="G761">
        <v>-2.2221265604821343E-2</v>
      </c>
      <c r="H761">
        <v>0.15142682126449358</v>
      </c>
      <c r="I761">
        <v>0.16764296652811203</v>
      </c>
      <c r="J761">
        <v>0.19162458980529432</v>
      </c>
      <c r="K761">
        <v>0.13680945088602059</v>
      </c>
      <c r="L761">
        <v>0.13064274775760232</v>
      </c>
      <c r="M761">
        <v>9.1586961277619797E-2</v>
      </c>
      <c r="N761">
        <v>6.166703128418291E-2</v>
      </c>
      <c r="O761">
        <v>4.2938525486764398E-2</v>
      </c>
      <c r="P761">
        <v>0</v>
      </c>
      <c r="Q761">
        <v>3.6315029534018821E-2</v>
      </c>
    </row>
    <row r="762" spans="1:19">
      <c r="B762" t="s">
        <v>63</v>
      </c>
      <c r="C762">
        <v>-7.490314248816185E-2</v>
      </c>
      <c r="D762">
        <v>-0.27464485578992681</v>
      </c>
      <c r="E762">
        <v>-0.43418854928971162</v>
      </c>
      <c r="F762">
        <v>-0.55777873439517867</v>
      </c>
      <c r="G762">
        <v>-0.57999999999999996</v>
      </c>
      <c r="H762">
        <v>-0.42857317873550638</v>
      </c>
      <c r="I762">
        <v>-0.26093021220739432</v>
      </c>
      <c r="J762">
        <v>-6.9305622402100003E-2</v>
      </c>
      <c r="K762">
        <v>6.7503828483920586E-2</v>
      </c>
      <c r="L762">
        <v>0.1981465762415229</v>
      </c>
      <c r="M762">
        <v>0.28973353751914271</v>
      </c>
      <c r="N762">
        <v>0.3514005688033256</v>
      </c>
      <c r="O762">
        <v>0.39433909429009001</v>
      </c>
      <c r="P762">
        <v>0</v>
      </c>
      <c r="Q762">
        <v>0.4640000000000003</v>
      </c>
    </row>
    <row r="763" spans="1:19">
      <c r="B763" t="s">
        <v>62</v>
      </c>
      <c r="C763">
        <v>0</v>
      </c>
      <c r="D763">
        <v>0</v>
      </c>
      <c r="E763">
        <v>0</v>
      </c>
      <c r="F763">
        <v>0</v>
      </c>
      <c r="G763">
        <v>0</v>
      </c>
      <c r="H763">
        <v>0</v>
      </c>
      <c r="I763">
        <v>0</v>
      </c>
      <c r="J763">
        <v>0</v>
      </c>
      <c r="K763">
        <v>1.7415987748851513E-2</v>
      </c>
      <c r="L763">
        <v>3.37058289214614E-2</v>
      </c>
      <c r="M763">
        <v>2.3629436009625908E-2</v>
      </c>
      <c r="N763">
        <v>1.591009407131919E-2</v>
      </c>
      <c r="O763">
        <v>1.1078139575585216E-2</v>
      </c>
      <c r="P763">
        <v>0</v>
      </c>
      <c r="Q763">
        <v>9.3692776197768553E-3</v>
      </c>
    </row>
    <row r="764" spans="1:19">
      <c r="A764" t="s">
        <v>430</v>
      </c>
      <c r="B764" t="s">
        <v>65</v>
      </c>
      <c r="C764">
        <v>-7.4999999999999997E-2</v>
      </c>
      <c r="D764">
        <v>-0.2</v>
      </c>
      <c r="E764">
        <v>-0.15975</v>
      </c>
      <c r="F764">
        <v>-0.12375</v>
      </c>
      <c r="G764">
        <v>-2.2249999999999992E-2</v>
      </c>
      <c r="H764">
        <v>0.16575000000000001</v>
      </c>
      <c r="I764">
        <v>0.1835</v>
      </c>
      <c r="J764">
        <v>0.20974999999999999</v>
      </c>
      <c r="K764">
        <v>0.14974999999999999</v>
      </c>
      <c r="L764">
        <v>0.14300000000000002</v>
      </c>
      <c r="M764">
        <v>0.10025000000000001</v>
      </c>
      <c r="N764">
        <v>6.7500000000000004E-2</v>
      </c>
      <c r="O764">
        <v>4.7E-2</v>
      </c>
      <c r="P764">
        <v>0</v>
      </c>
      <c r="Q764">
        <v>3.9750000000000001E-2</v>
      </c>
    </row>
    <row r="765" spans="1:19">
      <c r="P765">
        <v>0</v>
      </c>
    </row>
    <row r="766" spans="1:19">
      <c r="P766">
        <v>0</v>
      </c>
    </row>
    <row r="767" spans="1:19">
      <c r="P767">
        <v>0</v>
      </c>
    </row>
    <row r="768" spans="1:19">
      <c r="P768">
        <v>0</v>
      </c>
    </row>
    <row r="769" spans="1:16">
      <c r="P769">
        <v>0</v>
      </c>
    </row>
    <row r="770" spans="1:16">
      <c r="A770" t="s">
        <v>434</v>
      </c>
      <c r="B770" t="s">
        <v>65</v>
      </c>
      <c r="C770">
        <v>-8.960274E-2</v>
      </c>
      <c r="D770">
        <v>-0.22950000000000001</v>
      </c>
      <c r="E770">
        <v>-0.21029238147943191</v>
      </c>
      <c r="F770">
        <v>-0.17785076301478081</v>
      </c>
      <c r="G770">
        <v>-4.2754115505787393E-2</v>
      </c>
      <c r="H770">
        <v>8.8635438342531458E-2</v>
      </c>
      <c r="I770">
        <v>0.26505812901474718</v>
      </c>
      <c r="J770">
        <v>0.49357939021080255</v>
      </c>
      <c r="K770">
        <v>0.35999050031665614</v>
      </c>
      <c r="L770">
        <v>0.26011201709943005</v>
      </c>
      <c r="M770">
        <v>0.11737452501583281</v>
      </c>
      <c r="N770">
        <v>0</v>
      </c>
      <c r="P770">
        <v>0</v>
      </c>
    </row>
    <row r="771" spans="1:16">
      <c r="P771">
        <v>0</v>
      </c>
    </row>
    <row r="772" spans="1:16">
      <c r="P772">
        <v>0</v>
      </c>
    </row>
    <row r="773" spans="1:16">
      <c r="B773" t="s">
        <v>86</v>
      </c>
      <c r="C773">
        <v>-0.97414999999999996</v>
      </c>
      <c r="D773">
        <v>-2.0514000000000032E-2</v>
      </c>
      <c r="E773">
        <v>-5.0296000000000118E-2</v>
      </c>
      <c r="F773">
        <v>0</v>
      </c>
      <c r="G773">
        <v>0</v>
      </c>
      <c r="H773">
        <v>0</v>
      </c>
      <c r="I773">
        <v>0</v>
      </c>
      <c r="J773">
        <v>0</v>
      </c>
      <c r="K773">
        <v>0</v>
      </c>
      <c r="L773">
        <v>0</v>
      </c>
      <c r="M773">
        <v>0</v>
      </c>
      <c r="N773">
        <v>0</v>
      </c>
      <c r="O773">
        <v>0</v>
      </c>
      <c r="P773">
        <v>0</v>
      </c>
    </row>
    <row r="774" spans="1:16">
      <c r="B774" t="s">
        <v>87</v>
      </c>
      <c r="C774">
        <v>0</v>
      </c>
      <c r="D774">
        <v>0</v>
      </c>
      <c r="E774">
        <v>7.4726000000000002E-3</v>
      </c>
      <c r="F774">
        <v>0.113</v>
      </c>
      <c r="G774">
        <v>0.33800000000000002</v>
      </c>
      <c r="H774">
        <v>0.39400000000000002</v>
      </c>
      <c r="I774">
        <v>0.45</v>
      </c>
      <c r="J774">
        <v>0.30499999999999999</v>
      </c>
      <c r="K774">
        <v>0.18</v>
      </c>
      <c r="L774">
        <v>0.17100000000000001</v>
      </c>
      <c r="M774">
        <v>5.3999999999999999E-2</v>
      </c>
      <c r="N774">
        <v>0</v>
      </c>
      <c r="O774">
        <v>0</v>
      </c>
      <c r="P774">
        <v>0</v>
      </c>
    </row>
    <row r="775" spans="1:16">
      <c r="B775" t="s">
        <v>88</v>
      </c>
      <c r="C775">
        <v>-0.97414999999999996</v>
      </c>
      <c r="D775">
        <v>-2.0514000000000032E-2</v>
      </c>
      <c r="E775">
        <v>-4.2823400000000109E-2</v>
      </c>
      <c r="F775">
        <v>0.113</v>
      </c>
      <c r="G775">
        <v>0.33800000000000002</v>
      </c>
      <c r="H775">
        <v>0.39400000000000002</v>
      </c>
      <c r="I775">
        <v>0.45</v>
      </c>
      <c r="J775">
        <v>0.30499999999999999</v>
      </c>
      <c r="K775">
        <v>0.18</v>
      </c>
      <c r="L775">
        <v>0.17100000000000001</v>
      </c>
      <c r="M775">
        <v>5.3999999999999999E-2</v>
      </c>
      <c r="N775">
        <v>0</v>
      </c>
      <c r="O775">
        <v>0</v>
      </c>
      <c r="P775">
        <v>0</v>
      </c>
    </row>
    <row r="776" spans="1:16">
      <c r="B776" t="s">
        <v>77</v>
      </c>
      <c r="C776">
        <v>-0.97414999999999996</v>
      </c>
      <c r="D776">
        <v>-0.99466399999999999</v>
      </c>
      <c r="E776">
        <v>-1.0374874000000001</v>
      </c>
      <c r="F776">
        <v>-0.92448739999999996</v>
      </c>
      <c r="G776">
        <v>-0.58648739999999999</v>
      </c>
      <c r="H776">
        <v>-0.1924874</v>
      </c>
      <c r="I776">
        <v>0.25751260000000004</v>
      </c>
      <c r="J776">
        <v>0.56251260000000003</v>
      </c>
      <c r="K776">
        <v>0.74251259999999997</v>
      </c>
      <c r="L776">
        <v>0.91351260000000001</v>
      </c>
      <c r="M776">
        <v>0.96751260000000006</v>
      </c>
      <c r="N776">
        <v>0.96751260000000006</v>
      </c>
      <c r="O776">
        <v>0.96751260000000006</v>
      </c>
      <c r="P776">
        <v>0</v>
      </c>
    </row>
    <row r="777" spans="1:16">
      <c r="B777" t="s">
        <v>49</v>
      </c>
      <c r="C777">
        <v>-0.97414999999999996</v>
      </c>
      <c r="D777">
        <v>-2.0514000000000032E-2</v>
      </c>
      <c r="E777">
        <v>-4.2823400000000109E-2</v>
      </c>
      <c r="F777">
        <v>0.1052493452169576</v>
      </c>
      <c r="G777">
        <v>0.31481662551620954</v>
      </c>
      <c r="H777">
        <v>0.36697559305735666</v>
      </c>
      <c r="I777">
        <v>0.41913456059850374</v>
      </c>
      <c r="J777">
        <v>0.28408009107231924</v>
      </c>
      <c r="K777">
        <v>0.16765382423940153</v>
      </c>
      <c r="L777">
        <v>0.15927113302743146</v>
      </c>
      <c r="M777">
        <v>5.0296147271820454E-2</v>
      </c>
      <c r="N777">
        <v>0</v>
      </c>
      <c r="O777">
        <v>0</v>
      </c>
      <c r="P777">
        <v>0</v>
      </c>
    </row>
    <row r="778" spans="1:16">
      <c r="B778" t="s">
        <v>77</v>
      </c>
      <c r="C778">
        <v>-0.97414999999999996</v>
      </c>
      <c r="D778">
        <v>-0.99466399999999999</v>
      </c>
      <c r="E778">
        <v>-1.0374874000000001</v>
      </c>
      <c r="F778">
        <v>-0.93223805478304245</v>
      </c>
      <c r="G778">
        <v>-0.61742142926683297</v>
      </c>
      <c r="H778">
        <v>-0.2504458362094763</v>
      </c>
      <c r="I778">
        <v>0.16868872438902749</v>
      </c>
      <c r="J778">
        <v>0.45276881546134673</v>
      </c>
      <c r="K778">
        <v>0.62042263970074818</v>
      </c>
      <c r="L778">
        <v>0.77969377272817963</v>
      </c>
      <c r="M778">
        <v>0.82998992000000005</v>
      </c>
      <c r="N778">
        <v>0.82998992000000005</v>
      </c>
      <c r="O778">
        <v>0.82998992000000005</v>
      </c>
      <c r="P778">
        <v>0</v>
      </c>
    </row>
    <row r="779" spans="1:16">
      <c r="B779" t="s">
        <v>62</v>
      </c>
      <c r="C779">
        <v>0</v>
      </c>
      <c r="D779">
        <v>0</v>
      </c>
      <c r="E779">
        <v>0</v>
      </c>
      <c r="F779">
        <v>0</v>
      </c>
      <c r="G779">
        <v>0</v>
      </c>
      <c r="H779">
        <v>0</v>
      </c>
      <c r="I779">
        <v>5.1484974257955118E-2</v>
      </c>
      <c r="J779">
        <v>7.8689999999999996E-2</v>
      </c>
      <c r="K779">
        <v>4.6440000000000002E-2</v>
      </c>
      <c r="L779">
        <v>4.4118000000000004E-2</v>
      </c>
      <c r="M779">
        <v>1.3932E-2</v>
      </c>
      <c r="N779">
        <v>0</v>
      </c>
      <c r="O779">
        <v>0</v>
      </c>
      <c r="P779">
        <v>0</v>
      </c>
    </row>
    <row r="780" spans="1:16">
      <c r="A780" t="s">
        <v>435</v>
      </c>
      <c r="B780" t="s">
        <v>90</v>
      </c>
      <c r="C780">
        <v>-0.97414999999999996</v>
      </c>
      <c r="D780">
        <v>-2.0514000000000032E-2</v>
      </c>
      <c r="E780">
        <v>-4.2823400000000109E-2</v>
      </c>
      <c r="F780">
        <v>0.1052493452169576</v>
      </c>
      <c r="G780">
        <v>0.31481662551620954</v>
      </c>
      <c r="H780">
        <v>0.36697559305735666</v>
      </c>
      <c r="I780">
        <v>0.36764958634054862</v>
      </c>
      <c r="J780">
        <v>0.20539009107231929</v>
      </c>
      <c r="K780">
        <v>0.1212138242394015</v>
      </c>
      <c r="L780">
        <v>0.11515313302743145</v>
      </c>
      <c r="M780">
        <v>3.6364147271820454E-2</v>
      </c>
      <c r="N780">
        <v>0</v>
      </c>
      <c r="O780">
        <v>0</v>
      </c>
      <c r="P780">
        <v>0</v>
      </c>
    </row>
    <row r="781" spans="1:16">
      <c r="P781">
        <v>0</v>
      </c>
    </row>
    <row r="782" spans="1:16">
      <c r="B782" t="s">
        <v>60</v>
      </c>
      <c r="C782">
        <v>-0.9</v>
      </c>
      <c r="D782">
        <v>0</v>
      </c>
      <c r="E782">
        <v>0</v>
      </c>
      <c r="F782">
        <v>0</v>
      </c>
      <c r="G782">
        <v>-0.05</v>
      </c>
      <c r="H782">
        <v>-0.05</v>
      </c>
      <c r="I782">
        <v>0</v>
      </c>
      <c r="J782">
        <v>0.69146578072916665</v>
      </c>
      <c r="K782">
        <v>3.3323652083333339</v>
      </c>
      <c r="L782">
        <v>3.3323652083333339</v>
      </c>
      <c r="M782">
        <v>2.6408994276041668</v>
      </c>
      <c r="N782">
        <v>0</v>
      </c>
      <c r="O782">
        <v>0</v>
      </c>
      <c r="P782">
        <v>0</v>
      </c>
    </row>
    <row r="783" spans="1:16">
      <c r="B783" t="s">
        <v>61</v>
      </c>
      <c r="C783">
        <v>-0.9</v>
      </c>
      <c r="D783">
        <v>-0.9</v>
      </c>
      <c r="E783">
        <v>-0.9</v>
      </c>
      <c r="F783">
        <v>-0.9</v>
      </c>
      <c r="G783">
        <v>-0.95</v>
      </c>
      <c r="H783">
        <v>-1</v>
      </c>
      <c r="I783">
        <v>-1</v>
      </c>
      <c r="J783">
        <v>-0.30853421927083335</v>
      </c>
      <c r="K783">
        <v>3.0238309890625006</v>
      </c>
      <c r="L783">
        <v>6.3561961973958345</v>
      </c>
      <c r="M783">
        <v>8.9970956250000018</v>
      </c>
      <c r="N783">
        <v>0</v>
      </c>
      <c r="O783">
        <v>0</v>
      </c>
      <c r="P783">
        <v>0</v>
      </c>
    </row>
    <row r="784" spans="1:16">
      <c r="B784" t="s">
        <v>62</v>
      </c>
      <c r="C784">
        <v>0</v>
      </c>
      <c r="D784">
        <v>0</v>
      </c>
      <c r="E784">
        <v>0</v>
      </c>
      <c r="F784">
        <v>0</v>
      </c>
      <c r="G784">
        <v>0</v>
      </c>
      <c r="H784">
        <v>0</v>
      </c>
      <c r="I784">
        <v>0</v>
      </c>
      <c r="J784">
        <v>0</v>
      </c>
      <c r="K784">
        <v>0.78014839517812506</v>
      </c>
      <c r="L784">
        <v>0.85975022375000021</v>
      </c>
      <c r="M784">
        <v>0.68135205232187501</v>
      </c>
      <c r="N784">
        <v>0</v>
      </c>
      <c r="O784">
        <v>0</v>
      </c>
      <c r="P784">
        <v>0</v>
      </c>
    </row>
    <row r="785" spans="1:16">
      <c r="P785">
        <v>0</v>
      </c>
    </row>
    <row r="786" spans="1:16">
      <c r="B786" t="s">
        <v>49</v>
      </c>
      <c r="C786">
        <v>-0.9</v>
      </c>
      <c r="D786">
        <v>0</v>
      </c>
      <c r="E786">
        <v>0</v>
      </c>
      <c r="F786">
        <v>0</v>
      </c>
      <c r="G786">
        <v>-0.05</v>
      </c>
      <c r="H786">
        <v>-0.05</v>
      </c>
      <c r="I786">
        <v>0</v>
      </c>
      <c r="J786">
        <v>0.17291666666666664</v>
      </c>
      <c r="K786">
        <v>0.83333333333333326</v>
      </c>
      <c r="L786">
        <v>0.83333333333333326</v>
      </c>
      <c r="M786">
        <v>0.66041666666666665</v>
      </c>
      <c r="N786">
        <v>0</v>
      </c>
      <c r="O786">
        <v>0</v>
      </c>
      <c r="P786">
        <v>0</v>
      </c>
    </row>
    <row r="787" spans="1:16">
      <c r="B787" t="s">
        <v>63</v>
      </c>
      <c r="C787">
        <v>-0.9</v>
      </c>
      <c r="D787">
        <v>-0.9</v>
      </c>
      <c r="E787">
        <v>-0.9</v>
      </c>
      <c r="F787">
        <v>-0.9</v>
      </c>
      <c r="G787">
        <v>-0.95</v>
      </c>
      <c r="H787">
        <v>-1</v>
      </c>
      <c r="I787">
        <v>-1</v>
      </c>
      <c r="J787">
        <v>-0.82708333333333339</v>
      </c>
      <c r="K787">
        <v>6.2499999999998668E-3</v>
      </c>
      <c r="L787">
        <v>0.83958333333333313</v>
      </c>
      <c r="M787">
        <v>1.4999999999999998</v>
      </c>
      <c r="N787">
        <v>1.4999999999999998</v>
      </c>
      <c r="O787">
        <v>1.4999999999999998</v>
      </c>
      <c r="P787">
        <v>0</v>
      </c>
    </row>
    <row r="788" spans="1:16">
      <c r="B788" t="s">
        <v>62</v>
      </c>
      <c r="C788">
        <v>0</v>
      </c>
      <c r="D788">
        <v>0</v>
      </c>
      <c r="E788">
        <v>0</v>
      </c>
      <c r="F788">
        <v>0</v>
      </c>
      <c r="G788">
        <v>0</v>
      </c>
      <c r="H788">
        <v>0</v>
      </c>
      <c r="I788">
        <v>0</v>
      </c>
      <c r="J788">
        <v>0</v>
      </c>
      <c r="K788">
        <v>1.6124999999999655E-3</v>
      </c>
      <c r="L788">
        <v>0.215</v>
      </c>
      <c r="M788">
        <v>0.1703875</v>
      </c>
      <c r="N788">
        <v>0</v>
      </c>
      <c r="O788">
        <v>0</v>
      </c>
      <c r="P788">
        <v>0</v>
      </c>
    </row>
    <row r="789" spans="1:16">
      <c r="A789" t="s">
        <v>436</v>
      </c>
      <c r="B789" t="s">
        <v>65</v>
      </c>
      <c r="C789">
        <v>-0.9</v>
      </c>
      <c r="D789">
        <v>0</v>
      </c>
      <c r="E789">
        <v>0</v>
      </c>
      <c r="F789">
        <v>0</v>
      </c>
      <c r="G789">
        <v>-0.05</v>
      </c>
      <c r="H789">
        <v>-0.05</v>
      </c>
      <c r="I789">
        <v>0</v>
      </c>
      <c r="J789">
        <v>0.17291666666666664</v>
      </c>
      <c r="K789">
        <v>0.83172083333333324</v>
      </c>
      <c r="L789">
        <v>0.61833333333333329</v>
      </c>
      <c r="M789">
        <v>0.49002916666666663</v>
      </c>
      <c r="N789">
        <v>0</v>
      </c>
      <c r="O789">
        <v>0</v>
      </c>
      <c r="P789">
        <v>0</v>
      </c>
    </row>
    <row r="790" spans="1:16">
      <c r="P790">
        <v>0</v>
      </c>
    </row>
    <row r="791" spans="1:16">
      <c r="B791" t="s">
        <v>60</v>
      </c>
      <c r="C791">
        <v>-0.10899946000000001</v>
      </c>
      <c r="D791">
        <v>-0.21224400000000004</v>
      </c>
      <c r="E791">
        <v>-0.33078699999999994</v>
      </c>
      <c r="F791">
        <v>-0.11835699999999992</v>
      </c>
      <c r="G791">
        <v>-3.4875000000000003E-2</v>
      </c>
      <c r="H791">
        <v>0.25219999999999998</v>
      </c>
      <c r="I791">
        <v>0.52529999999999999</v>
      </c>
      <c r="J791">
        <v>0.43630000000000002</v>
      </c>
      <c r="K791">
        <v>0.37280000000000002</v>
      </c>
      <c r="L791">
        <v>0.27529999999999999</v>
      </c>
      <c r="M791">
        <v>0.1585</v>
      </c>
      <c r="N791">
        <v>9.7000000000000003E-2</v>
      </c>
      <c r="O791">
        <v>0</v>
      </c>
      <c r="P791">
        <v>0</v>
      </c>
    </row>
    <row r="792" spans="1:16">
      <c r="B792" t="s">
        <v>61</v>
      </c>
      <c r="C792">
        <v>-0.10899946000000001</v>
      </c>
      <c r="D792">
        <v>-0.32124346000000004</v>
      </c>
      <c r="E792">
        <v>-0.65203045999999998</v>
      </c>
      <c r="F792">
        <v>-0.7703874599999998</v>
      </c>
      <c r="G792">
        <v>-0.8052624599999999</v>
      </c>
      <c r="H792">
        <v>-0.55306245999999992</v>
      </c>
      <c r="I792">
        <v>-2.7762459999999933E-2</v>
      </c>
      <c r="J792">
        <v>0.40853754000000009</v>
      </c>
      <c r="K792">
        <v>0.78133754000000011</v>
      </c>
      <c r="L792">
        <v>1.0566375400000001</v>
      </c>
      <c r="M792">
        <v>1.2151375400000002</v>
      </c>
      <c r="N792">
        <v>0</v>
      </c>
      <c r="O792">
        <v>0</v>
      </c>
      <c r="P792">
        <v>0</v>
      </c>
    </row>
    <row r="793" spans="1:16">
      <c r="B793" t="s">
        <v>62</v>
      </c>
      <c r="C793">
        <v>0</v>
      </c>
      <c r="D793">
        <v>0</v>
      </c>
      <c r="E793">
        <v>0</v>
      </c>
      <c r="F793">
        <v>0</v>
      </c>
      <c r="G793">
        <v>0</v>
      </c>
      <c r="H793">
        <v>0</v>
      </c>
      <c r="I793">
        <v>0</v>
      </c>
      <c r="J793">
        <v>0.10540268532000002</v>
      </c>
      <c r="K793">
        <v>9.6182400000000001E-2</v>
      </c>
      <c r="L793">
        <v>7.1027400000000004E-2</v>
      </c>
      <c r="M793">
        <v>4.0892999999999999E-2</v>
      </c>
      <c r="N793">
        <v>0</v>
      </c>
      <c r="O793">
        <v>0</v>
      </c>
      <c r="P793">
        <v>0</v>
      </c>
    </row>
    <row r="794" spans="1:16">
      <c r="P794">
        <v>0</v>
      </c>
    </row>
    <row r="795" spans="1:16">
      <c r="B795" t="s">
        <v>49</v>
      </c>
      <c r="C795">
        <v>-0.10899946000000001</v>
      </c>
      <c r="D795">
        <v>-0.21224400000000004</v>
      </c>
      <c r="E795">
        <v>-0.33078699999999994</v>
      </c>
      <c r="F795">
        <v>-0.11835699999999992</v>
      </c>
      <c r="G795">
        <v>-3.4875000000000003E-2</v>
      </c>
      <c r="H795">
        <v>0.21580531922499288</v>
      </c>
      <c r="I795">
        <v>0.44949458441272311</v>
      </c>
      <c r="J795">
        <v>0.37333806811207143</v>
      </c>
      <c r="K795">
        <v>0.31900167726834794</v>
      </c>
      <c r="L795">
        <v>0.23557178581538674</v>
      </c>
      <c r="M795">
        <v>0.13562705431071123</v>
      </c>
      <c r="N795">
        <v>8.3002045855766496E-2</v>
      </c>
      <c r="O795">
        <v>0</v>
      </c>
      <c r="P795">
        <v>0</v>
      </c>
    </row>
    <row r="796" spans="1:16">
      <c r="B796" t="s">
        <v>63</v>
      </c>
      <c r="C796">
        <v>-0.10899946000000001</v>
      </c>
      <c r="D796">
        <v>-0.32124346000000004</v>
      </c>
      <c r="E796">
        <v>-0.65203045999999998</v>
      </c>
      <c r="F796">
        <v>-0.7703874599999998</v>
      </c>
      <c r="G796">
        <v>-0.8052624599999999</v>
      </c>
      <c r="H796">
        <v>-0.58945714077500699</v>
      </c>
      <c r="I796">
        <v>-0.13996255636228389</v>
      </c>
      <c r="J796">
        <v>0.23337551174978757</v>
      </c>
      <c r="K796">
        <v>0.55237718901813548</v>
      </c>
      <c r="L796">
        <v>0.78794897483352222</v>
      </c>
      <c r="M796">
        <v>0.92357602914423342</v>
      </c>
      <c r="N796">
        <v>1.006578075</v>
      </c>
      <c r="O796">
        <v>1.006578075</v>
      </c>
      <c r="P796">
        <v>0</v>
      </c>
    </row>
    <row r="797" spans="1:16">
      <c r="B797" t="s">
        <v>62</v>
      </c>
      <c r="C797">
        <v>0</v>
      </c>
      <c r="D797">
        <v>0</v>
      </c>
      <c r="E797">
        <v>0</v>
      </c>
      <c r="F797">
        <v>0</v>
      </c>
      <c r="G797">
        <v>0</v>
      </c>
      <c r="H797">
        <v>0</v>
      </c>
      <c r="I797">
        <v>0</v>
      </c>
      <c r="J797">
        <v>6.0210882031445187E-2</v>
      </c>
      <c r="K797">
        <v>8.2302432735233771E-2</v>
      </c>
      <c r="L797">
        <v>6.0777520740369781E-2</v>
      </c>
      <c r="M797">
        <v>3.4991780012163499E-2</v>
      </c>
      <c r="N797">
        <v>2.1414527830787757E-2</v>
      </c>
      <c r="O797">
        <v>0</v>
      </c>
      <c r="P797">
        <v>0</v>
      </c>
    </row>
    <row r="798" spans="1:16">
      <c r="A798" t="s">
        <v>437</v>
      </c>
      <c r="B798" t="s">
        <v>65</v>
      </c>
      <c r="C798">
        <v>-0.10899946000000001</v>
      </c>
      <c r="D798">
        <v>-0.21224400000000004</v>
      </c>
      <c r="E798">
        <v>-0.33078699999999994</v>
      </c>
      <c r="F798">
        <v>-0.11835699999999992</v>
      </c>
      <c r="G798">
        <v>-3.4875000000000003E-2</v>
      </c>
      <c r="H798">
        <v>0.21580531922499288</v>
      </c>
      <c r="I798">
        <v>0.44949458441272311</v>
      </c>
      <c r="J798">
        <v>0.31312718608062623</v>
      </c>
      <c r="K798">
        <v>0.23669924453311417</v>
      </c>
      <c r="L798">
        <v>0.17479426507501694</v>
      </c>
      <c r="M798">
        <v>0.10063527429854774</v>
      </c>
      <c r="N798">
        <v>6.1587518024978735E-2</v>
      </c>
      <c r="O798">
        <v>0</v>
      </c>
      <c r="P798">
        <v>0</v>
      </c>
    </row>
    <row r="799" spans="1:16">
      <c r="P799">
        <v>0</v>
      </c>
    </row>
    <row r="800" spans="1:16">
      <c r="B800" t="s">
        <v>60</v>
      </c>
      <c r="C800">
        <v>-6.0698000000000002E-2</v>
      </c>
      <c r="D800">
        <v>-6.5053009999999994E-2</v>
      </c>
      <c r="E800">
        <v>-0.27897502000000002</v>
      </c>
      <c r="F800">
        <v>-0.30100000000000005</v>
      </c>
      <c r="G800">
        <v>-7.4999999999999997E-2</v>
      </c>
      <c r="H800">
        <v>-7.4999999999999997E-2</v>
      </c>
      <c r="I800">
        <v>0.1045</v>
      </c>
      <c r="J800">
        <v>0.3125</v>
      </c>
      <c r="K800">
        <v>0.62180000000000002</v>
      </c>
      <c r="L800">
        <v>0.57199999999999995</v>
      </c>
      <c r="M800">
        <v>0.4133</v>
      </c>
      <c r="N800">
        <v>0.1865</v>
      </c>
      <c r="O800">
        <v>0</v>
      </c>
      <c r="P800">
        <v>0</v>
      </c>
    </row>
    <row r="801" spans="1:16">
      <c r="B801" t="s">
        <v>61</v>
      </c>
      <c r="C801">
        <v>-6.0698000000000002E-2</v>
      </c>
      <c r="D801">
        <v>-0.12575101</v>
      </c>
      <c r="E801">
        <v>-0.40472603000000001</v>
      </c>
      <c r="F801">
        <v>-0.70572603000000012</v>
      </c>
      <c r="G801">
        <v>-0.78072602999999996</v>
      </c>
      <c r="H801">
        <v>-0.85572603000000003</v>
      </c>
      <c r="I801">
        <v>-0.75122602999999999</v>
      </c>
      <c r="J801">
        <v>-0.43872602999999999</v>
      </c>
      <c r="K801">
        <v>0.18307397000000003</v>
      </c>
      <c r="L801">
        <v>0.75507396999999998</v>
      </c>
      <c r="M801">
        <v>1.16837397</v>
      </c>
      <c r="N801">
        <v>0</v>
      </c>
      <c r="O801">
        <v>0</v>
      </c>
      <c r="P801">
        <v>0</v>
      </c>
    </row>
    <row r="802" spans="1:16">
      <c r="B802" t="s">
        <v>62</v>
      </c>
      <c r="C802">
        <v>0</v>
      </c>
      <c r="D802">
        <v>0</v>
      </c>
      <c r="E802">
        <v>0</v>
      </c>
      <c r="F802">
        <v>0</v>
      </c>
      <c r="G802">
        <v>0</v>
      </c>
      <c r="H802">
        <v>0</v>
      </c>
      <c r="I802">
        <v>0</v>
      </c>
      <c r="J802">
        <v>0</v>
      </c>
      <c r="K802">
        <v>4.7233084260000009E-2</v>
      </c>
      <c r="L802">
        <v>0.14757599999999998</v>
      </c>
      <c r="M802">
        <v>0.1066314</v>
      </c>
      <c r="N802">
        <v>0</v>
      </c>
      <c r="O802">
        <v>0</v>
      </c>
      <c r="P802">
        <v>0</v>
      </c>
    </row>
    <row r="803" spans="1:16">
      <c r="P803">
        <v>0</v>
      </c>
    </row>
    <row r="804" spans="1:16">
      <c r="B804" t="s">
        <v>49</v>
      </c>
      <c r="C804">
        <v>-6.0698000000000002E-2</v>
      </c>
      <c r="D804">
        <v>-6.5053009999999994E-2</v>
      </c>
      <c r="E804">
        <v>-0.27897502000000002</v>
      </c>
      <c r="F804">
        <v>-0.30100000000000005</v>
      </c>
      <c r="G804">
        <v>-7.4999999999999997E-2</v>
      </c>
      <c r="H804">
        <v>-7.4999999999999997E-2</v>
      </c>
      <c r="I804">
        <v>0.10113020236021894</v>
      </c>
      <c r="J804">
        <v>0.30242285394802315</v>
      </c>
      <c r="K804">
        <v>0.60174889787161856</v>
      </c>
      <c r="L804">
        <v>0.5535547918664615</v>
      </c>
      <c r="M804">
        <v>0.3999723697174975</v>
      </c>
      <c r="N804">
        <v>0.18048595923618022</v>
      </c>
      <c r="O804">
        <v>0</v>
      </c>
      <c r="P804">
        <v>0</v>
      </c>
    </row>
    <row r="805" spans="1:16">
      <c r="B805" t="s">
        <v>63</v>
      </c>
      <c r="C805">
        <v>-6.0698000000000002E-2</v>
      </c>
      <c r="D805">
        <v>-0.12575101</v>
      </c>
      <c r="E805">
        <v>-0.40472603000000001</v>
      </c>
      <c r="F805">
        <v>-0.70572603000000012</v>
      </c>
      <c r="G805">
        <v>-0.78072602999999996</v>
      </c>
      <c r="H805">
        <v>-0.85572603000000003</v>
      </c>
      <c r="I805">
        <v>-0.75459582763978117</v>
      </c>
      <c r="J805">
        <v>-0.45217297369175791</v>
      </c>
      <c r="K805">
        <v>0.14957592417986065</v>
      </c>
      <c r="L805">
        <v>0.70313071604632216</v>
      </c>
      <c r="M805">
        <v>1.1031030857638195</v>
      </c>
      <c r="N805">
        <v>1.2835890449999998</v>
      </c>
      <c r="O805">
        <v>1.2835890449999998</v>
      </c>
      <c r="P805">
        <v>0</v>
      </c>
    </row>
    <row r="806" spans="1:16">
      <c r="B806" t="s">
        <v>62</v>
      </c>
      <c r="C806">
        <v>0</v>
      </c>
      <c r="D806">
        <v>0</v>
      </c>
      <c r="E806">
        <v>0</v>
      </c>
      <c r="F806">
        <v>0</v>
      </c>
      <c r="G806">
        <v>0</v>
      </c>
      <c r="H806">
        <v>0</v>
      </c>
      <c r="I806">
        <v>0</v>
      </c>
      <c r="J806">
        <v>0</v>
      </c>
      <c r="K806">
        <v>3.8590588438404051E-2</v>
      </c>
      <c r="L806">
        <v>0.14281713630154708</v>
      </c>
      <c r="M806">
        <v>0.10319287138711436</v>
      </c>
      <c r="N806">
        <v>4.6565377482934496E-2</v>
      </c>
      <c r="O806">
        <v>0</v>
      </c>
      <c r="P806">
        <v>0</v>
      </c>
    </row>
    <row r="807" spans="1:16">
      <c r="A807" t="s">
        <v>438</v>
      </c>
      <c r="B807" t="s">
        <v>65</v>
      </c>
      <c r="C807">
        <v>-6.0698000000000002E-2</v>
      </c>
      <c r="D807">
        <v>-6.5053009999999994E-2</v>
      </c>
      <c r="E807">
        <v>-0.27897502000000002</v>
      </c>
      <c r="F807">
        <v>-0.30100000000000005</v>
      </c>
      <c r="G807">
        <v>-7.4999999999999997E-2</v>
      </c>
      <c r="H807">
        <v>-7.4999999999999997E-2</v>
      </c>
      <c r="I807">
        <v>0.10113020236021894</v>
      </c>
      <c r="J807">
        <v>0.30242285394802315</v>
      </c>
      <c r="K807">
        <v>0.56315830943321454</v>
      </c>
      <c r="L807">
        <v>0.41073765556491443</v>
      </c>
      <c r="M807">
        <v>0.29677949833038314</v>
      </c>
      <c r="N807">
        <v>0.13392058175324573</v>
      </c>
      <c r="O807">
        <v>0</v>
      </c>
      <c r="P807">
        <v>0</v>
      </c>
    </row>
    <row r="808" spans="1:16">
      <c r="P808">
        <v>0</v>
      </c>
    </row>
    <row r="809" spans="1:16">
      <c r="B809" t="s">
        <v>60</v>
      </c>
      <c r="C809">
        <v>-8.1848000000000004E-2</v>
      </c>
      <c r="D809">
        <v>-0.26245200000000002</v>
      </c>
      <c r="E809">
        <v>-0.23704600000000001</v>
      </c>
      <c r="F809">
        <v>-0.23915399999999992</v>
      </c>
      <c r="G809">
        <v>-0.04</v>
      </c>
      <c r="H809">
        <v>-0.04</v>
      </c>
      <c r="I809">
        <v>0.25219999999999998</v>
      </c>
      <c r="J809">
        <v>0.52529999999999999</v>
      </c>
      <c r="K809">
        <v>0.43630000000000002</v>
      </c>
      <c r="L809">
        <v>0.37280000000000002</v>
      </c>
      <c r="M809">
        <v>0.27529999999999999</v>
      </c>
      <c r="N809">
        <v>0.1585</v>
      </c>
      <c r="O809">
        <v>9.7000000000000003E-2</v>
      </c>
      <c r="P809">
        <v>0</v>
      </c>
    </row>
    <row r="810" spans="1:16">
      <c r="B810" t="s">
        <v>61</v>
      </c>
      <c r="C810">
        <v>-8.1848000000000004E-2</v>
      </c>
      <c r="D810">
        <v>-0.34430000000000005</v>
      </c>
      <c r="E810">
        <v>-0.58134600000000003</v>
      </c>
      <c r="F810">
        <v>-0.82050000000000001</v>
      </c>
      <c r="G810">
        <v>-0.86050000000000004</v>
      </c>
      <c r="H810">
        <v>-0.90049999999999997</v>
      </c>
      <c r="I810">
        <v>-0.6483000000000001</v>
      </c>
      <c r="J810">
        <v>-0.12300000000000012</v>
      </c>
      <c r="K810">
        <v>0.31329999999999991</v>
      </c>
      <c r="L810">
        <v>0.68609999999999993</v>
      </c>
      <c r="M810">
        <v>0.96139999999999992</v>
      </c>
      <c r="N810">
        <v>0</v>
      </c>
      <c r="O810">
        <v>0</v>
      </c>
      <c r="P810">
        <v>0</v>
      </c>
    </row>
    <row r="811" spans="1:16">
      <c r="B811" t="s">
        <v>62</v>
      </c>
      <c r="C811">
        <v>0</v>
      </c>
      <c r="D811">
        <v>0</v>
      </c>
      <c r="E811">
        <v>0</v>
      </c>
      <c r="F811">
        <v>0</v>
      </c>
      <c r="G811">
        <v>0</v>
      </c>
      <c r="H811">
        <v>0</v>
      </c>
      <c r="I811">
        <v>0</v>
      </c>
      <c r="J811">
        <v>0</v>
      </c>
      <c r="K811">
        <v>8.0831399999999984E-2</v>
      </c>
      <c r="L811">
        <v>9.6182400000000001E-2</v>
      </c>
      <c r="M811">
        <v>7.1027400000000004E-2</v>
      </c>
      <c r="N811">
        <v>0</v>
      </c>
      <c r="O811">
        <v>0</v>
      </c>
      <c r="P811">
        <v>0</v>
      </c>
    </row>
    <row r="812" spans="1:16">
      <c r="P812">
        <v>0</v>
      </c>
    </row>
    <row r="813" spans="1:16">
      <c r="B813" t="s">
        <v>49</v>
      </c>
      <c r="C813">
        <v>-8.1848000000000004E-2</v>
      </c>
      <c r="D813">
        <v>-0.26245200000000002</v>
      </c>
      <c r="E813">
        <v>-0.23704600000000001</v>
      </c>
      <c r="F813">
        <v>-0.23915399999999992</v>
      </c>
      <c r="G813">
        <v>-0.04</v>
      </c>
      <c r="H813">
        <v>-0.04</v>
      </c>
      <c r="I813">
        <v>0.24132838622839337</v>
      </c>
      <c r="J813">
        <v>0.50265583380561074</v>
      </c>
      <c r="K813">
        <v>0.4174923668177955</v>
      </c>
      <c r="L813">
        <v>0.35672966846132054</v>
      </c>
      <c r="M813">
        <v>0.26343261192972517</v>
      </c>
      <c r="N813">
        <v>0.15166752266931147</v>
      </c>
      <c r="O813">
        <v>9.2818610087843603E-2</v>
      </c>
      <c r="P813">
        <v>0</v>
      </c>
    </row>
    <row r="814" spans="1:16">
      <c r="B814" t="s">
        <v>63</v>
      </c>
      <c r="C814">
        <v>-8.1848000000000004E-2</v>
      </c>
      <c r="D814">
        <v>-0.34430000000000005</v>
      </c>
      <c r="E814">
        <v>-0.58134600000000003</v>
      </c>
      <c r="F814">
        <v>-0.82050000000000001</v>
      </c>
      <c r="G814">
        <v>-0.86050000000000004</v>
      </c>
      <c r="H814">
        <v>-0.90049999999999997</v>
      </c>
      <c r="I814">
        <v>-0.65917161377160671</v>
      </c>
      <c r="J814">
        <v>-0.15651577996599597</v>
      </c>
      <c r="K814">
        <v>0.26097658685179959</v>
      </c>
      <c r="L814">
        <v>0.61770625531312007</v>
      </c>
      <c r="M814">
        <v>0.88113886724284529</v>
      </c>
      <c r="N814">
        <v>1.0328063899121567</v>
      </c>
      <c r="O814">
        <v>1.1256250000000003</v>
      </c>
      <c r="P814">
        <v>0</v>
      </c>
    </row>
    <row r="815" spans="1:16">
      <c r="B815" t="s">
        <v>62</v>
      </c>
      <c r="C815">
        <v>0</v>
      </c>
      <c r="D815">
        <v>0</v>
      </c>
      <c r="E815">
        <v>0</v>
      </c>
      <c r="F815">
        <v>0</v>
      </c>
      <c r="G815">
        <v>0</v>
      </c>
      <c r="H815">
        <v>0</v>
      </c>
      <c r="I815">
        <v>0</v>
      </c>
      <c r="J815">
        <v>0</v>
      </c>
      <c r="K815">
        <v>6.7331959407764291E-2</v>
      </c>
      <c r="L815">
        <v>9.2036254463020703E-2</v>
      </c>
      <c r="M815">
        <v>6.7965613877869091E-2</v>
      </c>
      <c r="N815">
        <v>3.9130220848682361E-2</v>
      </c>
      <c r="O815">
        <v>2.394720140266365E-2</v>
      </c>
      <c r="P815">
        <v>0</v>
      </c>
    </row>
    <row r="816" spans="1:16">
      <c r="A816" t="s">
        <v>439</v>
      </c>
      <c r="B816" t="s">
        <v>65</v>
      </c>
      <c r="C816">
        <v>-8.1848000000000004E-2</v>
      </c>
      <c r="D816">
        <v>-0.26245200000000002</v>
      </c>
      <c r="E816">
        <v>-0.23704600000000001</v>
      </c>
      <c r="F816">
        <v>-0.23915399999999992</v>
      </c>
      <c r="G816">
        <v>-0.04</v>
      </c>
      <c r="H816">
        <v>-0.04</v>
      </c>
      <c r="I816">
        <v>0.24132838622839337</v>
      </c>
      <c r="J816">
        <v>0.50265583380561074</v>
      </c>
      <c r="K816">
        <v>0.35016040741003129</v>
      </c>
      <c r="L816">
        <v>0.26469341399829982</v>
      </c>
      <c r="M816">
        <v>0.19546699805185608</v>
      </c>
      <c r="N816">
        <v>0.1125373018206291</v>
      </c>
      <c r="O816">
        <v>6.887140868517995E-2</v>
      </c>
      <c r="P816">
        <v>0</v>
      </c>
    </row>
    <row r="817" spans="1:16">
      <c r="P817">
        <v>0</v>
      </c>
    </row>
    <row r="818" spans="1:16">
      <c r="B818" t="s">
        <v>60</v>
      </c>
      <c r="C818">
        <v>-1.3771093613499912E-2</v>
      </c>
      <c r="D818">
        <v>-0.33260588326776525</v>
      </c>
      <c r="E818">
        <v>-0.2586228119185997</v>
      </c>
      <c r="F818">
        <v>0</v>
      </c>
      <c r="G818">
        <v>-0.35</v>
      </c>
      <c r="H818">
        <v>0.113</v>
      </c>
      <c r="I818">
        <v>0.33800000000000002</v>
      </c>
      <c r="J818">
        <v>0.39400000000000002</v>
      </c>
      <c r="K818">
        <v>0.45</v>
      </c>
      <c r="L818">
        <v>0.309</v>
      </c>
      <c r="M818">
        <v>0.27</v>
      </c>
      <c r="N818">
        <v>0.13500000000000001</v>
      </c>
      <c r="O818">
        <v>0</v>
      </c>
      <c r="P818">
        <v>0</v>
      </c>
    </row>
    <row r="819" spans="1:16">
      <c r="B819" t="s">
        <v>61</v>
      </c>
      <c r="C819">
        <v>-1.3771093613499912E-2</v>
      </c>
      <c r="D819">
        <v>-0.34637697688126518</v>
      </c>
      <c r="E819">
        <v>-0.60499978879986482</v>
      </c>
      <c r="F819">
        <v>-0.60499978879986482</v>
      </c>
      <c r="G819">
        <v>-0.9549997887998648</v>
      </c>
      <c r="H819">
        <v>-0.84199978879986481</v>
      </c>
      <c r="I819">
        <v>-0.50399978879986485</v>
      </c>
      <c r="J819">
        <v>-0.10999978879986484</v>
      </c>
      <c r="K819">
        <v>0.34000021120013518</v>
      </c>
      <c r="L819">
        <v>0.64900021120013518</v>
      </c>
      <c r="M819">
        <v>0.9190002112001352</v>
      </c>
      <c r="N819">
        <v>0</v>
      </c>
      <c r="O819">
        <v>0</v>
      </c>
      <c r="P819">
        <v>0</v>
      </c>
    </row>
    <row r="820" spans="1:16">
      <c r="B820" t="s">
        <v>62</v>
      </c>
      <c r="C820">
        <v>0</v>
      </c>
      <c r="D820">
        <v>0</v>
      </c>
      <c r="E820">
        <v>0</v>
      </c>
      <c r="F820">
        <v>0</v>
      </c>
      <c r="G820">
        <v>0</v>
      </c>
      <c r="H820">
        <v>0</v>
      </c>
      <c r="I820">
        <v>0</v>
      </c>
      <c r="J820">
        <v>0</v>
      </c>
      <c r="K820">
        <v>8.772005448963488E-2</v>
      </c>
      <c r="L820">
        <v>7.9722000000000001E-2</v>
      </c>
      <c r="M820">
        <v>6.966E-2</v>
      </c>
      <c r="N820">
        <v>0</v>
      </c>
      <c r="O820">
        <v>0</v>
      </c>
      <c r="P820">
        <v>0</v>
      </c>
    </row>
    <row r="821" spans="1:16">
      <c r="P821">
        <v>0</v>
      </c>
    </row>
    <row r="822" spans="1:16">
      <c r="B822" t="s">
        <v>49</v>
      </c>
      <c r="C822">
        <v>-1.3771093613499912E-2</v>
      </c>
      <c r="D822">
        <v>-0.33260588326776525</v>
      </c>
      <c r="E822">
        <v>-0.2586228119185997</v>
      </c>
      <c r="F822">
        <v>0</v>
      </c>
      <c r="G822">
        <v>-0.35</v>
      </c>
      <c r="H822">
        <v>0.12086047600914168</v>
      </c>
      <c r="I822">
        <v>0.36151186629283089</v>
      </c>
      <c r="J822">
        <v>0.42140732343010462</v>
      </c>
      <c r="K822">
        <v>0.48130278056737841</v>
      </c>
      <c r="L822">
        <v>0.3304945759895998</v>
      </c>
      <c r="M822">
        <v>0.28878166834042707</v>
      </c>
      <c r="N822">
        <v>0.14439083417021353</v>
      </c>
      <c r="O822">
        <v>0</v>
      </c>
      <c r="P822">
        <v>0</v>
      </c>
    </row>
    <row r="823" spans="1:16">
      <c r="B823" t="s">
        <v>63</v>
      </c>
      <c r="C823">
        <v>-1.3771093613499912E-2</v>
      </c>
      <c r="D823">
        <v>-0.34637697688126518</v>
      </c>
      <c r="E823">
        <v>-0.60499978879986482</v>
      </c>
      <c r="F823">
        <v>-0.60499978879986482</v>
      </c>
      <c r="G823">
        <v>-0.9549997887998648</v>
      </c>
      <c r="H823">
        <v>-0.83413931279072306</v>
      </c>
      <c r="I823">
        <v>-0.47262744649789218</v>
      </c>
      <c r="J823">
        <v>-5.122012306778756E-2</v>
      </c>
      <c r="K823">
        <v>0.4300826574995909</v>
      </c>
      <c r="L823">
        <v>0.76057723348919071</v>
      </c>
      <c r="M823">
        <v>1.0493589018296179</v>
      </c>
      <c r="N823">
        <v>1.1937497359998315</v>
      </c>
      <c r="O823">
        <v>1.1937497359998315</v>
      </c>
      <c r="P823">
        <v>0</v>
      </c>
    </row>
    <row r="824" spans="1:16">
      <c r="B824" t="s">
        <v>62</v>
      </c>
      <c r="C824">
        <v>0</v>
      </c>
      <c r="D824">
        <v>0</v>
      </c>
      <c r="E824">
        <v>0</v>
      </c>
      <c r="F824">
        <v>0</v>
      </c>
      <c r="G824">
        <v>0</v>
      </c>
      <c r="H824">
        <v>0</v>
      </c>
      <c r="I824">
        <v>0</v>
      </c>
      <c r="J824">
        <v>0</v>
      </c>
      <c r="K824">
        <v>0.11096132563489444</v>
      </c>
      <c r="L824">
        <v>8.5267600605316754E-2</v>
      </c>
      <c r="M824">
        <v>7.4505670431830179E-2</v>
      </c>
      <c r="N824">
        <v>3.7252835215915089E-2</v>
      </c>
      <c r="O824">
        <v>0</v>
      </c>
      <c r="P824">
        <v>0</v>
      </c>
    </row>
    <row r="825" spans="1:16">
      <c r="A825" t="s">
        <v>440</v>
      </c>
      <c r="B825" t="s">
        <v>65</v>
      </c>
      <c r="C825">
        <v>-1.3771093613499912E-2</v>
      </c>
      <c r="D825">
        <v>-0.33260588326776525</v>
      </c>
      <c r="E825">
        <v>-0.2586228119185997</v>
      </c>
      <c r="F825">
        <v>0</v>
      </c>
      <c r="G825">
        <v>-0.35</v>
      </c>
      <c r="H825">
        <v>0.12086047600914168</v>
      </c>
      <c r="I825">
        <v>0.36151186629283089</v>
      </c>
      <c r="J825">
        <v>0.42140732343010462</v>
      </c>
      <c r="K825">
        <v>0.37034145493248394</v>
      </c>
      <c r="L825">
        <v>0.24522697538428306</v>
      </c>
      <c r="M825">
        <v>0.21427599790859689</v>
      </c>
      <c r="N825">
        <v>0.10713799895429844</v>
      </c>
      <c r="O825">
        <v>0</v>
      </c>
      <c r="P825">
        <v>0</v>
      </c>
    </row>
    <row r="826" spans="1:16">
      <c r="P826">
        <v>0</v>
      </c>
    </row>
    <row r="827" spans="1:16">
      <c r="B827" t="s">
        <v>60</v>
      </c>
      <c r="C827">
        <v>-0.17499999999999999</v>
      </c>
      <c r="D827">
        <v>-0.39</v>
      </c>
      <c r="E827">
        <v>-0.19500000000000009</v>
      </c>
      <c r="F827">
        <v>-7.4999999999999956E-2</v>
      </c>
      <c r="G827">
        <v>-0.10499999999999998</v>
      </c>
      <c r="H827">
        <v>-4.0000000000000029E-2</v>
      </c>
      <c r="I827">
        <v>0.05</v>
      </c>
      <c r="J827">
        <v>0.17499999999999999</v>
      </c>
      <c r="K827">
        <v>0.25</v>
      </c>
      <c r="L827">
        <v>0.3</v>
      </c>
      <c r="M827">
        <v>0.35</v>
      </c>
      <c r="N827">
        <v>0</v>
      </c>
      <c r="O827">
        <v>0</v>
      </c>
      <c r="P827">
        <v>0</v>
      </c>
    </row>
    <row r="828" spans="1:16">
      <c r="B828" t="s">
        <v>61</v>
      </c>
      <c r="C828">
        <v>-0.17499999999999999</v>
      </c>
      <c r="D828">
        <v>-0.56499999999999995</v>
      </c>
      <c r="E828">
        <v>-0.76</v>
      </c>
      <c r="F828">
        <v>-0.83499999999999996</v>
      </c>
      <c r="G828">
        <v>-0.94</v>
      </c>
      <c r="H828">
        <v>-0.98</v>
      </c>
      <c r="I828">
        <v>-0.93</v>
      </c>
      <c r="J828">
        <v>-0.75499999999999989</v>
      </c>
      <c r="K828">
        <v>-0.50499999999999989</v>
      </c>
      <c r="L828">
        <v>-0.2049999999999999</v>
      </c>
      <c r="M828">
        <v>0.14500000000000007</v>
      </c>
      <c r="N828">
        <v>0</v>
      </c>
      <c r="O828">
        <v>0</v>
      </c>
      <c r="P828">
        <v>0</v>
      </c>
    </row>
    <row r="829" spans="1:16">
      <c r="B829" t="s">
        <v>62</v>
      </c>
      <c r="C829">
        <v>0</v>
      </c>
      <c r="D829">
        <v>0</v>
      </c>
      <c r="E829">
        <v>0</v>
      </c>
      <c r="F829">
        <v>0</v>
      </c>
      <c r="G829">
        <v>0</v>
      </c>
      <c r="H829">
        <v>0</v>
      </c>
      <c r="I829">
        <v>0</v>
      </c>
      <c r="J829">
        <v>0</v>
      </c>
      <c r="K829">
        <v>0</v>
      </c>
      <c r="L829">
        <v>0</v>
      </c>
      <c r="M829">
        <v>3.741000000000002E-2</v>
      </c>
      <c r="N829">
        <v>0</v>
      </c>
      <c r="O829">
        <v>0</v>
      </c>
      <c r="P829">
        <v>0</v>
      </c>
    </row>
    <row r="830" spans="1:16">
      <c r="P830">
        <v>0</v>
      </c>
    </row>
    <row r="831" spans="1:16">
      <c r="B831" t="s">
        <v>49</v>
      </c>
      <c r="C831">
        <v>-0.17499999999999999</v>
      </c>
      <c r="D831">
        <v>-0.39</v>
      </c>
      <c r="E831">
        <v>-0.19500000000000009</v>
      </c>
      <c r="F831">
        <v>-7.4999999999999956E-2</v>
      </c>
      <c r="G831">
        <v>-0.10499999999999998</v>
      </c>
      <c r="H831">
        <v>-4.0000000000000029E-2</v>
      </c>
      <c r="I831">
        <v>0.1088888888888889</v>
      </c>
      <c r="J831">
        <v>0.38111111111111112</v>
      </c>
      <c r="K831">
        <v>0.54444444444444451</v>
      </c>
      <c r="L831">
        <v>0.65333333333333332</v>
      </c>
      <c r="M831">
        <v>0.76222222222222225</v>
      </c>
      <c r="N831">
        <v>0</v>
      </c>
      <c r="O831">
        <v>0</v>
      </c>
      <c r="P831">
        <v>0</v>
      </c>
    </row>
    <row r="832" spans="1:16">
      <c r="B832" t="s">
        <v>63</v>
      </c>
      <c r="C832">
        <v>-0.17499999999999999</v>
      </c>
      <c r="D832">
        <v>-0.56499999999999995</v>
      </c>
      <c r="E832">
        <v>-0.76</v>
      </c>
      <c r="F832">
        <v>-0.83499999999999996</v>
      </c>
      <c r="G832">
        <v>-0.94</v>
      </c>
      <c r="H832">
        <v>-0.98</v>
      </c>
      <c r="I832">
        <v>-0.87111111111111106</v>
      </c>
      <c r="J832">
        <v>-0.48999999999999994</v>
      </c>
      <c r="K832">
        <v>5.4444444444444573E-2</v>
      </c>
      <c r="L832">
        <v>0.70777777777777784</v>
      </c>
      <c r="M832">
        <v>1.4700000000000002</v>
      </c>
      <c r="N832">
        <v>1.4700000000000002</v>
      </c>
      <c r="O832">
        <v>1.4700000000000002</v>
      </c>
      <c r="P832">
        <v>0</v>
      </c>
    </row>
    <row r="833" spans="1:16">
      <c r="B833" t="s">
        <v>62</v>
      </c>
      <c r="C833">
        <v>0</v>
      </c>
      <c r="D833">
        <v>0</v>
      </c>
      <c r="E833">
        <v>0</v>
      </c>
      <c r="F833">
        <v>0</v>
      </c>
      <c r="G833">
        <v>0</v>
      </c>
      <c r="H833">
        <v>0</v>
      </c>
      <c r="I833">
        <v>0</v>
      </c>
      <c r="J833">
        <v>0</v>
      </c>
      <c r="K833">
        <v>1.40466666666667E-2</v>
      </c>
      <c r="L833">
        <v>0.16856000000000002</v>
      </c>
      <c r="M833">
        <v>0.19665333333333335</v>
      </c>
      <c r="N833">
        <v>0</v>
      </c>
      <c r="O833">
        <v>0</v>
      </c>
      <c r="P833">
        <v>0</v>
      </c>
    </row>
    <row r="834" spans="1:16">
      <c r="A834" t="s">
        <v>441</v>
      </c>
      <c r="B834" t="s">
        <v>65</v>
      </c>
      <c r="C834">
        <v>-0.17499999999999999</v>
      </c>
      <c r="D834">
        <v>-0.39</v>
      </c>
      <c r="E834">
        <v>-0.19500000000000009</v>
      </c>
      <c r="F834">
        <v>-7.4999999999999956E-2</v>
      </c>
      <c r="G834">
        <v>-0.10499999999999998</v>
      </c>
      <c r="H834">
        <v>-4.0000000000000029E-2</v>
      </c>
      <c r="I834">
        <v>0.1088888888888889</v>
      </c>
      <c r="J834">
        <v>0.38111111111111112</v>
      </c>
      <c r="K834">
        <v>0.53039777777777786</v>
      </c>
      <c r="L834">
        <v>0.48477333333333328</v>
      </c>
      <c r="M834">
        <v>0.5655688888888889</v>
      </c>
      <c r="N834">
        <v>0</v>
      </c>
      <c r="O834">
        <v>0</v>
      </c>
      <c r="P834">
        <v>0</v>
      </c>
    </row>
    <row r="835" spans="1:16">
      <c r="P835">
        <v>0</v>
      </c>
    </row>
    <row r="836" spans="1:16">
      <c r="B836" t="s">
        <v>60</v>
      </c>
      <c r="C836">
        <v>-0.2</v>
      </c>
      <c r="D836">
        <v>-4.9999999999999767E-3</v>
      </c>
      <c r="E836">
        <v>-7.9999999999999988E-2</v>
      </c>
      <c r="F836">
        <v>-0.32499999999999996</v>
      </c>
      <c r="G836">
        <v>-0.17</v>
      </c>
      <c r="H836">
        <v>-0.17</v>
      </c>
      <c r="I836">
        <v>0.05</v>
      </c>
      <c r="J836">
        <v>0.17499999999999999</v>
      </c>
      <c r="K836">
        <v>0.25</v>
      </c>
      <c r="L836">
        <v>0.3</v>
      </c>
      <c r="M836">
        <v>0.35</v>
      </c>
      <c r="N836">
        <v>0</v>
      </c>
      <c r="O836">
        <v>0</v>
      </c>
      <c r="P836">
        <v>0</v>
      </c>
    </row>
    <row r="837" spans="1:16">
      <c r="B837" t="s">
        <v>61</v>
      </c>
      <c r="C837">
        <v>-0.2</v>
      </c>
      <c r="D837">
        <v>-0.20499999999999999</v>
      </c>
      <c r="E837">
        <v>-0.28499999999999998</v>
      </c>
      <c r="F837">
        <v>-0.60999999999999988</v>
      </c>
      <c r="G837">
        <v>-0.78</v>
      </c>
      <c r="H837">
        <v>-0.95</v>
      </c>
      <c r="I837">
        <v>-0.8999999999999998</v>
      </c>
      <c r="J837">
        <v>-0.72499999999999987</v>
      </c>
      <c r="K837">
        <v>-0.47499999999999987</v>
      </c>
      <c r="L837">
        <v>-0.17499999999999988</v>
      </c>
      <c r="M837">
        <v>0.1750000000000001</v>
      </c>
      <c r="N837">
        <v>0</v>
      </c>
      <c r="O837">
        <v>0</v>
      </c>
      <c r="P837">
        <v>0</v>
      </c>
    </row>
    <row r="838" spans="1:16">
      <c r="B838" t="s">
        <v>62</v>
      </c>
      <c r="C838">
        <v>0</v>
      </c>
      <c r="D838">
        <v>0</v>
      </c>
      <c r="E838">
        <v>0</v>
      </c>
      <c r="F838">
        <v>0</v>
      </c>
      <c r="G838">
        <v>0</v>
      </c>
      <c r="H838">
        <v>0</v>
      </c>
      <c r="I838">
        <v>0</v>
      </c>
      <c r="J838">
        <v>0</v>
      </c>
      <c r="K838">
        <v>0</v>
      </c>
      <c r="L838">
        <v>0</v>
      </c>
      <c r="M838">
        <v>4.515000000000003E-2</v>
      </c>
      <c r="N838">
        <v>0</v>
      </c>
      <c r="O838">
        <v>0</v>
      </c>
      <c r="P838">
        <v>0</v>
      </c>
    </row>
    <row r="839" spans="1:16">
      <c r="P839">
        <v>0</v>
      </c>
    </row>
    <row r="840" spans="1:16">
      <c r="B840" t="s">
        <v>49</v>
      </c>
      <c r="C840">
        <v>-0.2</v>
      </c>
      <c r="D840">
        <v>-4.9999999999999767E-3</v>
      </c>
      <c r="E840">
        <v>-7.9999999999999988E-2</v>
      </c>
      <c r="F840">
        <v>-0.32499999999999996</v>
      </c>
      <c r="G840">
        <v>-0.17</v>
      </c>
      <c r="H840">
        <v>-0.17</v>
      </c>
      <c r="I840">
        <v>0.10555555555555556</v>
      </c>
      <c r="J840">
        <v>0.36944444444444446</v>
      </c>
      <c r="K840">
        <v>0.52777777777777779</v>
      </c>
      <c r="L840">
        <v>0.6333333333333333</v>
      </c>
      <c r="M840">
        <v>0.73888888888888893</v>
      </c>
      <c r="N840">
        <v>0</v>
      </c>
      <c r="O840">
        <v>0</v>
      </c>
      <c r="P840">
        <v>0</v>
      </c>
    </row>
    <row r="841" spans="1:16">
      <c r="B841" t="s">
        <v>63</v>
      </c>
      <c r="C841">
        <v>-0.2</v>
      </c>
      <c r="D841">
        <v>-0.20499999999999999</v>
      </c>
      <c r="E841">
        <v>-0.28499999999999998</v>
      </c>
      <c r="F841">
        <v>-0.60999999999999988</v>
      </c>
      <c r="G841">
        <v>-0.78</v>
      </c>
      <c r="H841">
        <v>-0.95</v>
      </c>
      <c r="I841">
        <v>-0.84444444444444444</v>
      </c>
      <c r="J841">
        <v>-0.47499999999999998</v>
      </c>
      <c r="K841">
        <v>5.2777777777777805E-2</v>
      </c>
      <c r="L841">
        <v>0.68611111111111112</v>
      </c>
      <c r="M841">
        <v>1.425</v>
      </c>
      <c r="N841">
        <v>1.425</v>
      </c>
      <c r="O841">
        <v>1.425</v>
      </c>
      <c r="P841">
        <v>0</v>
      </c>
    </row>
    <row r="842" spans="1:16">
      <c r="B842" t="s">
        <v>62</v>
      </c>
      <c r="C842">
        <v>0</v>
      </c>
      <c r="D842">
        <v>0</v>
      </c>
      <c r="E842">
        <v>0</v>
      </c>
      <c r="F842">
        <v>0</v>
      </c>
      <c r="G842">
        <v>0</v>
      </c>
      <c r="H842">
        <v>0</v>
      </c>
      <c r="I842">
        <v>0</v>
      </c>
      <c r="J842">
        <v>0</v>
      </c>
      <c r="K842">
        <v>1.3616666666666676E-2</v>
      </c>
      <c r="L842">
        <v>0.16339999999999999</v>
      </c>
      <c r="M842">
        <v>0.19063333333333335</v>
      </c>
      <c r="N842">
        <v>0</v>
      </c>
      <c r="O842">
        <v>0</v>
      </c>
      <c r="P842">
        <v>0</v>
      </c>
    </row>
    <row r="843" spans="1:16">
      <c r="A843" t="s">
        <v>442</v>
      </c>
      <c r="B843" t="s">
        <v>65</v>
      </c>
      <c r="C843">
        <v>-0.2</v>
      </c>
      <c r="D843">
        <v>-4.9999999999999767E-3</v>
      </c>
      <c r="E843">
        <v>-7.9999999999999988E-2</v>
      </c>
      <c r="F843">
        <v>-0.32499999999999996</v>
      </c>
      <c r="G843">
        <v>-0.17</v>
      </c>
      <c r="H843">
        <v>-0.17</v>
      </c>
      <c r="I843">
        <v>0.10555555555555556</v>
      </c>
      <c r="J843">
        <v>0.36944444444444446</v>
      </c>
      <c r="K843">
        <v>0.51416111111111107</v>
      </c>
      <c r="L843">
        <v>0.46993333333333331</v>
      </c>
      <c r="M843">
        <v>0.54825555555555561</v>
      </c>
      <c r="N843">
        <v>0</v>
      </c>
      <c r="O843">
        <v>0</v>
      </c>
      <c r="P843">
        <v>0</v>
      </c>
    </row>
    <row r="844" spans="1:16">
      <c r="P844">
        <v>0</v>
      </c>
    </row>
    <row r="845" spans="1:16">
      <c r="P845">
        <v>0</v>
      </c>
    </row>
    <row r="846" spans="1:16">
      <c r="P846">
        <v>0</v>
      </c>
    </row>
    <row r="847" spans="1:16">
      <c r="C847">
        <v>0</v>
      </c>
      <c r="D847">
        <v>0</v>
      </c>
      <c r="E847">
        <v>0</v>
      </c>
      <c r="F847">
        <v>0</v>
      </c>
      <c r="G847">
        <v>0</v>
      </c>
      <c r="H847">
        <v>0</v>
      </c>
      <c r="I847">
        <v>0</v>
      </c>
      <c r="J847">
        <v>0</v>
      </c>
      <c r="K847">
        <v>1.3616666666666676E-2</v>
      </c>
      <c r="L847">
        <v>0.16339999999999999</v>
      </c>
      <c r="M847">
        <v>0.19063333333333335</v>
      </c>
      <c r="N847">
        <v>0</v>
      </c>
      <c r="O847">
        <v>0</v>
      </c>
      <c r="P847">
        <v>0</v>
      </c>
    </row>
    <row r="848" spans="1:16">
      <c r="A848" t="s">
        <v>443</v>
      </c>
      <c r="B848" t="s">
        <v>65</v>
      </c>
      <c r="C848">
        <v>-1</v>
      </c>
      <c r="D848">
        <v>0</v>
      </c>
      <c r="E848">
        <v>0</v>
      </c>
      <c r="F848">
        <v>8.4572683844817531E-2</v>
      </c>
      <c r="G848">
        <v>0.18816918066010424</v>
      </c>
      <c r="H848">
        <v>0.31060240301100173</v>
      </c>
      <c r="I848">
        <v>0.35908267226404172</v>
      </c>
      <c r="J848">
        <v>0.24322304574406484</v>
      </c>
      <c r="K848">
        <v>0.1421540098436595</v>
      </c>
      <c r="L848">
        <v>0.13558041401273885</v>
      </c>
      <c r="M848">
        <v>4.0263274464389112E-2</v>
      </c>
      <c r="P848">
        <v>0</v>
      </c>
    </row>
    <row r="849" spans="16:16">
      <c r="P849">
        <v>0</v>
      </c>
    </row>
    <row r="850" spans="16:16">
      <c r="P850">
        <v>0</v>
      </c>
    </row>
    <row r="851" spans="16:16">
      <c r="P851">
        <v>0</v>
      </c>
    </row>
    <row r="852" spans="16:16">
      <c r="P852">
        <v>0</v>
      </c>
    </row>
    <row r="853" spans="16:16">
      <c r="P853">
        <v>0</v>
      </c>
    </row>
    <row r="854" spans="16:16">
      <c r="P854">
        <v>0</v>
      </c>
    </row>
    <row r="855" spans="16:16">
      <c r="P855">
        <v>0</v>
      </c>
    </row>
    <row r="856" spans="16:16">
      <c r="P856">
        <v>0</v>
      </c>
    </row>
    <row r="857" spans="16:16">
      <c r="P857">
        <v>0</v>
      </c>
    </row>
    <row r="858" spans="16:16">
      <c r="P858">
        <v>0</v>
      </c>
    </row>
    <row r="859" spans="16:16">
      <c r="P859">
        <v>0</v>
      </c>
    </row>
    <row r="860" spans="16:16">
      <c r="P860">
        <v>0</v>
      </c>
    </row>
    <row r="861" spans="16:16">
      <c r="P861">
        <v>0</v>
      </c>
    </row>
    <row r="862" spans="16:16">
      <c r="P862">
        <v>0</v>
      </c>
    </row>
    <row r="863" spans="16:16">
      <c r="P863">
        <v>0</v>
      </c>
    </row>
    <row r="864" spans="16:16">
      <c r="P864">
        <v>0</v>
      </c>
    </row>
    <row r="865" spans="16:16">
      <c r="P865">
        <v>0</v>
      </c>
    </row>
    <row r="866" spans="16:16">
      <c r="P866">
        <v>0</v>
      </c>
    </row>
    <row r="867" spans="16:16">
      <c r="P867">
        <v>0</v>
      </c>
    </row>
    <row r="868" spans="16:16">
      <c r="P868">
        <v>0</v>
      </c>
    </row>
    <row r="869" spans="16:16">
      <c r="P869">
        <v>0</v>
      </c>
    </row>
    <row r="870" spans="16:16">
      <c r="P870">
        <v>0</v>
      </c>
    </row>
    <row r="871" spans="16:16">
      <c r="P871">
        <v>0</v>
      </c>
    </row>
    <row r="872" spans="16:16">
      <c r="P872">
        <v>0</v>
      </c>
    </row>
    <row r="873" spans="16:16">
      <c r="P873">
        <v>0</v>
      </c>
    </row>
    <row r="874" spans="16:16">
      <c r="P874">
        <v>0</v>
      </c>
    </row>
    <row r="875" spans="16:16">
      <c r="P875">
        <v>0</v>
      </c>
    </row>
    <row r="876" spans="16:16">
      <c r="P876">
        <v>0</v>
      </c>
    </row>
    <row r="877" spans="16:16">
      <c r="P877">
        <v>0</v>
      </c>
    </row>
    <row r="878" spans="16:16">
      <c r="P878">
        <v>0</v>
      </c>
    </row>
    <row r="879" spans="16:16">
      <c r="P879">
        <v>0</v>
      </c>
    </row>
    <row r="880" spans="16:16">
      <c r="P880">
        <v>0</v>
      </c>
    </row>
    <row r="881" spans="16:16">
      <c r="P881">
        <v>0</v>
      </c>
    </row>
    <row r="882" spans="16:16">
      <c r="P882">
        <v>0</v>
      </c>
    </row>
    <row r="883" spans="16:16">
      <c r="P883">
        <v>0</v>
      </c>
    </row>
    <row r="884" spans="16:16">
      <c r="P884">
        <v>0</v>
      </c>
    </row>
    <row r="885" spans="16:16">
      <c r="P885">
        <v>0</v>
      </c>
    </row>
    <row r="886" spans="16:16">
      <c r="P886">
        <v>0</v>
      </c>
    </row>
    <row r="887" spans="16:16">
      <c r="P887">
        <v>0</v>
      </c>
    </row>
    <row r="888" spans="16:16">
      <c r="P888">
        <v>0</v>
      </c>
    </row>
    <row r="889" spans="16:16">
      <c r="P889">
        <v>0</v>
      </c>
    </row>
    <row r="890" spans="16:16">
      <c r="P890">
        <v>0</v>
      </c>
    </row>
    <row r="891" spans="16:16">
      <c r="P891">
        <v>0</v>
      </c>
    </row>
    <row r="892" spans="16:16">
      <c r="P892">
        <v>0</v>
      </c>
    </row>
    <row r="893" spans="16:16">
      <c r="P893">
        <v>0</v>
      </c>
    </row>
    <row r="894" spans="16:16">
      <c r="P894">
        <v>0</v>
      </c>
    </row>
    <row r="895" spans="16:16">
      <c r="P895">
        <v>0</v>
      </c>
    </row>
    <row r="896" spans="16:16">
      <c r="P896">
        <v>0</v>
      </c>
    </row>
    <row r="897" spans="16:16">
      <c r="P897">
        <v>0</v>
      </c>
    </row>
    <row r="898" spans="16:16">
      <c r="P898">
        <v>0</v>
      </c>
    </row>
    <row r="899" spans="16:16">
      <c r="P899">
        <v>0</v>
      </c>
    </row>
    <row r="900" spans="16:16">
      <c r="P900">
        <v>0</v>
      </c>
    </row>
    <row r="901" spans="16:16">
      <c r="P901">
        <v>0</v>
      </c>
    </row>
    <row r="902" spans="16:16">
      <c r="P902">
        <v>0</v>
      </c>
    </row>
    <row r="903" spans="16:16">
      <c r="P903">
        <v>0</v>
      </c>
    </row>
    <row r="904" spans="16:16">
      <c r="P904">
        <v>0</v>
      </c>
    </row>
    <row r="905" spans="16:16">
      <c r="P905">
        <v>0</v>
      </c>
    </row>
    <row r="906" spans="16:16">
      <c r="P906">
        <v>0</v>
      </c>
    </row>
    <row r="907" spans="16:16">
      <c r="P907">
        <v>0</v>
      </c>
    </row>
    <row r="908" spans="16:16">
      <c r="P908">
        <v>0</v>
      </c>
    </row>
    <row r="909" spans="16:16">
      <c r="P909">
        <v>0</v>
      </c>
    </row>
    <row r="910" spans="16:16">
      <c r="P910">
        <v>0</v>
      </c>
    </row>
    <row r="911" spans="16:16">
      <c r="P911">
        <v>0</v>
      </c>
    </row>
    <row r="912" spans="16:16">
      <c r="P912">
        <v>0</v>
      </c>
    </row>
    <row r="913" spans="16:16">
      <c r="P913">
        <v>0</v>
      </c>
    </row>
    <row r="914" spans="16:16">
      <c r="P914">
        <v>0</v>
      </c>
    </row>
    <row r="915" spans="16:16">
      <c r="P915">
        <v>0</v>
      </c>
    </row>
    <row r="916" spans="16:16">
      <c r="P916">
        <v>0</v>
      </c>
    </row>
    <row r="917" spans="16:16">
      <c r="P917">
        <v>0</v>
      </c>
    </row>
    <row r="918" spans="16:16">
      <c r="P918">
        <v>0</v>
      </c>
    </row>
    <row r="919" spans="16:16">
      <c r="P919">
        <v>0</v>
      </c>
    </row>
    <row r="920" spans="16:16">
      <c r="P920">
        <v>0</v>
      </c>
    </row>
    <row r="921" spans="16:16">
      <c r="P921">
        <v>0</v>
      </c>
    </row>
    <row r="922" spans="16:16">
      <c r="P922">
        <v>0</v>
      </c>
    </row>
    <row r="923" spans="16:16">
      <c r="P923">
        <v>0</v>
      </c>
    </row>
    <row r="924" spans="16:16">
      <c r="P924">
        <v>0</v>
      </c>
    </row>
    <row r="925" spans="16:16">
      <c r="P925">
        <v>0</v>
      </c>
    </row>
    <row r="926" spans="16:16">
      <c r="P926">
        <v>0</v>
      </c>
    </row>
    <row r="927" spans="16:16">
      <c r="P927">
        <v>0</v>
      </c>
    </row>
    <row r="928" spans="16:16">
      <c r="P928">
        <v>0</v>
      </c>
    </row>
    <row r="929" spans="16:16">
      <c r="P929">
        <v>0</v>
      </c>
    </row>
    <row r="930" spans="16:16">
      <c r="P930">
        <v>0</v>
      </c>
    </row>
    <row r="931" spans="16:16">
      <c r="P931">
        <v>0</v>
      </c>
    </row>
    <row r="932" spans="16:16">
      <c r="P932">
        <v>0</v>
      </c>
    </row>
    <row r="933" spans="16:16">
      <c r="P933">
        <v>0</v>
      </c>
    </row>
    <row r="934" spans="16:16">
      <c r="P934">
        <v>0</v>
      </c>
    </row>
    <row r="935" spans="16:16">
      <c r="P935">
        <v>0</v>
      </c>
    </row>
    <row r="936" spans="16:16">
      <c r="P936">
        <v>0</v>
      </c>
    </row>
    <row r="937" spans="16:16">
      <c r="P937">
        <v>0</v>
      </c>
    </row>
    <row r="938" spans="16:16">
      <c r="P938">
        <v>0</v>
      </c>
    </row>
    <row r="939" spans="16:16">
      <c r="P939">
        <v>0</v>
      </c>
    </row>
    <row r="940" spans="16:16">
      <c r="P940">
        <v>0</v>
      </c>
    </row>
    <row r="941" spans="16:16">
      <c r="P941">
        <v>0</v>
      </c>
    </row>
    <row r="942" spans="16:16">
      <c r="P942">
        <v>0</v>
      </c>
    </row>
    <row r="943" spans="16:16">
      <c r="P943">
        <v>0</v>
      </c>
    </row>
    <row r="944" spans="16:16">
      <c r="P944">
        <v>0</v>
      </c>
    </row>
    <row r="945" spans="16:16">
      <c r="P945">
        <v>0</v>
      </c>
    </row>
    <row r="946" spans="16:16">
      <c r="P946">
        <v>0</v>
      </c>
    </row>
    <row r="947" spans="16:16">
      <c r="P947">
        <v>0</v>
      </c>
    </row>
    <row r="948" spans="16:16">
      <c r="P948">
        <v>0</v>
      </c>
    </row>
    <row r="949" spans="16:16">
      <c r="P949">
        <v>0</v>
      </c>
    </row>
    <row r="950" spans="16:16">
      <c r="P950">
        <v>0</v>
      </c>
    </row>
    <row r="951" spans="16:16">
      <c r="P951">
        <v>0</v>
      </c>
    </row>
    <row r="952" spans="16:16">
      <c r="P952">
        <v>0</v>
      </c>
    </row>
    <row r="953" spans="16:16">
      <c r="P953">
        <v>0</v>
      </c>
    </row>
    <row r="954" spans="16:16">
      <c r="P954">
        <v>0</v>
      </c>
    </row>
    <row r="955" spans="16:16">
      <c r="P955">
        <v>0</v>
      </c>
    </row>
    <row r="956" spans="16:16">
      <c r="P956">
        <v>0</v>
      </c>
    </row>
    <row r="957" spans="16:16">
      <c r="P957">
        <v>0</v>
      </c>
    </row>
    <row r="958" spans="16:16">
      <c r="P958">
        <v>0</v>
      </c>
    </row>
    <row r="959" spans="16:16">
      <c r="P959">
        <v>0</v>
      </c>
    </row>
    <row r="960" spans="16:16">
      <c r="P960">
        <v>0</v>
      </c>
    </row>
    <row r="961" spans="16:16">
      <c r="P961">
        <v>0</v>
      </c>
    </row>
    <row r="962" spans="16:16">
      <c r="P962">
        <v>0</v>
      </c>
    </row>
    <row r="963" spans="16:16">
      <c r="P963">
        <v>0</v>
      </c>
    </row>
    <row r="964" spans="16:16">
      <c r="P964">
        <v>0</v>
      </c>
    </row>
    <row r="965" spans="16:16">
      <c r="P965">
        <v>0</v>
      </c>
    </row>
    <row r="966" spans="16:16">
      <c r="P966">
        <v>0</v>
      </c>
    </row>
    <row r="967" spans="16:16">
      <c r="P967">
        <v>0</v>
      </c>
    </row>
    <row r="968" spans="16:16">
      <c r="P968">
        <v>0</v>
      </c>
    </row>
    <row r="969" spans="16:16">
      <c r="P969">
        <v>0</v>
      </c>
    </row>
    <row r="970" spans="16:16">
      <c r="P970">
        <v>0</v>
      </c>
    </row>
    <row r="971" spans="16:16">
      <c r="P971">
        <v>0</v>
      </c>
    </row>
    <row r="972" spans="16:16">
      <c r="P972">
        <v>0</v>
      </c>
    </row>
    <row r="973" spans="16:16">
      <c r="P973">
        <v>0</v>
      </c>
    </row>
    <row r="974" spans="16:16">
      <c r="P974">
        <v>0</v>
      </c>
    </row>
    <row r="975" spans="16:16">
      <c r="P975">
        <v>0</v>
      </c>
    </row>
    <row r="976" spans="16:16">
      <c r="P976">
        <v>0</v>
      </c>
    </row>
    <row r="977" spans="16:16">
      <c r="P977">
        <v>0</v>
      </c>
    </row>
    <row r="978" spans="16:16">
      <c r="P978">
        <v>0</v>
      </c>
    </row>
    <row r="979" spans="16:16">
      <c r="P979">
        <v>0</v>
      </c>
    </row>
    <row r="980" spans="16:16">
      <c r="P980">
        <v>0</v>
      </c>
    </row>
    <row r="981" spans="16:16">
      <c r="P981">
        <v>0</v>
      </c>
    </row>
    <row r="982" spans="16:16">
      <c r="P982">
        <v>0</v>
      </c>
    </row>
    <row r="983" spans="16:16">
      <c r="P983">
        <v>0</v>
      </c>
    </row>
    <row r="984" spans="16:16">
      <c r="P984">
        <v>0</v>
      </c>
    </row>
    <row r="985" spans="16:16">
      <c r="P985">
        <v>0</v>
      </c>
    </row>
    <row r="986" spans="16:16">
      <c r="P986">
        <v>0</v>
      </c>
    </row>
    <row r="987" spans="16:16">
      <c r="P987">
        <v>0</v>
      </c>
    </row>
    <row r="988" spans="16:16">
      <c r="P988">
        <v>0</v>
      </c>
    </row>
    <row r="989" spans="16:16">
      <c r="P989">
        <v>0</v>
      </c>
    </row>
    <row r="990" spans="16:16">
      <c r="P990">
        <v>0</v>
      </c>
    </row>
    <row r="991" spans="16:16">
      <c r="P991">
        <v>0</v>
      </c>
    </row>
    <row r="992" spans="16:16">
      <c r="P992">
        <v>0</v>
      </c>
    </row>
    <row r="993" spans="16:16">
      <c r="P993">
        <v>0</v>
      </c>
    </row>
    <row r="994" spans="16:16">
      <c r="P994">
        <v>0</v>
      </c>
    </row>
    <row r="995" spans="16:16">
      <c r="P995">
        <v>0</v>
      </c>
    </row>
    <row r="996" spans="16:16">
      <c r="P996">
        <v>0</v>
      </c>
    </row>
    <row r="997" spans="16:16">
      <c r="P997">
        <v>0</v>
      </c>
    </row>
    <row r="998" spans="16:16">
      <c r="P998">
        <v>0</v>
      </c>
    </row>
    <row r="999" spans="16:16">
      <c r="P999">
        <v>0</v>
      </c>
    </row>
    <row r="1000" spans="16:16">
      <c r="P1000">
        <v>0</v>
      </c>
    </row>
    <row r="1001" spans="16:16">
      <c r="P1001">
        <v>0</v>
      </c>
    </row>
    <row r="1002" spans="16:16">
      <c r="P1002">
        <v>0</v>
      </c>
    </row>
    <row r="1003" spans="16:16">
      <c r="P1003">
        <v>0</v>
      </c>
    </row>
    <row r="1004" spans="16:16">
      <c r="P1004">
        <v>0</v>
      </c>
    </row>
    <row r="1005" spans="16:16">
      <c r="P1005">
        <v>0</v>
      </c>
    </row>
    <row r="1006" spans="16:16">
      <c r="P1006">
        <v>0</v>
      </c>
    </row>
    <row r="1007" spans="16:16">
      <c r="P1007">
        <v>0</v>
      </c>
    </row>
    <row r="1008" spans="16:16">
      <c r="P1008">
        <v>0</v>
      </c>
    </row>
    <row r="1009" spans="16:16">
      <c r="P1009">
        <v>0</v>
      </c>
    </row>
    <row r="1010" spans="16:16">
      <c r="P1010">
        <v>0</v>
      </c>
    </row>
    <row r="1011" spans="16:16">
      <c r="P1011">
        <v>0</v>
      </c>
    </row>
    <row r="1012" spans="16:16">
      <c r="P1012">
        <v>0</v>
      </c>
    </row>
    <row r="1013" spans="16:16">
      <c r="P1013">
        <v>0</v>
      </c>
    </row>
    <row r="1014" spans="16:16">
      <c r="P1014">
        <v>0</v>
      </c>
    </row>
    <row r="1015" spans="16:16">
      <c r="P1015">
        <v>0</v>
      </c>
    </row>
    <row r="1016" spans="16:16">
      <c r="P1016">
        <v>0</v>
      </c>
    </row>
    <row r="1017" spans="16:16">
      <c r="P1017">
        <v>0</v>
      </c>
    </row>
    <row r="1018" spans="16:16">
      <c r="P1018">
        <v>0</v>
      </c>
    </row>
    <row r="1019" spans="16:16">
      <c r="P1019">
        <v>0</v>
      </c>
    </row>
    <row r="1020" spans="16:16">
      <c r="P1020">
        <v>0</v>
      </c>
    </row>
    <row r="1021" spans="16:16">
      <c r="P1021">
        <v>0</v>
      </c>
    </row>
    <row r="1022" spans="16:16">
      <c r="P1022">
        <v>0</v>
      </c>
    </row>
    <row r="1023" spans="16:16">
      <c r="P1023">
        <v>0</v>
      </c>
    </row>
    <row r="1024" spans="16:16">
      <c r="P1024">
        <v>0</v>
      </c>
    </row>
    <row r="1025" spans="16:16">
      <c r="P1025">
        <v>0</v>
      </c>
    </row>
    <row r="1026" spans="16:16">
      <c r="P1026">
        <v>0</v>
      </c>
    </row>
    <row r="1027" spans="16:16">
      <c r="P1027">
        <v>0</v>
      </c>
    </row>
    <row r="1028" spans="16:16">
      <c r="P1028">
        <v>0</v>
      </c>
    </row>
    <row r="1029" spans="16:16">
      <c r="P1029">
        <v>0</v>
      </c>
    </row>
    <row r="1030" spans="16:16">
      <c r="P1030">
        <v>0</v>
      </c>
    </row>
    <row r="1031" spans="16:16">
      <c r="P1031">
        <v>0</v>
      </c>
    </row>
    <row r="1032" spans="16:16">
      <c r="P1032">
        <v>0</v>
      </c>
    </row>
    <row r="1033" spans="16:16">
      <c r="P1033">
        <v>0</v>
      </c>
    </row>
    <row r="1034" spans="16:16">
      <c r="P1034">
        <v>0</v>
      </c>
    </row>
    <row r="1035" spans="16:16">
      <c r="P1035">
        <v>0</v>
      </c>
    </row>
    <row r="1036" spans="16:16">
      <c r="P1036">
        <v>0</v>
      </c>
    </row>
    <row r="1037" spans="16:16">
      <c r="P1037">
        <v>0</v>
      </c>
    </row>
    <row r="1038" spans="16:16">
      <c r="P1038">
        <v>0</v>
      </c>
    </row>
    <row r="1039" spans="16:16">
      <c r="P1039">
        <v>0</v>
      </c>
    </row>
    <row r="1040" spans="16:16">
      <c r="P1040">
        <v>0</v>
      </c>
    </row>
    <row r="1041" spans="16:16">
      <c r="P1041">
        <v>0</v>
      </c>
    </row>
    <row r="1042" spans="16:16">
      <c r="P1042">
        <v>0</v>
      </c>
    </row>
    <row r="1043" spans="16:16">
      <c r="P1043">
        <v>0</v>
      </c>
    </row>
    <row r="1044" spans="16:16">
      <c r="P1044">
        <v>0</v>
      </c>
    </row>
    <row r="1045" spans="16:16">
      <c r="P1045">
        <v>0</v>
      </c>
    </row>
    <row r="1046" spans="16:16">
      <c r="P1046">
        <v>0</v>
      </c>
    </row>
    <row r="1047" spans="16:16">
      <c r="P1047">
        <v>0</v>
      </c>
    </row>
    <row r="1048" spans="16:16">
      <c r="P1048">
        <v>0</v>
      </c>
    </row>
    <row r="1049" spans="16:16">
      <c r="P1049">
        <v>0</v>
      </c>
    </row>
    <row r="1050" spans="16:16">
      <c r="P1050">
        <v>0</v>
      </c>
    </row>
    <row r="1051" spans="16:16">
      <c r="P1051">
        <v>0</v>
      </c>
    </row>
    <row r="1052" spans="16:16">
      <c r="P1052">
        <v>0</v>
      </c>
    </row>
    <row r="1053" spans="16:16">
      <c r="P1053">
        <v>0</v>
      </c>
    </row>
    <row r="1054" spans="16:16">
      <c r="P1054">
        <v>0</v>
      </c>
    </row>
    <row r="1055" spans="16:16">
      <c r="P1055">
        <v>0</v>
      </c>
    </row>
    <row r="1056" spans="16:16">
      <c r="P1056">
        <v>0</v>
      </c>
    </row>
    <row r="1057" spans="16:16">
      <c r="P1057">
        <v>0</v>
      </c>
    </row>
    <row r="1058" spans="16:16">
      <c r="P1058">
        <v>0</v>
      </c>
    </row>
    <row r="1059" spans="16:16">
      <c r="P1059">
        <v>0</v>
      </c>
    </row>
    <row r="1060" spans="16:16">
      <c r="P1060">
        <v>0</v>
      </c>
    </row>
    <row r="1061" spans="16:16">
      <c r="P1061">
        <v>0</v>
      </c>
    </row>
    <row r="1062" spans="16:16">
      <c r="P1062">
        <v>0</v>
      </c>
    </row>
    <row r="1063" spans="16:16">
      <c r="P1063">
        <v>0</v>
      </c>
    </row>
    <row r="1064" spans="16:16">
      <c r="P1064">
        <v>0</v>
      </c>
    </row>
    <row r="1065" spans="16:16">
      <c r="P1065">
        <v>0</v>
      </c>
    </row>
    <row r="1066" spans="16:16">
      <c r="P1066">
        <v>0</v>
      </c>
    </row>
    <row r="1067" spans="16:16">
      <c r="P1067">
        <v>0</v>
      </c>
    </row>
    <row r="1068" spans="16:16">
      <c r="P1068">
        <v>0</v>
      </c>
    </row>
    <row r="1069" spans="16:16">
      <c r="P1069">
        <v>0</v>
      </c>
    </row>
    <row r="1070" spans="16:16">
      <c r="P1070">
        <v>0</v>
      </c>
    </row>
    <row r="1071" spans="16:16">
      <c r="P1071">
        <v>0</v>
      </c>
    </row>
    <row r="1072" spans="16:16">
      <c r="P1072">
        <v>0</v>
      </c>
    </row>
    <row r="1073" spans="16:16">
      <c r="P1073">
        <v>0</v>
      </c>
    </row>
    <row r="1074" spans="16:16">
      <c r="P1074">
        <v>0</v>
      </c>
    </row>
    <row r="1075" spans="16:16">
      <c r="P1075">
        <v>0</v>
      </c>
    </row>
    <row r="1076" spans="16:16">
      <c r="P1076">
        <v>0</v>
      </c>
    </row>
    <row r="1077" spans="16:16">
      <c r="P1077">
        <v>0</v>
      </c>
    </row>
    <row r="1078" spans="16:16">
      <c r="P1078">
        <v>0</v>
      </c>
    </row>
    <row r="1079" spans="16:16">
      <c r="P1079">
        <v>0</v>
      </c>
    </row>
    <row r="1080" spans="16:16">
      <c r="P1080">
        <v>0</v>
      </c>
    </row>
    <row r="1081" spans="16:16">
      <c r="P1081">
        <v>0</v>
      </c>
    </row>
    <row r="1082" spans="16:16">
      <c r="P1082">
        <v>0</v>
      </c>
    </row>
    <row r="1083" spans="16:16">
      <c r="P1083">
        <v>0</v>
      </c>
    </row>
    <row r="1084" spans="16:16">
      <c r="P1084">
        <v>0</v>
      </c>
    </row>
    <row r="1085" spans="16:16">
      <c r="P1085">
        <v>0</v>
      </c>
    </row>
    <row r="1086" spans="16:16">
      <c r="P1086">
        <v>0</v>
      </c>
    </row>
    <row r="1087" spans="16:16">
      <c r="P1087">
        <v>0</v>
      </c>
    </row>
    <row r="1088" spans="16:16">
      <c r="P1088">
        <v>0</v>
      </c>
    </row>
    <row r="1089" spans="16:16">
      <c r="P1089">
        <v>0</v>
      </c>
    </row>
    <row r="1090" spans="16:16">
      <c r="P1090">
        <v>0</v>
      </c>
    </row>
    <row r="1091" spans="16:16">
      <c r="P1091">
        <v>0</v>
      </c>
    </row>
    <row r="1092" spans="16:16">
      <c r="P1092">
        <v>0</v>
      </c>
    </row>
    <row r="1093" spans="16:16">
      <c r="P1093">
        <v>0</v>
      </c>
    </row>
    <row r="1094" spans="16:16">
      <c r="P1094">
        <v>0</v>
      </c>
    </row>
    <row r="1095" spans="16:16">
      <c r="P1095">
        <v>0</v>
      </c>
    </row>
    <row r="1096" spans="16:16">
      <c r="P1096">
        <v>0</v>
      </c>
    </row>
    <row r="1097" spans="16:16">
      <c r="P1097">
        <v>0</v>
      </c>
    </row>
    <row r="1098" spans="16:16">
      <c r="P1098">
        <v>0</v>
      </c>
    </row>
    <row r="1099" spans="16:16">
      <c r="P1099">
        <v>0</v>
      </c>
    </row>
    <row r="1100" spans="16:16">
      <c r="P1100">
        <v>0</v>
      </c>
    </row>
    <row r="1101" spans="16:16">
      <c r="P1101">
        <v>0</v>
      </c>
    </row>
    <row r="1102" spans="16:16">
      <c r="P1102">
        <v>0</v>
      </c>
    </row>
    <row r="1103" spans="16:16">
      <c r="P1103">
        <v>0</v>
      </c>
    </row>
    <row r="1104" spans="16:16">
      <c r="P1104">
        <v>0</v>
      </c>
    </row>
    <row r="1105" spans="16:16">
      <c r="P1105">
        <v>0</v>
      </c>
    </row>
    <row r="1106" spans="16:16">
      <c r="P1106">
        <v>0</v>
      </c>
    </row>
    <row r="1107" spans="16:16">
      <c r="P1107">
        <v>0</v>
      </c>
    </row>
    <row r="1108" spans="16:16">
      <c r="P1108">
        <v>0</v>
      </c>
    </row>
    <row r="1109" spans="16:16">
      <c r="P1109">
        <v>0</v>
      </c>
    </row>
    <row r="1110" spans="16:16">
      <c r="P1110">
        <v>0</v>
      </c>
    </row>
    <row r="1111" spans="16:16">
      <c r="P1111">
        <v>0</v>
      </c>
    </row>
    <row r="1112" spans="16:16">
      <c r="P1112">
        <v>0</v>
      </c>
    </row>
    <row r="1113" spans="16:16">
      <c r="P1113">
        <v>0</v>
      </c>
    </row>
    <row r="1114" spans="16:16">
      <c r="P1114">
        <v>0</v>
      </c>
    </row>
    <row r="1115" spans="16:16">
      <c r="P1115">
        <v>0</v>
      </c>
    </row>
    <row r="1116" spans="16:16">
      <c r="P1116">
        <v>0</v>
      </c>
    </row>
    <row r="1117" spans="16:16">
      <c r="P1117">
        <v>0</v>
      </c>
    </row>
    <row r="1118" spans="16:16">
      <c r="P1118">
        <v>0</v>
      </c>
    </row>
    <row r="1119" spans="16:16">
      <c r="P1119">
        <v>0</v>
      </c>
    </row>
    <row r="1120" spans="16:16">
      <c r="P1120">
        <v>0</v>
      </c>
    </row>
    <row r="1121" spans="16:16">
      <c r="P1121">
        <v>0</v>
      </c>
    </row>
    <row r="1122" spans="16:16">
      <c r="P1122">
        <v>0</v>
      </c>
    </row>
    <row r="1123" spans="16:16">
      <c r="P1123">
        <v>0</v>
      </c>
    </row>
    <row r="1124" spans="16:16">
      <c r="P1124">
        <v>0</v>
      </c>
    </row>
    <row r="1125" spans="16:16">
      <c r="P1125">
        <v>0</v>
      </c>
    </row>
    <row r="1126" spans="16:16">
      <c r="P1126">
        <v>0</v>
      </c>
    </row>
    <row r="1127" spans="16:16">
      <c r="P1127">
        <v>0</v>
      </c>
    </row>
    <row r="1128" spans="16:16">
      <c r="P1128">
        <v>0</v>
      </c>
    </row>
    <row r="1129" spans="16:16">
      <c r="P1129">
        <v>0</v>
      </c>
    </row>
    <row r="1130" spans="16:16">
      <c r="P1130">
        <v>0</v>
      </c>
    </row>
    <row r="1131" spans="16:16">
      <c r="P1131">
        <v>0</v>
      </c>
    </row>
    <row r="1132" spans="16:16">
      <c r="P1132">
        <v>0</v>
      </c>
    </row>
    <row r="1133" spans="16:16">
      <c r="P1133">
        <v>0</v>
      </c>
    </row>
    <row r="1134" spans="16:16">
      <c r="P1134">
        <v>0</v>
      </c>
    </row>
    <row r="1135" spans="16:16">
      <c r="P1135">
        <v>0</v>
      </c>
    </row>
    <row r="1136" spans="16:16">
      <c r="P1136">
        <v>0</v>
      </c>
    </row>
    <row r="1137" spans="16:16">
      <c r="P1137">
        <v>0</v>
      </c>
    </row>
    <row r="1138" spans="16:16">
      <c r="P1138">
        <v>0</v>
      </c>
    </row>
    <row r="1139" spans="16:16">
      <c r="P1139">
        <v>0</v>
      </c>
    </row>
    <row r="1140" spans="16:16">
      <c r="P1140">
        <v>0</v>
      </c>
    </row>
    <row r="1141" spans="16:16">
      <c r="P1141">
        <v>0</v>
      </c>
    </row>
    <row r="1142" spans="16:16">
      <c r="P1142">
        <v>0</v>
      </c>
    </row>
    <row r="1143" spans="16:16">
      <c r="P1143">
        <v>0</v>
      </c>
    </row>
    <row r="1144" spans="16:16">
      <c r="P1144">
        <v>0</v>
      </c>
    </row>
    <row r="1145" spans="16:16">
      <c r="P1145">
        <v>0</v>
      </c>
    </row>
    <row r="1146" spans="16:16">
      <c r="P1146">
        <v>0</v>
      </c>
    </row>
    <row r="1147" spans="16:16">
      <c r="P1147">
        <v>0</v>
      </c>
    </row>
    <row r="1148" spans="16:16">
      <c r="P1148">
        <v>0</v>
      </c>
    </row>
    <row r="1149" spans="16:16">
      <c r="P1149">
        <v>0</v>
      </c>
    </row>
    <row r="1150" spans="16:16">
      <c r="P1150">
        <v>0</v>
      </c>
    </row>
    <row r="1151" spans="16:16">
      <c r="P1151">
        <v>0</v>
      </c>
    </row>
    <row r="1152" spans="16:16">
      <c r="P1152">
        <v>0</v>
      </c>
    </row>
    <row r="1153" spans="16:16">
      <c r="P1153">
        <v>0</v>
      </c>
    </row>
    <row r="1154" spans="16:16">
      <c r="P1154">
        <v>0</v>
      </c>
    </row>
    <row r="1155" spans="16:16">
      <c r="P1155">
        <v>0</v>
      </c>
    </row>
    <row r="1156" spans="16:16">
      <c r="P1156">
        <v>0</v>
      </c>
    </row>
    <row r="1157" spans="16:16">
      <c r="P1157">
        <v>0</v>
      </c>
    </row>
    <row r="1158" spans="16:16">
      <c r="P1158">
        <v>0</v>
      </c>
    </row>
    <row r="1159" spans="16:16">
      <c r="P1159">
        <v>0</v>
      </c>
    </row>
    <row r="1160" spans="16:16">
      <c r="P1160">
        <v>0</v>
      </c>
    </row>
    <row r="1161" spans="16:16">
      <c r="P1161">
        <v>0</v>
      </c>
    </row>
    <row r="1162" spans="16:16">
      <c r="P1162">
        <v>0</v>
      </c>
    </row>
    <row r="1163" spans="16:16">
      <c r="P1163">
        <v>0</v>
      </c>
    </row>
    <row r="1164" spans="16:16">
      <c r="P1164">
        <v>0</v>
      </c>
    </row>
    <row r="1165" spans="16:16">
      <c r="P1165">
        <v>0</v>
      </c>
    </row>
    <row r="1166" spans="16:16">
      <c r="P1166">
        <v>0</v>
      </c>
    </row>
    <row r="1167" spans="16:16">
      <c r="P1167">
        <v>0</v>
      </c>
    </row>
    <row r="1168" spans="16:16">
      <c r="P1168">
        <v>0</v>
      </c>
    </row>
    <row r="1169" spans="16:16">
      <c r="P1169">
        <v>0</v>
      </c>
    </row>
    <row r="1170" spans="16:16">
      <c r="P1170">
        <v>0</v>
      </c>
    </row>
    <row r="1171" spans="16:16">
      <c r="P1171">
        <v>0</v>
      </c>
    </row>
    <row r="1172" spans="16:16">
      <c r="P1172">
        <v>0</v>
      </c>
    </row>
    <row r="1173" spans="16:16">
      <c r="P1173">
        <v>0</v>
      </c>
    </row>
    <row r="1174" spans="16:16">
      <c r="P1174">
        <v>0</v>
      </c>
    </row>
    <row r="1175" spans="16:16">
      <c r="P1175">
        <v>0</v>
      </c>
    </row>
    <row r="1176" spans="16:16">
      <c r="P1176">
        <v>0</v>
      </c>
    </row>
    <row r="1177" spans="16:16">
      <c r="P1177">
        <v>0</v>
      </c>
    </row>
    <row r="1178" spans="16:16">
      <c r="P1178">
        <v>0</v>
      </c>
    </row>
    <row r="1179" spans="16:16">
      <c r="P1179">
        <v>0</v>
      </c>
    </row>
    <row r="1180" spans="16:16">
      <c r="P1180">
        <v>0</v>
      </c>
    </row>
    <row r="1181" spans="16:16">
      <c r="P1181">
        <v>0</v>
      </c>
    </row>
    <row r="1182" spans="16:16">
      <c r="P1182">
        <v>0</v>
      </c>
    </row>
    <row r="1183" spans="16:16">
      <c r="P1183">
        <v>0</v>
      </c>
    </row>
    <row r="1184" spans="16:16">
      <c r="P1184">
        <v>0</v>
      </c>
    </row>
    <row r="1185" spans="16:16">
      <c r="P1185">
        <v>0</v>
      </c>
    </row>
    <row r="1186" spans="16:16">
      <c r="P1186">
        <v>0</v>
      </c>
    </row>
    <row r="1187" spans="16:16">
      <c r="P1187">
        <v>0</v>
      </c>
    </row>
    <row r="1188" spans="16:16">
      <c r="P1188">
        <v>0</v>
      </c>
    </row>
    <row r="1189" spans="16:16">
      <c r="P1189">
        <v>0</v>
      </c>
    </row>
    <row r="1190" spans="16:16">
      <c r="P1190">
        <v>0</v>
      </c>
    </row>
    <row r="1191" spans="16:16">
      <c r="P1191">
        <v>0</v>
      </c>
    </row>
    <row r="1192" spans="16:16">
      <c r="P1192">
        <v>0</v>
      </c>
    </row>
    <row r="1193" spans="16:16">
      <c r="P1193">
        <v>0</v>
      </c>
    </row>
    <row r="1194" spans="16:16">
      <c r="P1194">
        <v>0</v>
      </c>
    </row>
    <row r="1195" spans="16:16">
      <c r="P1195">
        <v>0</v>
      </c>
    </row>
    <row r="1196" spans="16:16">
      <c r="P1196">
        <v>0</v>
      </c>
    </row>
    <row r="1197" spans="16:16">
      <c r="P1197">
        <v>0</v>
      </c>
    </row>
    <row r="1198" spans="16:16">
      <c r="P1198">
        <v>0</v>
      </c>
    </row>
    <row r="1199" spans="16:16">
      <c r="P1199">
        <v>0</v>
      </c>
    </row>
    <row r="1200" spans="16:16">
      <c r="P1200">
        <v>0</v>
      </c>
    </row>
    <row r="1201" spans="16:16">
      <c r="P1201">
        <v>0</v>
      </c>
    </row>
    <row r="1202" spans="16:16">
      <c r="P1202">
        <v>0</v>
      </c>
    </row>
    <row r="1203" spans="16:16">
      <c r="P1203">
        <v>0</v>
      </c>
    </row>
    <row r="1204" spans="16:16">
      <c r="P1204">
        <v>0</v>
      </c>
    </row>
    <row r="1205" spans="16:16">
      <c r="P1205">
        <v>0</v>
      </c>
    </row>
    <row r="1206" spans="16:16">
      <c r="P1206">
        <v>0</v>
      </c>
    </row>
    <row r="1207" spans="16:16">
      <c r="P1207">
        <v>0</v>
      </c>
    </row>
    <row r="1208" spans="16:16">
      <c r="P1208">
        <v>0</v>
      </c>
    </row>
    <row r="1209" spans="16:16">
      <c r="P1209">
        <v>0</v>
      </c>
    </row>
    <row r="1210" spans="16:16">
      <c r="P1210">
        <v>0</v>
      </c>
    </row>
    <row r="1211" spans="16:16">
      <c r="P1211">
        <v>0</v>
      </c>
    </row>
    <row r="1212" spans="16:16">
      <c r="P1212">
        <v>0</v>
      </c>
    </row>
    <row r="1213" spans="16:16">
      <c r="P1213">
        <v>0</v>
      </c>
    </row>
    <row r="1214" spans="16:16">
      <c r="P1214">
        <v>0</v>
      </c>
    </row>
    <row r="1215" spans="16:16">
      <c r="P1215">
        <v>0</v>
      </c>
    </row>
    <row r="1216" spans="16:16">
      <c r="P1216">
        <v>0</v>
      </c>
    </row>
    <row r="1217" spans="16:16">
      <c r="P1217">
        <v>0</v>
      </c>
    </row>
    <row r="1218" spans="16:16">
      <c r="P1218">
        <v>0</v>
      </c>
    </row>
    <row r="1219" spans="16:16">
      <c r="P1219">
        <v>0</v>
      </c>
    </row>
    <row r="1220" spans="16:16">
      <c r="P1220">
        <v>0</v>
      </c>
    </row>
    <row r="1221" spans="16:16">
      <c r="P1221">
        <v>0</v>
      </c>
    </row>
    <row r="1222" spans="16:16">
      <c r="P1222">
        <v>0</v>
      </c>
    </row>
    <row r="1223" spans="16:16">
      <c r="P1223">
        <v>0</v>
      </c>
    </row>
    <row r="1224" spans="16:16">
      <c r="P1224">
        <v>0</v>
      </c>
    </row>
    <row r="1225" spans="16:16">
      <c r="P1225">
        <v>0</v>
      </c>
    </row>
    <row r="1226" spans="16:16">
      <c r="P1226">
        <v>0</v>
      </c>
    </row>
    <row r="1227" spans="16:16">
      <c r="P1227">
        <v>0</v>
      </c>
    </row>
    <row r="1228" spans="16:16">
      <c r="P1228">
        <v>0</v>
      </c>
    </row>
    <row r="1229" spans="16:16">
      <c r="P1229">
        <v>0</v>
      </c>
    </row>
    <row r="1230" spans="16:16">
      <c r="P1230">
        <v>0</v>
      </c>
    </row>
    <row r="1231" spans="16:16">
      <c r="P1231">
        <v>0</v>
      </c>
    </row>
    <row r="1232" spans="16:16">
      <c r="P1232">
        <v>0</v>
      </c>
    </row>
    <row r="1233" spans="16:16">
      <c r="P1233">
        <v>0</v>
      </c>
    </row>
    <row r="1234" spans="16:16">
      <c r="P1234">
        <v>0</v>
      </c>
    </row>
    <row r="1235" spans="16:16">
      <c r="P1235">
        <v>0</v>
      </c>
    </row>
    <row r="1236" spans="16:16">
      <c r="P1236">
        <v>0</v>
      </c>
    </row>
    <row r="1237" spans="16:16">
      <c r="P1237">
        <v>0</v>
      </c>
    </row>
    <row r="1238" spans="16:16">
      <c r="P1238">
        <v>0</v>
      </c>
    </row>
    <row r="1239" spans="16:16">
      <c r="P1239">
        <v>0</v>
      </c>
    </row>
    <row r="1240" spans="16:16">
      <c r="P1240">
        <v>0</v>
      </c>
    </row>
    <row r="1241" spans="16:16">
      <c r="P1241">
        <v>0</v>
      </c>
    </row>
    <row r="1242" spans="16:16">
      <c r="P1242">
        <v>0</v>
      </c>
    </row>
    <row r="1243" spans="16:16">
      <c r="P1243">
        <v>0</v>
      </c>
    </row>
    <row r="1244" spans="16:16">
      <c r="P1244">
        <v>0</v>
      </c>
    </row>
    <row r="1245" spans="16:16">
      <c r="P1245">
        <v>0</v>
      </c>
    </row>
    <row r="1246" spans="16:16">
      <c r="P1246">
        <v>0</v>
      </c>
    </row>
    <row r="1247" spans="16:16">
      <c r="P1247">
        <v>0</v>
      </c>
    </row>
    <row r="1248" spans="16:16">
      <c r="P1248">
        <v>0</v>
      </c>
    </row>
    <row r="1249" spans="16:16">
      <c r="P1249">
        <v>0</v>
      </c>
    </row>
    <row r="1250" spans="16:16">
      <c r="P1250">
        <v>0</v>
      </c>
    </row>
    <row r="1251" spans="16:16">
      <c r="P1251">
        <v>0</v>
      </c>
    </row>
    <row r="1252" spans="16:16">
      <c r="P1252">
        <v>0</v>
      </c>
    </row>
    <row r="1253" spans="16:16">
      <c r="P1253">
        <v>0</v>
      </c>
    </row>
    <row r="1254" spans="16:16">
      <c r="P1254">
        <v>0</v>
      </c>
    </row>
    <row r="1255" spans="16:16">
      <c r="P1255">
        <v>0</v>
      </c>
    </row>
    <row r="1256" spans="16:16">
      <c r="P1256">
        <v>0</v>
      </c>
    </row>
    <row r="1257" spans="16:16">
      <c r="P1257">
        <v>0</v>
      </c>
    </row>
    <row r="1258" spans="16:16">
      <c r="P1258">
        <v>0</v>
      </c>
    </row>
    <row r="1259" spans="16:16">
      <c r="P1259">
        <v>0</v>
      </c>
    </row>
    <row r="1260" spans="16:16">
      <c r="P1260">
        <v>0</v>
      </c>
    </row>
    <row r="1261" spans="16:16">
      <c r="P1261">
        <v>0</v>
      </c>
    </row>
    <row r="1262" spans="16:16">
      <c r="P1262">
        <v>0</v>
      </c>
    </row>
    <row r="1263" spans="16:16">
      <c r="P1263">
        <v>0</v>
      </c>
    </row>
    <row r="1264" spans="16:16">
      <c r="P1264">
        <v>0</v>
      </c>
    </row>
    <row r="1265" spans="16:16">
      <c r="P1265">
        <v>0</v>
      </c>
    </row>
    <row r="1266" spans="16:16">
      <c r="P1266">
        <v>0</v>
      </c>
    </row>
    <row r="1267" spans="16:16">
      <c r="P1267">
        <v>0</v>
      </c>
    </row>
    <row r="1268" spans="16:16">
      <c r="P1268">
        <v>0</v>
      </c>
    </row>
    <row r="1269" spans="16:16">
      <c r="P1269">
        <v>0</v>
      </c>
    </row>
    <row r="1270" spans="16:16">
      <c r="P1270">
        <v>0</v>
      </c>
    </row>
    <row r="1271" spans="16:16">
      <c r="P1271">
        <v>0</v>
      </c>
    </row>
    <row r="1272" spans="16:16">
      <c r="P1272">
        <v>0</v>
      </c>
    </row>
    <row r="1273" spans="16:16">
      <c r="P1273">
        <v>0</v>
      </c>
    </row>
    <row r="1274" spans="16:16">
      <c r="P1274">
        <v>0</v>
      </c>
    </row>
    <row r="1275" spans="16:16">
      <c r="P1275">
        <v>0</v>
      </c>
    </row>
    <row r="1276" spans="16:16">
      <c r="P1276">
        <v>0</v>
      </c>
    </row>
    <row r="1277" spans="16:16">
      <c r="P1277">
        <v>0</v>
      </c>
    </row>
    <row r="1278" spans="16:16">
      <c r="P1278">
        <v>0</v>
      </c>
    </row>
    <row r="1279" spans="16:16">
      <c r="P1279">
        <v>0</v>
      </c>
    </row>
    <row r="1280" spans="16:16">
      <c r="P1280">
        <v>0</v>
      </c>
    </row>
    <row r="1281" spans="16:16">
      <c r="P1281">
        <v>0</v>
      </c>
    </row>
    <row r="1282" spans="16:16">
      <c r="P1282">
        <v>0</v>
      </c>
    </row>
    <row r="1283" spans="16:16">
      <c r="P1283">
        <v>0</v>
      </c>
    </row>
    <row r="1284" spans="16:16">
      <c r="P1284">
        <v>0</v>
      </c>
    </row>
    <row r="1285" spans="16:16">
      <c r="P1285">
        <v>0</v>
      </c>
    </row>
    <row r="1286" spans="16:16">
      <c r="P1286">
        <v>0</v>
      </c>
    </row>
    <row r="1287" spans="16:16">
      <c r="P1287">
        <v>0</v>
      </c>
    </row>
    <row r="1288" spans="16:16">
      <c r="P1288">
        <v>0</v>
      </c>
    </row>
    <row r="1289" spans="16:16">
      <c r="P1289">
        <v>0</v>
      </c>
    </row>
    <row r="1290" spans="16:16">
      <c r="P1290">
        <v>0</v>
      </c>
    </row>
    <row r="1291" spans="16:16">
      <c r="P1291">
        <v>0</v>
      </c>
    </row>
    <row r="1292" spans="16:16">
      <c r="P1292">
        <v>0</v>
      </c>
    </row>
    <row r="1293" spans="16:16">
      <c r="P1293">
        <v>0</v>
      </c>
    </row>
    <row r="1294" spans="16:16">
      <c r="P1294">
        <v>0</v>
      </c>
    </row>
    <row r="1295" spans="16:16">
      <c r="P1295">
        <v>0</v>
      </c>
    </row>
    <row r="1296" spans="16:16">
      <c r="P1296">
        <v>0</v>
      </c>
    </row>
    <row r="1297" spans="16:16">
      <c r="P1297">
        <v>0</v>
      </c>
    </row>
    <row r="1298" spans="16:16">
      <c r="P1298">
        <v>0</v>
      </c>
    </row>
    <row r="1299" spans="16:16">
      <c r="P1299">
        <v>0</v>
      </c>
    </row>
    <row r="1300" spans="16:16">
      <c r="P1300">
        <v>0</v>
      </c>
    </row>
    <row r="1301" spans="16:16">
      <c r="P1301">
        <v>0</v>
      </c>
    </row>
    <row r="1302" spans="16:16">
      <c r="P1302">
        <v>0</v>
      </c>
    </row>
    <row r="1303" spans="16:16">
      <c r="P1303">
        <v>0</v>
      </c>
    </row>
    <row r="1304" spans="16:16">
      <c r="P1304">
        <v>0</v>
      </c>
    </row>
    <row r="1305" spans="16:16">
      <c r="P1305">
        <v>0</v>
      </c>
    </row>
    <row r="1306" spans="16:16">
      <c r="P1306">
        <v>0</v>
      </c>
    </row>
    <row r="1307" spans="16:16">
      <c r="P1307">
        <v>0</v>
      </c>
    </row>
    <row r="1308" spans="16:16">
      <c r="P1308">
        <v>0</v>
      </c>
    </row>
    <row r="1309" spans="16:16">
      <c r="P1309">
        <v>0</v>
      </c>
    </row>
    <row r="1310" spans="16:16">
      <c r="P1310">
        <v>0</v>
      </c>
    </row>
    <row r="1311" spans="16:16">
      <c r="P1311">
        <v>0</v>
      </c>
    </row>
    <row r="1312" spans="16:16">
      <c r="P1312">
        <v>0</v>
      </c>
    </row>
    <row r="1313" spans="16:16">
      <c r="P1313">
        <v>0</v>
      </c>
    </row>
    <row r="1314" spans="16:16">
      <c r="P1314">
        <v>0</v>
      </c>
    </row>
    <row r="1315" spans="16:16">
      <c r="P1315">
        <v>0</v>
      </c>
    </row>
    <row r="1316" spans="16:16">
      <c r="P1316">
        <v>0</v>
      </c>
    </row>
    <row r="1317" spans="16:16">
      <c r="P1317">
        <v>0</v>
      </c>
    </row>
    <row r="1318" spans="16:16">
      <c r="P1318">
        <v>0</v>
      </c>
    </row>
    <row r="1319" spans="16:16">
      <c r="P1319">
        <v>0</v>
      </c>
    </row>
    <row r="1320" spans="16:16">
      <c r="P1320">
        <v>0</v>
      </c>
    </row>
    <row r="1321" spans="16:16">
      <c r="P1321">
        <v>0</v>
      </c>
    </row>
    <row r="1322" spans="16:16">
      <c r="P1322">
        <v>0</v>
      </c>
    </row>
    <row r="1323" spans="16:16">
      <c r="P1323">
        <v>0</v>
      </c>
    </row>
    <row r="1324" spans="16:16">
      <c r="P1324">
        <v>0</v>
      </c>
    </row>
    <row r="1325" spans="16:16">
      <c r="P1325">
        <v>0</v>
      </c>
    </row>
    <row r="1326" spans="16:16">
      <c r="P1326">
        <v>0</v>
      </c>
    </row>
    <row r="1327" spans="16:16">
      <c r="P1327">
        <v>0</v>
      </c>
    </row>
    <row r="1328" spans="16:16">
      <c r="P1328">
        <v>0</v>
      </c>
    </row>
    <row r="1329" spans="16:16">
      <c r="P1329">
        <v>0</v>
      </c>
    </row>
    <row r="1330" spans="16:16">
      <c r="P1330">
        <v>0</v>
      </c>
    </row>
    <row r="1331" spans="16:16">
      <c r="P1331">
        <v>0</v>
      </c>
    </row>
    <row r="1332" spans="16:16">
      <c r="P1332">
        <v>0</v>
      </c>
    </row>
    <row r="1333" spans="16:16">
      <c r="P1333">
        <v>0</v>
      </c>
    </row>
    <row r="1334" spans="16:16">
      <c r="P1334">
        <v>0</v>
      </c>
    </row>
    <row r="1335" spans="16:16">
      <c r="P1335">
        <v>0</v>
      </c>
    </row>
    <row r="1336" spans="16:16">
      <c r="P1336">
        <v>0</v>
      </c>
    </row>
    <row r="1337" spans="16:16">
      <c r="P1337">
        <v>0</v>
      </c>
    </row>
    <row r="1338" spans="16:16">
      <c r="P1338">
        <v>0</v>
      </c>
    </row>
    <row r="1339" spans="16:16">
      <c r="P1339">
        <v>0</v>
      </c>
    </row>
    <row r="1340" spans="16:16">
      <c r="P1340">
        <v>0</v>
      </c>
    </row>
    <row r="1341" spans="16:16">
      <c r="P1341">
        <v>0</v>
      </c>
    </row>
    <row r="1342" spans="16:16">
      <c r="P1342">
        <v>0</v>
      </c>
    </row>
    <row r="1343" spans="16:16">
      <c r="P1343">
        <v>0</v>
      </c>
    </row>
    <row r="1344" spans="16:16">
      <c r="P1344">
        <v>0</v>
      </c>
    </row>
    <row r="1345" spans="16:16">
      <c r="P1345">
        <v>0</v>
      </c>
    </row>
    <row r="1346" spans="16:16">
      <c r="P1346">
        <v>0</v>
      </c>
    </row>
    <row r="1347" spans="16:16">
      <c r="P1347">
        <v>0</v>
      </c>
    </row>
    <row r="1348" spans="16:16">
      <c r="P1348">
        <v>0</v>
      </c>
    </row>
    <row r="1349" spans="16:16">
      <c r="P1349">
        <v>0</v>
      </c>
    </row>
    <row r="1350" spans="16:16">
      <c r="P1350">
        <v>0</v>
      </c>
    </row>
    <row r="1351" spans="16:16">
      <c r="P1351">
        <v>0</v>
      </c>
    </row>
    <row r="1352" spans="16:16">
      <c r="P1352">
        <v>0</v>
      </c>
    </row>
    <row r="1353" spans="16:16">
      <c r="P1353">
        <v>0</v>
      </c>
    </row>
    <row r="1354" spans="16:16">
      <c r="P1354">
        <v>0</v>
      </c>
    </row>
    <row r="1355" spans="16:16">
      <c r="P1355">
        <v>0</v>
      </c>
    </row>
    <row r="1356" spans="16:16">
      <c r="P1356">
        <v>0</v>
      </c>
    </row>
    <row r="1357" spans="16:16">
      <c r="P1357">
        <v>0</v>
      </c>
    </row>
    <row r="1358" spans="16:16">
      <c r="P1358">
        <v>0</v>
      </c>
    </row>
    <row r="1359" spans="16:16">
      <c r="P1359">
        <v>0</v>
      </c>
    </row>
    <row r="1360" spans="16:16">
      <c r="P1360">
        <v>0</v>
      </c>
    </row>
    <row r="1361" spans="16:16">
      <c r="P1361">
        <v>0</v>
      </c>
    </row>
    <row r="1362" spans="16:16">
      <c r="P1362">
        <v>0</v>
      </c>
    </row>
    <row r="1363" spans="16:16">
      <c r="P1363">
        <v>0</v>
      </c>
    </row>
    <row r="1364" spans="16:16">
      <c r="P1364">
        <v>0</v>
      </c>
    </row>
    <row r="1365" spans="16:16">
      <c r="P1365">
        <v>0</v>
      </c>
    </row>
    <row r="1366" spans="16:16">
      <c r="P1366">
        <v>0</v>
      </c>
    </row>
    <row r="1367" spans="16:16">
      <c r="P1367">
        <v>0</v>
      </c>
    </row>
    <row r="1368" spans="16:16">
      <c r="P1368">
        <v>0</v>
      </c>
    </row>
    <row r="1369" spans="16:16">
      <c r="P1369">
        <v>0</v>
      </c>
    </row>
    <row r="1370" spans="16:16">
      <c r="P1370">
        <v>0</v>
      </c>
    </row>
    <row r="1371" spans="16:16">
      <c r="P1371">
        <v>0</v>
      </c>
    </row>
    <row r="1372" spans="16:16">
      <c r="P1372">
        <v>0</v>
      </c>
    </row>
    <row r="1373" spans="16:16">
      <c r="P1373">
        <v>0</v>
      </c>
    </row>
    <row r="1374" spans="16:16">
      <c r="P1374">
        <v>0</v>
      </c>
    </row>
    <row r="1375" spans="16:16">
      <c r="P1375">
        <v>0</v>
      </c>
    </row>
    <row r="1376" spans="16:16">
      <c r="P1376">
        <v>0</v>
      </c>
    </row>
    <row r="1377" spans="16:16">
      <c r="P1377">
        <v>0</v>
      </c>
    </row>
    <row r="1378" spans="16:16">
      <c r="P1378">
        <v>0</v>
      </c>
    </row>
    <row r="1379" spans="16:16">
      <c r="P1379">
        <v>0</v>
      </c>
    </row>
    <row r="1380" spans="16:16">
      <c r="P1380">
        <v>0</v>
      </c>
    </row>
    <row r="1381" spans="16:16">
      <c r="P1381">
        <v>0</v>
      </c>
    </row>
    <row r="1382" spans="16:16">
      <c r="P1382">
        <v>0</v>
      </c>
    </row>
    <row r="1383" spans="16:16">
      <c r="P1383">
        <v>0</v>
      </c>
    </row>
    <row r="1384" spans="16:16">
      <c r="P1384">
        <v>0</v>
      </c>
    </row>
    <row r="1385" spans="16:16">
      <c r="P1385">
        <v>0</v>
      </c>
    </row>
    <row r="1386" spans="16:16">
      <c r="P1386">
        <v>0</v>
      </c>
    </row>
    <row r="1387" spans="16:16">
      <c r="P1387">
        <v>0</v>
      </c>
    </row>
    <row r="1388" spans="16:16">
      <c r="P1388">
        <v>0</v>
      </c>
    </row>
    <row r="1389" spans="16:16">
      <c r="P1389">
        <v>0</v>
      </c>
    </row>
    <row r="1390" spans="16:16">
      <c r="P1390">
        <v>0</v>
      </c>
    </row>
    <row r="1391" spans="16:16">
      <c r="P1391">
        <v>0</v>
      </c>
    </row>
    <row r="1392" spans="16:16">
      <c r="P1392">
        <v>0</v>
      </c>
    </row>
    <row r="1393" spans="16:16">
      <c r="P1393">
        <v>0</v>
      </c>
    </row>
    <row r="1394" spans="16:16">
      <c r="P1394">
        <v>0</v>
      </c>
    </row>
    <row r="1395" spans="16:16">
      <c r="P1395">
        <v>0</v>
      </c>
    </row>
    <row r="1396" spans="16:16">
      <c r="P1396">
        <v>0</v>
      </c>
    </row>
    <row r="1397" spans="16:16">
      <c r="P1397">
        <v>0</v>
      </c>
    </row>
    <row r="1398" spans="16:16">
      <c r="P1398">
        <v>0</v>
      </c>
    </row>
    <row r="1399" spans="16:16">
      <c r="P1399">
        <v>0</v>
      </c>
    </row>
    <row r="1400" spans="16:16">
      <c r="P1400">
        <v>0</v>
      </c>
    </row>
    <row r="1401" spans="16:16">
      <c r="P1401">
        <v>0</v>
      </c>
    </row>
    <row r="1402" spans="16:16">
      <c r="P1402">
        <v>0</v>
      </c>
    </row>
    <row r="1403" spans="16:16">
      <c r="P1403">
        <v>0</v>
      </c>
    </row>
    <row r="1404" spans="16:16">
      <c r="P1404">
        <v>0</v>
      </c>
    </row>
    <row r="1405" spans="16:16">
      <c r="P1405">
        <v>0</v>
      </c>
    </row>
    <row r="1406" spans="16:16">
      <c r="P1406">
        <v>0</v>
      </c>
    </row>
    <row r="1407" spans="16:16">
      <c r="P1407">
        <v>0</v>
      </c>
    </row>
    <row r="1408" spans="16:16">
      <c r="P1408">
        <v>0</v>
      </c>
    </row>
    <row r="1409" spans="16:16">
      <c r="P1409">
        <v>0</v>
      </c>
    </row>
    <row r="1410" spans="16:16">
      <c r="P1410">
        <v>0</v>
      </c>
    </row>
    <row r="1411" spans="16:16">
      <c r="P1411">
        <v>0</v>
      </c>
    </row>
    <row r="1412" spans="16:16">
      <c r="P1412">
        <v>0</v>
      </c>
    </row>
    <row r="1413" spans="16:16">
      <c r="P1413">
        <v>0</v>
      </c>
    </row>
    <row r="1414" spans="16:16">
      <c r="P1414">
        <v>0</v>
      </c>
    </row>
    <row r="1415" spans="16:16">
      <c r="P1415">
        <v>0</v>
      </c>
    </row>
    <row r="1416" spans="16:16">
      <c r="P1416">
        <v>0</v>
      </c>
    </row>
    <row r="1417" spans="16:16">
      <c r="P1417">
        <v>0</v>
      </c>
    </row>
    <row r="1418" spans="16:16">
      <c r="P1418">
        <v>0</v>
      </c>
    </row>
    <row r="1419" spans="16:16">
      <c r="P1419">
        <v>0</v>
      </c>
    </row>
    <row r="1420" spans="16:16">
      <c r="P1420">
        <v>0</v>
      </c>
    </row>
    <row r="1421" spans="16:16">
      <c r="P1421">
        <v>0</v>
      </c>
    </row>
    <row r="1422" spans="16:16">
      <c r="P1422">
        <v>0</v>
      </c>
    </row>
    <row r="1423" spans="16:16">
      <c r="P1423">
        <v>0</v>
      </c>
    </row>
    <row r="1424" spans="16:16">
      <c r="P1424">
        <v>0</v>
      </c>
    </row>
    <row r="1425" spans="16:16">
      <c r="P1425">
        <v>0</v>
      </c>
    </row>
    <row r="1426" spans="16:16">
      <c r="P1426">
        <v>0</v>
      </c>
    </row>
    <row r="1427" spans="16:16">
      <c r="P1427">
        <v>0</v>
      </c>
    </row>
    <row r="1428" spans="16:16">
      <c r="P1428">
        <v>0</v>
      </c>
    </row>
    <row r="1429" spans="16:16">
      <c r="P1429">
        <v>0</v>
      </c>
    </row>
    <row r="1430" spans="16:16">
      <c r="P1430">
        <v>0</v>
      </c>
    </row>
    <row r="1431" spans="16:16">
      <c r="P1431">
        <v>0</v>
      </c>
    </row>
    <row r="1432" spans="16:16">
      <c r="P1432">
        <v>0</v>
      </c>
    </row>
    <row r="1433" spans="16:16">
      <c r="P1433">
        <v>0</v>
      </c>
    </row>
    <row r="1434" spans="16:16">
      <c r="P1434">
        <v>0</v>
      </c>
    </row>
    <row r="1435" spans="16:16">
      <c r="P1435">
        <v>0</v>
      </c>
    </row>
    <row r="1436" spans="16:16">
      <c r="P1436">
        <v>0</v>
      </c>
    </row>
    <row r="1437" spans="16:16">
      <c r="P1437">
        <v>0</v>
      </c>
    </row>
    <row r="1438" spans="16:16">
      <c r="P1438">
        <v>0</v>
      </c>
    </row>
    <row r="1439" spans="16:16">
      <c r="P1439">
        <v>0</v>
      </c>
    </row>
    <row r="1440" spans="16:16">
      <c r="P1440">
        <v>0</v>
      </c>
    </row>
    <row r="1441" spans="16:16">
      <c r="P1441">
        <v>0</v>
      </c>
    </row>
    <row r="1442" spans="16:16">
      <c r="P1442">
        <v>0</v>
      </c>
    </row>
    <row r="1443" spans="16:16">
      <c r="P1443">
        <v>0</v>
      </c>
    </row>
    <row r="1444" spans="16:16">
      <c r="P1444">
        <v>0</v>
      </c>
    </row>
    <row r="1445" spans="16:16">
      <c r="P1445">
        <v>0</v>
      </c>
    </row>
    <row r="1446" spans="16:16">
      <c r="P1446">
        <v>0</v>
      </c>
    </row>
    <row r="1447" spans="16:16">
      <c r="P1447">
        <v>0</v>
      </c>
    </row>
    <row r="1448" spans="16:16">
      <c r="P1448">
        <v>0</v>
      </c>
    </row>
    <row r="1449" spans="16:16">
      <c r="P1449">
        <v>0</v>
      </c>
    </row>
    <row r="1450" spans="16:16">
      <c r="P1450">
        <v>0</v>
      </c>
    </row>
    <row r="1451" spans="16:16">
      <c r="P1451">
        <v>0</v>
      </c>
    </row>
    <row r="1452" spans="16:16">
      <c r="P1452">
        <v>0</v>
      </c>
    </row>
    <row r="1453" spans="16:16">
      <c r="P1453">
        <v>0</v>
      </c>
    </row>
    <row r="1454" spans="16:16">
      <c r="P1454">
        <v>0</v>
      </c>
    </row>
    <row r="1455" spans="16:16">
      <c r="P1455">
        <v>0</v>
      </c>
    </row>
    <row r="1456" spans="16:16">
      <c r="P1456">
        <v>0</v>
      </c>
    </row>
    <row r="1457" spans="16:16">
      <c r="P1457">
        <v>0</v>
      </c>
    </row>
    <row r="1458" spans="16:16">
      <c r="P1458">
        <v>0</v>
      </c>
    </row>
    <row r="1459" spans="16:16">
      <c r="P1459">
        <v>0</v>
      </c>
    </row>
    <row r="1460" spans="16:16">
      <c r="P1460">
        <v>0</v>
      </c>
    </row>
    <row r="1461" spans="16:16">
      <c r="P1461">
        <v>0</v>
      </c>
    </row>
    <row r="1462" spans="16:16">
      <c r="P1462">
        <v>0</v>
      </c>
    </row>
    <row r="1463" spans="16:16">
      <c r="P1463">
        <v>0</v>
      </c>
    </row>
    <row r="1464" spans="16:16">
      <c r="P1464">
        <v>0</v>
      </c>
    </row>
    <row r="1465" spans="16:16">
      <c r="P1465">
        <v>0</v>
      </c>
    </row>
    <row r="1466" spans="16:16">
      <c r="P1466">
        <v>0</v>
      </c>
    </row>
    <row r="1467" spans="16:16">
      <c r="P1467">
        <v>0</v>
      </c>
    </row>
    <row r="1468" spans="16:16">
      <c r="P1468">
        <v>0</v>
      </c>
    </row>
    <row r="1469" spans="16:16">
      <c r="P1469">
        <v>0</v>
      </c>
    </row>
    <row r="1470" spans="16:16">
      <c r="P1470">
        <v>0</v>
      </c>
    </row>
    <row r="1471" spans="16:16">
      <c r="P1471">
        <v>0</v>
      </c>
    </row>
    <row r="1472" spans="16:16">
      <c r="P1472">
        <v>0</v>
      </c>
    </row>
    <row r="1473" spans="16:16">
      <c r="P1473">
        <v>0</v>
      </c>
    </row>
    <row r="1474" spans="16:16">
      <c r="P1474">
        <v>0</v>
      </c>
    </row>
    <row r="1475" spans="16:16">
      <c r="P1475">
        <v>0</v>
      </c>
    </row>
    <row r="1476" spans="16:16">
      <c r="P1476">
        <v>0</v>
      </c>
    </row>
    <row r="1477" spans="16:16">
      <c r="P1477">
        <v>0</v>
      </c>
    </row>
    <row r="1478" spans="16:16">
      <c r="P1478">
        <v>0</v>
      </c>
    </row>
    <row r="1479" spans="16:16">
      <c r="P1479">
        <v>0</v>
      </c>
    </row>
    <row r="1480" spans="16:16">
      <c r="P1480">
        <v>0</v>
      </c>
    </row>
    <row r="1481" spans="16:16">
      <c r="P1481">
        <v>0</v>
      </c>
    </row>
    <row r="1482" spans="16:16">
      <c r="P1482">
        <v>0</v>
      </c>
    </row>
    <row r="1483" spans="16:16">
      <c r="P1483">
        <v>0</v>
      </c>
    </row>
    <row r="1484" spans="16:16">
      <c r="P1484">
        <v>0</v>
      </c>
    </row>
    <row r="1485" spans="16:16">
      <c r="P1485">
        <v>0</v>
      </c>
    </row>
    <row r="1486" spans="16:16">
      <c r="P1486">
        <v>0</v>
      </c>
    </row>
    <row r="1487" spans="16:16">
      <c r="P1487">
        <v>0</v>
      </c>
    </row>
    <row r="1488" spans="16:16">
      <c r="P1488">
        <v>0</v>
      </c>
    </row>
    <row r="1489" spans="16:16">
      <c r="P1489">
        <v>0</v>
      </c>
    </row>
    <row r="1490" spans="16:16">
      <c r="P1490">
        <v>0</v>
      </c>
    </row>
    <row r="1491" spans="16:16">
      <c r="P1491">
        <v>0</v>
      </c>
    </row>
    <row r="1492" spans="16:16">
      <c r="P1492">
        <v>0</v>
      </c>
    </row>
    <row r="1493" spans="16:16">
      <c r="P1493">
        <v>0</v>
      </c>
    </row>
    <row r="1494" spans="16:16">
      <c r="P1494">
        <v>0</v>
      </c>
    </row>
    <row r="1495" spans="16:16">
      <c r="P1495">
        <v>0</v>
      </c>
    </row>
    <row r="1496" spans="16:16">
      <c r="P1496">
        <v>0</v>
      </c>
    </row>
    <row r="1497" spans="16:16">
      <c r="P1497">
        <v>0</v>
      </c>
    </row>
    <row r="1498" spans="16:16">
      <c r="P1498">
        <v>0</v>
      </c>
    </row>
    <row r="1499" spans="16:16">
      <c r="P1499">
        <v>0</v>
      </c>
    </row>
    <row r="1500" spans="16:16">
      <c r="P1500">
        <v>0</v>
      </c>
    </row>
    <row r="1501" spans="16:16">
      <c r="P1501">
        <v>0</v>
      </c>
    </row>
    <row r="1502" spans="16:16">
      <c r="P1502">
        <v>0</v>
      </c>
    </row>
    <row r="1503" spans="16:16">
      <c r="P1503">
        <v>0</v>
      </c>
    </row>
    <row r="1504" spans="16:16">
      <c r="P1504">
        <v>0</v>
      </c>
    </row>
    <row r="1505" spans="16:16">
      <c r="P1505">
        <v>0</v>
      </c>
    </row>
    <row r="1506" spans="16:16">
      <c r="P1506">
        <v>0</v>
      </c>
    </row>
    <row r="1507" spans="16:16">
      <c r="P1507">
        <v>0</v>
      </c>
    </row>
    <row r="1508" spans="16:16">
      <c r="P1508">
        <v>0</v>
      </c>
    </row>
    <row r="1509" spans="16:16">
      <c r="P1509">
        <v>0</v>
      </c>
    </row>
    <row r="1510" spans="16:16">
      <c r="P1510">
        <v>0</v>
      </c>
    </row>
    <row r="1511" spans="16:16">
      <c r="P1511">
        <v>0</v>
      </c>
    </row>
    <row r="1512" spans="16:16">
      <c r="P1512">
        <v>0</v>
      </c>
    </row>
    <row r="1513" spans="16:16">
      <c r="P1513">
        <v>0</v>
      </c>
    </row>
    <row r="1514" spans="16:16">
      <c r="P1514">
        <v>0</v>
      </c>
    </row>
    <row r="1515" spans="16:16">
      <c r="P1515">
        <v>0</v>
      </c>
    </row>
    <row r="1516" spans="16:16">
      <c r="P1516">
        <v>0</v>
      </c>
    </row>
    <row r="1517" spans="16:16">
      <c r="P1517">
        <v>0</v>
      </c>
    </row>
    <row r="1518" spans="16:16">
      <c r="P1518">
        <v>0</v>
      </c>
    </row>
    <row r="1519" spans="16:16">
      <c r="P1519">
        <v>0</v>
      </c>
    </row>
    <row r="1520" spans="16:16">
      <c r="P1520">
        <v>0</v>
      </c>
    </row>
    <row r="1521" spans="16:16">
      <c r="P1521">
        <v>0</v>
      </c>
    </row>
    <row r="1522" spans="16:16">
      <c r="P1522">
        <v>0</v>
      </c>
    </row>
    <row r="1523" spans="16:16">
      <c r="P1523">
        <v>0</v>
      </c>
    </row>
    <row r="1524" spans="16:16">
      <c r="P1524">
        <v>0</v>
      </c>
    </row>
    <row r="1525" spans="16:16">
      <c r="P1525">
        <v>0</v>
      </c>
    </row>
    <row r="1526" spans="16:16">
      <c r="P1526">
        <v>0</v>
      </c>
    </row>
    <row r="1527" spans="16:16">
      <c r="P1527">
        <v>0</v>
      </c>
    </row>
    <row r="1528" spans="16:16">
      <c r="P1528">
        <v>0</v>
      </c>
    </row>
    <row r="1529" spans="16:16">
      <c r="P1529">
        <v>0</v>
      </c>
    </row>
    <row r="1530" spans="16:16">
      <c r="P1530">
        <v>0</v>
      </c>
    </row>
    <row r="1531" spans="16:16">
      <c r="P1531">
        <v>0</v>
      </c>
    </row>
    <row r="1532" spans="16:16">
      <c r="P1532">
        <v>0</v>
      </c>
    </row>
    <row r="1533" spans="16:16">
      <c r="P1533">
        <v>0</v>
      </c>
    </row>
    <row r="1534" spans="16:16">
      <c r="P1534">
        <v>0</v>
      </c>
    </row>
    <row r="1535" spans="16:16">
      <c r="P1535">
        <v>0</v>
      </c>
    </row>
    <row r="1536" spans="16:16">
      <c r="P1536">
        <v>0</v>
      </c>
    </row>
    <row r="1537" spans="16:16">
      <c r="P1537">
        <v>0</v>
      </c>
    </row>
    <row r="1538" spans="16:16">
      <c r="P1538">
        <v>0</v>
      </c>
    </row>
    <row r="1539" spans="16:16">
      <c r="P1539">
        <v>0</v>
      </c>
    </row>
    <row r="1540" spans="16:16">
      <c r="P1540">
        <v>0</v>
      </c>
    </row>
    <row r="1541" spans="16:16">
      <c r="P1541">
        <v>0</v>
      </c>
    </row>
    <row r="1542" spans="16:16">
      <c r="P1542">
        <v>0</v>
      </c>
    </row>
    <row r="1543" spans="16:16">
      <c r="P1543">
        <v>0</v>
      </c>
    </row>
    <row r="1544" spans="16:16">
      <c r="P1544">
        <v>0</v>
      </c>
    </row>
    <row r="1545" spans="16:16">
      <c r="P1545">
        <v>0</v>
      </c>
    </row>
    <row r="1546" spans="16:16">
      <c r="P1546">
        <v>0</v>
      </c>
    </row>
    <row r="1547" spans="16:16">
      <c r="P1547">
        <v>0</v>
      </c>
    </row>
    <row r="1548" spans="16:16">
      <c r="P1548">
        <v>0</v>
      </c>
    </row>
    <row r="1549" spans="16:16">
      <c r="P1549">
        <v>0</v>
      </c>
    </row>
    <row r="1550" spans="16:16">
      <c r="P1550">
        <v>0</v>
      </c>
    </row>
    <row r="1551" spans="16:16">
      <c r="P1551">
        <v>0</v>
      </c>
    </row>
    <row r="1552" spans="16:16">
      <c r="P1552">
        <v>0</v>
      </c>
    </row>
    <row r="1553" spans="16:16">
      <c r="P1553">
        <v>0</v>
      </c>
    </row>
    <row r="1554" spans="16:16">
      <c r="P1554">
        <v>0</v>
      </c>
    </row>
    <row r="1555" spans="16:16">
      <c r="P1555">
        <v>0</v>
      </c>
    </row>
    <row r="1556" spans="16:16">
      <c r="P1556">
        <v>0</v>
      </c>
    </row>
    <row r="1557" spans="16:16">
      <c r="P1557">
        <v>0</v>
      </c>
    </row>
    <row r="1558" spans="16:16">
      <c r="P1558">
        <v>0</v>
      </c>
    </row>
    <row r="1559" spans="16:16">
      <c r="P1559">
        <v>0</v>
      </c>
    </row>
    <row r="1560" spans="16:16">
      <c r="P1560">
        <v>0</v>
      </c>
    </row>
    <row r="1561" spans="16:16">
      <c r="P1561">
        <v>0</v>
      </c>
    </row>
    <row r="1562" spans="16:16">
      <c r="P1562">
        <v>0</v>
      </c>
    </row>
    <row r="1563" spans="16:16">
      <c r="P1563">
        <v>0</v>
      </c>
    </row>
    <row r="1564" spans="16:16">
      <c r="P1564">
        <v>0</v>
      </c>
    </row>
    <row r="1565" spans="16:16">
      <c r="P1565">
        <v>0</v>
      </c>
    </row>
    <row r="1566" spans="16:16">
      <c r="P1566">
        <v>0</v>
      </c>
    </row>
    <row r="1567" spans="16:16">
      <c r="P1567">
        <v>0</v>
      </c>
    </row>
    <row r="1568" spans="16:16">
      <c r="P1568">
        <v>0</v>
      </c>
    </row>
    <row r="1569" spans="16:16">
      <c r="P1569">
        <v>0</v>
      </c>
    </row>
    <row r="1570" spans="16:16">
      <c r="P1570">
        <v>0</v>
      </c>
    </row>
    <row r="1571" spans="16:16">
      <c r="P1571">
        <v>0</v>
      </c>
    </row>
    <row r="1572" spans="16:16">
      <c r="P1572">
        <v>0</v>
      </c>
    </row>
    <row r="1573" spans="16:16">
      <c r="P1573">
        <v>0</v>
      </c>
    </row>
    <row r="1574" spans="16:16">
      <c r="P1574">
        <v>0</v>
      </c>
    </row>
    <row r="1575" spans="16:16">
      <c r="P1575">
        <v>0</v>
      </c>
    </row>
    <row r="1576" spans="16:16">
      <c r="P1576">
        <v>0</v>
      </c>
    </row>
    <row r="1577" spans="16:16">
      <c r="P1577">
        <v>0</v>
      </c>
    </row>
    <row r="1578" spans="16:16">
      <c r="P1578">
        <v>0</v>
      </c>
    </row>
    <row r="1579" spans="16:16">
      <c r="P1579">
        <v>0</v>
      </c>
    </row>
    <row r="1580" spans="16:16">
      <c r="P1580">
        <v>0</v>
      </c>
    </row>
    <row r="1581" spans="16:16">
      <c r="P1581">
        <v>0</v>
      </c>
    </row>
    <row r="1582" spans="16:16">
      <c r="P1582">
        <v>0</v>
      </c>
    </row>
    <row r="1583" spans="16:16">
      <c r="P1583">
        <v>0</v>
      </c>
    </row>
    <row r="1584" spans="16:16">
      <c r="P1584">
        <v>0</v>
      </c>
    </row>
    <row r="1585" spans="16:16">
      <c r="P1585">
        <v>0</v>
      </c>
    </row>
    <row r="1586" spans="16:16">
      <c r="P1586">
        <v>0</v>
      </c>
    </row>
    <row r="1587" spans="16:16">
      <c r="P1587">
        <v>0</v>
      </c>
    </row>
    <row r="1588" spans="16:16">
      <c r="P1588">
        <v>0</v>
      </c>
    </row>
    <row r="1589" spans="16:16">
      <c r="P1589">
        <v>0</v>
      </c>
    </row>
    <row r="1590" spans="16:16">
      <c r="P1590">
        <v>0</v>
      </c>
    </row>
    <row r="1591" spans="16:16">
      <c r="P1591">
        <v>0</v>
      </c>
    </row>
    <row r="1592" spans="16:16">
      <c r="P1592">
        <v>0</v>
      </c>
    </row>
    <row r="1593" spans="16:16">
      <c r="P1593">
        <v>0</v>
      </c>
    </row>
    <row r="1594" spans="16:16">
      <c r="P1594">
        <v>0</v>
      </c>
    </row>
    <row r="1595" spans="16:16">
      <c r="P1595">
        <v>0</v>
      </c>
    </row>
    <row r="1596" spans="16:16">
      <c r="P1596">
        <v>0</v>
      </c>
    </row>
    <row r="1597" spans="16:16">
      <c r="P1597">
        <v>0</v>
      </c>
    </row>
    <row r="1598" spans="16:16">
      <c r="P1598">
        <v>0</v>
      </c>
    </row>
    <row r="1599" spans="16:16">
      <c r="P1599">
        <v>0</v>
      </c>
    </row>
    <row r="1600" spans="16:16">
      <c r="P1600">
        <v>0</v>
      </c>
    </row>
    <row r="1601" spans="16:16">
      <c r="P1601">
        <v>0</v>
      </c>
    </row>
    <row r="1602" spans="16:16">
      <c r="P1602">
        <v>0</v>
      </c>
    </row>
    <row r="1603" spans="16:16">
      <c r="P1603">
        <v>0</v>
      </c>
    </row>
    <row r="1604" spans="16:16">
      <c r="P1604">
        <v>0</v>
      </c>
    </row>
    <row r="1605" spans="16:16">
      <c r="P1605">
        <v>0</v>
      </c>
    </row>
    <row r="1606" spans="16:16">
      <c r="P1606">
        <v>0</v>
      </c>
    </row>
    <row r="1607" spans="16:16">
      <c r="P1607">
        <v>0</v>
      </c>
    </row>
    <row r="1608" spans="16:16">
      <c r="P1608">
        <v>0</v>
      </c>
    </row>
    <row r="1609" spans="16:16">
      <c r="P1609">
        <v>0</v>
      </c>
    </row>
    <row r="1610" spans="16:16">
      <c r="P1610">
        <v>0</v>
      </c>
    </row>
    <row r="1611" spans="16:16">
      <c r="P1611">
        <v>0</v>
      </c>
    </row>
    <row r="1612" spans="16:16">
      <c r="P1612">
        <v>0</v>
      </c>
    </row>
    <row r="1613" spans="16:16">
      <c r="P1613">
        <v>0</v>
      </c>
    </row>
    <row r="1614" spans="16:16">
      <c r="P1614">
        <v>0</v>
      </c>
    </row>
    <row r="1615" spans="16:16">
      <c r="P1615">
        <v>0</v>
      </c>
    </row>
    <row r="1616" spans="16:16">
      <c r="P1616">
        <v>0</v>
      </c>
    </row>
    <row r="1617" spans="16:16">
      <c r="P1617">
        <v>0</v>
      </c>
    </row>
    <row r="1618" spans="16:16">
      <c r="P1618">
        <v>0</v>
      </c>
    </row>
    <row r="1619" spans="16:16">
      <c r="P1619">
        <v>0</v>
      </c>
    </row>
    <row r="1620" spans="16:16">
      <c r="P1620">
        <v>0</v>
      </c>
    </row>
    <row r="1621" spans="16:16">
      <c r="P1621">
        <v>0</v>
      </c>
    </row>
    <row r="1622" spans="16:16">
      <c r="P1622">
        <v>0</v>
      </c>
    </row>
    <row r="1623" spans="16:16">
      <c r="P1623">
        <v>0</v>
      </c>
    </row>
    <row r="1624" spans="16:16">
      <c r="P1624">
        <v>0</v>
      </c>
    </row>
    <row r="1625" spans="16:16">
      <c r="P1625">
        <v>0</v>
      </c>
    </row>
    <row r="1626" spans="16:16">
      <c r="P1626">
        <v>0</v>
      </c>
    </row>
    <row r="1627" spans="16:16">
      <c r="P1627">
        <v>0</v>
      </c>
    </row>
    <row r="1628" spans="16:16">
      <c r="P1628">
        <v>0</v>
      </c>
    </row>
    <row r="1629" spans="16:16">
      <c r="P1629">
        <v>0</v>
      </c>
    </row>
    <row r="1630" spans="16:16">
      <c r="P1630">
        <v>0</v>
      </c>
    </row>
    <row r="1631" spans="16:16">
      <c r="P1631">
        <v>0</v>
      </c>
    </row>
    <row r="1632" spans="16:16">
      <c r="P1632">
        <v>0</v>
      </c>
    </row>
    <row r="1633" spans="16:16">
      <c r="P1633">
        <v>0</v>
      </c>
    </row>
    <row r="1634" spans="16:16">
      <c r="P1634">
        <v>0</v>
      </c>
    </row>
    <row r="1635" spans="16:16">
      <c r="P1635">
        <v>0</v>
      </c>
    </row>
    <row r="1636" spans="16:16">
      <c r="P1636">
        <v>0</v>
      </c>
    </row>
    <row r="1637" spans="16:16">
      <c r="P1637">
        <v>0</v>
      </c>
    </row>
    <row r="1638" spans="16:16">
      <c r="P1638">
        <v>0</v>
      </c>
    </row>
    <row r="1639" spans="16:16">
      <c r="P1639">
        <v>0</v>
      </c>
    </row>
    <row r="1640" spans="16:16">
      <c r="P1640">
        <v>0</v>
      </c>
    </row>
    <row r="1641" spans="16:16">
      <c r="P1641">
        <v>0</v>
      </c>
    </row>
    <row r="1642" spans="16:16">
      <c r="P1642">
        <v>0</v>
      </c>
    </row>
    <row r="1643" spans="16:16">
      <c r="P1643">
        <v>0</v>
      </c>
    </row>
    <row r="1644" spans="16:16">
      <c r="P1644">
        <v>0</v>
      </c>
    </row>
    <row r="1645" spans="16:16">
      <c r="P1645">
        <v>0</v>
      </c>
    </row>
    <row r="1646" spans="16:16">
      <c r="P1646">
        <v>0</v>
      </c>
    </row>
    <row r="1647" spans="16:16">
      <c r="P1647">
        <v>0</v>
      </c>
    </row>
    <row r="1648" spans="16:16">
      <c r="P1648">
        <v>0</v>
      </c>
    </row>
    <row r="1649" spans="16:16">
      <c r="P1649">
        <v>0</v>
      </c>
    </row>
    <row r="1650" spans="16:16">
      <c r="P1650">
        <v>0</v>
      </c>
    </row>
    <row r="1651" spans="16:16">
      <c r="P1651">
        <v>0</v>
      </c>
    </row>
    <row r="1652" spans="16:16">
      <c r="P1652">
        <v>0</v>
      </c>
    </row>
    <row r="1653" spans="16:16">
      <c r="P1653">
        <v>0</v>
      </c>
    </row>
    <row r="1654" spans="16:16">
      <c r="P1654">
        <v>0</v>
      </c>
    </row>
    <row r="1655" spans="16:16">
      <c r="P1655">
        <v>0</v>
      </c>
    </row>
    <row r="1656" spans="16:16">
      <c r="P1656">
        <v>0</v>
      </c>
    </row>
    <row r="1657" spans="16:16">
      <c r="P1657">
        <v>0</v>
      </c>
    </row>
    <row r="1658" spans="16:16">
      <c r="P1658">
        <v>0</v>
      </c>
    </row>
    <row r="1659" spans="16:16">
      <c r="P1659">
        <v>0</v>
      </c>
    </row>
    <row r="1660" spans="16:16">
      <c r="P1660">
        <v>0</v>
      </c>
    </row>
    <row r="1661" spans="16:16">
      <c r="P1661">
        <v>0</v>
      </c>
    </row>
  </sheetData>
  <phoneticPr fontId="2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638F-602B-4D3B-BE62-577C0745AE7D}">
  <sheetPr codeName="Sheet3"/>
  <dimension ref="B1:I231"/>
  <sheetViews>
    <sheetView topLeftCell="A169" zoomScale="86" zoomScaleNormal="85" workbookViewId="0">
      <selection activeCell="B212" sqref="B212"/>
    </sheetView>
  </sheetViews>
  <sheetFormatPr defaultRowHeight="15"/>
  <cols>
    <col min="2" max="2" width="39.140625" bestFit="1" customWidth="1"/>
    <col min="3" max="3" width="20" bestFit="1" customWidth="1"/>
    <col min="4" max="8" width="11.140625" bestFit="1" customWidth="1"/>
    <col min="9" max="9" width="18.85546875" bestFit="1" customWidth="1"/>
  </cols>
  <sheetData>
    <row r="1" spans="2:9">
      <c r="B1" t="s">
        <v>123</v>
      </c>
      <c r="C1" t="s">
        <v>124</v>
      </c>
      <c r="D1" t="s">
        <v>299</v>
      </c>
      <c r="E1" t="s">
        <v>300</v>
      </c>
      <c r="F1" t="s">
        <v>301</v>
      </c>
      <c r="G1" t="s">
        <v>302</v>
      </c>
      <c r="H1" t="s">
        <v>303</v>
      </c>
      <c r="I1" t="s">
        <v>89</v>
      </c>
    </row>
    <row r="2" spans="2:9">
      <c r="B2" t="s">
        <v>125</v>
      </c>
      <c r="C2" t="s">
        <v>57</v>
      </c>
      <c r="I2" t="s">
        <v>71</v>
      </c>
    </row>
    <row r="3" spans="2:9">
      <c r="B3" t="s">
        <v>126</v>
      </c>
      <c r="C3" t="s">
        <v>89</v>
      </c>
      <c r="I3" t="s">
        <v>69</v>
      </c>
    </row>
    <row r="4" spans="2:9">
      <c r="B4" t="s">
        <v>127</v>
      </c>
      <c r="C4" t="s">
        <v>89</v>
      </c>
      <c r="I4" t="s">
        <v>64</v>
      </c>
    </row>
    <row r="5" spans="2:9">
      <c r="B5" t="s">
        <v>128</v>
      </c>
      <c r="C5" t="s">
        <v>104</v>
      </c>
      <c r="I5" t="s">
        <v>67</v>
      </c>
    </row>
    <row r="6" spans="2:9">
      <c r="B6" t="s">
        <v>129</v>
      </c>
      <c r="C6" t="s">
        <v>17</v>
      </c>
      <c r="I6" t="s">
        <v>281</v>
      </c>
    </row>
    <row r="7" spans="2:9">
      <c r="B7" t="s">
        <v>444</v>
      </c>
      <c r="C7" t="s">
        <v>435</v>
      </c>
      <c r="I7" t="s">
        <v>435</v>
      </c>
    </row>
    <row r="8" spans="2:9">
      <c r="B8" t="s">
        <v>404</v>
      </c>
      <c r="C8" t="s">
        <v>401</v>
      </c>
      <c r="I8" t="s">
        <v>401</v>
      </c>
    </row>
    <row r="9" spans="2:9">
      <c r="B9" t="s">
        <v>405</v>
      </c>
      <c r="C9" t="s">
        <v>242</v>
      </c>
      <c r="I9" t="s">
        <v>436</v>
      </c>
    </row>
    <row r="10" spans="2:9">
      <c r="B10" t="s">
        <v>406</v>
      </c>
      <c r="C10" t="s">
        <v>71</v>
      </c>
      <c r="I10" t="s">
        <v>402</v>
      </c>
    </row>
    <row r="11" spans="2:9">
      <c r="I11" t="s">
        <v>441</v>
      </c>
    </row>
    <row r="12" spans="2:9">
      <c r="B12" t="s">
        <v>445</v>
      </c>
      <c r="C12" t="s">
        <v>442</v>
      </c>
      <c r="I12" t="s">
        <v>442</v>
      </c>
    </row>
    <row r="13" spans="2:9">
      <c r="I13" t="s">
        <v>443</v>
      </c>
    </row>
    <row r="14" spans="2:9">
      <c r="I14" t="s">
        <v>440</v>
      </c>
    </row>
    <row r="15" spans="2:9">
      <c r="I15" t="s">
        <v>438</v>
      </c>
    </row>
    <row r="16" spans="2:9">
      <c r="I16" t="s">
        <v>437</v>
      </c>
    </row>
    <row r="17" spans="2:9">
      <c r="I17" t="s">
        <v>439</v>
      </c>
    </row>
    <row r="18" spans="2:9">
      <c r="I18" t="s">
        <v>393</v>
      </c>
    </row>
    <row r="19" spans="2:9">
      <c r="I19" t="s">
        <v>400</v>
      </c>
    </row>
    <row r="20" spans="2:9">
      <c r="B20" t="s">
        <v>334</v>
      </c>
      <c r="C20" t="s">
        <v>329</v>
      </c>
      <c r="I20" t="s">
        <v>329</v>
      </c>
    </row>
    <row r="21" spans="2:9">
      <c r="B21" t="s">
        <v>335</v>
      </c>
      <c r="C21" t="s">
        <v>330</v>
      </c>
      <c r="I21" t="s">
        <v>330</v>
      </c>
    </row>
    <row r="22" spans="2:9">
      <c r="B22" t="s">
        <v>200</v>
      </c>
      <c r="C22" t="s">
        <v>110</v>
      </c>
      <c r="I22" t="s">
        <v>110</v>
      </c>
    </row>
    <row r="23" spans="2:9">
      <c r="B23" t="s">
        <v>336</v>
      </c>
      <c r="C23" t="s">
        <v>331</v>
      </c>
      <c r="I23" t="s">
        <v>331</v>
      </c>
    </row>
    <row r="24" spans="2:9">
      <c r="B24" t="s">
        <v>392</v>
      </c>
      <c r="C24" t="s">
        <v>393</v>
      </c>
      <c r="I24" t="s">
        <v>393</v>
      </c>
    </row>
    <row r="25" spans="2:9">
      <c r="B25" t="s">
        <v>131</v>
      </c>
      <c r="C25" t="s">
        <v>132</v>
      </c>
      <c r="I25" t="s">
        <v>130</v>
      </c>
    </row>
    <row r="26" spans="2:9">
      <c r="B26" t="s">
        <v>295</v>
      </c>
      <c r="C26" t="s">
        <v>296</v>
      </c>
      <c r="I26" t="s">
        <v>296</v>
      </c>
    </row>
    <row r="27" spans="2:9">
      <c r="B27" t="s">
        <v>294</v>
      </c>
      <c r="C27" t="s">
        <v>293</v>
      </c>
      <c r="I27" t="s">
        <v>293</v>
      </c>
    </row>
    <row r="28" spans="2:9">
      <c r="B28" t="s">
        <v>337</v>
      </c>
      <c r="C28" t="s">
        <v>322</v>
      </c>
      <c r="I28" t="s">
        <v>322</v>
      </c>
    </row>
    <row r="29" spans="2:9">
      <c r="B29" t="s">
        <v>338</v>
      </c>
      <c r="C29" t="s">
        <v>332</v>
      </c>
      <c r="I29" t="s">
        <v>332</v>
      </c>
    </row>
    <row r="30" spans="2:9">
      <c r="B30" t="s">
        <v>339</v>
      </c>
      <c r="C30" t="s">
        <v>319</v>
      </c>
      <c r="I30" t="s">
        <v>319</v>
      </c>
    </row>
    <row r="31" spans="2:9">
      <c r="B31" t="s">
        <v>407</v>
      </c>
      <c r="C31" t="s">
        <v>264</v>
      </c>
      <c r="I31" t="s">
        <v>264</v>
      </c>
    </row>
    <row r="32" spans="2:9">
      <c r="B32" t="s">
        <v>340</v>
      </c>
      <c r="C32" t="s">
        <v>333</v>
      </c>
      <c r="I32" t="s">
        <v>333</v>
      </c>
    </row>
    <row r="33" spans="2:9">
      <c r="B33" t="s">
        <v>341</v>
      </c>
      <c r="C33" t="s">
        <v>320</v>
      </c>
      <c r="I33" t="s">
        <v>320</v>
      </c>
    </row>
    <row r="34" spans="2:9">
      <c r="B34" s="97" t="s">
        <v>342</v>
      </c>
      <c r="C34" t="s">
        <v>321</v>
      </c>
      <c r="I34" t="s">
        <v>321</v>
      </c>
    </row>
    <row r="35" spans="2:9">
      <c r="B35" t="s">
        <v>343</v>
      </c>
      <c r="C35" t="s">
        <v>150</v>
      </c>
      <c r="I35" t="s">
        <v>150</v>
      </c>
    </row>
    <row r="36" spans="2:9">
      <c r="B36" t="s">
        <v>344</v>
      </c>
      <c r="C36" t="s">
        <v>64</v>
      </c>
      <c r="I36" t="s">
        <v>327</v>
      </c>
    </row>
    <row r="37" spans="2:9">
      <c r="B37" t="s">
        <v>345</v>
      </c>
      <c r="C37" t="s">
        <v>71</v>
      </c>
      <c r="I37" t="s">
        <v>239</v>
      </c>
    </row>
    <row r="38" spans="2:9">
      <c r="B38" t="s">
        <v>324</v>
      </c>
      <c r="C38" t="s">
        <v>324</v>
      </c>
      <c r="I38" t="s">
        <v>324</v>
      </c>
    </row>
    <row r="39" spans="2:9">
      <c r="B39" t="s">
        <v>323</v>
      </c>
      <c r="C39" t="s">
        <v>323</v>
      </c>
      <c r="I39" t="s">
        <v>323</v>
      </c>
    </row>
    <row r="40" spans="2:9">
      <c r="B40" t="s">
        <v>326</v>
      </c>
      <c r="C40" t="s">
        <v>326</v>
      </c>
      <c r="I40" t="s">
        <v>326</v>
      </c>
    </row>
    <row r="41" spans="2:9">
      <c r="B41" t="s">
        <v>291</v>
      </c>
      <c r="C41" t="s">
        <v>292</v>
      </c>
      <c r="I41" t="s">
        <v>292</v>
      </c>
    </row>
    <row r="42" spans="2:9">
      <c r="B42" t="s">
        <v>288</v>
      </c>
      <c r="C42" t="s">
        <v>89</v>
      </c>
      <c r="I42" t="s">
        <v>285</v>
      </c>
    </row>
    <row r="43" spans="2:9">
      <c r="B43" t="s">
        <v>133</v>
      </c>
      <c r="C43" t="s">
        <v>134</v>
      </c>
      <c r="I43" t="s">
        <v>132</v>
      </c>
    </row>
    <row r="44" spans="2:9">
      <c r="B44" t="s">
        <v>346</v>
      </c>
      <c r="C44" t="s">
        <v>328</v>
      </c>
      <c r="I44" t="s">
        <v>328</v>
      </c>
    </row>
    <row r="45" spans="2:9">
      <c r="B45" t="s">
        <v>286</v>
      </c>
      <c r="C45" t="s">
        <v>287</v>
      </c>
      <c r="I45" t="s">
        <v>287</v>
      </c>
    </row>
    <row r="46" spans="2:9">
      <c r="B46" t="s">
        <v>282</v>
      </c>
      <c r="C46" t="s">
        <v>239</v>
      </c>
      <c r="I46" t="s">
        <v>134</v>
      </c>
    </row>
    <row r="47" spans="2:9">
      <c r="B47" t="s">
        <v>347</v>
      </c>
      <c r="C47" t="s">
        <v>318</v>
      </c>
      <c r="I47" t="s">
        <v>318</v>
      </c>
    </row>
    <row r="48" spans="2:9">
      <c r="B48" t="s">
        <v>283</v>
      </c>
      <c r="C48" t="s">
        <v>95</v>
      </c>
      <c r="I48" t="s">
        <v>120</v>
      </c>
    </row>
    <row r="49" spans="2:9">
      <c r="B49" t="s">
        <v>237</v>
      </c>
      <c r="C49" t="s">
        <v>89</v>
      </c>
      <c r="I49" t="s">
        <v>238</v>
      </c>
    </row>
    <row r="50" spans="2:9">
      <c r="B50" t="s">
        <v>170</v>
      </c>
      <c r="C50" t="s">
        <v>238</v>
      </c>
      <c r="I50" t="s">
        <v>235</v>
      </c>
    </row>
    <row r="51" spans="2:9">
      <c r="B51" t="s">
        <v>236</v>
      </c>
      <c r="C51" t="s">
        <v>235</v>
      </c>
      <c r="I51" t="s">
        <v>122</v>
      </c>
    </row>
    <row r="52" spans="2:9">
      <c r="B52" t="s">
        <v>135</v>
      </c>
      <c r="C52" t="s">
        <v>120</v>
      </c>
      <c r="I52" t="s">
        <v>244</v>
      </c>
    </row>
    <row r="53" spans="2:9">
      <c r="B53" t="s">
        <v>245</v>
      </c>
      <c r="C53" t="s">
        <v>244</v>
      </c>
      <c r="I53" t="s">
        <v>119</v>
      </c>
    </row>
    <row r="54" spans="2:9">
      <c r="B54" t="s">
        <v>136</v>
      </c>
      <c r="C54" t="s">
        <v>119</v>
      </c>
      <c r="I54" t="s">
        <v>118</v>
      </c>
    </row>
    <row r="55" spans="2:9">
      <c r="B55" t="s">
        <v>137</v>
      </c>
      <c r="C55" t="s">
        <v>117</v>
      </c>
      <c r="I55" t="s">
        <v>117</v>
      </c>
    </row>
    <row r="56" spans="2:9">
      <c r="B56" t="s">
        <v>138</v>
      </c>
      <c r="C56" t="s">
        <v>114</v>
      </c>
      <c r="I56" t="s">
        <v>114</v>
      </c>
    </row>
    <row r="57" spans="2:9">
      <c r="B57" t="s">
        <v>139</v>
      </c>
      <c r="C57" t="s">
        <v>71</v>
      </c>
      <c r="I57" t="s">
        <v>106</v>
      </c>
    </row>
    <row r="58" spans="2:9">
      <c r="B58" t="s">
        <v>11</v>
      </c>
      <c r="C58" t="s">
        <v>89</v>
      </c>
      <c r="I58" t="s">
        <v>115</v>
      </c>
    </row>
    <row r="59" spans="2:9">
      <c r="B59" t="s">
        <v>140</v>
      </c>
      <c r="C59" t="s">
        <v>67</v>
      </c>
      <c r="I59" t="s">
        <v>109</v>
      </c>
    </row>
    <row r="60" spans="2:9">
      <c r="B60" t="s">
        <v>141</v>
      </c>
      <c r="C60" t="s">
        <v>69</v>
      </c>
      <c r="I60" t="s">
        <v>348</v>
      </c>
    </row>
    <row r="61" spans="2:9">
      <c r="B61" t="s">
        <v>142</v>
      </c>
      <c r="C61" t="s">
        <v>434</v>
      </c>
      <c r="I61" t="s">
        <v>108</v>
      </c>
    </row>
    <row r="62" spans="2:9">
      <c r="B62" t="s">
        <v>349</v>
      </c>
      <c r="C62" t="s">
        <v>317</v>
      </c>
      <c r="I62" t="s">
        <v>317</v>
      </c>
    </row>
    <row r="63" spans="2:9">
      <c r="B63" t="s">
        <v>143</v>
      </c>
      <c r="C63" t="s">
        <v>108</v>
      </c>
      <c r="I63" t="s">
        <v>72</v>
      </c>
    </row>
    <row r="64" spans="2:9">
      <c r="B64" t="s">
        <v>144</v>
      </c>
      <c r="C64" t="s">
        <v>89</v>
      </c>
      <c r="I64" t="s">
        <v>54</v>
      </c>
    </row>
    <row r="65" spans="2:9">
      <c r="B65" t="s">
        <v>145</v>
      </c>
      <c r="C65" t="s">
        <v>118</v>
      </c>
      <c r="I65" t="s">
        <v>57</v>
      </c>
    </row>
    <row r="66" spans="2:9">
      <c r="B66" t="s">
        <v>146</v>
      </c>
      <c r="C66" t="s">
        <v>89</v>
      </c>
      <c r="I66" t="s">
        <v>148</v>
      </c>
    </row>
    <row r="67" spans="2:9">
      <c r="B67" t="s">
        <v>147</v>
      </c>
      <c r="C67" t="s">
        <v>69</v>
      </c>
      <c r="I67" t="s">
        <v>102</v>
      </c>
    </row>
    <row r="68" spans="2:9">
      <c r="B68" t="s">
        <v>149</v>
      </c>
      <c r="C68" t="s">
        <v>72</v>
      </c>
      <c r="I68" t="s">
        <v>100</v>
      </c>
    </row>
    <row r="69" spans="2:9">
      <c r="B69" t="s">
        <v>150</v>
      </c>
      <c r="C69" t="s">
        <v>69</v>
      </c>
      <c r="I69" t="s">
        <v>95</v>
      </c>
    </row>
    <row r="70" spans="2:9">
      <c r="B70" t="s">
        <v>151</v>
      </c>
      <c r="C70" t="s">
        <v>89</v>
      </c>
      <c r="I70" t="s">
        <v>81</v>
      </c>
    </row>
    <row r="71" spans="2:9">
      <c r="B71" t="s">
        <v>152</v>
      </c>
      <c r="C71" t="s">
        <v>64</v>
      </c>
      <c r="I71" t="s">
        <v>51</v>
      </c>
    </row>
    <row r="72" spans="2:9">
      <c r="B72" t="s">
        <v>153</v>
      </c>
      <c r="C72" t="s">
        <v>69</v>
      </c>
      <c r="I72" t="s">
        <v>83</v>
      </c>
    </row>
    <row r="73" spans="2:9">
      <c r="B73" t="s">
        <v>154</v>
      </c>
      <c r="C73" t="s">
        <v>89</v>
      </c>
      <c r="I73" t="s">
        <v>156</v>
      </c>
    </row>
    <row r="74" spans="2:9">
      <c r="B74" t="s">
        <v>155</v>
      </c>
      <c r="C74" t="s">
        <v>81</v>
      </c>
      <c r="I74" t="s">
        <v>158</v>
      </c>
    </row>
    <row r="75" spans="2:9">
      <c r="B75" t="s">
        <v>157</v>
      </c>
      <c r="C75" t="s">
        <v>51</v>
      </c>
      <c r="I75" t="s">
        <v>104</v>
      </c>
    </row>
    <row r="76" spans="2:9">
      <c r="B76" t="s">
        <v>159</v>
      </c>
      <c r="C76" t="s">
        <v>67</v>
      </c>
      <c r="I76" t="s">
        <v>246</v>
      </c>
    </row>
    <row r="77" spans="2:9">
      <c r="B77" t="s">
        <v>160</v>
      </c>
      <c r="C77" t="s">
        <v>95</v>
      </c>
      <c r="I77" t="s">
        <v>247</v>
      </c>
    </row>
    <row r="78" spans="2:9">
      <c r="B78" t="s">
        <v>229</v>
      </c>
      <c r="C78" t="s">
        <v>72</v>
      </c>
      <c r="I78" t="s">
        <v>248</v>
      </c>
    </row>
    <row r="79" spans="2:9">
      <c r="B79" t="s">
        <v>230</v>
      </c>
      <c r="C79" t="s">
        <v>72</v>
      </c>
      <c r="I79" t="s">
        <v>249</v>
      </c>
    </row>
    <row r="80" spans="2:9">
      <c r="B80" t="s">
        <v>161</v>
      </c>
      <c r="C80" t="s">
        <v>115</v>
      </c>
      <c r="I80" t="s">
        <v>254</v>
      </c>
    </row>
    <row r="81" spans="2:9">
      <c r="B81" t="s">
        <v>162</v>
      </c>
      <c r="C81" t="s">
        <v>115</v>
      </c>
      <c r="I81" t="s">
        <v>259</v>
      </c>
    </row>
    <row r="82" spans="2:9">
      <c r="B82" t="s">
        <v>163</v>
      </c>
      <c r="C82" t="s">
        <v>81</v>
      </c>
      <c r="I82" t="s">
        <v>260</v>
      </c>
    </row>
    <row r="83" spans="2:9">
      <c r="B83" t="s">
        <v>164</v>
      </c>
      <c r="C83" t="s">
        <v>51</v>
      </c>
      <c r="I83" t="s">
        <v>242</v>
      </c>
    </row>
    <row r="84" spans="2:9">
      <c r="B84" t="s">
        <v>165</v>
      </c>
      <c r="C84" t="s">
        <v>69</v>
      </c>
      <c r="I84" t="s">
        <v>316</v>
      </c>
    </row>
    <row r="85" spans="2:9">
      <c r="B85" t="s">
        <v>166</v>
      </c>
      <c r="C85" t="s">
        <v>95</v>
      </c>
      <c r="I85" t="s">
        <v>262</v>
      </c>
    </row>
    <row r="86" spans="2:9">
      <c r="B86" t="s">
        <v>167</v>
      </c>
      <c r="C86" t="s">
        <v>71</v>
      </c>
      <c r="I86" t="s">
        <v>266</v>
      </c>
    </row>
    <row r="87" spans="2:9">
      <c r="B87" t="s">
        <v>168</v>
      </c>
      <c r="C87" t="s">
        <v>71</v>
      </c>
      <c r="I87" t="s">
        <v>268</v>
      </c>
    </row>
    <row r="88" spans="2:9">
      <c r="B88" t="s">
        <v>169</v>
      </c>
      <c r="C88" t="s">
        <v>67</v>
      </c>
      <c r="I88" t="s">
        <v>276</v>
      </c>
    </row>
    <row r="89" spans="2:9">
      <c r="B89" t="s">
        <v>171</v>
      </c>
      <c r="C89" t="s">
        <v>102</v>
      </c>
      <c r="I89" t="s">
        <v>274</v>
      </c>
    </row>
    <row r="90" spans="2:9">
      <c r="B90" t="s">
        <v>172</v>
      </c>
      <c r="C90" t="s">
        <v>89</v>
      </c>
      <c r="I90" t="s">
        <v>270</v>
      </c>
    </row>
    <row r="91" spans="2:9">
      <c r="B91" t="s">
        <v>173</v>
      </c>
      <c r="C91" t="s">
        <v>122</v>
      </c>
      <c r="I91" t="s">
        <v>272</v>
      </c>
    </row>
    <row r="92" spans="2:9">
      <c r="B92" t="s">
        <v>350</v>
      </c>
      <c r="C92" t="s">
        <v>51</v>
      </c>
      <c r="I92" t="s">
        <v>394</v>
      </c>
    </row>
    <row r="93" spans="2:9">
      <c r="B93" t="s">
        <v>174</v>
      </c>
      <c r="C93" t="s">
        <v>89</v>
      </c>
      <c r="I93" t="s">
        <v>403</v>
      </c>
    </row>
    <row r="94" spans="2:9">
      <c r="B94" t="s">
        <v>351</v>
      </c>
      <c r="C94" t="s">
        <v>71</v>
      </c>
      <c r="I94" t="s">
        <v>428</v>
      </c>
    </row>
    <row r="95" spans="2:9">
      <c r="B95" t="s">
        <v>352</v>
      </c>
      <c r="C95" t="s">
        <v>71</v>
      </c>
      <c r="I95" t="s">
        <v>434</v>
      </c>
    </row>
    <row r="96" spans="2:9">
      <c r="B96" t="s">
        <v>353</v>
      </c>
      <c r="C96" t="s">
        <v>71</v>
      </c>
    </row>
    <row r="97" spans="2:3">
      <c r="B97" t="s">
        <v>354</v>
      </c>
      <c r="C97" t="s">
        <v>71</v>
      </c>
    </row>
    <row r="98" spans="2:3">
      <c r="B98" t="s">
        <v>355</v>
      </c>
      <c r="C98" t="s">
        <v>327</v>
      </c>
    </row>
    <row r="99" spans="2:3">
      <c r="B99" t="s">
        <v>356</v>
      </c>
      <c r="C99" t="s">
        <v>67</v>
      </c>
    </row>
    <row r="100" spans="2:3">
      <c r="B100" t="s">
        <v>357</v>
      </c>
      <c r="C100" t="s">
        <v>71</v>
      </c>
    </row>
    <row r="101" spans="2:3">
      <c r="B101" t="s">
        <v>358</v>
      </c>
      <c r="C101" t="s">
        <v>95</v>
      </c>
    </row>
    <row r="102" spans="2:3">
      <c r="B102" t="s">
        <v>359</v>
      </c>
      <c r="C102" t="s">
        <v>71</v>
      </c>
    </row>
    <row r="103" spans="2:3">
      <c r="B103" t="s">
        <v>175</v>
      </c>
      <c r="C103" t="s">
        <v>71</v>
      </c>
    </row>
    <row r="104" spans="2:3">
      <c r="B104" t="s">
        <v>360</v>
      </c>
      <c r="C104" t="s">
        <v>239</v>
      </c>
    </row>
    <row r="105" spans="2:3">
      <c r="B105" t="s">
        <v>361</v>
      </c>
      <c r="C105" t="s">
        <v>89</v>
      </c>
    </row>
    <row r="106" spans="2:3">
      <c r="B106" t="s">
        <v>362</v>
      </c>
      <c r="C106" t="s">
        <v>71</v>
      </c>
    </row>
    <row r="107" spans="2:3">
      <c r="B107" t="s">
        <v>280</v>
      </c>
      <c r="C107" t="s">
        <v>281</v>
      </c>
    </row>
    <row r="108" spans="2:3">
      <c r="B108" t="s">
        <v>176</v>
      </c>
      <c r="C108" t="s">
        <v>69</v>
      </c>
    </row>
    <row r="109" spans="2:3">
      <c r="B109" t="s">
        <v>82</v>
      </c>
      <c r="C109" t="s">
        <v>83</v>
      </c>
    </row>
    <row r="110" spans="2:3">
      <c r="B110" t="s">
        <v>177</v>
      </c>
      <c r="C110" t="s">
        <v>54</v>
      </c>
    </row>
    <row r="111" spans="2:3">
      <c r="B111" t="s">
        <v>178</v>
      </c>
      <c r="C111" t="s">
        <v>89</v>
      </c>
    </row>
    <row r="112" spans="2:3">
      <c r="B112" t="s">
        <v>179</v>
      </c>
      <c r="C112" t="s">
        <v>64</v>
      </c>
    </row>
    <row r="113" spans="2:3">
      <c r="B113" t="s">
        <v>180</v>
      </c>
      <c r="C113" t="s">
        <v>89</v>
      </c>
    </row>
    <row r="114" spans="2:3">
      <c r="B114" t="s">
        <v>181</v>
      </c>
      <c r="C114" t="s">
        <v>436</v>
      </c>
    </row>
    <row r="115" spans="2:3">
      <c r="B115" t="s">
        <v>182</v>
      </c>
      <c r="C115" t="s">
        <v>437</v>
      </c>
    </row>
    <row r="116" spans="2:3">
      <c r="B116" t="s">
        <v>183</v>
      </c>
      <c r="C116" t="s">
        <v>439</v>
      </c>
    </row>
    <row r="117" spans="2:3">
      <c r="B117" t="s">
        <v>184</v>
      </c>
      <c r="C117" t="s">
        <v>64</v>
      </c>
    </row>
    <row r="118" spans="2:3">
      <c r="B118" t="s">
        <v>185</v>
      </c>
      <c r="C118" t="s">
        <v>64</v>
      </c>
    </row>
    <row r="119" spans="2:3">
      <c r="B119" t="s">
        <v>186</v>
      </c>
      <c r="C119" t="s">
        <v>438</v>
      </c>
    </row>
    <row r="120" spans="2:3">
      <c r="B120" t="s">
        <v>187</v>
      </c>
      <c r="C120" t="s">
        <v>71</v>
      </c>
    </row>
    <row r="121" spans="2:3">
      <c r="B121" t="s">
        <v>188</v>
      </c>
      <c r="C121" t="s">
        <v>440</v>
      </c>
    </row>
    <row r="122" spans="2:3">
      <c r="B122" t="s">
        <v>189</v>
      </c>
      <c r="C122" t="s">
        <v>71</v>
      </c>
    </row>
    <row r="123" spans="2:3">
      <c r="B123" t="s">
        <v>190</v>
      </c>
      <c r="C123" t="s">
        <v>443</v>
      </c>
    </row>
    <row r="124" spans="2:3">
      <c r="B124" t="s">
        <v>191</v>
      </c>
      <c r="C124" t="s">
        <v>69</v>
      </c>
    </row>
    <row r="125" spans="2:3">
      <c r="B125" s="137" t="s">
        <v>192</v>
      </c>
      <c r="C125" t="s">
        <v>400</v>
      </c>
    </row>
    <row r="126" spans="2:3">
      <c r="B126" t="s">
        <v>193</v>
      </c>
      <c r="C126" t="s">
        <v>64</v>
      </c>
    </row>
    <row r="127" spans="2:3">
      <c r="B127" t="s">
        <v>194</v>
      </c>
      <c r="C127" t="s">
        <v>89</v>
      </c>
    </row>
    <row r="128" spans="2:3">
      <c r="B128" t="s">
        <v>195</v>
      </c>
      <c r="C128" t="s">
        <v>158</v>
      </c>
    </row>
    <row r="129" spans="2:3">
      <c r="B129" t="s">
        <v>197</v>
      </c>
      <c r="C129" t="s">
        <v>89</v>
      </c>
    </row>
    <row r="130" spans="2:3">
      <c r="B130" t="s">
        <v>198</v>
      </c>
      <c r="C130" t="s">
        <v>51</v>
      </c>
    </row>
    <row r="131" spans="2:3">
      <c r="B131" t="s">
        <v>199</v>
      </c>
      <c r="C131" t="s">
        <v>51</v>
      </c>
    </row>
    <row r="132" spans="2:3">
      <c r="B132" t="s">
        <v>200</v>
      </c>
      <c r="C132" t="s">
        <v>348</v>
      </c>
    </row>
    <row r="133" spans="2:3">
      <c r="B133" t="s">
        <v>363</v>
      </c>
      <c r="C133" t="s">
        <v>71</v>
      </c>
    </row>
    <row r="134" spans="2:3">
      <c r="B134" t="s">
        <v>364</v>
      </c>
      <c r="C134" t="s">
        <v>71</v>
      </c>
    </row>
    <row r="135" spans="2:3">
      <c r="B135" t="s">
        <v>365</v>
      </c>
      <c r="C135" t="s">
        <v>71</v>
      </c>
    </row>
    <row r="136" spans="2:3">
      <c r="B136" t="s">
        <v>12</v>
      </c>
      <c r="C136" t="s">
        <v>67</v>
      </c>
    </row>
    <row r="137" spans="2:3">
      <c r="B137" t="s">
        <v>366</v>
      </c>
      <c r="C137" t="s">
        <v>71</v>
      </c>
    </row>
    <row r="138" spans="2:3">
      <c r="B138" s="20" t="s">
        <v>367</v>
      </c>
      <c r="C138" t="s">
        <v>239</v>
      </c>
    </row>
    <row r="139" spans="2:3">
      <c r="B139" s="20" t="s">
        <v>368</v>
      </c>
      <c r="C139" t="s">
        <v>242</v>
      </c>
    </row>
    <row r="140" spans="2:3">
      <c r="B140" t="s">
        <v>369</v>
      </c>
      <c r="C140" t="s">
        <v>242</v>
      </c>
    </row>
    <row r="141" spans="2:3">
      <c r="B141" t="s">
        <v>370</v>
      </c>
      <c r="C141" t="s">
        <v>242</v>
      </c>
    </row>
    <row r="142" spans="2:3">
      <c r="B142" t="s">
        <v>371</v>
      </c>
      <c r="C142" t="s">
        <v>242</v>
      </c>
    </row>
    <row r="143" spans="2:3">
      <c r="B143" t="s">
        <v>372</v>
      </c>
      <c r="C143" t="s">
        <v>242</v>
      </c>
    </row>
    <row r="144" spans="2:3">
      <c r="B144" t="s">
        <v>373</v>
      </c>
      <c r="C144" t="s">
        <v>242</v>
      </c>
    </row>
    <row r="145" spans="2:3">
      <c r="B145" t="s">
        <v>374</v>
      </c>
      <c r="C145" t="s">
        <v>242</v>
      </c>
    </row>
    <row r="146" spans="2:3">
      <c r="B146" t="s">
        <v>375</v>
      </c>
      <c r="C146" t="s">
        <v>242</v>
      </c>
    </row>
    <row r="147" spans="2:3">
      <c r="B147" t="s">
        <v>376</v>
      </c>
      <c r="C147" t="s">
        <v>242</v>
      </c>
    </row>
    <row r="148" spans="2:3">
      <c r="B148" t="s">
        <v>377</v>
      </c>
      <c r="C148" t="s">
        <v>242</v>
      </c>
    </row>
    <row r="149" spans="2:3">
      <c r="B149" t="s">
        <v>378</v>
      </c>
      <c r="C149" t="s">
        <v>242</v>
      </c>
    </row>
    <row r="150" spans="2:3">
      <c r="B150" t="s">
        <v>379</v>
      </c>
      <c r="C150" t="s">
        <v>242</v>
      </c>
    </row>
    <row r="151" spans="2:3">
      <c r="B151" t="s">
        <v>380</v>
      </c>
      <c r="C151" t="s">
        <v>242</v>
      </c>
    </row>
    <row r="152" spans="2:3">
      <c r="B152" t="s">
        <v>381</v>
      </c>
      <c r="C152" t="s">
        <v>242</v>
      </c>
    </row>
    <row r="153" spans="2:3">
      <c r="B153" t="s">
        <v>382</v>
      </c>
      <c r="C153" t="s">
        <v>242</v>
      </c>
    </row>
    <row r="154" spans="2:3">
      <c r="B154" t="s">
        <v>383</v>
      </c>
      <c r="C154" t="s">
        <v>242</v>
      </c>
    </row>
    <row r="155" spans="2:3">
      <c r="B155" t="s">
        <v>201</v>
      </c>
      <c r="C155" t="s">
        <v>89</v>
      </c>
    </row>
    <row r="156" spans="2:3">
      <c r="B156" t="s">
        <v>202</v>
      </c>
      <c r="C156" t="s">
        <v>89</v>
      </c>
    </row>
    <row r="157" spans="2:3">
      <c r="B157" t="s">
        <v>203</v>
      </c>
      <c r="C157" t="s">
        <v>71</v>
      </c>
    </row>
    <row r="158" spans="2:3">
      <c r="B158" t="s">
        <v>204</v>
      </c>
      <c r="C158" t="s">
        <v>71</v>
      </c>
    </row>
    <row r="159" spans="2:3">
      <c r="B159" t="s">
        <v>205</v>
      </c>
      <c r="C159" t="s">
        <v>71</v>
      </c>
    </row>
    <row r="160" spans="2:3">
      <c r="B160" t="s">
        <v>9</v>
      </c>
      <c r="C160" t="s">
        <v>100</v>
      </c>
    </row>
    <row r="161" spans="2:3">
      <c r="B161" t="s">
        <v>206</v>
      </c>
      <c r="C161" t="s">
        <v>89</v>
      </c>
    </row>
    <row r="162" spans="2:3">
      <c r="B162" t="s">
        <v>207</v>
      </c>
      <c r="C162" t="s">
        <v>64</v>
      </c>
    </row>
    <row r="163" spans="2:3">
      <c r="B163" t="s">
        <v>208</v>
      </c>
      <c r="C163" t="s">
        <v>69</v>
      </c>
    </row>
    <row r="164" spans="2:3">
      <c r="B164" t="s">
        <v>209</v>
      </c>
      <c r="C164" t="s">
        <v>89</v>
      </c>
    </row>
    <row r="165" spans="2:3">
      <c r="B165" t="s">
        <v>210</v>
      </c>
      <c r="C165" t="s">
        <v>72</v>
      </c>
    </row>
    <row r="166" spans="2:3">
      <c r="B166" t="s">
        <v>211</v>
      </c>
      <c r="C166" t="s">
        <v>69</v>
      </c>
    </row>
    <row r="167" spans="2:3">
      <c r="B167" t="s">
        <v>212</v>
      </c>
      <c r="C167" t="s">
        <v>402</v>
      </c>
    </row>
    <row r="168" spans="2:3">
      <c r="B168" t="s">
        <v>213</v>
      </c>
      <c r="C168" t="s">
        <v>67</v>
      </c>
    </row>
    <row r="169" spans="2:3">
      <c r="B169" t="s">
        <v>214</v>
      </c>
      <c r="C169" t="s">
        <v>71</v>
      </c>
    </row>
    <row r="170" spans="2:3">
      <c r="B170" t="s">
        <v>215</v>
      </c>
      <c r="C170" t="s">
        <v>64</v>
      </c>
    </row>
    <row r="171" spans="2:3">
      <c r="B171" t="s">
        <v>216</v>
      </c>
      <c r="C171" t="s">
        <v>109</v>
      </c>
    </row>
    <row r="172" spans="2:3">
      <c r="B172" t="s">
        <v>217</v>
      </c>
      <c r="C172" t="s">
        <v>71</v>
      </c>
    </row>
    <row r="173" spans="2:3">
      <c r="B173" t="s">
        <v>218</v>
      </c>
      <c r="C173" t="s">
        <v>89</v>
      </c>
    </row>
    <row r="174" spans="2:3">
      <c r="B174" t="s">
        <v>219</v>
      </c>
      <c r="C174" t="s">
        <v>89</v>
      </c>
    </row>
    <row r="175" spans="2:3">
      <c r="B175" t="s">
        <v>220</v>
      </c>
      <c r="C175" t="s">
        <v>89</v>
      </c>
    </row>
    <row r="176" spans="2:3">
      <c r="B176" t="s">
        <v>221</v>
      </c>
      <c r="C176" t="s">
        <v>89</v>
      </c>
    </row>
    <row r="177" spans="2:3">
      <c r="B177" t="s">
        <v>222</v>
      </c>
      <c r="C177" t="s">
        <v>441</v>
      </c>
    </row>
    <row r="178" spans="2:3">
      <c r="B178" t="s">
        <v>284</v>
      </c>
      <c r="C178" t="s">
        <v>285</v>
      </c>
    </row>
    <row r="179" spans="2:3">
      <c r="B179" t="s">
        <v>15</v>
      </c>
      <c r="C179" t="s">
        <v>223</v>
      </c>
    </row>
    <row r="180" spans="2:3">
      <c r="B180" t="s">
        <v>125</v>
      </c>
      <c r="C180" t="s">
        <v>57</v>
      </c>
    </row>
    <row r="181" spans="2:3">
      <c r="B181" t="s">
        <v>224</v>
      </c>
      <c r="C181" t="s">
        <v>95</v>
      </c>
    </row>
    <row r="182" spans="2:3">
      <c r="B182" t="s">
        <v>225</v>
      </c>
      <c r="C182" t="s">
        <v>89</v>
      </c>
    </row>
    <row r="183" spans="2:3">
      <c r="B183" t="s">
        <v>226</v>
      </c>
      <c r="C183" t="s">
        <v>89</v>
      </c>
    </row>
    <row r="184" spans="2:3">
      <c r="B184" t="s">
        <v>227</v>
      </c>
      <c r="C184" t="s">
        <v>89</v>
      </c>
    </row>
    <row r="185" spans="2:3">
      <c r="B185" t="s">
        <v>228</v>
      </c>
      <c r="C185" t="s">
        <v>89</v>
      </c>
    </row>
    <row r="186" spans="2:3">
      <c r="B186" t="s">
        <v>250</v>
      </c>
      <c r="C186" t="s">
        <v>246</v>
      </c>
    </row>
    <row r="187" spans="2:3">
      <c r="B187" t="s">
        <v>251</v>
      </c>
      <c r="C187" t="s">
        <v>247</v>
      </c>
    </row>
    <row r="188" spans="2:3">
      <c r="B188" t="s">
        <v>252</v>
      </c>
      <c r="C188" t="s">
        <v>248</v>
      </c>
    </row>
    <row r="189" spans="2:3">
      <c r="B189" t="s">
        <v>253</v>
      </c>
      <c r="C189" t="s">
        <v>249</v>
      </c>
    </row>
    <row r="190" spans="2:3">
      <c r="B190" t="s">
        <v>255</v>
      </c>
      <c r="C190" t="s">
        <v>254</v>
      </c>
    </row>
    <row r="191" spans="2:3">
      <c r="B191" t="s">
        <v>257</v>
      </c>
      <c r="C191" t="s">
        <v>242</v>
      </c>
    </row>
    <row r="192" spans="2:3">
      <c r="B192" t="s">
        <v>258</v>
      </c>
      <c r="C192" t="s">
        <v>316</v>
      </c>
    </row>
    <row r="193" spans="2:3">
      <c r="B193" t="s">
        <v>256</v>
      </c>
      <c r="C193" t="s">
        <v>259</v>
      </c>
    </row>
    <row r="194" spans="2:3">
      <c r="B194" t="s">
        <v>263</v>
      </c>
      <c r="C194" t="s">
        <v>262</v>
      </c>
    </row>
    <row r="195" spans="2:3">
      <c r="B195" t="s">
        <v>265</v>
      </c>
      <c r="C195" t="s">
        <v>266</v>
      </c>
    </row>
    <row r="196" spans="2:3">
      <c r="B196" t="s">
        <v>267</v>
      </c>
      <c r="C196" t="s">
        <v>267</v>
      </c>
    </row>
    <row r="197" spans="2:3">
      <c r="B197" t="s">
        <v>269</v>
      </c>
      <c r="C197" t="s">
        <v>270</v>
      </c>
    </row>
    <row r="198" spans="2:3">
      <c r="B198" t="s">
        <v>271</v>
      </c>
      <c r="C198" t="s">
        <v>272</v>
      </c>
    </row>
    <row r="199" spans="2:3">
      <c r="B199" t="s">
        <v>273</v>
      </c>
      <c r="C199" t="s">
        <v>274</v>
      </c>
    </row>
    <row r="200" spans="2:3">
      <c r="B200" t="s">
        <v>275</v>
      </c>
      <c r="C200" t="s">
        <v>276</v>
      </c>
    </row>
    <row r="201" spans="2:3">
      <c r="B201" t="s">
        <v>277</v>
      </c>
      <c r="C201" t="s">
        <v>71</v>
      </c>
    </row>
    <row r="202" spans="2:3">
      <c r="B202" t="s">
        <v>278</v>
      </c>
      <c r="C202" t="s">
        <v>242</v>
      </c>
    </row>
    <row r="203" spans="2:3">
      <c r="B203" t="s">
        <v>384</v>
      </c>
      <c r="C203" t="s">
        <v>242</v>
      </c>
    </row>
    <row r="204" spans="2:3">
      <c r="B204" t="s">
        <v>279</v>
      </c>
      <c r="C204" t="s">
        <v>81</v>
      </c>
    </row>
    <row r="205" spans="2:3">
      <c r="B205" t="s">
        <v>289</v>
      </c>
      <c r="C205" t="s">
        <v>81</v>
      </c>
    </row>
    <row r="206" spans="2:3">
      <c r="B206" t="s">
        <v>290</v>
      </c>
      <c r="C206" t="s">
        <v>242</v>
      </c>
    </row>
    <row r="207" spans="2:3">
      <c r="B207" t="s">
        <v>385</v>
      </c>
      <c r="C207" t="s">
        <v>81</v>
      </c>
    </row>
    <row r="208" spans="2:3">
      <c r="B208" t="s">
        <v>386</v>
      </c>
      <c r="C208" t="s">
        <v>89</v>
      </c>
    </row>
    <row r="209" spans="2:3">
      <c r="B209" t="s">
        <v>387</v>
      </c>
      <c r="C209" t="s">
        <v>89</v>
      </c>
    </row>
    <row r="210" spans="2:3">
      <c r="B210" t="s">
        <v>388</v>
      </c>
      <c r="C210" t="s">
        <v>316</v>
      </c>
    </row>
    <row r="211" spans="2:3">
      <c r="B211" t="s">
        <v>389</v>
      </c>
      <c r="C211" t="s">
        <v>89</v>
      </c>
    </row>
    <row r="212" spans="2:3">
      <c r="B212" t="s">
        <v>390</v>
      </c>
      <c r="C212" t="s">
        <v>71</v>
      </c>
    </row>
    <row r="213" spans="2:3">
      <c r="B213" t="s">
        <v>395</v>
      </c>
      <c r="C213" t="s">
        <v>394</v>
      </c>
    </row>
    <row r="214" spans="2:3">
      <c r="B214" t="s">
        <v>396</v>
      </c>
      <c r="C214" t="s">
        <v>242</v>
      </c>
    </row>
    <row r="215" spans="2:3">
      <c r="B215" t="s">
        <v>408</v>
      </c>
      <c r="C215" t="s">
        <v>399</v>
      </c>
    </row>
    <row r="216" spans="2:3">
      <c r="B216" t="s">
        <v>409</v>
      </c>
      <c r="C216" t="s">
        <v>403</v>
      </c>
    </row>
    <row r="217" spans="2:3">
      <c r="B217" t="s">
        <v>410</v>
      </c>
      <c r="C217" t="s">
        <v>71</v>
      </c>
    </row>
    <row r="218" spans="2:3">
      <c r="B218" t="s">
        <v>411</v>
      </c>
      <c r="C218" t="s">
        <v>95</v>
      </c>
    </row>
    <row r="219" spans="2:3">
      <c r="B219" t="s">
        <v>412</v>
      </c>
      <c r="C219" t="s">
        <v>67</v>
      </c>
    </row>
    <row r="220" spans="2:3">
      <c r="B220" t="s">
        <v>413</v>
      </c>
      <c r="C220" t="s">
        <v>89</v>
      </c>
    </row>
    <row r="221" spans="2:3">
      <c r="B221" t="s">
        <v>414</v>
      </c>
      <c r="C221" t="s">
        <v>95</v>
      </c>
    </row>
    <row r="222" spans="2:3">
      <c r="B222" t="s">
        <v>415</v>
      </c>
      <c r="C222" t="s">
        <v>89</v>
      </c>
    </row>
    <row r="223" spans="2:3">
      <c r="B223" t="s">
        <v>416</v>
      </c>
      <c r="C223" t="s">
        <v>71</v>
      </c>
    </row>
    <row r="224" spans="2:3">
      <c r="B224" t="s">
        <v>417</v>
      </c>
      <c r="C224" t="s">
        <v>254</v>
      </c>
    </row>
    <row r="225" spans="2:3">
      <c r="B225" t="s">
        <v>418</v>
      </c>
      <c r="C225" t="s">
        <v>71</v>
      </c>
    </row>
    <row r="226" spans="2:3">
      <c r="B226" t="s">
        <v>419</v>
      </c>
      <c r="C226" t="s">
        <v>95</v>
      </c>
    </row>
    <row r="227" spans="2:3">
      <c r="B227" t="s">
        <v>420</v>
      </c>
      <c r="C227" t="s">
        <v>95</v>
      </c>
    </row>
    <row r="228" spans="2:3">
      <c r="B228" t="s">
        <v>421</v>
      </c>
      <c r="C228" t="s">
        <v>428</v>
      </c>
    </row>
    <row r="229" spans="2:3">
      <c r="B229" t="s">
        <v>391</v>
      </c>
      <c r="C229" t="s">
        <v>64</v>
      </c>
    </row>
    <row r="230" spans="2:3">
      <c r="B230" t="s">
        <v>358</v>
      </c>
      <c r="C230" t="s">
        <v>426</v>
      </c>
    </row>
    <row r="231" spans="2:3">
      <c r="B231" t="s">
        <v>429</v>
      </c>
      <c r="C231" t="s">
        <v>430</v>
      </c>
    </row>
  </sheetData>
  <dataValidations disablePrompts="1" count="3">
    <dataValidation type="list" allowBlank="1" showInputMessage="1" showErrorMessage="1" sqref="C275:C1048576" xr:uid="{2FDB1091-B69B-46D5-B929-42EDC07E2A41}">
      <formula1>$I$2:$I$42</formula1>
    </dataValidation>
    <dataValidation type="list" allowBlank="1" showInputMessage="1" showErrorMessage="1" sqref="C17:C138 C3:C10 C12:C13" xr:uid="{BD64CFED-2895-4A90-B690-164C41E80423}">
      <formula1>$I$2:$I$58</formula1>
    </dataValidation>
    <dataValidation type="list" allowBlank="1" showInputMessage="1" showErrorMessage="1" sqref="C15:C16" xr:uid="{3AF229CB-1CEF-4143-AFA6-ABD35C9D9F86}">
      <formula1>$I$2:$I$60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28BA-675E-4676-B1AD-6CC7558D380D}">
  <sheetPr codeName="Sheet4"/>
  <dimension ref="B4:I123"/>
  <sheetViews>
    <sheetView topLeftCell="A58" workbookViewId="0">
      <selection activeCell="I40" sqref="I40:I41"/>
    </sheetView>
  </sheetViews>
  <sheetFormatPr defaultRowHeight="15"/>
  <sheetData>
    <row r="4" spans="3:9">
      <c r="C4" t="s">
        <v>125</v>
      </c>
      <c r="D4" t="s">
        <v>57</v>
      </c>
      <c r="I4" t="s">
        <v>89</v>
      </c>
    </row>
    <row r="5" spans="3:9">
      <c r="C5" t="s">
        <v>126</v>
      </c>
      <c r="D5" t="s">
        <v>89</v>
      </c>
      <c r="I5" t="s">
        <v>71</v>
      </c>
    </row>
    <row r="6" spans="3:9">
      <c r="C6" t="s">
        <v>127</v>
      </c>
      <c r="D6" t="s">
        <v>89</v>
      </c>
      <c r="I6" t="s">
        <v>69</v>
      </c>
    </row>
    <row r="7" spans="3:9">
      <c r="C7" t="s">
        <v>128</v>
      </c>
      <c r="D7" t="s">
        <v>104</v>
      </c>
      <c r="I7" t="s">
        <v>64</v>
      </c>
    </row>
    <row r="8" spans="3:9">
      <c r="C8" t="s">
        <v>129</v>
      </c>
      <c r="D8" t="s">
        <v>17</v>
      </c>
      <c r="I8" t="s">
        <v>67</v>
      </c>
    </row>
    <row r="9" spans="3:9">
      <c r="C9" t="s">
        <v>131</v>
      </c>
      <c r="D9" t="s">
        <v>132</v>
      </c>
      <c r="I9" t="s">
        <v>130</v>
      </c>
    </row>
    <row r="10" spans="3:9">
      <c r="C10" t="s">
        <v>133</v>
      </c>
      <c r="D10" t="s">
        <v>134</v>
      </c>
      <c r="I10" t="s">
        <v>132</v>
      </c>
    </row>
    <row r="11" spans="3:9">
      <c r="C11" t="s">
        <v>237</v>
      </c>
      <c r="D11" t="s">
        <v>89</v>
      </c>
      <c r="I11" t="s">
        <v>134</v>
      </c>
    </row>
    <row r="12" spans="3:9">
      <c r="C12" t="s">
        <v>170</v>
      </c>
      <c r="D12" t="s">
        <v>238</v>
      </c>
      <c r="I12" t="s">
        <v>120</v>
      </c>
    </row>
    <row r="13" spans="3:9">
      <c r="C13" t="s">
        <v>236</v>
      </c>
      <c r="D13" t="s">
        <v>235</v>
      </c>
      <c r="I13" t="s">
        <v>238</v>
      </c>
    </row>
    <row r="14" spans="3:9">
      <c r="C14" t="s">
        <v>135</v>
      </c>
      <c r="D14" t="s">
        <v>120</v>
      </c>
      <c r="I14" t="s">
        <v>235</v>
      </c>
    </row>
    <row r="15" spans="3:9">
      <c r="C15" t="s">
        <v>245</v>
      </c>
      <c r="D15" t="s">
        <v>244</v>
      </c>
      <c r="I15" t="s">
        <v>122</v>
      </c>
    </row>
    <row r="16" spans="3:9">
      <c r="C16" t="s">
        <v>136</v>
      </c>
      <c r="D16" t="s">
        <v>119</v>
      </c>
      <c r="I16" t="s">
        <v>244</v>
      </c>
    </row>
    <row r="17" spans="2:9">
      <c r="C17" t="s">
        <v>137</v>
      </c>
      <c r="D17" t="s">
        <v>117</v>
      </c>
      <c r="I17" t="s">
        <v>119</v>
      </c>
    </row>
    <row r="18" spans="2:9">
      <c r="C18" t="s">
        <v>138</v>
      </c>
      <c r="D18" t="s">
        <v>114</v>
      </c>
      <c r="I18" t="s">
        <v>118</v>
      </c>
    </row>
    <row r="19" spans="2:9">
      <c r="C19" t="s">
        <v>139</v>
      </c>
      <c r="D19" t="s">
        <v>71</v>
      </c>
      <c r="I19" t="s">
        <v>117</v>
      </c>
    </row>
    <row r="20" spans="2:9">
      <c r="C20" t="s">
        <v>11</v>
      </c>
      <c r="D20" t="s">
        <v>89</v>
      </c>
      <c r="I20" t="s">
        <v>114</v>
      </c>
    </row>
    <row r="21" spans="2:9">
      <c r="C21" t="s">
        <v>140</v>
      </c>
      <c r="D21" t="s">
        <v>67</v>
      </c>
      <c r="I21" t="s">
        <v>106</v>
      </c>
    </row>
    <row r="22" spans="2:9">
      <c r="C22" t="s">
        <v>141</v>
      </c>
      <c r="D22" t="s">
        <v>69</v>
      </c>
      <c r="I22" t="s">
        <v>115</v>
      </c>
    </row>
    <row r="23" spans="2:9">
      <c r="C23" t="s">
        <v>142</v>
      </c>
      <c r="D23" t="s">
        <v>67</v>
      </c>
      <c r="I23" t="s">
        <v>109</v>
      </c>
    </row>
    <row r="24" spans="2:9">
      <c r="C24" t="s">
        <v>143</v>
      </c>
      <c r="D24" t="s">
        <v>108</v>
      </c>
      <c r="I24" t="s">
        <v>110</v>
      </c>
    </row>
    <row r="25" spans="2:9">
      <c r="B25" s="97"/>
      <c r="C25" t="s">
        <v>144</v>
      </c>
      <c r="D25" t="s">
        <v>89</v>
      </c>
      <c r="I25" t="s">
        <v>108</v>
      </c>
    </row>
    <row r="26" spans="2:9">
      <c r="C26" t="s">
        <v>145</v>
      </c>
      <c r="D26" t="s">
        <v>118</v>
      </c>
      <c r="I26" t="s">
        <v>72</v>
      </c>
    </row>
    <row r="27" spans="2:9">
      <c r="C27" t="s">
        <v>146</v>
      </c>
      <c r="D27" t="s">
        <v>89</v>
      </c>
      <c r="I27" t="s">
        <v>54</v>
      </c>
    </row>
    <row r="28" spans="2:9">
      <c r="C28" s="97" t="s">
        <v>147</v>
      </c>
      <c r="D28" t="s">
        <v>69</v>
      </c>
      <c r="I28" t="s">
        <v>57</v>
      </c>
    </row>
    <row r="29" spans="2:9">
      <c r="C29" t="s">
        <v>149</v>
      </c>
      <c r="D29" t="s">
        <v>72</v>
      </c>
      <c r="I29" t="s">
        <v>148</v>
      </c>
    </row>
    <row r="30" spans="2:9">
      <c r="C30" t="s">
        <v>150</v>
      </c>
      <c r="D30" t="s">
        <v>69</v>
      </c>
      <c r="I30" t="s">
        <v>102</v>
      </c>
    </row>
    <row r="31" spans="2:9">
      <c r="C31" t="s">
        <v>151</v>
      </c>
      <c r="D31" t="s">
        <v>89</v>
      </c>
      <c r="I31" t="s">
        <v>100</v>
      </c>
    </row>
    <row r="32" spans="2:9">
      <c r="C32" t="s">
        <v>152</v>
      </c>
      <c r="D32" t="s">
        <v>64</v>
      </c>
      <c r="I32" t="s">
        <v>95</v>
      </c>
    </row>
    <row r="33" spans="3:9">
      <c r="C33" t="s">
        <v>153</v>
      </c>
      <c r="D33" t="s">
        <v>69</v>
      </c>
      <c r="I33" t="s">
        <v>81</v>
      </c>
    </row>
    <row r="34" spans="3:9">
      <c r="C34" t="s">
        <v>154</v>
      </c>
      <c r="D34" t="s">
        <v>89</v>
      </c>
      <c r="I34" t="s">
        <v>51</v>
      </c>
    </row>
    <row r="35" spans="3:9">
      <c r="C35" t="s">
        <v>155</v>
      </c>
      <c r="D35" t="s">
        <v>81</v>
      </c>
      <c r="I35" t="s">
        <v>83</v>
      </c>
    </row>
    <row r="36" spans="3:9">
      <c r="C36" t="s">
        <v>157</v>
      </c>
      <c r="D36" t="s">
        <v>51</v>
      </c>
      <c r="I36" t="s">
        <v>156</v>
      </c>
    </row>
    <row r="37" spans="3:9">
      <c r="C37" t="s">
        <v>159</v>
      </c>
      <c r="D37" t="s">
        <v>67</v>
      </c>
      <c r="I37" t="s">
        <v>158</v>
      </c>
    </row>
    <row r="38" spans="3:9">
      <c r="C38" t="s">
        <v>160</v>
      </c>
      <c r="D38" t="s">
        <v>95</v>
      </c>
      <c r="I38" t="s">
        <v>104</v>
      </c>
    </row>
    <row r="39" spans="3:9">
      <c r="C39" t="s">
        <v>229</v>
      </c>
      <c r="D39" t="s">
        <v>72</v>
      </c>
      <c r="I39" t="s">
        <v>246</v>
      </c>
    </row>
    <row r="40" spans="3:9">
      <c r="C40" t="s">
        <v>230</v>
      </c>
      <c r="D40" t="s">
        <v>72</v>
      </c>
      <c r="I40" t="s">
        <v>247</v>
      </c>
    </row>
    <row r="41" spans="3:9">
      <c r="C41" t="s">
        <v>161</v>
      </c>
      <c r="D41" t="s">
        <v>115</v>
      </c>
      <c r="I41" t="s">
        <v>248</v>
      </c>
    </row>
    <row r="42" spans="3:9">
      <c r="C42" t="s">
        <v>162</v>
      </c>
      <c r="D42" t="s">
        <v>115</v>
      </c>
      <c r="I42" t="s">
        <v>249</v>
      </c>
    </row>
    <row r="43" spans="3:9">
      <c r="C43" t="s">
        <v>163</v>
      </c>
      <c r="D43" t="s">
        <v>81</v>
      </c>
      <c r="I43" t="s">
        <v>254</v>
      </c>
    </row>
    <row r="44" spans="3:9">
      <c r="C44" t="s">
        <v>164</v>
      </c>
      <c r="D44" t="s">
        <v>51</v>
      </c>
      <c r="I44" t="s">
        <v>259</v>
      </c>
    </row>
    <row r="45" spans="3:9">
      <c r="C45" t="s">
        <v>165</v>
      </c>
      <c r="D45" t="s">
        <v>69</v>
      </c>
      <c r="I45" t="s">
        <v>260</v>
      </c>
    </row>
    <row r="46" spans="3:9">
      <c r="C46" t="s">
        <v>166</v>
      </c>
      <c r="D46" t="s">
        <v>95</v>
      </c>
      <c r="I46" t="s">
        <v>242</v>
      </c>
    </row>
    <row r="47" spans="3:9">
      <c r="C47" t="s">
        <v>167</v>
      </c>
      <c r="D47" t="s">
        <v>71</v>
      </c>
      <c r="I47" t="s">
        <v>261</v>
      </c>
    </row>
    <row r="48" spans="3:9">
      <c r="C48" t="s">
        <v>168</v>
      </c>
      <c r="D48" t="s">
        <v>71</v>
      </c>
    </row>
    <row r="49" spans="3:4">
      <c r="C49" t="s">
        <v>169</v>
      </c>
      <c r="D49" t="s">
        <v>67</v>
      </c>
    </row>
    <row r="50" spans="3:4">
      <c r="C50" t="s">
        <v>170</v>
      </c>
      <c r="D50" t="s">
        <v>89</v>
      </c>
    </row>
    <row r="51" spans="3:4">
      <c r="C51" t="s">
        <v>171</v>
      </c>
      <c r="D51" t="s">
        <v>102</v>
      </c>
    </row>
    <row r="52" spans="3:4">
      <c r="C52" t="s">
        <v>172</v>
      </c>
      <c r="D52" t="s">
        <v>89</v>
      </c>
    </row>
    <row r="53" spans="3:4">
      <c r="C53" t="s">
        <v>173</v>
      </c>
      <c r="D53" t="s">
        <v>122</v>
      </c>
    </row>
    <row r="54" spans="3:4">
      <c r="C54" t="s">
        <v>174</v>
      </c>
      <c r="D54" t="s">
        <v>89</v>
      </c>
    </row>
    <row r="55" spans="3:4">
      <c r="C55" t="s">
        <v>175</v>
      </c>
      <c r="D55" t="s">
        <v>71</v>
      </c>
    </row>
    <row r="56" spans="3:4">
      <c r="C56" t="s">
        <v>176</v>
      </c>
      <c r="D56" t="s">
        <v>69</v>
      </c>
    </row>
    <row r="57" spans="3:4">
      <c r="C57" t="s">
        <v>82</v>
      </c>
      <c r="D57" t="s">
        <v>83</v>
      </c>
    </row>
    <row r="58" spans="3:4">
      <c r="C58" t="s">
        <v>177</v>
      </c>
      <c r="D58" t="s">
        <v>54</v>
      </c>
    </row>
    <row r="59" spans="3:4">
      <c r="C59" t="s">
        <v>178</v>
      </c>
      <c r="D59" t="s">
        <v>89</v>
      </c>
    </row>
    <row r="60" spans="3:4">
      <c r="C60" t="s">
        <v>179</v>
      </c>
      <c r="D60" t="s">
        <v>64</v>
      </c>
    </row>
    <row r="61" spans="3:4">
      <c r="C61" t="s">
        <v>180</v>
      </c>
      <c r="D61" t="s">
        <v>89</v>
      </c>
    </row>
    <row r="62" spans="3:4">
      <c r="C62" t="s">
        <v>181</v>
      </c>
      <c r="D62" t="s">
        <v>71</v>
      </c>
    </row>
    <row r="63" spans="3:4">
      <c r="C63" t="s">
        <v>182</v>
      </c>
      <c r="D63" t="s">
        <v>64</v>
      </c>
    </row>
    <row r="64" spans="3:4">
      <c r="C64" t="s">
        <v>183</v>
      </c>
      <c r="D64" t="s">
        <v>64</v>
      </c>
    </row>
    <row r="65" spans="3:4">
      <c r="C65" t="s">
        <v>184</v>
      </c>
      <c r="D65" t="s">
        <v>64</v>
      </c>
    </row>
    <row r="66" spans="3:4">
      <c r="C66" t="s">
        <v>185</v>
      </c>
      <c r="D66" t="s">
        <v>64</v>
      </c>
    </row>
    <row r="67" spans="3:4">
      <c r="C67" t="s">
        <v>186</v>
      </c>
      <c r="D67" t="s">
        <v>67</v>
      </c>
    </row>
    <row r="68" spans="3:4">
      <c r="C68" t="s">
        <v>187</v>
      </c>
      <c r="D68" t="s">
        <v>71</v>
      </c>
    </row>
    <row r="69" spans="3:4">
      <c r="C69" t="s">
        <v>188</v>
      </c>
      <c r="D69" t="s">
        <v>95</v>
      </c>
    </row>
    <row r="70" spans="3:4">
      <c r="C70" t="s">
        <v>189</v>
      </c>
      <c r="D70" t="s">
        <v>71</v>
      </c>
    </row>
    <row r="71" spans="3:4">
      <c r="C71" t="s">
        <v>190</v>
      </c>
      <c r="D71" t="s">
        <v>89</v>
      </c>
    </row>
    <row r="72" spans="3:4">
      <c r="C72" t="s">
        <v>191</v>
      </c>
      <c r="D72" t="s">
        <v>69</v>
      </c>
    </row>
    <row r="73" spans="3:4">
      <c r="C73" t="s">
        <v>192</v>
      </c>
      <c r="D73" t="s">
        <v>71</v>
      </c>
    </row>
    <row r="74" spans="3:4">
      <c r="C74" t="s">
        <v>193</v>
      </c>
      <c r="D74" t="s">
        <v>64</v>
      </c>
    </row>
    <row r="75" spans="3:4">
      <c r="C75" t="s">
        <v>194</v>
      </c>
      <c r="D75" t="s">
        <v>89</v>
      </c>
    </row>
    <row r="76" spans="3:4">
      <c r="C76" t="s">
        <v>195</v>
      </c>
      <c r="D76" t="s">
        <v>158</v>
      </c>
    </row>
    <row r="77" spans="3:4">
      <c r="C77" t="s">
        <v>196</v>
      </c>
      <c r="D77" t="s">
        <v>71</v>
      </c>
    </row>
    <row r="78" spans="3:4">
      <c r="C78" t="s">
        <v>197</v>
      </c>
      <c r="D78" t="s">
        <v>89</v>
      </c>
    </row>
    <row r="79" spans="3:4">
      <c r="C79" t="s">
        <v>198</v>
      </c>
      <c r="D79" t="s">
        <v>51</v>
      </c>
    </row>
    <row r="80" spans="3:4">
      <c r="C80" t="s">
        <v>199</v>
      </c>
      <c r="D80" t="s">
        <v>51</v>
      </c>
    </row>
    <row r="81" spans="3:4">
      <c r="C81" t="s">
        <v>200</v>
      </c>
      <c r="D81" t="s">
        <v>110</v>
      </c>
    </row>
    <row r="82" spans="3:4">
      <c r="C82" t="s">
        <v>12</v>
      </c>
      <c r="D82" t="s">
        <v>67</v>
      </c>
    </row>
    <row r="83" spans="3:4">
      <c r="C83" t="s">
        <v>201</v>
      </c>
      <c r="D83" t="s">
        <v>89</v>
      </c>
    </row>
    <row r="84" spans="3:4">
      <c r="C84" t="s">
        <v>202</v>
      </c>
      <c r="D84" t="s">
        <v>89</v>
      </c>
    </row>
    <row r="85" spans="3:4">
      <c r="C85" t="s">
        <v>203</v>
      </c>
      <c r="D85" t="s">
        <v>71</v>
      </c>
    </row>
    <row r="86" spans="3:4">
      <c r="C86" t="s">
        <v>204</v>
      </c>
      <c r="D86" t="s">
        <v>71</v>
      </c>
    </row>
    <row r="87" spans="3:4">
      <c r="C87" t="s">
        <v>205</v>
      </c>
      <c r="D87" t="s">
        <v>71</v>
      </c>
    </row>
    <row r="88" spans="3:4">
      <c r="C88" t="s">
        <v>9</v>
      </c>
      <c r="D88" t="s">
        <v>100</v>
      </c>
    </row>
    <row r="89" spans="3:4">
      <c r="C89" t="s">
        <v>206</v>
      </c>
      <c r="D89" t="s">
        <v>89</v>
      </c>
    </row>
    <row r="90" spans="3:4">
      <c r="C90" t="s">
        <v>207</v>
      </c>
      <c r="D90" t="s">
        <v>64</v>
      </c>
    </row>
    <row r="91" spans="3:4">
      <c r="C91" t="s">
        <v>208</v>
      </c>
      <c r="D91" t="s">
        <v>69</v>
      </c>
    </row>
    <row r="92" spans="3:4">
      <c r="C92" t="s">
        <v>209</v>
      </c>
      <c r="D92" t="s">
        <v>89</v>
      </c>
    </row>
    <row r="93" spans="3:4">
      <c r="C93" t="s">
        <v>210</v>
      </c>
      <c r="D93" t="s">
        <v>72</v>
      </c>
    </row>
    <row r="94" spans="3:4">
      <c r="C94" t="s">
        <v>211</v>
      </c>
      <c r="D94" t="s">
        <v>69</v>
      </c>
    </row>
    <row r="95" spans="3:4">
      <c r="C95" t="s">
        <v>212</v>
      </c>
      <c r="D95" t="s">
        <v>64</v>
      </c>
    </row>
    <row r="96" spans="3:4">
      <c r="C96" t="s">
        <v>213</v>
      </c>
      <c r="D96" t="s">
        <v>67</v>
      </c>
    </row>
    <row r="97" spans="3:4">
      <c r="C97" t="s">
        <v>214</v>
      </c>
      <c r="D97" t="s">
        <v>71</v>
      </c>
    </row>
    <row r="98" spans="3:4">
      <c r="C98" t="s">
        <v>215</v>
      </c>
      <c r="D98" t="s">
        <v>64</v>
      </c>
    </row>
    <row r="99" spans="3:4">
      <c r="C99" t="s">
        <v>216</v>
      </c>
      <c r="D99" t="s">
        <v>109</v>
      </c>
    </row>
    <row r="100" spans="3:4">
      <c r="C100" t="s">
        <v>217</v>
      </c>
      <c r="D100" t="s">
        <v>71</v>
      </c>
    </row>
    <row r="101" spans="3:4">
      <c r="C101" t="s">
        <v>218</v>
      </c>
      <c r="D101" t="s">
        <v>89</v>
      </c>
    </row>
    <row r="102" spans="3:4">
      <c r="C102" t="s">
        <v>219</v>
      </c>
      <c r="D102" t="s">
        <v>89</v>
      </c>
    </row>
    <row r="103" spans="3:4">
      <c r="C103" t="s">
        <v>220</v>
      </c>
      <c r="D103" t="s">
        <v>89</v>
      </c>
    </row>
    <row r="104" spans="3:4">
      <c r="C104" t="s">
        <v>221</v>
      </c>
      <c r="D104" t="s">
        <v>89</v>
      </c>
    </row>
    <row r="105" spans="3:4">
      <c r="C105" t="s">
        <v>222</v>
      </c>
      <c r="D105" t="s">
        <v>57</v>
      </c>
    </row>
    <row r="106" spans="3:4">
      <c r="C106" t="s">
        <v>15</v>
      </c>
      <c r="D106" t="s">
        <v>223</v>
      </c>
    </row>
    <row r="107" spans="3:4">
      <c r="C107" t="s">
        <v>125</v>
      </c>
      <c r="D107" t="s">
        <v>57</v>
      </c>
    </row>
    <row r="108" spans="3:4">
      <c r="C108" t="s">
        <v>224</v>
      </c>
      <c r="D108" t="s">
        <v>95</v>
      </c>
    </row>
    <row r="109" spans="3:4">
      <c r="C109" t="s">
        <v>225</v>
      </c>
      <c r="D109" t="s">
        <v>89</v>
      </c>
    </row>
    <row r="110" spans="3:4">
      <c r="C110" t="s">
        <v>226</v>
      </c>
      <c r="D110" t="s">
        <v>89</v>
      </c>
    </row>
    <row r="111" spans="3:4">
      <c r="C111" t="s">
        <v>227</v>
      </c>
      <c r="D111" t="s">
        <v>89</v>
      </c>
    </row>
    <row r="112" spans="3:4">
      <c r="C112" t="s">
        <v>228</v>
      </c>
      <c r="D112" t="s">
        <v>89</v>
      </c>
    </row>
    <row r="113" spans="3:4">
      <c r="C113" t="s">
        <v>250</v>
      </c>
      <c r="D113" t="s">
        <v>246</v>
      </c>
    </row>
    <row r="114" spans="3:4">
      <c r="C114" t="s">
        <v>251</v>
      </c>
      <c r="D114" t="s">
        <v>247</v>
      </c>
    </row>
    <row r="115" spans="3:4">
      <c r="C115" t="s">
        <v>252</v>
      </c>
      <c r="D115" t="s">
        <v>248</v>
      </c>
    </row>
    <row r="116" spans="3:4">
      <c r="C116" t="s">
        <v>253</v>
      </c>
      <c r="D116" t="s">
        <v>249</v>
      </c>
    </row>
    <row r="117" spans="3:4">
      <c r="C117" t="s">
        <v>255</v>
      </c>
      <c r="D117" t="s">
        <v>254</v>
      </c>
    </row>
    <row r="118" spans="3:4">
      <c r="C118" t="s">
        <v>257</v>
      </c>
      <c r="D118" t="s">
        <v>242</v>
      </c>
    </row>
    <row r="119" spans="3:4">
      <c r="C119" t="s">
        <v>192</v>
      </c>
      <c r="D119" t="s">
        <v>260</v>
      </c>
    </row>
    <row r="120" spans="3:4">
      <c r="C120" t="s">
        <v>217</v>
      </c>
      <c r="D120" t="s">
        <v>81</v>
      </c>
    </row>
    <row r="121" spans="3:4">
      <c r="C121" s="137" t="s">
        <v>258</v>
      </c>
      <c r="D121" t="s">
        <v>261</v>
      </c>
    </row>
    <row r="122" spans="3:4">
      <c r="C122" t="s">
        <v>256</v>
      </c>
      <c r="D122" t="s">
        <v>259</v>
      </c>
    </row>
    <row r="123" spans="3:4">
      <c r="C123" t="s">
        <v>173</v>
      </c>
      <c r="D123" t="s">
        <v>69</v>
      </c>
    </row>
  </sheetData>
  <dataValidations count="3">
    <dataValidation type="list" allowBlank="1" showInputMessage="1" showErrorMessage="1" sqref="C3 D118:D123" xr:uid="{6ED9D66C-6CCE-4ACC-9BFE-A3A916A3588E}">
      <formula1>$I$2:$I$34</formula1>
    </dataValidation>
    <dataValidation type="list" allowBlank="1" showInputMessage="1" showErrorMessage="1" sqref="D113 D115" xr:uid="{9BE9E3E9-250A-483E-B306-E61760A37215}">
      <formula1>$I$2:$I$39</formula1>
    </dataValidation>
    <dataValidation type="list" allowBlank="1" showInputMessage="1" showErrorMessage="1" sqref="D4:D14 D16:D112 D117" xr:uid="{3E5BF5B6-C286-4951-9107-66E6002AA116}">
      <formula1>$I$2:$I$36</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f01f68-ee36-4a60-a9e2-5ac4b053bacc" xsi:nil="true"/>
    <lcf76f155ced4ddcb4097134ff3c332f xmlns="cbdc0cbb-bb31-42c6-a5d4-27988307da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ABEAA3DDE2574EB6518C29B1A97C10" ma:contentTypeVersion="15" ma:contentTypeDescription="Een nieuw document maken." ma:contentTypeScope="" ma:versionID="19d096518aa7c527f3d0a4088db67fb0">
  <xsd:schema xmlns:xsd="http://www.w3.org/2001/XMLSchema" xmlns:xs="http://www.w3.org/2001/XMLSchema" xmlns:p="http://schemas.microsoft.com/office/2006/metadata/properties" xmlns:ns2="cbdc0cbb-bb31-42c6-a5d4-27988307da61" xmlns:ns3="f4f01f68-ee36-4a60-a9e2-5ac4b053bacc" targetNamespace="http://schemas.microsoft.com/office/2006/metadata/properties" ma:root="true" ma:fieldsID="45bc7310d5ab2b45d384476847309074" ns2:_="" ns3:_="">
    <xsd:import namespace="cbdc0cbb-bb31-42c6-a5d4-27988307da61"/>
    <xsd:import namespace="f4f01f68-ee36-4a60-a9e2-5ac4b053bac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dc0cbb-bb31-42c6-a5d4-27988307da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a8178fc2-aea0-414e-9c50-711600c5f437"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f01f68-ee36-4a60-a9e2-5ac4b053bac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aa78f7e-00b4-4cf8-8a1c-91fa298cf5c3}" ma:internalName="TaxCatchAll" ma:showField="CatchAllData" ma:web="f4f01f68-ee36-4a60-a9e2-5ac4b053bac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198C870-97E0-4BF7-B076-061CDBE6351D}">
  <ds:schemaRef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http://purl.org/dc/terms/"/>
    <ds:schemaRef ds:uri="http://schemas.microsoft.com/office/infopath/2007/PartnerControls"/>
    <ds:schemaRef ds:uri="cbdc0cbb-bb31-42c6-a5d4-27988307da61"/>
    <ds:schemaRef ds:uri="f4f01f68-ee36-4a60-a9e2-5ac4b053bacc"/>
    <ds:schemaRef ds:uri="http://www.w3.org/XML/1998/namespace"/>
    <ds:schemaRef ds:uri="http://purl.org/dc/dcmitype/"/>
  </ds:schemaRefs>
</ds:datastoreItem>
</file>

<file path=customXml/itemProps2.xml><?xml version="1.0" encoding="utf-8"?>
<ds:datastoreItem xmlns:ds="http://schemas.openxmlformats.org/officeDocument/2006/customXml" ds:itemID="{8ACC8D6B-4520-4B1E-89A9-F28CC97D330F}">
  <ds:schemaRefs>
    <ds:schemaRef ds:uri="http://schemas.microsoft.com/sharepoint/v3/contenttype/forms"/>
  </ds:schemaRefs>
</ds:datastoreItem>
</file>

<file path=customXml/itemProps3.xml><?xml version="1.0" encoding="utf-8"?>
<ds:datastoreItem xmlns:ds="http://schemas.openxmlformats.org/officeDocument/2006/customXml" ds:itemID="{90AA3D63-731B-4D2E-BD21-FC4B93C9BE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dc0cbb-bb31-42c6-a5d4-27988307da61"/>
    <ds:schemaRef ds:uri="f4f01f68-ee36-4a60-a9e2-5ac4b053ba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E50F7A1-FFF3-49DF-82C1-CCB401FC99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5</vt:i4>
      </vt:variant>
      <vt:variant>
        <vt:lpstr>Benoemde bereiken</vt:lpstr>
      </vt:variant>
      <vt:variant>
        <vt:i4>1</vt:i4>
      </vt:variant>
    </vt:vector>
  </HeadingPairs>
  <TitlesOfParts>
    <vt:vector size="6" baseType="lpstr">
      <vt:lpstr>Samenvatting</vt:lpstr>
      <vt:lpstr>Renteberekening</vt:lpstr>
      <vt:lpstr>Capital Call&amp;Distributions data</vt:lpstr>
      <vt:lpstr>Fondsen</vt:lpstr>
      <vt:lpstr>Blad1</vt:lpstr>
      <vt:lpstr>Samenvatting!Afdrukbereik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Hilbert de Hoop</dc:creator>
  <cp:keywords/>
  <dc:description/>
  <cp:lastModifiedBy>Milan Lichtveld</cp:lastModifiedBy>
  <cp:revision/>
  <cp:lastPrinted>2025-08-18T17:27:38Z</cp:lastPrinted>
  <dcterms:created xsi:type="dcterms:W3CDTF">2024-07-11T13:31:30Z</dcterms:created>
  <dcterms:modified xsi:type="dcterms:W3CDTF">2025-11-06T19:49:40Z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0x01010030ABEAA3DDE2574EB6518C29B1A97C10</vt:lpwstr>
  </property>
  <property fmtid="{D5CDD505-2E9C-101B-9397-08002B2CF9AE}" pid="3" name="MediaServiceImageTags">
    <vt:lpwstr/>
  </property>
</Properties>
</file>