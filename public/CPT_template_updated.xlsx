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 Matrix" sheetId="1" r:id="rId5"/>
    <sheet state="visible" name="Portfolio Projectie" sheetId="2" r:id="rId6"/>
    <sheet state="visible" name="Parameters" sheetId="3" r:id="rId7"/>
    <sheet state="visible" name="Fondsen" sheetId="4" r:id="rId8"/>
  </sheets>
  <definedNames/>
  <calcPr/>
</workbook>
</file>

<file path=xl/sharedStrings.xml><?xml version="1.0" encoding="utf-8"?>
<sst xmlns="http://schemas.openxmlformats.org/spreadsheetml/2006/main" count="55" uniqueCount="43">
  <si>
    <t>Private Equity Commitment Planning Tool</t>
  </si>
  <si>
    <t>Cashflow Matrix</t>
  </si>
  <si>
    <t>Netto kasstroom projectie per jaar - Pas de grijze cellen aan om uw eigen scenario te modelleren</t>
  </si>
  <si>
    <t>PROJECTED</t>
  </si>
  <si>
    <t>FONDSTYPE</t>
  </si>
  <si>
    <t>CURR.</t>
  </si>
  <si>
    <t>COMMITMENT</t>
  </si>
  <si>
    <t>IRR</t>
  </si>
  <si>
    <t>INSTAP</t>
  </si>
  <si>
    <t>Beschikbaar Kapitaal</t>
  </si>
  <si>
    <t>Jaarlijkse Netto Cashflow</t>
  </si>
  <si>
    <t>Geïnvesteerd Kapitaal (Capital Called)</t>
  </si>
  <si>
    <t>Portfolio Projectie</t>
  </si>
  <si>
    <t>Visuele weergave van cash en exposure</t>
  </si>
  <si>
    <t>Jaar</t>
  </si>
  <si>
    <t>Geïnvesteerd Kapitaal</t>
  </si>
  <si>
    <t>Totale Waarde (NAV + Cash)</t>
  </si>
  <si>
    <t>Default Parameters per Fondstype</t>
  </si>
  <si>
    <t>Fondstype</t>
  </si>
  <si>
    <t>Duration (jaren)</t>
  </si>
  <si>
    <t>J-Curve Diepte</t>
  </si>
  <si>
    <t>Peak Year</t>
  </si>
  <si>
    <t>Secondaries</t>
  </si>
  <si>
    <t>PE</t>
  </si>
  <si>
    <t>VC</t>
  </si>
  <si>
    <t>Fondsen Master Database</t>
  </si>
  <si>
    <t>Fondsnaam</t>
  </si>
  <si>
    <t>Type</t>
  </si>
  <si>
    <t>Duration</t>
  </si>
  <si>
    <t>Vintage</t>
  </si>
  <si>
    <t>Status</t>
  </si>
  <si>
    <t>Notities</t>
  </si>
  <si>
    <t>Alpinvest</t>
  </si>
  <si>
    <t>Active</t>
  </si>
  <si>
    <t>Leading European PE</t>
  </si>
  <si>
    <t>Rhein Invest II</t>
  </si>
  <si>
    <t>German mid-market</t>
  </si>
  <si>
    <t>OGF II</t>
  </si>
  <si>
    <t>Tech focused VC</t>
  </si>
  <si>
    <t>ICG I - LP Fund</t>
  </si>
  <si>
    <t>Credit focused</t>
  </si>
  <si>
    <t>Bcapital II</t>
  </si>
  <si>
    <t>European secondaries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</si>
</sst>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€#,##0"/>
    <numFmt numFmtId="165" formatCode="0.0%"/>
  </numFmts>
  <fonts count="16">
    <font>
      <sz val="11.0"/>
      <color theme="1"/>
      <name val="Calibri"/>
      <scheme val="minor"/>
    </font>
    <font>
      <b/>
      <sz val="18.0"/>
      <color rgb="FF1E3A5F"/>
      <name val="Arial"/>
    </font>
    <font>
      <sz val="16.0"/>
      <color rgb="FF4A4A4A"/>
      <name val="Arial"/>
    </font>
    <font>
      <i/>
      <sz val="10.0"/>
      <color rgb="FF666666"/>
      <name val="Arial"/>
    </font>
    <font>
      <sz val="11.0"/>
      <color theme="1"/>
      <name val="Calibri"/>
    </font>
    <font>
      <b/>
      <sz val="16.0"/>
      <color theme="1"/>
      <name val="Calibri"/>
    </font>
    <font>
      <i/>
      <sz val="10.0"/>
      <color rgb="FF666666"/>
      <name val="Calibri"/>
    </font>
    <font>
      <b/>
      <sz val="9.0"/>
      <color rgb="FF1E3A5F"/>
      <name val="Arial"/>
    </font>
    <font>
      <b/>
      <sz val="10.0"/>
      <color rgb="FFFFFFFF"/>
      <name val="Arial"/>
    </font>
    <font>
      <sz val="10.0"/>
      <color rgb="FF333333"/>
      <name val="Arial"/>
    </font>
    <font>
      <b/>
      <sz val="10.0"/>
      <color rgb="FF1E3A5F"/>
      <name val="Arial"/>
    </font>
    <font>
      <b/>
      <sz val="18.0"/>
      <color theme="1"/>
      <name val="Calibri"/>
    </font>
    <font>
      <sz val="10.0"/>
      <color rgb="FF666666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8EDF2"/>
        <bgColor rgb="FFE8EDF2"/>
      </patternFill>
    </fill>
    <fill>
      <patternFill patternType="solid">
        <fgColor rgb="FF2C5F8D"/>
        <bgColor rgb="FF2C5F8D"/>
      </patternFill>
    </fill>
  </fills>
  <borders count="7">
    <border/>
    <border>
      <bottom style="thin">
        <color rgb="FFD0D8E8"/>
      </bottom>
    </border>
    <border>
      <left/>
      <right/>
      <top style="medium">
        <color rgb="FF1E3A5F"/>
      </top>
      <bottom style="medium">
        <color rgb="FF1E3A5F"/>
      </bottom>
    </border>
    <border>
      <bottom style="dotted">
        <color rgb="FFA0A0A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2C5F8D"/>
      </top>
      <bottom/>
    </border>
    <border>
      <left/>
      <right/>
      <top/>
      <bottom style="medium">
        <color rgb="FF1E3A5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2" fillId="2" fontId="8" numFmtId="0" xfId="0" applyAlignment="1" applyBorder="1" applyFill="1" applyFont="1">
      <alignment horizontal="center" shrinkToFit="0" vertical="center" wrapText="1"/>
    </xf>
    <xf borderId="2" fillId="2" fontId="8" numFmtId="1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left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3" fillId="0" fontId="9" numFmtId="164" xfId="0" applyAlignment="1" applyBorder="1" applyFont="1" applyNumberFormat="1">
      <alignment horizontal="right" shrinkToFit="0" vertical="center" wrapText="0"/>
    </xf>
    <xf borderId="3" fillId="0" fontId="9" numFmtId="165" xfId="0" applyAlignment="1" applyBorder="1" applyFont="1" applyNumberFormat="1">
      <alignment horizontal="center" shrinkToFit="0" vertical="center" wrapText="0"/>
    </xf>
    <xf borderId="3" fillId="0" fontId="9" numFmtId="1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righ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right" shrinkToFit="0" vertical="center" wrapText="0"/>
    </xf>
    <xf borderId="5" fillId="3" fontId="10" numFmtId="0" xfId="0" applyAlignment="1" applyBorder="1" applyFill="1" applyFont="1">
      <alignment horizontal="left" shrinkToFit="0" vertical="center" wrapText="0"/>
    </xf>
    <xf borderId="5" fillId="3" fontId="10" numFmtId="164" xfId="0" applyAlignment="1" applyBorder="1" applyFont="1" applyNumberFormat="1">
      <alignment horizontal="right" shrinkToFit="0" vertical="center" wrapText="0"/>
    </xf>
    <xf borderId="4" fillId="3" fontId="10" numFmtId="0" xfId="0" applyAlignment="1" applyBorder="1" applyFont="1">
      <alignment horizontal="left" shrinkToFit="0" vertical="center" wrapText="0"/>
    </xf>
    <xf borderId="4" fillId="3" fontId="10" numFmtId="164" xfId="0" applyAlignment="1" applyBorder="1" applyFont="1" applyNumberFormat="1">
      <alignment horizontal="right" shrinkToFit="0" vertical="center" wrapText="0"/>
    </xf>
    <xf borderId="6" fillId="4" fontId="8" numFmtId="0" xfId="0" applyAlignment="1" applyBorder="1" applyFill="1" applyFont="1">
      <alignment horizontal="left" shrinkToFit="0" vertical="center" wrapText="0"/>
    </xf>
    <xf borderId="6" fillId="4" fontId="8" numFmtId="164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3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4" fillId="2" fontId="15" numFmtId="0" xfId="0" applyAlignment="1" applyBorder="1" applyFont="1">
      <alignment shrinkToFit="0" vertical="bottom" wrapText="0"/>
    </xf>
    <xf borderId="4" fillId="0" fontId="4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Portfolio Projectie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Beschikbaar Kapitaal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'Portfolio Projectie'!$A$5:$A$19</c:f>
            </c:strRef>
          </c:cat>
          <c:val>
            <c:numRef>
              <c:f>'Portfolio Projectie'!$B$5:$B$19</c:f>
              <c:numCache/>
            </c:numRef>
          </c:val>
        </c:ser>
        <c:overlap val="100"/>
        <c:axId val="1258352332"/>
        <c:axId val="202458280"/>
      </c:barChart>
      <c:catAx>
        <c:axId val="1258352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Jaar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2458280"/>
      </c:catAx>
      <c:valAx>
        <c:axId val="202458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Waarde (EUR)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83523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85725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/>
  <cols>
    <col customWidth="1" min="1" max="1" width="20.86"/>
    <col customWidth="1" min="2" max="2" width="12.71"/>
    <col customWidth="1" min="3" max="3" width="23.57"/>
    <col customWidth="1" min="4" max="5" width="15.57"/>
    <col customWidth="1" min="6" max="46" width="12.0"/>
  </cols>
  <sheetData>
    <row r="1" ht="37.5" customHeight="1">
      <c r="A1" s="1" t="s">
        <v>0</v>
      </c>
    </row>
    <row r="2" ht="27.75" customHeight="1">
      <c r="A2" s="2" t="s">
        <v>1</v>
      </c>
    </row>
    <row r="3" ht="21.75" customHeight="1">
      <c r="A3" s="3" t="s">
        <v>2</v>
      </c>
    </row>
    <row r="4" ht="12.0" customHeight="1">
      <c r="A4" s="4"/>
      <c r="B4" s="4"/>
      <c r="C4" s="4"/>
      <c r="D4" s="4"/>
      <c r="E4" s="4"/>
      <c r="F4" s="4"/>
      <c r="G4" s="4"/>
      <c r="H4" s="4"/>
      <c r="I4" s="4"/>
    </row>
    <row r="5">
      <c r="A5" s="5"/>
    </row>
    <row r="6">
      <c r="A6" s="6"/>
    </row>
    <row r="7" ht="18.0" customHeight="1">
      <c r="J7" s="7" t="s">
        <v>3</v>
      </c>
    </row>
    <row r="8" ht="31.5" customHeight="1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9">
        <v>2025.0</v>
      </c>
      <c r="G8" s="9">
        <v>2026.0</v>
      </c>
      <c r="H8" s="9">
        <v>2027.0</v>
      </c>
      <c r="I8" s="9">
        <v>2028.0</v>
      </c>
      <c r="J8" s="9">
        <v>2029.0</v>
      </c>
      <c r="K8" s="9">
        <v>2030.0</v>
      </c>
      <c r="L8" s="9">
        <v>2031.0</v>
      </c>
      <c r="M8" s="9">
        <v>2032.0</v>
      </c>
      <c r="N8" s="9">
        <v>2033.0</v>
      </c>
      <c r="O8" s="9">
        <v>2034.0</v>
      </c>
      <c r="P8" s="9">
        <v>2035.0</v>
      </c>
      <c r="Q8" s="9">
        <v>2036.0</v>
      </c>
      <c r="R8" s="9">
        <v>2037.0</v>
      </c>
      <c r="S8" s="9">
        <v>2038.0</v>
      </c>
      <c r="T8" s="9">
        <v>2039.0</v>
      </c>
      <c r="U8" s="9">
        <v>2040.0</v>
      </c>
      <c r="V8" s="9">
        <v>2041.0</v>
      </c>
      <c r="W8" s="9">
        <v>2042.0</v>
      </c>
      <c r="X8" s="9">
        <v>2043.0</v>
      </c>
      <c r="Y8" s="9">
        <v>2044.0</v>
      </c>
      <c r="Z8" s="9">
        <v>2045.0</v>
      </c>
      <c r="AA8" s="9">
        <v>2046.0</v>
      </c>
      <c r="AB8" s="9">
        <v>2047.0</v>
      </c>
      <c r="AC8" s="9">
        <v>2048.0</v>
      </c>
      <c r="AD8" s="9">
        <v>2049.0</v>
      </c>
      <c r="AE8" s="9">
        <v>2050.0</v>
      </c>
      <c r="AF8" s="9">
        <v>2051.0</v>
      </c>
      <c r="AG8" s="9">
        <v>2052.0</v>
      </c>
      <c r="AH8" s="9">
        <v>2053.0</v>
      </c>
      <c r="AI8" s="9">
        <v>2054.0</v>
      </c>
      <c r="AJ8" s="9">
        <v>2055.0</v>
      </c>
      <c r="AK8" s="9">
        <v>2056.0</v>
      </c>
      <c r="AL8" s="9">
        <v>2057.0</v>
      </c>
      <c r="AM8" s="9">
        <v>2058.0</v>
      </c>
      <c r="AN8" s="9">
        <v>2059.0</v>
      </c>
      <c r="AO8" s="9">
        <v>2060.0</v>
      </c>
      <c r="AP8" s="9">
        <v>2061.0</v>
      </c>
      <c r="AQ8" s="9">
        <v>2062.0</v>
      </c>
      <c r="AR8" s="9">
        <v>2063.0</v>
      </c>
      <c r="AS8" s="9">
        <v>2064.0</v>
      </c>
      <c r="AT8" s="9">
        <v>2065.0</v>
      </c>
    </row>
    <row r="9" ht="24.0" customHeight="1">
      <c r="A9" s="10"/>
      <c r="B9" s="11"/>
      <c r="C9" s="12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</row>
    <row r="10" ht="24.0" customHeight="1">
      <c r="A10" s="10"/>
      <c r="B10" s="11"/>
      <c r="C10" s="12"/>
      <c r="D10" s="13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</row>
    <row r="11" ht="24.0" customHeight="1">
      <c r="A11" s="10"/>
      <c r="B11" s="11"/>
      <c r="C11" s="12"/>
      <c r="D11" s="13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</row>
    <row r="12" ht="24.0" customHeight="1">
      <c r="A12" s="10"/>
      <c r="B12" s="11"/>
      <c r="C12" s="12"/>
      <c r="D12" s="13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ht="24.0" customHeight="1">
      <c r="A13" s="10"/>
      <c r="B13" s="11"/>
      <c r="C13" s="12"/>
      <c r="D13" s="13"/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ht="24.0" customHeight="1">
      <c r="A14" s="10"/>
      <c r="B14" s="11"/>
      <c r="C14" s="12"/>
      <c r="D14" s="13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ht="24.0" customHeight="1">
      <c r="A15" s="16"/>
      <c r="B15" s="17"/>
      <c r="C15" s="18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</row>
    <row r="16" ht="24.0" customHeight="1">
      <c r="A16" s="16"/>
      <c r="B16" s="17"/>
      <c r="C16" s="18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</row>
    <row r="17" ht="24.0" customHeight="1">
      <c r="A17" s="16"/>
      <c r="B17" s="17"/>
      <c r="C17" s="18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</row>
    <row r="18" ht="24.0" customHeight="1">
      <c r="A18" s="16"/>
      <c r="B18" s="17"/>
      <c r="C18" s="18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ht="24.0" customHeight="1">
      <c r="A19" s="16"/>
      <c r="B19" s="17"/>
      <c r="C19" s="18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ht="24.0" customHeight="1">
      <c r="A20" s="16"/>
      <c r="B20" s="17"/>
      <c r="C20" s="18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ht="24.0" customHeight="1">
      <c r="A21" s="16"/>
      <c r="B21" s="17"/>
      <c r="C21" s="18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</row>
    <row r="22" ht="24.0" customHeight="1">
      <c r="A22" s="16"/>
      <c r="B22" s="17"/>
      <c r="C22" s="18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</row>
    <row r="23" ht="24.0" customHeight="1">
      <c r="A23" s="16"/>
      <c r="B23" s="17"/>
      <c r="C23" s="18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</row>
    <row r="24" ht="24.0" customHeight="1">
      <c r="A24" s="16"/>
      <c r="B24" s="17"/>
      <c r="C24" s="18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</row>
    <row r="25" ht="24.0" customHeight="1">
      <c r="A25" s="16"/>
      <c r="B25" s="17"/>
      <c r="C25" s="18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</row>
    <row r="26" ht="24.0" customHeight="1">
      <c r="A26" s="16"/>
      <c r="B26" s="17"/>
      <c r="C26" s="18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</row>
    <row r="27" ht="24.0" customHeight="1">
      <c r="A27" s="16"/>
      <c r="B27" s="17"/>
      <c r="C27" s="18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</row>
    <row r="28" ht="24.0" customHeight="1">
      <c r="A28" s="16"/>
      <c r="B28" s="17"/>
      <c r="C28" s="18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</row>
    <row r="29" ht="24.0" customHeight="1">
      <c r="A29" s="16"/>
      <c r="B29" s="17"/>
      <c r="C29" s="18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</row>
    <row r="30" ht="24.0" customHeight="1">
      <c r="A30" s="16"/>
      <c r="B30" s="17"/>
      <c r="C30" s="18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</row>
    <row r="31" ht="24.0" customHeight="1">
      <c r="A31" s="16"/>
      <c r="B31" s="17"/>
      <c r="C31" s="18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</row>
    <row r="32" ht="24.0" customHeight="1">
      <c r="A32" s="16"/>
      <c r="B32" s="17"/>
      <c r="C32" s="18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</row>
    <row r="33" ht="24.0" customHeight="1">
      <c r="A33" s="16"/>
      <c r="B33" s="17"/>
      <c r="C33" s="18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</row>
    <row r="34" ht="24.0" customHeight="1">
      <c r="A34" s="16"/>
      <c r="B34" s="17"/>
      <c r="C34" s="18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</row>
    <row r="35" ht="24.0" customHeight="1">
      <c r="A35" s="16"/>
      <c r="B35" s="17"/>
      <c r="C35" s="18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</row>
    <row r="36" ht="24.0" customHeight="1">
      <c r="A36" s="16"/>
      <c r="B36" s="17"/>
      <c r="C36" s="18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</row>
    <row r="37" ht="24.0" customHeight="1">
      <c r="A37" s="16"/>
      <c r="B37" s="17"/>
      <c r="C37" s="18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</row>
    <row r="38" ht="24.0" customHeight="1">
      <c r="A38" s="16"/>
      <c r="B38" s="17"/>
      <c r="C38" s="18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</row>
    <row r="39" ht="24.0" customHeight="1">
      <c r="A39" s="16"/>
      <c r="B39" s="17"/>
      <c r="C39" s="18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</row>
    <row r="40" ht="24.0" customHeight="1">
      <c r="A40" s="16"/>
      <c r="B40" s="17"/>
      <c r="C40" s="18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</row>
    <row r="41" ht="24.0" customHeight="1">
      <c r="A41" s="16"/>
      <c r="B41" s="17"/>
      <c r="C41" s="18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</row>
    <row r="42" ht="24.0" customHeight="1">
      <c r="A42" s="16"/>
      <c r="B42" s="17"/>
      <c r="C42" s="18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</row>
    <row r="43" ht="24.0" customHeight="1">
      <c r="A43" s="16"/>
      <c r="B43" s="17"/>
      <c r="C43" s="18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</row>
    <row r="44" ht="24.0" customHeight="1">
      <c r="A44" s="16"/>
      <c r="B44" s="17"/>
      <c r="C44" s="18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</row>
    <row r="45" ht="24.0" customHeight="1">
      <c r="A45" s="16"/>
      <c r="B45" s="17"/>
      <c r="C45" s="18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</row>
    <row r="46" ht="24.0" customHeight="1">
      <c r="A46" s="16"/>
      <c r="B46" s="17"/>
      <c r="C46" s="18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</row>
    <row r="47" ht="24.0" customHeight="1">
      <c r="A47" s="16"/>
      <c r="B47" s="17"/>
      <c r="C47" s="18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</row>
    <row r="48" ht="24.0" customHeight="1">
      <c r="A48" s="16"/>
      <c r="B48" s="17"/>
      <c r="C48" s="18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</row>
    <row r="49" ht="24.0" customHeight="1">
      <c r="A49" s="16"/>
      <c r="B49" s="17"/>
      <c r="C49" s="18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</row>
    <row r="50" ht="24.0" customHeight="1">
      <c r="A50" s="16"/>
      <c r="B50" s="17"/>
      <c r="C50" s="18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</row>
    <row r="51" ht="24.0" customHeight="1">
      <c r="A51" s="16"/>
      <c r="B51" s="17"/>
      <c r="C51" s="18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</row>
    <row r="52" ht="24.0" customHeight="1">
      <c r="A52" s="16"/>
      <c r="B52" s="17"/>
      <c r="C52" s="18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</row>
    <row r="53" ht="24.0" customHeight="1">
      <c r="A53" s="16"/>
      <c r="B53" s="17"/>
      <c r="C53" s="18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</row>
    <row r="54" ht="24.0" customHeight="1">
      <c r="A54" s="16"/>
      <c r="B54" s="17"/>
      <c r="C54" s="18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</row>
    <row r="55" ht="24.0" customHeight="1">
      <c r="A55" s="16"/>
      <c r="B55" s="17"/>
      <c r="C55" s="18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</row>
    <row r="56" ht="24.0" customHeight="1">
      <c r="A56" s="16"/>
      <c r="B56" s="17"/>
      <c r="C56" s="18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</row>
    <row r="57" ht="24.0" customHeight="1">
      <c r="A57" s="16"/>
      <c r="B57" s="17"/>
      <c r="C57" s="18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</row>
    <row r="58" ht="24.0" customHeight="1">
      <c r="A58" s="16"/>
      <c r="B58" s="17"/>
      <c r="C58" s="18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</row>
    <row r="59" ht="24.0" customHeight="1">
      <c r="A59" s="16"/>
      <c r="B59" s="17"/>
      <c r="C59" s="18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</row>
    <row r="60" ht="24.0" customHeight="1">
      <c r="A60" s="16"/>
      <c r="B60" s="17"/>
      <c r="C60" s="18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</row>
    <row r="61" ht="24.0" customHeight="1">
      <c r="A61" s="16"/>
      <c r="B61" s="17"/>
      <c r="C61" s="18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</row>
    <row r="62" ht="24.0" customHeight="1">
      <c r="A62" s="16"/>
      <c r="B62" s="17"/>
      <c r="C62" s="18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</row>
    <row r="63" ht="24.0" customHeight="1">
      <c r="A63" s="16"/>
      <c r="B63" s="17"/>
      <c r="C63" s="18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</row>
    <row r="64" ht="24.0" customHeight="1">
      <c r="A64" s="16"/>
      <c r="B64" s="17"/>
      <c r="C64" s="18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</row>
    <row r="65" ht="24.0" customHeight="1">
      <c r="A65" s="16"/>
      <c r="B65" s="17"/>
      <c r="C65" s="18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</row>
    <row r="66" ht="24.0" customHeight="1">
      <c r="A66" s="16"/>
      <c r="B66" s="17"/>
      <c r="C66" s="18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</row>
    <row r="67" ht="24.0" customHeight="1">
      <c r="A67" s="16"/>
      <c r="B67" s="17"/>
      <c r="C67" s="18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</row>
    <row r="68" ht="24.0" customHeight="1">
      <c r="A68" s="16"/>
      <c r="B68" s="17"/>
      <c r="C68" s="18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</row>
    <row r="69" ht="24.0" customHeight="1">
      <c r="A69" s="16"/>
      <c r="B69" s="17"/>
      <c r="C69" s="18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</row>
    <row r="70" ht="24.0" customHeight="1">
      <c r="A70" s="16"/>
      <c r="B70" s="17"/>
      <c r="C70" s="18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</row>
    <row r="71" ht="24.0" customHeight="1">
      <c r="A71" s="16"/>
      <c r="B71" s="17"/>
      <c r="C71" s="18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</row>
    <row r="72" ht="24.0" customHeight="1">
      <c r="A72" s="16"/>
      <c r="B72" s="17"/>
      <c r="C72" s="18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</row>
    <row r="73" ht="24.0" customHeight="1">
      <c r="A73" s="16"/>
      <c r="B73" s="17"/>
      <c r="C73" s="18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</row>
    <row r="74" ht="24.0" customHeight="1">
      <c r="A74" s="16"/>
      <c r="B74" s="17"/>
      <c r="C74" s="18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</row>
    <row r="75" ht="24.0" customHeight="1">
      <c r="A75" s="16"/>
      <c r="B75" s="17"/>
      <c r="C75" s="18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24.0" customHeight="1">
      <c r="A76" s="16"/>
      <c r="B76" s="17"/>
      <c r="C76" s="18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24.0" customHeight="1">
      <c r="A77" s="16"/>
      <c r="B77" s="17"/>
      <c r="C77" s="18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24.0" customHeight="1">
      <c r="A78" s="16"/>
      <c r="B78" s="17"/>
      <c r="C78" s="18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24.0" customHeight="1">
      <c r="A79" s="16"/>
      <c r="B79" s="17"/>
      <c r="C79" s="18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24.0" customHeight="1">
      <c r="A80" s="16"/>
      <c r="B80" s="17"/>
      <c r="C80" s="18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24.0" customHeight="1">
      <c r="A81" s="16"/>
      <c r="B81" s="17"/>
      <c r="C81" s="18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24.0" customHeight="1">
      <c r="A82" s="16"/>
      <c r="B82" s="17"/>
      <c r="C82" s="18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24.0" customHeight="1">
      <c r="A83" s="16"/>
      <c r="B83" s="17"/>
      <c r="C83" s="18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24.0" customHeight="1">
      <c r="A84" s="16"/>
      <c r="B84" s="17"/>
      <c r="C84" s="18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24.0" customHeight="1">
      <c r="A85" s="16"/>
      <c r="B85" s="17"/>
      <c r="C85" s="18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</row>
    <row r="86" ht="24.0" customHeight="1">
      <c r="A86" s="16"/>
      <c r="B86" s="17"/>
      <c r="C86" s="18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</row>
    <row r="87" ht="24.0" customHeight="1">
      <c r="A87" s="16"/>
      <c r="B87" s="17"/>
      <c r="C87" s="18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</row>
    <row r="88" ht="24.0" customHeight="1">
      <c r="A88" s="16"/>
      <c r="B88" s="17"/>
      <c r="C88" s="18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</row>
    <row r="89" ht="24.0" customHeight="1">
      <c r="A89" s="16"/>
      <c r="B89" s="17"/>
      <c r="C89" s="18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</row>
    <row r="90" ht="24.0" customHeight="1">
      <c r="A90" s="16"/>
      <c r="B90" s="17"/>
      <c r="C90" s="18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</row>
    <row r="91" ht="24.0" customHeight="1">
      <c r="A91" s="16"/>
      <c r="B91" s="17"/>
      <c r="C91" s="18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</row>
    <row r="92" ht="24.0" customHeight="1">
      <c r="A92" s="16"/>
      <c r="B92" s="17"/>
      <c r="C92" s="18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</row>
    <row r="93" ht="24.0" customHeight="1">
      <c r="A93" s="16"/>
      <c r="B93" s="17"/>
      <c r="C93" s="18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</row>
    <row r="94" ht="24.0" customHeight="1">
      <c r="A94" s="16"/>
      <c r="B94" s="17"/>
      <c r="C94" s="18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</row>
    <row r="95" ht="24.0" customHeight="1">
      <c r="A95" s="16"/>
      <c r="B95" s="17"/>
      <c r="C95" s="18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</row>
    <row r="96" ht="24.0" customHeight="1">
      <c r="A96" s="16"/>
      <c r="B96" s="17"/>
      <c r="C96" s="18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</row>
    <row r="97" ht="24.0" customHeight="1">
      <c r="A97" s="16"/>
      <c r="B97" s="17"/>
      <c r="C97" s="18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</row>
    <row r="98" ht="24.0" customHeight="1">
      <c r="A98" s="16"/>
      <c r="B98" s="17"/>
      <c r="C98" s="18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</row>
    <row r="99" ht="15.75" customHeight="1"/>
    <row r="100" ht="15.75" customHeight="1"/>
    <row r="101" ht="15.75" customHeight="1"/>
    <row r="102" ht="27.75" customHeight="1">
      <c r="A102" s="19" t="s">
        <v>9</v>
      </c>
      <c r="F102" s="20">
        <f>C102-F104</f>
        <v>0</v>
      </c>
      <c r="G102" s="20">
        <f>C102-G104</f>
        <v>0</v>
      </c>
      <c r="H102" s="20">
        <f>C102-H104</f>
        <v>0</v>
      </c>
      <c r="I102" s="20">
        <f>C102-I104</f>
        <v>0</v>
      </c>
      <c r="J102" s="20">
        <f>C102-J104</f>
        <v>0</v>
      </c>
      <c r="K102" s="20">
        <f>C102-K104</f>
        <v>0</v>
      </c>
      <c r="L102" s="20">
        <f>C102-L104</f>
        <v>0</v>
      </c>
      <c r="M102" s="20">
        <f>C102-M104</f>
        <v>0</v>
      </c>
      <c r="N102" s="20">
        <f>C102-N104</f>
        <v>0</v>
      </c>
      <c r="O102" s="20">
        <f>C102-O104</f>
        <v>0</v>
      </c>
      <c r="P102" s="20">
        <f>C102-P104</f>
        <v>0</v>
      </c>
      <c r="Q102" s="20">
        <f>C102-Q104</f>
        <v>0</v>
      </c>
      <c r="R102" s="20">
        <f>C102-R104</f>
        <v>0</v>
      </c>
      <c r="S102" s="20">
        <f>C102-S104</f>
        <v>0</v>
      </c>
      <c r="T102" s="20">
        <f>C102-T104</f>
        <v>0</v>
      </c>
      <c r="U102" s="20">
        <f>C102-U104</f>
        <v>0</v>
      </c>
      <c r="V102" s="20">
        <f>C102-V104</f>
        <v>0</v>
      </c>
      <c r="W102" s="20">
        <f>C102-W104</f>
        <v>0</v>
      </c>
      <c r="X102" s="20">
        <f>C102-X104</f>
        <v>0</v>
      </c>
      <c r="Y102" s="20">
        <f>C98-Y100</f>
        <v>0</v>
      </c>
      <c r="Z102" s="20">
        <f>C98-Z100</f>
        <v>0</v>
      </c>
      <c r="AA102" s="20">
        <f>C98-AA100</f>
        <v>0</v>
      </c>
      <c r="AB102" s="20">
        <f>C98-AB100</f>
        <v>0</v>
      </c>
      <c r="AC102" s="20">
        <f>C98-AC100</f>
        <v>0</v>
      </c>
      <c r="AD102" s="20">
        <f>C98-AD100</f>
        <v>0</v>
      </c>
      <c r="AE102" s="20">
        <f>C98-AE100</f>
        <v>0</v>
      </c>
      <c r="AF102" s="20">
        <f>C98-AF100</f>
        <v>0</v>
      </c>
      <c r="AG102" s="20">
        <f>C98-AG100</f>
        <v>0</v>
      </c>
      <c r="AH102" s="20">
        <f>C98-AH100</f>
        <v>0</v>
      </c>
      <c r="AI102" s="20">
        <f>C98-AI100</f>
        <v>0</v>
      </c>
      <c r="AJ102" s="20">
        <f>C98-AJ100</f>
        <v>0</v>
      </c>
      <c r="AK102" s="20">
        <f>C98-AK100</f>
        <v>0</v>
      </c>
      <c r="AL102" s="20">
        <f>C98-AL100</f>
        <v>0</v>
      </c>
      <c r="AM102" s="20">
        <f>C98-AM100</f>
        <v>0</v>
      </c>
      <c r="AN102" s="20">
        <f>C98-AN100</f>
        <v>0</v>
      </c>
      <c r="AO102" s="20">
        <f>C98-AO100</f>
        <v>0</v>
      </c>
      <c r="AP102" s="20">
        <f>C98-AP100</f>
        <v>0</v>
      </c>
      <c r="AQ102" s="20">
        <f>C98-AQ100</f>
        <v>0</v>
      </c>
      <c r="AR102" s="20">
        <f>C98-AR100</f>
        <v>0</v>
      </c>
      <c r="AS102" s="20">
        <f>C98-AS100</f>
        <v>0</v>
      </c>
      <c r="AT102" s="20">
        <f>C98-AT100</f>
        <v>0</v>
      </c>
    </row>
    <row r="103" ht="27.75" customHeight="1">
      <c r="A103" s="21" t="s">
        <v>10</v>
      </c>
      <c r="F103" s="22">
        <f t="shared" ref="F103:X103" si="1">SUM(F9:F99)</f>
        <v>0</v>
      </c>
      <c r="G103" s="22">
        <f t="shared" si="1"/>
        <v>0</v>
      </c>
      <c r="H103" s="22">
        <f t="shared" si="1"/>
        <v>0</v>
      </c>
      <c r="I103" s="22">
        <f t="shared" si="1"/>
        <v>0</v>
      </c>
      <c r="J103" s="22">
        <f t="shared" si="1"/>
        <v>0</v>
      </c>
      <c r="K103" s="22">
        <f t="shared" si="1"/>
        <v>0</v>
      </c>
      <c r="L103" s="22">
        <f t="shared" si="1"/>
        <v>0</v>
      </c>
      <c r="M103" s="22">
        <f t="shared" si="1"/>
        <v>0</v>
      </c>
      <c r="N103" s="22">
        <f t="shared" si="1"/>
        <v>0</v>
      </c>
      <c r="O103" s="22">
        <f t="shared" si="1"/>
        <v>0</v>
      </c>
      <c r="P103" s="22">
        <f t="shared" si="1"/>
        <v>0</v>
      </c>
      <c r="Q103" s="22">
        <f t="shared" si="1"/>
        <v>0</v>
      </c>
      <c r="R103" s="22">
        <f t="shared" si="1"/>
        <v>0</v>
      </c>
      <c r="S103" s="22">
        <f t="shared" si="1"/>
        <v>0</v>
      </c>
      <c r="T103" s="22">
        <f t="shared" si="1"/>
        <v>0</v>
      </c>
      <c r="U103" s="22">
        <f t="shared" si="1"/>
        <v>0</v>
      </c>
      <c r="V103" s="22">
        <f t="shared" si="1"/>
        <v>0</v>
      </c>
      <c r="W103" s="22">
        <f t="shared" si="1"/>
        <v>0</v>
      </c>
      <c r="X103" s="22">
        <f t="shared" si="1"/>
        <v>0</v>
      </c>
      <c r="Y103" s="22">
        <f t="shared" ref="Y103:AT103" si="2">SUM(Y5:Y95)</f>
        <v>2044</v>
      </c>
      <c r="Z103" s="22">
        <f t="shared" si="2"/>
        <v>2045</v>
      </c>
      <c r="AA103" s="22">
        <f t="shared" si="2"/>
        <v>2046</v>
      </c>
      <c r="AB103" s="22">
        <f t="shared" si="2"/>
        <v>2047</v>
      </c>
      <c r="AC103" s="22">
        <f t="shared" si="2"/>
        <v>2048</v>
      </c>
      <c r="AD103" s="22">
        <f t="shared" si="2"/>
        <v>2049</v>
      </c>
      <c r="AE103" s="22">
        <f t="shared" si="2"/>
        <v>2050</v>
      </c>
      <c r="AF103" s="22">
        <f t="shared" si="2"/>
        <v>2051</v>
      </c>
      <c r="AG103" s="22">
        <f t="shared" si="2"/>
        <v>2052</v>
      </c>
      <c r="AH103" s="22">
        <f t="shared" si="2"/>
        <v>2053</v>
      </c>
      <c r="AI103" s="22">
        <f t="shared" si="2"/>
        <v>2054</v>
      </c>
      <c r="AJ103" s="22">
        <f t="shared" si="2"/>
        <v>2055</v>
      </c>
      <c r="AK103" s="22">
        <f t="shared" si="2"/>
        <v>2056</v>
      </c>
      <c r="AL103" s="22">
        <f t="shared" si="2"/>
        <v>2057</v>
      </c>
      <c r="AM103" s="22">
        <f t="shared" si="2"/>
        <v>2058</v>
      </c>
      <c r="AN103" s="22">
        <f t="shared" si="2"/>
        <v>2059</v>
      </c>
      <c r="AO103" s="22">
        <f t="shared" si="2"/>
        <v>2060</v>
      </c>
      <c r="AP103" s="22">
        <f t="shared" si="2"/>
        <v>2061</v>
      </c>
      <c r="AQ103" s="22">
        <f t="shared" si="2"/>
        <v>2062</v>
      </c>
      <c r="AR103" s="22">
        <f t="shared" si="2"/>
        <v>2063</v>
      </c>
      <c r="AS103" s="22">
        <f t="shared" si="2"/>
        <v>2064</v>
      </c>
      <c r="AT103" s="22">
        <f t="shared" si="2"/>
        <v>2065</v>
      </c>
    </row>
    <row r="104" ht="27.75" customHeight="1">
      <c r="A104" s="23" t="s">
        <v>11</v>
      </c>
      <c r="F104" s="24">
        <f>ABS(MIN(F9:F99,0))</f>
        <v>0</v>
      </c>
      <c r="G104" s="24">
        <f t="shared" ref="G104:X104" si="3">F104+ABS(MIN(G9:G99,0))</f>
        <v>0</v>
      </c>
      <c r="H104" s="24">
        <f t="shared" si="3"/>
        <v>0</v>
      </c>
      <c r="I104" s="24">
        <f t="shared" si="3"/>
        <v>0</v>
      </c>
      <c r="J104" s="24">
        <f t="shared" si="3"/>
        <v>0</v>
      </c>
      <c r="K104" s="24">
        <f t="shared" si="3"/>
        <v>0</v>
      </c>
      <c r="L104" s="24">
        <f t="shared" si="3"/>
        <v>0</v>
      </c>
      <c r="M104" s="24">
        <f t="shared" si="3"/>
        <v>0</v>
      </c>
      <c r="N104" s="24">
        <f t="shared" si="3"/>
        <v>0</v>
      </c>
      <c r="O104" s="24">
        <f t="shared" si="3"/>
        <v>0</v>
      </c>
      <c r="P104" s="24">
        <f t="shared" si="3"/>
        <v>0</v>
      </c>
      <c r="Q104" s="24">
        <f t="shared" si="3"/>
        <v>0</v>
      </c>
      <c r="R104" s="24">
        <f t="shared" si="3"/>
        <v>0</v>
      </c>
      <c r="S104" s="24">
        <f t="shared" si="3"/>
        <v>0</v>
      </c>
      <c r="T104" s="24">
        <f t="shared" si="3"/>
        <v>0</v>
      </c>
      <c r="U104" s="24">
        <f t="shared" si="3"/>
        <v>0</v>
      </c>
      <c r="V104" s="24">
        <f t="shared" si="3"/>
        <v>0</v>
      </c>
      <c r="W104" s="24">
        <f t="shared" si="3"/>
        <v>0</v>
      </c>
      <c r="X104" s="24">
        <f t="shared" si="3"/>
        <v>0</v>
      </c>
      <c r="Y104" s="24">
        <f t="shared" ref="Y104:AT104" si="4">X100+ABS(MIN(Y5:Y95,0))</f>
        <v>0</v>
      </c>
      <c r="Z104" s="24">
        <f t="shared" si="4"/>
        <v>0</v>
      </c>
      <c r="AA104" s="24">
        <f t="shared" si="4"/>
        <v>0</v>
      </c>
      <c r="AB104" s="24">
        <f t="shared" si="4"/>
        <v>0</v>
      </c>
      <c r="AC104" s="24">
        <f t="shared" si="4"/>
        <v>0</v>
      </c>
      <c r="AD104" s="24">
        <f t="shared" si="4"/>
        <v>0</v>
      </c>
      <c r="AE104" s="24">
        <f t="shared" si="4"/>
        <v>0</v>
      </c>
      <c r="AF104" s="24">
        <f t="shared" si="4"/>
        <v>0</v>
      </c>
      <c r="AG104" s="24">
        <f t="shared" si="4"/>
        <v>0</v>
      </c>
      <c r="AH104" s="24">
        <f t="shared" si="4"/>
        <v>0</v>
      </c>
      <c r="AI104" s="24">
        <f t="shared" si="4"/>
        <v>0</v>
      </c>
      <c r="AJ104" s="24">
        <f t="shared" si="4"/>
        <v>0</v>
      </c>
      <c r="AK104" s="24">
        <f t="shared" si="4"/>
        <v>0</v>
      </c>
      <c r="AL104" s="24">
        <f t="shared" si="4"/>
        <v>0</v>
      </c>
      <c r="AM104" s="24">
        <f t="shared" si="4"/>
        <v>0</v>
      </c>
      <c r="AN104" s="24">
        <f t="shared" si="4"/>
        <v>0</v>
      </c>
      <c r="AO104" s="24">
        <f t="shared" si="4"/>
        <v>0</v>
      </c>
      <c r="AP104" s="24">
        <f t="shared" si="4"/>
        <v>0</v>
      </c>
      <c r="AQ104" s="24">
        <f t="shared" si="4"/>
        <v>0</v>
      </c>
      <c r="AR104" s="24">
        <f t="shared" si="4"/>
        <v>0</v>
      </c>
      <c r="AS104" s="24">
        <f t="shared" si="4"/>
        <v>0</v>
      </c>
      <c r="AT104" s="24">
        <f t="shared" si="4"/>
        <v>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7:X7"/>
  </mergeCells>
  <conditionalFormatting sqref="F5:AT95">
    <cfRule type="cellIs" dxfId="0" priority="1" operator="greaterThan">
      <formula>0</formula>
    </cfRule>
  </conditionalFormatting>
  <conditionalFormatting sqref="F5:AT95">
    <cfRule type="cellIs" dxfId="1" priority="2" operator="lessThan">
      <formula>0</formula>
    </cfRule>
  </conditionalFormatting>
  <conditionalFormatting sqref="F99:AT99">
    <cfRule type="cellIs" dxfId="0" priority="3" operator="greaterThan">
      <formula>0</formula>
    </cfRule>
  </conditionalFormatting>
  <conditionalFormatting sqref="F99:AT99">
    <cfRule type="cellIs" dxfId="1" priority="4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27.0"/>
    <col customWidth="1" min="5" max="6" width="8.71"/>
  </cols>
  <sheetData>
    <row r="1">
      <c r="A1" s="25" t="s">
        <v>12</v>
      </c>
    </row>
    <row r="2">
      <c r="A2" s="26" t="s">
        <v>13</v>
      </c>
    </row>
    <row r="4">
      <c r="A4" s="27" t="s">
        <v>14</v>
      </c>
      <c r="B4" s="27" t="s">
        <v>9</v>
      </c>
      <c r="C4" s="27" t="s">
        <v>15</v>
      </c>
      <c r="D4" s="27" t="s">
        <v>16</v>
      </c>
    </row>
    <row r="5">
      <c r="A5" s="28">
        <v>2025.0</v>
      </c>
      <c r="B5" s="29" t="str">
        <f>'Cashflow Matrix'!F98</f>
        <v/>
      </c>
      <c r="C5" s="29" t="str">
        <f>'Cashflow Matrix'!F100</f>
        <v/>
      </c>
      <c r="D5" s="29">
        <f t="shared" ref="D5:D19" si="1">B5+C5*1.5</f>
        <v>0</v>
      </c>
    </row>
    <row r="6">
      <c r="A6" s="28">
        <v>2026.0</v>
      </c>
      <c r="B6" s="29" t="str">
        <f>'Cashflow Matrix'!G98</f>
        <v/>
      </c>
      <c r="C6" s="29" t="str">
        <f>'Cashflow Matrix'!G100</f>
        <v/>
      </c>
      <c r="D6" s="29">
        <f t="shared" si="1"/>
        <v>0</v>
      </c>
    </row>
    <row r="7">
      <c r="A7" s="28">
        <v>2027.0</v>
      </c>
      <c r="B7" s="29" t="str">
        <f>'Cashflow Matrix'!H98</f>
        <v/>
      </c>
      <c r="C7" s="29" t="str">
        <f>'Cashflow Matrix'!H100</f>
        <v/>
      </c>
      <c r="D7" s="29">
        <f t="shared" si="1"/>
        <v>0</v>
      </c>
    </row>
    <row r="8">
      <c r="A8" s="28">
        <v>2028.0</v>
      </c>
      <c r="B8" s="29" t="str">
        <f>'Cashflow Matrix'!I98</f>
        <v/>
      </c>
      <c r="C8" s="29" t="str">
        <f>'Cashflow Matrix'!I100</f>
        <v/>
      </c>
      <c r="D8" s="29">
        <f t="shared" si="1"/>
        <v>0</v>
      </c>
    </row>
    <row r="9">
      <c r="A9" s="28">
        <v>2029.0</v>
      </c>
      <c r="B9" s="29" t="str">
        <f>'Cashflow Matrix'!J98</f>
        <v/>
      </c>
      <c r="C9" s="29" t="str">
        <f>'Cashflow Matrix'!J100</f>
        <v/>
      </c>
      <c r="D9" s="29">
        <f t="shared" si="1"/>
        <v>0</v>
      </c>
    </row>
    <row r="10">
      <c r="A10" s="28">
        <v>2030.0</v>
      </c>
      <c r="B10" s="29" t="str">
        <f>'Cashflow Matrix'!K98</f>
        <v/>
      </c>
      <c r="C10" s="29" t="str">
        <f>'Cashflow Matrix'!K100</f>
        <v/>
      </c>
      <c r="D10" s="29">
        <f t="shared" si="1"/>
        <v>0</v>
      </c>
    </row>
    <row r="11">
      <c r="A11" s="28">
        <v>2031.0</v>
      </c>
      <c r="B11" s="29" t="str">
        <f>'Cashflow Matrix'!L98</f>
        <v/>
      </c>
      <c r="C11" s="29" t="str">
        <f>'Cashflow Matrix'!L100</f>
        <v/>
      </c>
      <c r="D11" s="29">
        <f t="shared" si="1"/>
        <v>0</v>
      </c>
    </row>
    <row r="12">
      <c r="A12" s="28">
        <v>2032.0</v>
      </c>
      <c r="B12" s="29" t="str">
        <f>'Cashflow Matrix'!M98</f>
        <v/>
      </c>
      <c r="C12" s="29" t="str">
        <f>'Cashflow Matrix'!M100</f>
        <v/>
      </c>
      <c r="D12" s="29">
        <f t="shared" si="1"/>
        <v>0</v>
      </c>
    </row>
    <row r="13">
      <c r="A13" s="28">
        <v>2033.0</v>
      </c>
      <c r="B13" s="29" t="str">
        <f>'Cashflow Matrix'!N98</f>
        <v/>
      </c>
      <c r="C13" s="29" t="str">
        <f>'Cashflow Matrix'!N100</f>
        <v/>
      </c>
      <c r="D13" s="29">
        <f t="shared" si="1"/>
        <v>0</v>
      </c>
    </row>
    <row r="14">
      <c r="A14" s="28">
        <v>2034.0</v>
      </c>
      <c r="B14" s="29" t="str">
        <f>'Cashflow Matrix'!O98</f>
        <v/>
      </c>
      <c r="C14" s="29" t="str">
        <f>'Cashflow Matrix'!O100</f>
        <v/>
      </c>
      <c r="D14" s="29">
        <f t="shared" si="1"/>
        <v>0</v>
      </c>
    </row>
    <row r="15">
      <c r="A15" s="28">
        <v>2035.0</v>
      </c>
      <c r="B15" s="29" t="str">
        <f>'Cashflow Matrix'!P98</f>
        <v/>
      </c>
      <c r="C15" s="29" t="str">
        <f>'Cashflow Matrix'!P100</f>
        <v/>
      </c>
      <c r="D15" s="29">
        <f t="shared" si="1"/>
        <v>0</v>
      </c>
    </row>
    <row r="16">
      <c r="A16" s="28">
        <v>2036.0</v>
      </c>
      <c r="B16" s="29" t="str">
        <f>'Cashflow Matrix'!Q98</f>
        <v/>
      </c>
      <c r="C16" s="29" t="str">
        <f>'Cashflow Matrix'!Q100</f>
        <v/>
      </c>
      <c r="D16" s="29">
        <f t="shared" si="1"/>
        <v>0</v>
      </c>
    </row>
    <row r="17">
      <c r="A17" s="28">
        <v>2037.0</v>
      </c>
      <c r="B17" s="29" t="str">
        <f>'Cashflow Matrix'!R98</f>
        <v/>
      </c>
      <c r="C17" s="29" t="str">
        <f>'Cashflow Matrix'!R100</f>
        <v/>
      </c>
      <c r="D17" s="29">
        <f t="shared" si="1"/>
        <v>0</v>
      </c>
    </row>
    <row r="18">
      <c r="A18" s="28">
        <v>2038.0</v>
      </c>
      <c r="B18" s="29" t="str">
        <f>'Cashflow Matrix'!S98</f>
        <v/>
      </c>
      <c r="C18" s="29" t="str">
        <f>'Cashflow Matrix'!S100</f>
        <v/>
      </c>
      <c r="D18" s="29">
        <f t="shared" si="1"/>
        <v>0</v>
      </c>
    </row>
    <row r="19">
      <c r="A19" s="28">
        <v>2039.0</v>
      </c>
      <c r="B19" s="29" t="str">
        <f>'Cashflow Matrix'!T98</f>
        <v/>
      </c>
      <c r="C19" s="29" t="str">
        <f>'Cashflow Matrix'!T100</f>
        <v/>
      </c>
      <c r="D19" s="29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4" width="18.0"/>
    <col customWidth="1" min="5" max="5" width="12.0"/>
    <col customWidth="1" min="6" max="6" width="8.71"/>
  </cols>
  <sheetData>
    <row r="1">
      <c r="A1" s="30" t="s">
        <v>17</v>
      </c>
    </row>
    <row r="3">
      <c r="A3" s="31" t="s">
        <v>18</v>
      </c>
      <c r="B3" s="31" t="s">
        <v>7</v>
      </c>
      <c r="C3" s="31" t="s">
        <v>19</v>
      </c>
      <c r="D3" s="31" t="s">
        <v>20</v>
      </c>
      <c r="E3" s="31" t="s">
        <v>21</v>
      </c>
    </row>
    <row r="4">
      <c r="A4" s="28" t="s">
        <v>22</v>
      </c>
      <c r="B4" s="32">
        <v>0.132</v>
      </c>
      <c r="C4" s="28">
        <v>7.0</v>
      </c>
      <c r="D4" s="32">
        <v>0.2</v>
      </c>
      <c r="E4" s="28">
        <v>3.0</v>
      </c>
    </row>
    <row r="5">
      <c r="A5" s="28" t="s">
        <v>23</v>
      </c>
      <c r="B5" s="32">
        <v>0.147</v>
      </c>
      <c r="C5" s="28">
        <v>10.0</v>
      </c>
      <c r="D5" s="32">
        <v>0.4</v>
      </c>
      <c r="E5" s="28">
        <v>5.0</v>
      </c>
    </row>
    <row r="6">
      <c r="A6" s="28" t="s">
        <v>24</v>
      </c>
      <c r="B6" s="32">
        <v>0.185</v>
      </c>
      <c r="C6" s="28">
        <v>12.0</v>
      </c>
      <c r="D6" s="32">
        <v>0.6</v>
      </c>
      <c r="E6" s="28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0"/>
    <col customWidth="1" min="3" max="3" width="10.0"/>
    <col customWidth="1" min="4" max="4" width="12.0"/>
    <col customWidth="1" min="5" max="5" width="10.0"/>
    <col customWidth="1" min="6" max="6" width="12.0"/>
    <col customWidth="1" min="7" max="7" width="30.0"/>
  </cols>
  <sheetData>
    <row r="1">
      <c r="A1" s="30" t="s">
        <v>25</v>
      </c>
    </row>
    <row r="3">
      <c r="A3" s="31" t="s">
        <v>26</v>
      </c>
      <c r="B3" s="31" t="s">
        <v>27</v>
      </c>
      <c r="C3" s="31" t="s">
        <v>7</v>
      </c>
      <c r="D3" s="31" t="s">
        <v>28</v>
      </c>
      <c r="E3" s="31" t="s">
        <v>29</v>
      </c>
      <c r="F3" s="31" t="s">
        <v>30</v>
      </c>
      <c r="G3" s="31" t="s">
        <v>31</v>
      </c>
    </row>
    <row r="4">
      <c r="A4" s="28" t="s">
        <v>32</v>
      </c>
      <c r="B4" s="28" t="s">
        <v>23</v>
      </c>
      <c r="C4" s="32">
        <v>0.16</v>
      </c>
      <c r="D4" s="28">
        <v>10.0</v>
      </c>
      <c r="E4" s="28">
        <v>2020.0</v>
      </c>
      <c r="F4" s="28" t="s">
        <v>33</v>
      </c>
      <c r="G4" s="28" t="s">
        <v>34</v>
      </c>
    </row>
    <row r="5">
      <c r="A5" s="28" t="s">
        <v>35</v>
      </c>
      <c r="B5" s="28" t="s">
        <v>23</v>
      </c>
      <c r="C5" s="32">
        <v>0.14</v>
      </c>
      <c r="D5" s="28">
        <v>10.0</v>
      </c>
      <c r="E5" s="28">
        <v>2021.0</v>
      </c>
      <c r="F5" s="28" t="s">
        <v>33</v>
      </c>
      <c r="G5" s="28" t="s">
        <v>36</v>
      </c>
    </row>
    <row r="6">
      <c r="A6" s="28" t="s">
        <v>37</v>
      </c>
      <c r="B6" s="28" t="s">
        <v>24</v>
      </c>
      <c r="C6" s="32">
        <v>0.22</v>
      </c>
      <c r="D6" s="28">
        <v>12.0</v>
      </c>
      <c r="E6" s="28">
        <v>2019.0</v>
      </c>
      <c r="F6" s="28" t="s">
        <v>33</v>
      </c>
      <c r="G6" s="28" t="s">
        <v>38</v>
      </c>
    </row>
    <row r="7">
      <c r="A7" s="28" t="s">
        <v>39</v>
      </c>
      <c r="B7" s="28" t="s">
        <v>22</v>
      </c>
      <c r="C7" s="32">
        <v>0.13</v>
      </c>
      <c r="D7" s="28">
        <v>7.0</v>
      </c>
      <c r="E7" s="28">
        <v>2022.0</v>
      </c>
      <c r="F7" s="28" t="s">
        <v>33</v>
      </c>
      <c r="G7" s="28" t="s">
        <v>40</v>
      </c>
    </row>
    <row r="8">
      <c r="A8" s="28" t="s">
        <v>41</v>
      </c>
      <c r="B8" s="28" t="s">
        <v>22</v>
      </c>
      <c r="C8" s="32">
        <v>0.12</v>
      </c>
      <c r="D8" s="28">
        <v>6.0</v>
      </c>
      <c r="E8" s="28">
        <v>2023.0</v>
      </c>
      <c r="F8" s="28" t="s">
        <v>33</v>
      </c>
      <c r="G8" s="28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