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flow Matrix" sheetId="1" r:id="rId5"/>
    <sheet state="visible" name="Portfolio Projectie" sheetId="2" r:id="rId6"/>
    <sheet state="visible" name="Fondsen" sheetId="3" r:id="rId7"/>
  </sheets>
  <definedNames/>
  <calcPr/>
</workbook>
</file>

<file path=xl/sharedStrings.xml><?xml version="1.0" encoding="utf-8"?>
<sst xmlns="http://schemas.openxmlformats.org/spreadsheetml/2006/main" count="186" uniqueCount="75">
  <si>
    <t>Private Equity Commitment Planning Tool</t>
  </si>
  <si>
    <t>Cashflow Matrix</t>
  </si>
  <si>
    <t>Klantnaam:</t>
  </si>
  <si>
    <t>Beschikbaar kapitaal:</t>
  </si>
  <si>
    <t>PROJECTED</t>
  </si>
  <si>
    <t>Selecteer een fonds uit de dropdown (kolom B) - Type wordt automatisch ingevuld</t>
  </si>
  <si>
    <t>TYPE</t>
  </si>
  <si>
    <t>FONDSNAAM</t>
  </si>
  <si>
    <t>COMMITMENT</t>
  </si>
  <si>
    <t>CURR.</t>
  </si>
  <si>
    <t>INSTAP</t>
  </si>
  <si>
    <t>EUR</t>
  </si>
  <si>
    <t>STARTKAPITAAL</t>
  </si>
  <si>
    <t>Beschikbaar Kapitaal</t>
  </si>
  <si>
    <t>Jaarlijkse Netto Cashflow</t>
  </si>
  <si>
    <t>Cumulatief Capital Called</t>
  </si>
  <si>
    <t>Portfolio Projectie</t>
  </si>
  <si>
    <t>Overzicht cashflows en kapitaal per jaar</t>
  </si>
  <si>
    <t>Jaar</t>
  </si>
  <si>
    <t>Capital Called</t>
  </si>
  <si>
    <t>Netto Cashflow</t>
  </si>
  <si>
    <t>FONDSEN DATABASE</t>
  </si>
  <si>
    <t>Capital Call Profiles &amp; Fund Registry</t>
  </si>
  <si>
    <t>CASHFLOW PROFIEL (% van Commitment, negatief = capital call, positief = distributie)</t>
  </si>
  <si>
    <t>Fondsnaam</t>
  </si>
  <si>
    <t>Type</t>
  </si>
  <si>
    <t>Status</t>
  </si>
  <si>
    <t>Notities</t>
  </si>
  <si>
    <t>Jaar 1</t>
  </si>
  <si>
    <t>Jaar 2</t>
  </si>
  <si>
    <t>Jaar 3</t>
  </si>
  <si>
    <t>Jaar 4</t>
  </si>
  <si>
    <t>Jaar 5</t>
  </si>
  <si>
    <t>Jaar 6</t>
  </si>
  <si>
    <t>Jaar 7</t>
  </si>
  <si>
    <t>Jaar 8</t>
  </si>
  <si>
    <t>Jaar 9</t>
  </si>
  <si>
    <t>Jaar 10</t>
  </si>
  <si>
    <t>Jaar 11</t>
  </si>
  <si>
    <t>Jaar 12</t>
  </si>
  <si>
    <t>Dummy PE</t>
  </si>
  <si>
    <t>PE</t>
  </si>
  <si>
    <t>Template</t>
  </si>
  <si>
    <t>Gemiddeld PE profiel - vervang door echt fonds</t>
  </si>
  <si>
    <t>Dummy VC</t>
  </si>
  <si>
    <t>VC</t>
  </si>
  <si>
    <t>Gemiddeld VC profiel - vervang door echt fonds</t>
  </si>
  <si>
    <t>Dummy Secondaries</t>
  </si>
  <si>
    <t>Secondaries</t>
  </si>
  <si>
    <t>Gemiddeld Secondaries profiel - vervang door echt fonds</t>
  </si>
  <si>
    <t>Alpinvest PE Fund</t>
  </si>
  <si>
    <t>Active</t>
  </si>
  <si>
    <t>Leading European PE fund</t>
  </si>
  <si>
    <t>Rhein Invest II</t>
  </si>
  <si>
    <t>German mid-market PE</t>
  </si>
  <si>
    <t>GP Buyout Fund</t>
  </si>
  <si>
    <t>Large-cap buyout focus</t>
  </si>
  <si>
    <t>OGF II</t>
  </si>
  <si>
    <t>Tech focused VC fund</t>
  </si>
  <si>
    <t>Impact VC Fund</t>
  </si>
  <si>
    <t>Impact investing focus</t>
  </si>
  <si>
    <t>Blockchain Ventures</t>
  </si>
  <si>
    <t>Crypto/blockchain focus</t>
  </si>
  <si>
    <t>ICG I - LP Fund</t>
  </si>
  <si>
    <t>Credit focused secondaries</t>
  </si>
  <si>
    <t>Bcapital II</t>
  </si>
  <si>
    <t>European secondaries specialist</t>
  </si>
  <si>
    <t>Secondary Feeder I</t>
  </si>
  <si>
    <t>Diversified secondary portfolio</t>
  </si>
  <si>
    <t>Instructies:</t>
  </si>
  <si>
    <t>• Voeg nieuwe fondsen toe door een rij in te vullen (naam, type, status, notities)</t>
  </si>
  <si>
    <t>• Vul het cashflow profiel in: negatieve % = capital call, positieve % = distributie</t>
  </si>
  <si>
    <t>• Gebruik 'Dummy' fondsen voor initiële berekeningen, vervang later door echte fondsen</t>
  </si>
  <si>
    <t>• Fondsen verschijnen automatisch in de dropdown in Cashflow Matrix</t>
  </si>
  <si>
    <t>• Het TYPE wordt automatisch ingevuld in de Cashflow Matrix wanneer je een fonds selecteert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</si>
</sst>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€#,##0"/>
    <numFmt numFmtId="165" formatCode="0.0%"/>
    <numFmt numFmtId="166" formatCode="\€#,##0;&quot;(€&quot;#,##0\);\-"/>
    <numFmt numFmtId="167" formatCode="\€#,##0;&quot;(€&quot;#,##0\)"/>
  </numFmts>
  <fonts count="27">
    <font>
      <sz val="11.0"/>
      <color theme="1"/>
      <name val="Calibri"/>
      <scheme val="minor"/>
    </font>
    <font>
      <b/>
      <sz val="16.0"/>
      <color rgb="FF1E3A5F"/>
      <name val="Figtree"/>
    </font>
    <font>
      <sz val="11.0"/>
      <color theme="1"/>
      <name val="Figtree"/>
    </font>
    <font>
      <sz val="14.0"/>
      <color rgb="FF444444"/>
      <name val="Figtree"/>
    </font>
    <font>
      <i/>
      <sz val="12.0"/>
      <color rgb="FF666666"/>
      <name val="Figtree"/>
    </font>
    <font>
      <sz val="14.0"/>
      <color rgb="FF4A4A4A"/>
      <name val="Figtree"/>
    </font>
    <font/>
    <font>
      <color theme="1"/>
      <name val="Calibri"/>
      <scheme val="minor"/>
    </font>
    <font>
      <b/>
      <sz val="17.0"/>
      <color rgb="FF1E3A5F"/>
      <name val="Figtree"/>
    </font>
    <font>
      <i/>
      <sz val="9.0"/>
      <color rgb="FF666666"/>
      <name val="Figtree"/>
    </font>
    <font>
      <b/>
      <sz val="10.0"/>
      <color rgb="FFFFFFFF"/>
      <name val="Figtree"/>
    </font>
    <font>
      <sz val="10.0"/>
      <color theme="1"/>
      <name val="Figtree"/>
    </font>
    <font>
      <sz val="10.0"/>
      <color rgb="FF333333"/>
      <name val="Figtree"/>
    </font>
    <font>
      <sz val="10.0"/>
      <color rgb="FF0000FF"/>
      <name val="Figtree"/>
    </font>
    <font>
      <b/>
      <sz val="10.0"/>
      <color theme="1"/>
      <name val="Figtree"/>
    </font>
    <font>
      <b/>
      <sz val="10.0"/>
      <color rgb="FF1E3A5F"/>
      <name val="Figtree"/>
    </font>
    <font>
      <b/>
      <sz val="10.0"/>
      <color rgb="FF2C5F8D"/>
      <name val="Figtree"/>
    </font>
    <font>
      <sz val="11.0"/>
      <color rgb="FFFFFFFF"/>
      <name val="Cambria"/>
    </font>
    <font>
      <sz val="11.0"/>
      <color theme="1"/>
      <name val="Calibri"/>
    </font>
    <font>
      <b/>
      <sz val="14.0"/>
      <color theme="1"/>
      <name val="Cambria"/>
    </font>
    <font>
      <i/>
      <sz val="10.0"/>
      <color rgb="FF666666"/>
      <name val="Cambria"/>
    </font>
    <font>
      <b/>
      <sz val="14.0"/>
      <color theme="1"/>
      <name val="Figtree"/>
    </font>
    <font>
      <sz val="11.0"/>
      <color theme="1"/>
      <name val="Cambria"/>
    </font>
    <font>
      <i/>
      <sz val="10.0"/>
      <color rgb="FF666666"/>
      <name val="Figtree"/>
    </font>
    <font>
      <i/>
      <sz val="9.0"/>
      <color rgb="FF666666"/>
      <name val="Cambria"/>
    </font>
    <font>
      <b/>
      <sz val="10.0"/>
      <color theme="1"/>
      <name val="Cambria"/>
    </font>
    <font>
      <sz val="9.0"/>
      <color rgb="FF444444"/>
      <name val="Figtree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E3A5F"/>
        <bgColor rgb="FF1E3A5F"/>
      </patternFill>
    </fill>
    <fill>
      <patternFill patternType="solid">
        <fgColor rgb="FFF7F9FB"/>
        <bgColor rgb="FFF7F9FB"/>
      </patternFill>
    </fill>
    <fill>
      <patternFill patternType="solid">
        <fgColor rgb="FFE8EDF2"/>
        <bgColor rgb="FFE8EDF2"/>
      </patternFill>
    </fill>
    <fill>
      <patternFill patternType="solid">
        <fgColor rgb="FF2C5F8D"/>
        <bgColor rgb="FF2C5F8D"/>
      </patternFill>
    </fill>
    <fill>
      <patternFill patternType="solid">
        <fgColor rgb="FFFFFEF0"/>
        <bgColor rgb="FFFFFEF0"/>
      </patternFill>
    </fill>
  </fills>
  <borders count="38">
    <border/>
    <border>
      <bottom style="thin">
        <color rgb="FFD0D8E8"/>
      </bottom>
    </border>
    <border>
      <right/>
    </border>
    <border>
      <bottom style="thin">
        <color rgb="FF4A4A4A"/>
      </bottom>
    </border>
    <border>
      <right/>
      <bottom style="thin">
        <color rgb="FF4A4A4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</border>
    <border>
      <left/>
      <right/>
      <top style="medium">
        <color rgb="FF1E3A5F"/>
      </top>
      <bottom style="medium">
        <color rgb="FF1E3A5F"/>
      </bottom>
    </border>
    <border>
      <left/>
      <right/>
      <bottom style="medium">
        <color rgb="FF1E3A5F"/>
      </bottom>
    </border>
    <border>
      <left style="dotted">
        <color rgb="FFA0A0A0"/>
      </left>
      <right style="dotted">
        <color rgb="FFA0A0A0"/>
      </right>
      <top style="dotted">
        <color rgb="FFA0A0A0"/>
      </top>
      <bottom style="dotted">
        <color rgb="FFA0A0A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dotted">
        <color rgb="FFA0A0A0"/>
      </left>
      <right style="dotted">
        <color rgb="FFA0A0A0"/>
      </right>
      <top style="dotted">
        <color rgb="FFA0A0A0"/>
      </top>
      <bottom style="medium">
        <color rgb="FF000000"/>
      </bottom>
    </border>
    <border>
      <right style="thin">
        <color rgb="FFD0D0D0"/>
      </right>
      <top style="thin">
        <color rgb="FFD0D0D0"/>
      </top>
      <bottom style="medium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00000"/>
      </bottom>
    </border>
    <border>
      <left/>
      <top/>
      <bottom/>
    </border>
    <border>
      <right/>
      <top/>
      <bottom/>
    </border>
    <border>
      <left/>
      <top style="thin">
        <color rgb="FF2C5F8D"/>
      </top>
      <bottom/>
    </border>
    <border>
      <top style="thin">
        <color rgb="FF2C5F8D"/>
      </top>
      <bottom/>
    </border>
    <border>
      <right style="thick">
        <color rgb="FF1E3A5F"/>
      </right>
      <top style="thin">
        <color rgb="FF2C5F8D"/>
      </top>
      <bottom/>
    </border>
    <border>
      <left/>
      <right/>
      <top/>
      <bottom/>
    </border>
    <border>
      <left style="thin">
        <color rgb="FFD0D0D0"/>
      </left>
      <right style="thin">
        <color rgb="FFD0D0D0"/>
      </right>
      <top/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ck">
        <color rgb="FF1E3A5F"/>
      </right>
      <top style="thin">
        <color rgb="FFD0D0D0"/>
      </top>
      <bottom style="thin">
        <color rgb="FFD0D0D0"/>
      </bottom>
    </border>
    <border>
      <left/>
      <right style="thin">
        <color rgb="FFD0D0D0"/>
      </right>
      <top style="thin">
        <color rgb="FFD0D0D0"/>
      </top>
      <bottom style="thin">
        <color rgb="FFD0D0D0"/>
      </bottom>
    </border>
    <border>
      <left/>
      <top/>
    </border>
    <border>
      <top/>
    </border>
    <border>
      <right style="thick">
        <color rgb="FF1E3A5F"/>
      </right>
      <top/>
    </border>
    <border>
      <left/>
      <right/>
      <top/>
      <bottom style="medium">
        <color rgb="FF1E3A5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2" fontId="2" numFmtId="0" xfId="0" applyAlignment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1" fillId="0" fontId="5" numFmtId="0" xfId="0" applyAlignment="1" applyBorder="1" applyFont="1">
      <alignment shrinkToFit="0" vertical="center" wrapText="0"/>
    </xf>
    <xf borderId="1" fillId="0" fontId="6" numFmtId="0" xfId="0" applyBorder="1" applyFont="1"/>
    <xf borderId="1" fillId="0" fontId="2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8" numFmtId="0" xfId="0" applyAlignment="1" applyBorder="1" applyFont="1">
      <alignment horizontal="center" shrinkToFit="0" vertical="center" wrapText="0"/>
    </xf>
    <xf borderId="6" fillId="0" fontId="6" numFmtId="0" xfId="0" applyBorder="1" applyFont="1"/>
    <xf borderId="7" fillId="0" fontId="6" numFmtId="0" xfId="0" applyBorder="1" applyFont="1"/>
    <xf borderId="0" fillId="0" fontId="9" numFmtId="0" xfId="0" applyAlignment="1" applyFont="1">
      <alignment shrinkToFit="0" vertical="center" wrapText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3" fontId="10" numFmtId="0" xfId="0" applyAlignment="1" applyBorder="1" applyFill="1" applyFont="1">
      <alignment horizontal="center" shrinkToFit="0" vertical="center" wrapText="0"/>
    </xf>
    <xf borderId="12" fillId="3" fontId="10" numFmtId="1" xfId="0" applyAlignment="1" applyBorder="1" applyFont="1" applyNumberFormat="1">
      <alignment horizontal="center" shrinkToFit="0" vertical="center" wrapText="0"/>
    </xf>
    <xf borderId="13" fillId="3" fontId="10" numFmtId="1" xfId="0" applyAlignment="1" applyBorder="1" applyFont="1" applyNumberFormat="1">
      <alignment horizontal="center" shrinkToFit="0" vertical="center" wrapText="0"/>
    </xf>
    <xf borderId="13" fillId="3" fontId="10" numFmtId="1" xfId="0" applyAlignment="1" applyBorder="1" applyFont="1" applyNumberFormat="1">
      <alignment horizontal="center" shrinkToFit="0" vertical="center" wrapText="1"/>
    </xf>
    <xf borderId="14" fillId="2" fontId="11" numFmtId="0" xfId="0" applyAlignment="1" applyBorder="1" applyFont="1">
      <alignment horizontal="center" shrinkToFit="0" vertical="bottom" wrapText="0"/>
    </xf>
    <xf borderId="14" fillId="0" fontId="12" numFmtId="0" xfId="0" applyAlignment="1" applyBorder="1" applyFont="1">
      <alignment horizontal="center" shrinkToFit="0" vertical="center" wrapText="0"/>
    </xf>
    <xf borderId="14" fillId="0" fontId="13" numFmtId="164" xfId="0" applyAlignment="1" applyBorder="1" applyFont="1" applyNumberFormat="1">
      <alignment horizontal="right" shrinkToFit="0" vertical="center" wrapText="0"/>
    </xf>
    <xf borderId="14" fillId="0" fontId="11" numFmtId="165" xfId="0" applyAlignment="1" applyBorder="1" applyFont="1" applyNumberFormat="1">
      <alignment horizontal="center" shrinkToFit="0" vertical="center" wrapText="0"/>
    </xf>
    <xf borderId="14" fillId="0" fontId="13" numFmtId="1" xfId="0" applyAlignment="1" applyBorder="1" applyFont="1" applyNumberFormat="1">
      <alignment horizontal="center" shrinkToFit="0" vertical="center" wrapText="0"/>
    </xf>
    <xf borderId="15" fillId="0" fontId="12" numFmtId="166" xfId="0" applyAlignment="1" applyBorder="1" applyFont="1" applyNumberFormat="1">
      <alignment horizontal="right" shrinkToFit="0" vertical="center" wrapText="0"/>
    </xf>
    <xf borderId="16" fillId="0" fontId="12" numFmtId="166" xfId="0" applyAlignment="1" applyBorder="1" applyFont="1" applyNumberFormat="1">
      <alignment horizontal="right" shrinkToFit="0" vertical="center" wrapText="0"/>
    </xf>
    <xf borderId="16" fillId="0" fontId="12" numFmtId="0" xfId="0" applyAlignment="1" applyBorder="1" applyFont="1">
      <alignment horizontal="right" shrinkToFit="0" vertical="center" wrapText="0"/>
    </xf>
    <xf borderId="14" fillId="4" fontId="11" numFmtId="0" xfId="0" applyAlignment="1" applyBorder="1" applyFill="1" applyFont="1">
      <alignment horizontal="center" shrinkToFit="0" vertical="bottom" wrapText="0"/>
    </xf>
    <xf borderId="14" fillId="4" fontId="12" numFmtId="0" xfId="0" applyAlignment="1" applyBorder="1" applyFont="1">
      <alignment horizontal="center" shrinkToFit="0" vertical="center" wrapText="0"/>
    </xf>
    <xf borderId="14" fillId="4" fontId="13" numFmtId="164" xfId="0" applyAlignment="1" applyBorder="1" applyFont="1" applyNumberFormat="1">
      <alignment horizontal="right" shrinkToFit="0" vertical="center" wrapText="0"/>
    </xf>
    <xf borderId="14" fillId="4" fontId="11" numFmtId="165" xfId="0" applyAlignment="1" applyBorder="1" applyFont="1" applyNumberFormat="1">
      <alignment horizontal="center" shrinkToFit="0" vertical="center" wrapText="0"/>
    </xf>
    <xf borderId="14" fillId="4" fontId="13" numFmtId="1" xfId="0" applyAlignment="1" applyBorder="1" applyFont="1" applyNumberFormat="1">
      <alignment horizontal="center" shrinkToFit="0" vertical="center" wrapText="0"/>
    </xf>
    <xf borderId="15" fillId="4" fontId="12" numFmtId="166" xfId="0" applyAlignment="1" applyBorder="1" applyFont="1" applyNumberFormat="1">
      <alignment horizontal="right" shrinkToFit="0" vertical="center" wrapText="0"/>
    </xf>
    <xf borderId="16" fillId="4" fontId="12" numFmtId="166" xfId="0" applyAlignment="1" applyBorder="1" applyFont="1" applyNumberFormat="1">
      <alignment horizontal="right" shrinkToFit="0" vertical="center" wrapText="0"/>
    </xf>
    <xf borderId="14" fillId="0" fontId="12" numFmtId="0" xfId="0" applyAlignment="1" applyBorder="1" applyFont="1">
      <alignment horizontal="center" readingOrder="0" shrinkToFit="0" vertical="center" wrapText="0"/>
    </xf>
    <xf borderId="14" fillId="0" fontId="13" numFmtId="164" xfId="0" applyAlignment="1" applyBorder="1" applyFont="1" applyNumberFormat="1">
      <alignment horizontal="right" readingOrder="0" shrinkToFit="0" vertical="center" wrapText="0"/>
    </xf>
    <xf borderId="14" fillId="0" fontId="13" numFmtId="1" xfId="0" applyAlignment="1" applyBorder="1" applyFont="1" applyNumberFormat="1">
      <alignment horizontal="center" readingOrder="0" shrinkToFit="0" vertical="center" wrapText="0"/>
    </xf>
    <xf borderId="14" fillId="4" fontId="12" numFmtId="0" xfId="0" applyAlignment="1" applyBorder="1" applyFont="1">
      <alignment horizontal="center" readingOrder="0" shrinkToFit="0" vertical="center" wrapText="0"/>
    </xf>
    <xf borderId="14" fillId="0" fontId="11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horizontal="right" shrinkToFit="0" vertical="center" wrapText="0"/>
    </xf>
    <xf borderId="14" fillId="4" fontId="11" numFmtId="0" xfId="0" applyAlignment="1" applyBorder="1" applyFont="1">
      <alignment horizontal="center" shrinkToFit="0" vertical="center" wrapText="0"/>
    </xf>
    <xf borderId="14" fillId="0" fontId="11" numFmtId="0" xfId="0" applyAlignment="1" applyBorder="1" applyFont="1">
      <alignment horizontal="center" shrinkToFit="0" vertical="bottom" wrapText="0"/>
    </xf>
    <xf borderId="17" fillId="0" fontId="11" numFmtId="0" xfId="0" applyAlignment="1" applyBorder="1" applyFont="1">
      <alignment horizontal="center" shrinkToFit="0" vertical="bottom" wrapText="0"/>
    </xf>
    <xf borderId="17" fillId="0" fontId="2" numFmtId="0" xfId="0" applyAlignment="1" applyBorder="1" applyFont="1">
      <alignment shrinkToFit="0" vertical="bottom" wrapText="0"/>
    </xf>
    <xf borderId="17" fillId="0" fontId="13" numFmtId="164" xfId="0" applyAlignment="1" applyBorder="1" applyFont="1" applyNumberFormat="1">
      <alignment shrinkToFit="0" vertical="bottom" wrapText="0"/>
    </xf>
    <xf borderId="17" fillId="0" fontId="13" numFmtId="1" xfId="0" applyAlignment="1" applyBorder="1" applyFont="1" applyNumberFormat="1">
      <alignment shrinkToFit="0" vertical="bottom" wrapText="0"/>
    </xf>
    <xf borderId="18" fillId="0" fontId="12" numFmtId="166" xfId="0" applyAlignment="1" applyBorder="1" applyFont="1" applyNumberFormat="1">
      <alignment horizontal="right" shrinkToFit="0" vertical="center" wrapText="0"/>
    </xf>
    <xf borderId="19" fillId="0" fontId="12" numFmtId="166" xfId="0" applyAlignment="1" applyBorder="1" applyFont="1" applyNumberFormat="1">
      <alignment horizontal="right" shrinkToFit="0" vertical="center" wrapText="0"/>
    </xf>
    <xf borderId="20" fillId="5" fontId="14" numFmtId="0" xfId="0" applyAlignment="1" applyBorder="1" applyFill="1" applyFont="1">
      <alignment shrinkToFit="0" vertical="bottom" wrapText="0"/>
    </xf>
    <xf borderId="21" fillId="0" fontId="6" numFmtId="0" xfId="0" applyBorder="1" applyFont="1"/>
    <xf borderId="0" fillId="0" fontId="13" numFmtId="164" xfId="0" applyAlignment="1" applyFont="1" applyNumberForma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22" fillId="5" fontId="15" numFmtId="0" xfId="0" applyAlignment="1" applyBorder="1" applyFont="1">
      <alignment horizontal="center" readingOrder="0" shrinkToFit="0" vertical="center" wrapText="0"/>
    </xf>
    <xf borderId="23" fillId="0" fontId="6" numFmtId="0" xfId="0" applyBorder="1" applyFont="1"/>
    <xf borderId="24" fillId="0" fontId="6" numFmtId="0" xfId="0" applyBorder="1" applyFont="1"/>
    <xf borderId="21" fillId="5" fontId="2" numFmtId="166" xfId="0" applyAlignment="1" applyBorder="1" applyFont="1" applyNumberFormat="1">
      <alignment shrinkToFit="0" vertical="bottom" wrapText="0"/>
    </xf>
    <xf borderId="25" fillId="5" fontId="2" numFmtId="166" xfId="0" applyAlignment="1" applyBorder="1" applyFont="1" applyNumberFormat="1">
      <alignment shrinkToFit="0" vertical="bottom" wrapText="0"/>
    </xf>
    <xf borderId="26" fillId="5" fontId="15" numFmtId="164" xfId="0" applyAlignment="1" applyBorder="1" applyFont="1" applyNumberFormat="1">
      <alignment horizontal="right" shrinkToFit="0" vertical="center" wrapText="0"/>
    </xf>
    <xf borderId="27" fillId="5" fontId="16" numFmtId="0" xfId="0" applyAlignment="1" applyBorder="1" applyFont="1">
      <alignment horizontal="center" shrinkToFit="0" vertical="center" wrapText="0"/>
    </xf>
    <xf borderId="28" fillId="0" fontId="6" numFmtId="0" xfId="0" applyBorder="1" applyFont="1"/>
    <xf borderId="29" fillId="0" fontId="6" numFmtId="0" xfId="0" applyBorder="1" applyFont="1"/>
    <xf borderId="30" fillId="5" fontId="15" numFmtId="166" xfId="0" applyAlignment="1" applyBorder="1" applyFont="1" applyNumberFormat="1">
      <alignment horizontal="right" shrinkToFit="0" vertical="center" wrapText="0"/>
    </xf>
    <xf borderId="16" fillId="5" fontId="15" numFmtId="166" xfId="0" applyAlignment="1" applyBorder="1" applyFont="1" applyNumberFormat="1">
      <alignment horizontal="right" shrinkToFit="0" vertical="center" wrapText="0"/>
    </xf>
    <xf borderId="16" fillId="5" fontId="15" numFmtId="164" xfId="0" applyAlignment="1" applyBorder="1" applyFont="1" applyNumberFormat="1">
      <alignment horizontal="right" shrinkToFit="0" vertical="center" wrapText="0"/>
    </xf>
    <xf borderId="31" fillId="6" fontId="10" numFmtId="0" xfId="0" applyAlignment="1" applyBorder="1" applyFill="1" applyFont="1">
      <alignment horizontal="center" shrinkToFit="0" vertical="center" wrapText="0"/>
    </xf>
    <xf borderId="32" fillId="0" fontId="6" numFmtId="0" xfId="0" applyBorder="1" applyFont="1"/>
    <xf borderId="33" fillId="0" fontId="6" numFmtId="0" xfId="0" applyBorder="1" applyFont="1"/>
    <xf borderId="34" fillId="6" fontId="17" numFmtId="164" xfId="0" applyAlignment="1" applyBorder="1" applyFont="1" applyNumberFormat="1">
      <alignment horizontal="right" shrinkToFit="0" vertical="center" wrapText="0"/>
    </xf>
    <xf borderId="34" fillId="6" fontId="10" numFmtId="164" xfId="0" applyAlignment="1" applyBorder="1" applyFont="1" applyNumberFormat="1">
      <alignment horizontal="right" shrinkToFit="0" vertical="center" wrapText="0"/>
    </xf>
    <xf borderId="35" fillId="5" fontId="11" numFmtId="0" xfId="0" applyAlignment="1" applyBorder="1" applyFont="1">
      <alignment horizontal="right" shrinkToFit="0" vertical="bottom" wrapText="0"/>
    </xf>
    <xf borderId="36" fillId="0" fontId="6" numFmtId="0" xfId="0" applyBorder="1" applyFont="1"/>
    <xf borderId="37" fillId="0" fontId="6" numFmtId="0" xfId="0" applyBorder="1" applyFont="1"/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16" fillId="3" fontId="10" numFmtId="0" xfId="0" applyAlignment="1" applyBorder="1" applyFont="1">
      <alignment shrinkToFit="0" vertical="bottom" wrapText="0"/>
    </xf>
    <xf borderId="16" fillId="0" fontId="18" numFmtId="1" xfId="0" applyAlignment="1" applyBorder="1" applyFont="1" applyNumberFormat="1">
      <alignment shrinkToFit="0" vertical="bottom" wrapText="0"/>
    </xf>
    <xf borderId="16" fillId="0" fontId="18" numFmtId="164" xfId="0" applyAlignment="1" applyBorder="1" applyFont="1" applyNumberFormat="1">
      <alignment shrinkToFit="0" vertical="bottom" wrapText="0"/>
    </xf>
    <xf borderId="16" fillId="0" fontId="18" numFmtId="167" xfId="0" applyAlignment="1" applyBorder="1" applyFont="1" applyNumberForma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16" fillId="0" fontId="22" numFmtId="0" xfId="0" applyAlignment="1" applyBorder="1" applyFont="1">
      <alignment shrinkToFit="0" vertical="bottom" wrapText="0"/>
    </xf>
    <xf borderId="27" fillId="0" fontId="24" numFmtId="0" xfId="0" applyAlignment="1" applyBorder="1" applyFont="1">
      <alignment shrinkToFit="0" vertical="bottom" wrapText="0"/>
    </xf>
    <xf borderId="15" fillId="0" fontId="6" numFmtId="0" xfId="0" applyBorder="1" applyFont="1"/>
    <xf borderId="16" fillId="3" fontId="10" numFmtId="0" xfId="0" applyAlignment="1" applyBorder="1" applyFont="1">
      <alignment horizontal="center" shrinkToFit="0" vertical="center" wrapText="0"/>
    </xf>
    <xf borderId="16" fillId="3" fontId="10" numFmtId="165" xfId="0" applyAlignment="1" applyBorder="1" applyFont="1" applyNumberFormat="1">
      <alignment horizontal="center" shrinkToFit="0" vertical="center" wrapText="0"/>
    </xf>
    <xf borderId="25" fillId="3" fontId="10" numFmtId="0" xfId="0" applyAlignment="1" applyBorder="1" applyFont="1">
      <alignment horizontal="center" shrinkToFit="0" vertical="center" wrapText="0"/>
    </xf>
    <xf borderId="16" fillId="0" fontId="11" numFmtId="0" xfId="0" applyAlignment="1" applyBorder="1" applyFont="1">
      <alignment shrinkToFit="0" vertical="bottom" wrapText="0"/>
    </xf>
    <xf borderId="16" fillId="0" fontId="11" numFmtId="165" xfId="0" applyAlignment="1" applyBorder="1" applyFont="1" applyNumberFormat="1">
      <alignment shrinkToFit="0" vertical="bottom" wrapText="0"/>
    </xf>
    <xf borderId="16" fillId="0" fontId="11" numFmtId="10" xfId="0" applyAlignment="1" applyBorder="1" applyFont="1" applyNumberFormat="1">
      <alignment shrinkToFit="0" vertical="bottom" wrapText="0"/>
    </xf>
    <xf borderId="0" fillId="0" fontId="11" numFmtId="10" xfId="0" applyAlignment="1" applyFont="1" applyNumberFormat="1">
      <alignment shrinkToFit="0" vertical="bottom" wrapText="0"/>
    </xf>
    <xf borderId="16" fillId="4" fontId="11" numFmtId="0" xfId="0" applyAlignment="1" applyBorder="1" applyFont="1">
      <alignment shrinkToFit="0" vertical="bottom" wrapText="0"/>
    </xf>
    <xf borderId="16" fillId="4" fontId="11" numFmtId="165" xfId="0" applyAlignment="1" applyBorder="1" applyFont="1" applyNumberFormat="1">
      <alignment shrinkToFit="0" vertical="bottom" wrapText="0"/>
    </xf>
    <xf borderId="16" fillId="4" fontId="11" numFmtId="10" xfId="0" applyAlignment="1" applyBorder="1" applyFont="1" applyNumberFormat="1">
      <alignment shrinkToFit="0" vertical="bottom" wrapText="0"/>
    </xf>
    <xf borderId="25" fillId="4" fontId="11" numFmtId="10" xfId="0" applyAlignment="1" applyBorder="1" applyFont="1" applyNumberFormat="1">
      <alignment shrinkToFit="0" vertical="bottom" wrapText="0"/>
    </xf>
    <xf borderId="16" fillId="4" fontId="13" numFmtId="10" xfId="0" applyAlignment="1" applyBorder="1" applyFont="1" applyNumberFormat="1">
      <alignment shrinkToFit="0" vertical="bottom" wrapText="0"/>
    </xf>
    <xf borderId="25" fillId="4" fontId="13" numFmtId="10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3" numFmtId="10" xfId="0" applyAlignment="1" applyFont="1" applyNumberFormat="1">
      <alignment shrinkToFit="0" vertical="bottom" wrapText="0"/>
    </xf>
    <xf borderId="25" fillId="4" fontId="11" numFmtId="0" xfId="0" applyAlignment="1" applyBorder="1" applyFont="1">
      <alignment shrinkToFit="0" vertical="bottom" wrapText="0"/>
    </xf>
    <xf borderId="0" fillId="0" fontId="22" numFmtId="10" xfId="0" applyAlignment="1" applyFont="1" applyNumberFormat="1">
      <alignment shrinkToFit="0" vertical="bottom" wrapText="0"/>
    </xf>
    <xf borderId="25" fillId="7" fontId="22" numFmtId="0" xfId="0" applyAlignment="1" applyBorder="1" applyFill="1" applyFont="1">
      <alignment shrinkToFit="0" vertical="bottom" wrapText="0"/>
    </xf>
    <xf borderId="25" fillId="7" fontId="22" numFmtId="10" xfId="0" applyAlignment="1" applyBorder="1" applyFont="1" applyNumberFormat="1">
      <alignment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Portfolio Projectie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'Portfolio Projectie'!$A$5:$A$19</c:f>
            </c:strRef>
          </c:cat>
          <c:val>
            <c:numRef>
              <c:f>'Portfolio Projectie'!$B$5:$B$19</c:f>
              <c:numCache/>
            </c:numRef>
          </c:val>
        </c:ser>
        <c:overlap val="100"/>
        <c:axId val="839853782"/>
        <c:axId val="1320268407"/>
      </c:barChart>
      <c:catAx>
        <c:axId val="839853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Jaar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20268407"/>
      </c:catAx>
      <c:valAx>
        <c:axId val="1320268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€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3985378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66675</xdr:rowOff>
    </xdr:from>
    <xdr:ext cx="8153400" cy="4305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8.0" topLeftCell="F9" activePane="bottomRight" state="frozen"/>
      <selection activeCell="F1" sqref="F1" pane="topRight"/>
      <selection activeCell="A9" sqref="A9" pane="bottomLeft"/>
      <selection activeCell="F9" sqref="F9" pane="bottomRight"/>
    </sheetView>
  </sheetViews>
  <sheetFormatPr customHeight="1" defaultColWidth="14.43" defaultRowHeight="15.0" outlineLevelRow="1"/>
  <cols>
    <col customWidth="1" min="1" max="1" width="14.0"/>
    <col customWidth="1" min="2" max="2" width="22.0"/>
    <col customWidth="1" min="3" max="3" width="16.0"/>
    <col customWidth="1" min="4" max="5" width="8.0"/>
    <col customWidth="1" min="6" max="46" width="12.0"/>
  </cols>
  <sheetData>
    <row r="1" ht="37.5" customHeight="1">
      <c r="A1" s="1" t="s">
        <v>0</v>
      </c>
      <c r="F1" s="2"/>
      <c r="M1" s="3"/>
      <c r="T1" s="3"/>
    </row>
    <row r="2" ht="27.75" customHeight="1">
      <c r="A2" s="4" t="s">
        <v>1</v>
      </c>
    </row>
    <row r="3" ht="13.5" customHeight="1">
      <c r="A3" s="5"/>
    </row>
    <row r="4" ht="28.5" customHeight="1">
      <c r="A4" s="6" t="s">
        <v>2</v>
      </c>
      <c r="B4" s="7"/>
      <c r="C4" s="8"/>
      <c r="D4" s="7"/>
      <c r="E4" s="7"/>
    </row>
    <row r="5" ht="27.75" customHeight="1">
      <c r="A5" s="9" t="s">
        <v>3</v>
      </c>
      <c r="C5" s="10"/>
      <c r="E5" s="11"/>
    </row>
    <row r="6" ht="20.25" customHeight="1">
      <c r="A6" s="12"/>
      <c r="B6" s="12"/>
      <c r="C6" s="12"/>
      <c r="D6" s="12"/>
      <c r="E6" s="13"/>
      <c r="M6" s="14" t="s">
        <v>4</v>
      </c>
      <c r="N6" s="15"/>
      <c r="O6" s="15"/>
      <c r="P6" s="15"/>
      <c r="Q6" s="15"/>
      <c r="R6" s="15"/>
      <c r="S6" s="16"/>
    </row>
    <row r="7" ht="18.0" customHeight="1">
      <c r="A7" s="17" t="s">
        <v>5</v>
      </c>
      <c r="F7" s="18"/>
      <c r="G7" s="18"/>
      <c r="H7" s="18"/>
      <c r="I7" s="18"/>
      <c r="J7" s="18"/>
      <c r="K7" s="18"/>
      <c r="L7" s="18"/>
      <c r="M7" s="19"/>
      <c r="N7" s="18"/>
      <c r="O7" s="18"/>
      <c r="P7" s="18"/>
      <c r="Q7" s="18"/>
      <c r="R7" s="18"/>
      <c r="S7" s="20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ht="31.5" customHeight="1">
      <c r="A8" s="21" t="s">
        <v>6</v>
      </c>
      <c r="B8" s="21" t="s">
        <v>7</v>
      </c>
      <c r="C8" s="21" t="s">
        <v>8</v>
      </c>
      <c r="D8" s="21" t="s">
        <v>9</v>
      </c>
      <c r="E8" s="21" t="s">
        <v>10</v>
      </c>
      <c r="F8" s="22">
        <v>2025.0</v>
      </c>
      <c r="G8" s="22">
        <v>2026.0</v>
      </c>
      <c r="H8" s="22">
        <v>2027.0</v>
      </c>
      <c r="I8" s="22">
        <v>2028.0</v>
      </c>
      <c r="J8" s="23">
        <v>2029.0</v>
      </c>
      <c r="K8" s="23">
        <v>2030.0</v>
      </c>
      <c r="L8" s="23">
        <v>2031.0</v>
      </c>
      <c r="M8" s="23">
        <v>2032.0</v>
      </c>
      <c r="N8" s="23">
        <v>2033.0</v>
      </c>
      <c r="O8" s="23">
        <v>2034.0</v>
      </c>
      <c r="P8" s="23">
        <v>2035.0</v>
      </c>
      <c r="Q8" s="23">
        <v>2036.0</v>
      </c>
      <c r="R8" s="23">
        <v>2037.0</v>
      </c>
      <c r="S8" s="23">
        <v>2038.0</v>
      </c>
      <c r="T8" s="23">
        <v>2039.0</v>
      </c>
      <c r="U8" s="23">
        <v>2040.0</v>
      </c>
      <c r="V8" s="23">
        <v>2041.0</v>
      </c>
      <c r="W8" s="23">
        <v>2042.0</v>
      </c>
      <c r="X8" s="23">
        <v>2043.0</v>
      </c>
      <c r="Y8" s="23">
        <v>2044.0</v>
      </c>
      <c r="Z8" s="23">
        <v>2045.0</v>
      </c>
      <c r="AA8" s="23">
        <v>2046.0</v>
      </c>
      <c r="AB8" s="23">
        <v>2047.0</v>
      </c>
      <c r="AC8" s="23">
        <v>2048.0</v>
      </c>
      <c r="AD8" s="23">
        <v>2049.0</v>
      </c>
      <c r="AE8" s="23">
        <v>2050.0</v>
      </c>
      <c r="AF8" s="23">
        <v>2051.0</v>
      </c>
      <c r="AG8" s="23">
        <v>2052.0</v>
      </c>
      <c r="AH8" s="23">
        <v>2053.0</v>
      </c>
      <c r="AI8" s="23">
        <v>2054.0</v>
      </c>
      <c r="AJ8" s="23">
        <v>2055.0</v>
      </c>
      <c r="AK8" s="23">
        <v>2056.0</v>
      </c>
      <c r="AL8" s="23">
        <v>2057.0</v>
      </c>
      <c r="AM8" s="23">
        <v>2058.0</v>
      </c>
      <c r="AN8" s="23">
        <v>2059.0</v>
      </c>
      <c r="AO8" s="23">
        <v>2060.0</v>
      </c>
      <c r="AP8" s="23">
        <v>2061.0</v>
      </c>
      <c r="AQ8" s="23">
        <v>2062.0</v>
      </c>
      <c r="AR8" s="23">
        <v>2063.0</v>
      </c>
      <c r="AS8" s="23">
        <v>2064.0</v>
      </c>
      <c r="AT8" s="24">
        <v>2065.0</v>
      </c>
    </row>
    <row r="9" ht="24.0" customHeight="1">
      <c r="A9" s="25" t="str">
        <f>IF(B9="","",IFERROR(VLOOKUP(B9,Fondsen!$A$5:$B$30,2,FALSE()),""))</f>
        <v/>
      </c>
      <c r="B9" s="26"/>
      <c r="C9" s="27"/>
      <c r="D9" s="28" t="s">
        <v>11</v>
      </c>
      <c r="E9" s="29">
        <v>2025.0</v>
      </c>
      <c r="F9" s="30" t="str">
        <f t="array" ref="F9">IF(OR($B9="",$C9="",$E9=""),"",IF(OR(F$8&lt;$E9,F$8-$E9&gt;=12),0,$C9*INDEX(Fondsen!$F$5:$Q$30,MATCH($B9,Fondsen!$A$5:$A$30,0),F$8-$E9+1)))</f>
        <v/>
      </c>
      <c r="G9" s="31" t="str">
        <f t="array" ref="G9">IF(OR($B9="",$C9="",$E9=""),"",IF(OR(G$8&lt;$E9,G$8-$E9&gt;=12),0,$C9*INDEX(Fondsen!$F$5:$Q$30,MATCH($B9,Fondsen!$A$5:$A$30,0),G$8-$E9+1)))</f>
        <v/>
      </c>
      <c r="H9" s="31" t="str">
        <f t="array" ref="H9">IF(OR($B9="",$C9="",$E9=""),"",IF(OR(H$8&lt;$E9,H$8-$E9&gt;=12),0,$C9*INDEX(Fondsen!$F$5:$Q$30,MATCH($B9,Fondsen!$A$5:$A$30,0),H$8-$E9+1)))</f>
        <v/>
      </c>
      <c r="I9" s="31" t="str">
        <f t="array" ref="I9">IF(OR($B9="",$C9="",$E9=""),"",IF(OR(I$8&lt;$E9,I$8-$E9&gt;=12),0,$C9*INDEX(Fondsen!$F$5:$Q$30,MATCH($B9,Fondsen!$A$5:$A$30,0),I$8-$E9+1)))</f>
        <v/>
      </c>
      <c r="J9" s="31" t="str">
        <f t="array" ref="J9">IF(OR($B9="",$C9="",$E9=""),"",IF(OR(J$8&lt;$E9,J$8-$E9&gt;=12),0,$C9*INDEX(Fondsen!$F$5:$Q$30,MATCH($B9,Fondsen!$A$5:$A$30,0),J$8-$E9+1)))</f>
        <v/>
      </c>
      <c r="K9" s="31" t="str">
        <f t="array" ref="K9">IF(OR($B9="",$C9="",$E9=""),"",IF(OR(K$8&lt;$E9,K$8-$E9&gt;=12),0,$C9*INDEX(Fondsen!$F$5:$Q$30,MATCH($B9,Fondsen!$A$5:$A$30,0),K$8-$E9+1)))</f>
        <v/>
      </c>
      <c r="L9" s="31" t="str">
        <f t="array" ref="L9">IF(OR($B9="",$C9="",$E9=""),"",IF(OR(L$8&lt;$E9,L$8-$E9&gt;=12),0,$C9*INDEX(Fondsen!$F$5:$Q$30,MATCH($B9,Fondsen!$A$5:$A$30,0),L$8-$E9+1)))</f>
        <v/>
      </c>
      <c r="M9" s="31" t="str">
        <f t="array" ref="M9">IF(OR($B9="",$C9="",$E9=""),"",IF(OR(M$8&lt;$E9,M$8-$E9&gt;=12),0,$C9*INDEX(Fondsen!$F$5:$Q$30,MATCH($B9,Fondsen!$A$5:$A$30,0),M$8-$E9+1)))</f>
        <v/>
      </c>
      <c r="N9" s="31" t="str">
        <f t="array" ref="N9">IF(OR($B9="",$C9="",$E9=""),"",IF(OR(N$8&lt;$E9,N$8-$E9&gt;=12),0,$C9*INDEX(Fondsen!$F$5:$Q$30,MATCH($B9,Fondsen!$A$5:$A$30,0),N$8-$E9+1)))</f>
        <v/>
      </c>
      <c r="O9" s="31" t="str">
        <f t="array" ref="O9">IF(OR($B9="",$C9="",$E9=""),"",IF(OR(O$8&lt;$E9,O$8-$E9&gt;=12),0,$C9*INDEX(Fondsen!$F$5:$Q$30,MATCH($B9,Fondsen!$A$5:$A$30,0),O$8-$E9+1)))</f>
        <v/>
      </c>
      <c r="P9" s="31" t="str">
        <f t="array" ref="P9">IF(OR($B9="",$C9="",$E9=""),"",IF(OR(P$8&lt;$E9,P$8-$E9&gt;=12),0,$C9*INDEX(Fondsen!$F$5:$Q$30,MATCH($B9,Fondsen!$A$5:$A$30,0),P$8-$E9+1)))</f>
        <v/>
      </c>
      <c r="Q9" s="31" t="str">
        <f t="array" ref="Q9">IF(OR($B9="",$C9="",$E9=""),"",IF(OR(Q$8&lt;$E9,Q$8-$E9&gt;=12),0,$C9*INDEX(Fondsen!$F$5:$Q$30,MATCH($B9,Fondsen!$A$5:$A$30,0),Q$8-$E9+1)))</f>
        <v/>
      </c>
      <c r="R9" s="31" t="str">
        <f t="array" ref="R9">IF(OR($B9="",$C9="",$E9=""),"",IF(OR(R$8&lt;$E9,R$8-$E9&gt;=12),0,$C9*INDEX(Fondsen!$F$5:$Q$30,MATCH($B9,Fondsen!$A$5:$A$30,0),R$8-$E9+1)))</f>
        <v/>
      </c>
      <c r="S9" s="31" t="str">
        <f t="array" ref="S9">IF(OR($B9="",$C9="",$E9=""),"",IF(OR(S$8&lt;$E9,S$8-$E9&gt;=12),0,$C9*INDEX(Fondsen!$F$5:$Q$30,MATCH($B9,Fondsen!$A$5:$A$30,0),S$8-$E9+1)))</f>
        <v/>
      </c>
      <c r="T9" s="31" t="str">
        <f t="array" ref="T9">IF(OR($B9="",$C9="",$E9=""),"",IF(OR(T$8&lt;$E9,T$8-$E9&gt;=12),0,$C9*INDEX(Fondsen!$F$5:$Q$30,MATCH($B9,Fondsen!$A$5:$A$30,0),T$8-$E9+1)))</f>
        <v/>
      </c>
      <c r="U9" s="31" t="str">
        <f t="array" ref="U9">IF(OR($B9="",$C9="",$E9=""),"",IF(OR(U$8&lt;$E9,U$8-$E9&gt;=12),0,$C9*INDEX(Fondsen!$F$5:$Q$30,MATCH($B9,Fondsen!$A$5:$A$30,0),U$8-$E9+1)))</f>
        <v/>
      </c>
      <c r="V9" s="31" t="str">
        <f t="array" ref="V9">IF(OR($B9="",$C9="",$E9=""),"",IF(OR(V$8&lt;$E9,V$8-$E9&gt;=12),0,$C9*INDEX(Fondsen!$F$5:$Q$30,MATCH($B9,Fondsen!$A$5:$A$30,0),V$8-$E9+1)))</f>
        <v/>
      </c>
      <c r="W9" s="31" t="str">
        <f t="array" ref="W9">IF(OR($B9="",$C9="",$E9=""),"",IF(OR(W$8&lt;$E9,W$8-$E9&gt;=12),0,$C9*INDEX(Fondsen!$F$5:$Q$30,MATCH($B9,Fondsen!$A$5:$A$30,0),W$8-$E9+1)))</f>
        <v/>
      </c>
      <c r="X9" s="31" t="str">
        <f t="array" ref="X9">IF(OR($B9="",$C9="",$E9=""),"",IF(OR(X$8&lt;$E9,X$8-$E9&gt;=12),0,$C9*INDEX(Fondsen!$F$5:$Q$30,MATCH($B9,Fondsen!$A$5:$A$30,0),X$8-$E9+1)))</f>
        <v/>
      </c>
      <c r="Y9" s="31" t="str">
        <f t="array" ref="Y9">IF(OR($B9="",$C9="",$E9=""),"",IF(OR(Y$8&lt;$E9,Y$8-$E9&gt;=12),0,$C9*INDEX(Fondsen!$F$5:$Q$30,MATCH($B9,Fondsen!$A$5:$A$30,0),Y$8-$E9+1)))</f>
        <v/>
      </c>
      <c r="Z9" s="31" t="str">
        <f t="array" ref="Z9">IF(OR($B9="",$C9="",$E9=""),"",IF(OR(Z$8&lt;$E9,Z$8-$E9&gt;=12),0,$C9*INDEX(Fondsen!$F$5:$Q$30,MATCH($B9,Fondsen!$A$5:$A$30,0),Z$8-$E9+1)))</f>
        <v/>
      </c>
      <c r="AA9" s="31" t="str">
        <f t="array" ref="AA9">IF(OR($B9="",$C9="",$E9=""),"",IF(OR(AA$8&lt;$E9,AA$8-$E9&gt;=12),0,$C9*INDEX(Fondsen!$F$5:$Q$30,MATCH($B9,Fondsen!$A$5:$A$30,0),AA$8-$E9+1)))</f>
        <v/>
      </c>
      <c r="AB9" s="31" t="str">
        <f t="array" ref="AB9">IF(OR($B9="",$C9="",$E9=""),"",IF(OR(AB$8&lt;$E9,AB$8-$E9&gt;=12),0,$C9*INDEX(Fondsen!$F$5:$Q$30,MATCH($B9,Fondsen!$A$5:$A$30,0),AB$8-$E9+1)))</f>
        <v/>
      </c>
      <c r="AC9" s="31" t="str">
        <f t="array" ref="AC9">IF(OR($B9="",$C9="",$E9=""),"",IF(OR(AC$8&lt;$E9,AC$8-$E9&gt;=12),0,$C9*INDEX(Fondsen!$F$5:$Q$30,MATCH($B9,Fondsen!$A$5:$A$30,0),AC$8-$E9+1)))</f>
        <v/>
      </c>
      <c r="AD9" s="31" t="str">
        <f t="array" ref="AD9">IF(OR($B9="",$C9="",$E9=""),"",IF(OR(AD$8&lt;$E9,AD$8-$E9&gt;=12),0,$C9*INDEX(Fondsen!$F$5:$Q$30,MATCH($B9,Fondsen!$A$5:$A$30,0),AD$8-$E9+1)))</f>
        <v/>
      </c>
      <c r="AE9" s="31" t="str">
        <f t="array" ref="AE9">IF(OR($B9="",$C9="",$E9=""),"",IF(OR(AE$8&lt;$E9,AE$8-$E9&gt;=12),0,$C9*INDEX(Fondsen!$F$5:$Q$30,MATCH($B9,Fondsen!$A$5:$A$30,0),AE$8-$E9+1)))</f>
        <v/>
      </c>
      <c r="AF9" s="31" t="str">
        <f t="array" ref="AF9">IF(OR($B9="",$C9="",$E9=""),"",IF(OR(AF$8&lt;$E9,AF$8-$E9&gt;=12),0,$C9*INDEX(Fondsen!$F$5:$Q$30,MATCH($B9,Fondsen!$A$5:$A$30,0),AF$8-$E9+1)))</f>
        <v/>
      </c>
      <c r="AG9" s="31" t="str">
        <f t="array" ref="AG9">IF(OR($B9="",$C9="",$E9=""),"",IF(OR(AG$8&lt;$E9,AG$8-$E9&gt;=12),0,$C9*INDEX(Fondsen!$F$5:$Q$30,MATCH($B9,Fondsen!$A$5:$A$30,0),AG$8-$E9+1)))</f>
        <v/>
      </c>
      <c r="AH9" s="31" t="str">
        <f t="array" ref="AH9">IF(OR($B9="",$C9="",$E9=""),"",IF(OR(AH$8&lt;$E9,AH$8-$E9&gt;=12),0,$C9*INDEX(Fondsen!$F$5:$Q$30,MATCH($B9,Fondsen!$A$5:$A$30,0),AH$8-$E9+1)))</f>
        <v/>
      </c>
      <c r="AI9" s="31" t="str">
        <f t="array" ref="AI9">IF(OR($B9="",$C9="",$E9=""),"",IF(OR(AI$8&lt;$E9,AI$8-$E9&gt;=12),0,$C9*INDEX(Fondsen!$F$5:$Q$30,MATCH($B9,Fondsen!$A$5:$A$30,0),AI$8-$E9+1)))</f>
        <v/>
      </c>
      <c r="AJ9" s="31" t="str">
        <f t="array" ref="AJ9">IF(OR($B9="",$C9="",$E9=""),"",IF(OR(AJ$8&lt;$E9,AJ$8-$E9&gt;=12),0,$C9*INDEX(Fondsen!$F$5:$Q$30,MATCH($B9,Fondsen!$A$5:$A$30,0),AJ$8-$E9+1)))</f>
        <v/>
      </c>
      <c r="AK9" s="31" t="str">
        <f t="array" ref="AK9">IF(OR($B9="",$C9="",$E9=""),"",IF(OR(AK$8&lt;$E9,AK$8-$E9&gt;=12),0,$C9*INDEX(Fondsen!$F$5:$Q$30,MATCH($B9,Fondsen!$A$5:$A$30,0),AK$8-$E9+1)))</f>
        <v/>
      </c>
      <c r="AL9" s="31" t="str">
        <f t="array" ref="AL9">IF(OR($B9="",$C9="",$E9=""),"",IF(OR(AL$8&lt;$E9,AL$8-$E9&gt;=12),0,$C9*INDEX(Fondsen!$F$5:$Q$30,MATCH($B9,Fondsen!$A$5:$A$30,0),AL$8-$E9+1)))</f>
        <v/>
      </c>
      <c r="AM9" s="31" t="str">
        <f t="array" ref="AM9">IF(OR($B9="",$C9="",$E9=""),"",IF(OR(AM$8&lt;$E9,AM$8-$E9&gt;=12),0,$C9*INDEX(Fondsen!$F$5:$Q$30,MATCH($B9,Fondsen!$A$5:$A$30,0),AM$8-$E9+1)))</f>
        <v/>
      </c>
      <c r="AN9" s="31" t="str">
        <f t="array" ref="AN9">IF(OR($B9="",$C9="",$E9=""),"",IF(OR(AN$8&lt;$E9,AN$8-$E9&gt;=12),0,$C9*INDEX(Fondsen!$F$5:$Q$30,MATCH($B9,Fondsen!$A$5:$A$30,0),AN$8-$E9+1)))</f>
        <v/>
      </c>
      <c r="AO9" s="31" t="str">
        <f t="array" ref="AO9">IF(OR($B9="",$C9="",$E9=""),"",IF(OR(AO$8&lt;$E9,AO$8-$E9&gt;=12),0,$C9*INDEX(Fondsen!$F$5:$Q$30,MATCH($B9,Fondsen!$A$5:$A$30,0),AO$8-$E9+1)))</f>
        <v/>
      </c>
      <c r="AP9" s="31" t="str">
        <f t="array" ref="AP9">IF(OR($B9="",$C9="",$E9=""),"",IF(OR(AP$8&lt;$E9,AP$8-$E9&gt;=12),0,$C9*INDEX(Fondsen!$F$5:$Q$30,MATCH($B9,Fondsen!$A$5:$A$30,0),AP$8-$E9+1)))</f>
        <v/>
      </c>
      <c r="AQ9" s="31" t="str">
        <f t="array" ref="AQ9">IF(OR($B9="",$C9="",$E9=""),"",IF(OR(AQ$8&lt;$E9,AQ$8-$E9&gt;=12),0,$C9*INDEX(Fondsen!$F$5:$Q$30,MATCH($B9,Fondsen!$A$5:$A$30,0),AQ$8-$E9+1)))</f>
        <v/>
      </c>
      <c r="AR9" s="31" t="str">
        <f t="array" ref="AR9">IF(OR($B9="",$C9="",$E9=""),"",IF(OR(AR$8&lt;$E9,AR$8-$E9&gt;=12),0,$C9*INDEX(Fondsen!$F$5:$Q$30,MATCH($B9,Fondsen!$A$5:$A$30,0),AR$8-$E9+1)))</f>
        <v/>
      </c>
      <c r="AS9" s="31" t="str">
        <f t="array" ref="AS9">IF(OR($B9="",$C9="",$E9=""),"",IF(OR(AS$8&lt;$E9,AS$8-$E9&gt;=12),0,$C9*INDEX(Fondsen!$F$5:$Q$30,MATCH($B9,Fondsen!$A$5:$A$30,0),AS$8-$E9+1)))</f>
        <v/>
      </c>
      <c r="AT9" s="32"/>
    </row>
    <row r="10" ht="24.0" customHeight="1">
      <c r="A10" s="33" t="str">
        <f>IF(B10="","",IFERROR(VLOOKUP(B10,Fondsen!$A$5:$B$30,2,FALSE()),""))</f>
        <v/>
      </c>
      <c r="B10" s="34"/>
      <c r="C10" s="35"/>
      <c r="D10" s="36" t="s">
        <v>11</v>
      </c>
      <c r="E10" s="37">
        <v>2026.0</v>
      </c>
      <c r="F10" s="38" t="str">
        <f t="array" ref="F10">IF(OR($B10="",$C10="",$E10=""),"",IF(OR(F$8&lt;$E10,F$8-$E10&gt;=12),0,$C10*INDEX(Fondsen!$F$5:$Q$30,MATCH($B10,Fondsen!$A$5:$A$30,0),F$8-$E10+1)))</f>
        <v/>
      </c>
      <c r="G10" s="39" t="str">
        <f t="array" ref="G10">IF(OR($B10="",$C10="",$E10=""),"",IF(OR(G$8&lt;$E10,G$8-$E10&gt;=12),0,$C10*INDEX(Fondsen!$F$5:$Q$30,MATCH($B10,Fondsen!$A$5:$A$30,0),G$8-$E10+1)))</f>
        <v/>
      </c>
      <c r="H10" s="39" t="str">
        <f t="array" ref="H10">IF(OR($B10="",$C10="",$E10=""),"",IF(OR(H$8&lt;$E10,H$8-$E10&gt;=12),0,$C10*INDEX(Fondsen!$F$5:$Q$30,MATCH($B10,Fondsen!$A$5:$A$30,0),H$8-$E10+1)))</f>
        <v/>
      </c>
      <c r="I10" s="39" t="str">
        <f t="array" ref="I10">IF(OR($B10="",$C10="",$E10=""),"",IF(OR(I$8&lt;$E10,I$8-$E10&gt;=12),0,$C10*INDEX(Fondsen!$F$5:$Q$30,MATCH($B10,Fondsen!$A$5:$A$30,0),I$8-$E10+1)))</f>
        <v/>
      </c>
      <c r="J10" s="39" t="str">
        <f t="array" ref="J10">IF(OR($B10="",$C10="",$E10=""),"",IF(OR(J$8&lt;$E10,J$8-$E10&gt;=12),0,$C10*INDEX(Fondsen!$F$5:$Q$30,MATCH($B10,Fondsen!$A$5:$A$30,0),J$8-$E10+1)))</f>
        <v/>
      </c>
      <c r="K10" s="39" t="str">
        <f t="array" ref="K10">IF(OR($B10="",$C10="",$E10=""),"",IF(OR(K$8&lt;$E10,K$8-$E10&gt;=12),0,$C10*INDEX(Fondsen!$F$5:$Q$30,MATCH($B10,Fondsen!$A$5:$A$30,0),K$8-$E10+1)))</f>
        <v/>
      </c>
      <c r="L10" s="39" t="str">
        <f t="array" ref="L10">IF(OR($B10="",$C10="",$E10=""),"",IF(OR(L$8&lt;$E10,L$8-$E10&gt;=12),0,$C10*INDEX(Fondsen!$F$5:$Q$30,MATCH($B10,Fondsen!$A$5:$A$30,0),L$8-$E10+1)))</f>
        <v/>
      </c>
      <c r="M10" s="39" t="str">
        <f t="array" ref="M10">IF(OR($B10="",$C10="",$E10=""),"",IF(OR(M$8&lt;$E10,M$8-$E10&gt;=12),0,$C10*INDEX(Fondsen!$F$5:$Q$30,MATCH($B10,Fondsen!$A$5:$A$30,0),M$8-$E10+1)))</f>
        <v/>
      </c>
      <c r="N10" s="39" t="str">
        <f t="array" ref="N10">IF(OR($B10="",$C10="",$E10=""),"",IF(OR(N$8&lt;$E10,N$8-$E10&gt;=12),0,$C10*INDEX(Fondsen!$F$5:$Q$30,MATCH($B10,Fondsen!$A$5:$A$30,0),N$8-$E10+1)))</f>
        <v/>
      </c>
      <c r="O10" s="39" t="str">
        <f t="array" ref="O10">IF(OR($B10="",$C10="",$E10=""),"",IF(OR(O$8&lt;$E10,O$8-$E10&gt;=12),0,$C10*INDEX(Fondsen!$F$5:$Q$30,MATCH($B10,Fondsen!$A$5:$A$30,0),O$8-$E10+1)))</f>
        <v/>
      </c>
      <c r="P10" s="39" t="str">
        <f t="array" ref="P10">IF(OR($B10="",$C10="",$E10=""),"",IF(OR(P$8&lt;$E10,P$8-$E10&gt;=12),0,$C10*INDEX(Fondsen!$F$5:$Q$30,MATCH($B10,Fondsen!$A$5:$A$30,0),P$8-$E10+1)))</f>
        <v/>
      </c>
      <c r="Q10" s="39" t="str">
        <f t="array" ref="Q10">IF(OR($B10="",$C10="",$E10=""),"",IF(OR(Q$8&lt;$E10,Q$8-$E10&gt;=12),0,$C10*INDEX(Fondsen!$F$5:$Q$30,MATCH($B10,Fondsen!$A$5:$A$30,0),Q$8-$E10+1)))</f>
        <v/>
      </c>
      <c r="R10" s="39" t="str">
        <f t="array" ref="R10">IF(OR($B10="",$C10="",$E10=""),"",IF(OR(R$8&lt;$E10,R$8-$E10&gt;=12),0,$C10*INDEX(Fondsen!$F$5:$Q$30,MATCH($B10,Fondsen!$A$5:$A$30,0),R$8-$E10+1)))</f>
        <v/>
      </c>
      <c r="S10" s="39" t="str">
        <f t="array" ref="S10">IF(OR($B10="",$C10="",$E10=""),"",IF(OR(S$8&lt;$E10,S$8-$E10&gt;=12),0,$C10*INDEX(Fondsen!$F$5:$Q$30,MATCH($B10,Fondsen!$A$5:$A$30,0),S$8-$E10+1)))</f>
        <v/>
      </c>
      <c r="T10" s="39" t="str">
        <f t="array" ref="T10">IF(OR($B10="",$C10="",$E10=""),"",IF(OR(T$8&lt;$E10,T$8-$E10&gt;=12),0,$C10*INDEX(Fondsen!$F$5:$Q$30,MATCH($B10,Fondsen!$A$5:$A$30,0),T$8-$E10+1)))</f>
        <v/>
      </c>
      <c r="U10" s="39" t="str">
        <f t="array" ref="U10">IF(OR($B10="",$C10="",$E10=""),"",IF(OR(U$8&lt;$E10,U$8-$E10&gt;=12),0,$C10*INDEX(Fondsen!$F$5:$Q$30,MATCH($B10,Fondsen!$A$5:$A$30,0),U$8-$E10+1)))</f>
        <v/>
      </c>
      <c r="V10" s="39" t="str">
        <f t="array" ref="V10">IF(OR($B10="",$C10="",$E10=""),"",IF(OR(V$8&lt;$E10,V$8-$E10&gt;=12),0,$C10*INDEX(Fondsen!$F$5:$Q$30,MATCH($B10,Fondsen!$A$5:$A$30,0),V$8-$E10+1)))</f>
        <v/>
      </c>
      <c r="W10" s="39" t="str">
        <f t="array" ref="W10">IF(OR($B10="",$C10="",$E10=""),"",IF(OR(W$8&lt;$E10,W$8-$E10&gt;=12),0,$C10*INDEX(Fondsen!$F$5:$Q$30,MATCH($B10,Fondsen!$A$5:$A$30,0),W$8-$E10+1)))</f>
        <v/>
      </c>
      <c r="X10" s="39" t="str">
        <f t="array" ref="X10">IF(OR($B10="",$C10="",$E10=""),"",IF(OR(X$8&lt;$E10,X$8-$E10&gt;=12),0,$C10*INDEX(Fondsen!$F$5:$Q$30,MATCH($B10,Fondsen!$A$5:$A$30,0),X$8-$E10+1)))</f>
        <v/>
      </c>
      <c r="Y10" s="39" t="str">
        <f t="array" ref="Y10">IF(OR($B10="",$C10="",$E10=""),"",IF(OR(Y$8&lt;$E10,Y$8-$E10&gt;=12),0,$C10*INDEX(Fondsen!$F$5:$Q$30,MATCH($B10,Fondsen!$A$5:$A$30,0),Y$8-$E10+1)))</f>
        <v/>
      </c>
      <c r="Z10" s="39" t="str">
        <f t="array" ref="Z10">IF(OR($B10="",$C10="",$E10=""),"",IF(OR(Z$8&lt;$E10,Z$8-$E10&gt;=12),0,$C10*INDEX(Fondsen!$F$5:$Q$30,MATCH($B10,Fondsen!$A$5:$A$30,0),Z$8-$E10+1)))</f>
        <v/>
      </c>
      <c r="AA10" s="39" t="str">
        <f t="array" ref="AA10">IF(OR($B10="",$C10="",$E10=""),"",IF(OR(AA$8&lt;$E10,AA$8-$E10&gt;=12),0,$C10*INDEX(Fondsen!$F$5:$Q$30,MATCH($B10,Fondsen!$A$5:$A$30,0),AA$8-$E10+1)))</f>
        <v/>
      </c>
      <c r="AB10" s="39" t="str">
        <f t="array" ref="AB10">IF(OR($B10="",$C10="",$E10=""),"",IF(OR(AB$8&lt;$E10,AB$8-$E10&gt;=12),0,$C10*INDEX(Fondsen!$F$5:$Q$30,MATCH($B10,Fondsen!$A$5:$A$30,0),AB$8-$E10+1)))</f>
        <v/>
      </c>
      <c r="AC10" s="39" t="str">
        <f t="array" ref="AC10">IF(OR($B10="",$C10="",$E10=""),"",IF(OR(AC$8&lt;$E10,AC$8-$E10&gt;=12),0,$C10*INDEX(Fondsen!$F$5:$Q$30,MATCH($B10,Fondsen!$A$5:$A$30,0),AC$8-$E10+1)))</f>
        <v/>
      </c>
      <c r="AD10" s="39" t="str">
        <f t="array" ref="AD10">IF(OR($B10="",$C10="",$E10=""),"",IF(OR(AD$8&lt;$E10,AD$8-$E10&gt;=12),0,$C10*INDEX(Fondsen!$F$5:$Q$30,MATCH($B10,Fondsen!$A$5:$A$30,0),AD$8-$E10+1)))</f>
        <v/>
      </c>
      <c r="AE10" s="39" t="str">
        <f t="array" ref="AE10">IF(OR($B10="",$C10="",$E10=""),"",IF(OR(AE$8&lt;$E10,AE$8-$E10&gt;=12),0,$C10*INDEX(Fondsen!$F$5:$Q$30,MATCH($B10,Fondsen!$A$5:$A$30,0),AE$8-$E10+1)))</f>
        <v/>
      </c>
      <c r="AF10" s="39" t="str">
        <f t="array" ref="AF10">IF(OR($B10="",$C10="",$E10=""),"",IF(OR(AF$8&lt;$E10,AF$8-$E10&gt;=12),0,$C10*INDEX(Fondsen!$F$5:$Q$30,MATCH($B10,Fondsen!$A$5:$A$30,0),AF$8-$E10+1)))</f>
        <v/>
      </c>
      <c r="AG10" s="39" t="str">
        <f t="array" ref="AG10">IF(OR($B10="",$C10="",$E10=""),"",IF(OR(AG$8&lt;$E10,AG$8-$E10&gt;=12),0,$C10*INDEX(Fondsen!$F$5:$Q$30,MATCH($B10,Fondsen!$A$5:$A$30,0),AG$8-$E10+1)))</f>
        <v/>
      </c>
      <c r="AH10" s="39" t="str">
        <f t="array" ref="AH10">IF(OR($B10="",$C10="",$E10=""),"",IF(OR(AH$8&lt;$E10,AH$8-$E10&gt;=12),0,$C10*INDEX(Fondsen!$F$5:$Q$30,MATCH($B10,Fondsen!$A$5:$A$30,0),AH$8-$E10+1)))</f>
        <v/>
      </c>
      <c r="AI10" s="39" t="str">
        <f t="array" ref="AI10">IF(OR($B10="",$C10="",$E10=""),"",IF(OR(AI$8&lt;$E10,AI$8-$E10&gt;=12),0,$C10*INDEX(Fondsen!$F$5:$Q$30,MATCH($B10,Fondsen!$A$5:$A$30,0),AI$8-$E10+1)))</f>
        <v/>
      </c>
      <c r="AJ10" s="39" t="str">
        <f t="array" ref="AJ10">IF(OR($B10="",$C10="",$E10=""),"",IF(OR(AJ$8&lt;$E10,AJ$8-$E10&gt;=12),0,$C10*INDEX(Fondsen!$F$5:$Q$30,MATCH($B10,Fondsen!$A$5:$A$30,0),AJ$8-$E10+1)))</f>
        <v/>
      </c>
      <c r="AK10" s="39" t="str">
        <f t="array" ref="AK10">IF(OR($B10="",$C10="",$E10=""),"",IF(OR(AK$8&lt;$E10,AK$8-$E10&gt;=12),0,$C10*INDEX(Fondsen!$F$5:$Q$30,MATCH($B10,Fondsen!$A$5:$A$30,0),AK$8-$E10+1)))</f>
        <v/>
      </c>
      <c r="AL10" s="39" t="str">
        <f t="array" ref="AL10">IF(OR($B10="",$C10="",$E10=""),"",IF(OR(AL$8&lt;$E10,AL$8-$E10&gt;=12),0,$C10*INDEX(Fondsen!$F$5:$Q$30,MATCH($B10,Fondsen!$A$5:$A$30,0),AL$8-$E10+1)))</f>
        <v/>
      </c>
      <c r="AM10" s="39" t="str">
        <f t="array" ref="AM10">IF(OR($B10="",$C10="",$E10=""),"",IF(OR(AM$8&lt;$E10,AM$8-$E10&gt;=12),0,$C10*INDEX(Fondsen!$F$5:$Q$30,MATCH($B10,Fondsen!$A$5:$A$30,0),AM$8-$E10+1)))</f>
        <v/>
      </c>
      <c r="AN10" s="39" t="str">
        <f t="array" ref="AN10">IF(OR($B10="",$C10="",$E10=""),"",IF(OR(AN$8&lt;$E10,AN$8-$E10&gt;=12),0,$C10*INDEX(Fondsen!$F$5:$Q$30,MATCH($B10,Fondsen!$A$5:$A$30,0),AN$8-$E10+1)))</f>
        <v/>
      </c>
      <c r="AO10" s="39" t="str">
        <f t="array" ref="AO10">IF(OR($B10="",$C10="",$E10=""),"",IF(OR(AO$8&lt;$E10,AO$8-$E10&gt;=12),0,$C10*INDEX(Fondsen!$F$5:$Q$30,MATCH($B10,Fondsen!$A$5:$A$30,0),AO$8-$E10+1)))</f>
        <v/>
      </c>
      <c r="AP10" s="39" t="str">
        <f t="array" ref="AP10">IF(OR($B10="",$C10="",$E10=""),"",IF(OR(AP$8&lt;$E10,AP$8-$E10&gt;=12),0,$C10*INDEX(Fondsen!$F$5:$Q$30,MATCH($B10,Fondsen!$A$5:$A$30,0),AP$8-$E10+1)))</f>
        <v/>
      </c>
      <c r="AQ10" s="39" t="str">
        <f t="array" ref="AQ10">IF(OR($B10="",$C10="",$E10=""),"",IF(OR(AQ$8&lt;$E10,AQ$8-$E10&gt;=12),0,$C10*INDEX(Fondsen!$F$5:$Q$30,MATCH($B10,Fondsen!$A$5:$A$30,0),AQ$8-$E10+1)))</f>
        <v/>
      </c>
      <c r="AR10" s="39" t="str">
        <f t="array" ref="AR10">IF(OR($B10="",$C10="",$E10=""),"",IF(OR(AR$8&lt;$E10,AR$8-$E10&gt;=12),0,$C10*INDEX(Fondsen!$F$5:$Q$30,MATCH($B10,Fondsen!$A$5:$A$30,0),AR$8-$E10+1)))</f>
        <v/>
      </c>
      <c r="AS10" s="39" t="str">
        <f t="array" ref="AS10">IF(OR($B10="",$C10="",$E10=""),"",IF(OR(AS$8&lt;$E10,AS$8-$E10&gt;=12),0,$C10*INDEX(Fondsen!$F$5:$Q$30,MATCH($B10,Fondsen!$A$5:$A$30,0),AS$8-$E10+1)))</f>
        <v/>
      </c>
      <c r="AT10" s="32"/>
    </row>
    <row r="11" ht="24.0" customHeight="1">
      <c r="A11" s="25" t="str">
        <f>IF(B11="","",IFERROR(VLOOKUP(B11,Fondsen!$A$5:$B$30,2,FALSE()),""))</f>
        <v/>
      </c>
      <c r="B11" s="26"/>
      <c r="C11" s="27"/>
      <c r="D11" s="28" t="s">
        <v>11</v>
      </c>
      <c r="E11" s="29">
        <v>2025.0</v>
      </c>
      <c r="F11" s="30" t="str">
        <f t="array" ref="F11">IF(OR($B11="",$C11="",$E11=""),"",IF(OR(F$8&lt;$E11,F$8-$E11&gt;=12),0,$C11*INDEX(Fondsen!$F$5:$Q$30,MATCH($B11,Fondsen!$A$5:$A$30,0),F$8-$E11+1)))</f>
        <v/>
      </c>
      <c r="G11" s="31" t="str">
        <f t="array" ref="G11">IF(OR($B11="",$C11="",$E11=""),"",IF(OR(G$8&lt;$E11,G$8-$E11&gt;=12),0,$C11*INDEX(Fondsen!$F$5:$Q$30,MATCH($B11,Fondsen!$A$5:$A$30,0),G$8-$E11+1)))</f>
        <v/>
      </c>
      <c r="H11" s="31" t="str">
        <f t="array" ref="H11">IF(OR($B11="",$C11="",$E11=""),"",IF(OR(H$8&lt;$E11,H$8-$E11&gt;=12),0,$C11*INDEX(Fondsen!$F$5:$Q$30,MATCH($B11,Fondsen!$A$5:$A$30,0),H$8-$E11+1)))</f>
        <v/>
      </c>
      <c r="I11" s="31" t="str">
        <f t="array" ref="I11">IF(OR($B11="",$C11="",$E11=""),"",IF(OR(I$8&lt;$E11,I$8-$E11&gt;=12),0,$C11*INDEX(Fondsen!$F$5:$Q$30,MATCH($B11,Fondsen!$A$5:$A$30,0),I$8-$E11+1)))</f>
        <v/>
      </c>
      <c r="J11" s="31" t="str">
        <f t="array" ref="J11">IF(OR($B11="",$C11="",$E11=""),"",IF(OR(J$8&lt;$E11,J$8-$E11&gt;=12),0,$C11*INDEX(Fondsen!$F$5:$Q$30,MATCH($B11,Fondsen!$A$5:$A$30,0),J$8-$E11+1)))</f>
        <v/>
      </c>
      <c r="K11" s="31" t="str">
        <f t="array" ref="K11">IF(OR($B11="",$C11="",$E11=""),"",IF(OR(K$8&lt;$E11,K$8-$E11&gt;=12),0,$C11*INDEX(Fondsen!$F$5:$Q$30,MATCH($B11,Fondsen!$A$5:$A$30,0),K$8-$E11+1)))</f>
        <v/>
      </c>
      <c r="L11" s="31" t="str">
        <f t="array" ref="L11">IF(OR($B11="",$C11="",$E11=""),"",IF(OR(L$8&lt;$E11,L$8-$E11&gt;=12),0,$C11*INDEX(Fondsen!$F$5:$Q$30,MATCH($B11,Fondsen!$A$5:$A$30,0),L$8-$E11+1)))</f>
        <v/>
      </c>
      <c r="M11" s="31" t="str">
        <f t="array" ref="M11">IF(OR($B11="",$C11="",$E11=""),"",IF(OR(M$8&lt;$E11,M$8-$E11&gt;=12),0,$C11*INDEX(Fondsen!$F$5:$Q$30,MATCH($B11,Fondsen!$A$5:$A$30,0),M$8-$E11+1)))</f>
        <v/>
      </c>
      <c r="N11" s="31" t="str">
        <f t="array" ref="N11">IF(OR($B11="",$C11="",$E11=""),"",IF(OR(N$8&lt;$E11,N$8-$E11&gt;=12),0,$C11*INDEX(Fondsen!$F$5:$Q$30,MATCH($B11,Fondsen!$A$5:$A$30,0),N$8-$E11+1)))</f>
        <v/>
      </c>
      <c r="O11" s="31" t="str">
        <f t="array" ref="O11">IF(OR($B11="",$C11="",$E11=""),"",IF(OR(O$8&lt;$E11,O$8-$E11&gt;=12),0,$C11*INDEX(Fondsen!$F$5:$Q$30,MATCH($B11,Fondsen!$A$5:$A$30,0),O$8-$E11+1)))</f>
        <v/>
      </c>
      <c r="P11" s="31" t="str">
        <f t="array" ref="P11">IF(OR($B11="",$C11="",$E11=""),"",IF(OR(P$8&lt;$E11,P$8-$E11&gt;=12),0,$C11*INDEX(Fondsen!$F$5:$Q$30,MATCH($B11,Fondsen!$A$5:$A$30,0),P$8-$E11+1)))</f>
        <v/>
      </c>
      <c r="Q11" s="31" t="str">
        <f t="array" ref="Q11">IF(OR($B11="",$C11="",$E11=""),"",IF(OR(Q$8&lt;$E11,Q$8-$E11&gt;=12),0,$C11*INDEX(Fondsen!$F$5:$Q$30,MATCH($B11,Fondsen!$A$5:$A$30,0),Q$8-$E11+1)))</f>
        <v/>
      </c>
      <c r="R11" s="31" t="str">
        <f t="array" ref="R11">IF(OR($B11="",$C11="",$E11=""),"",IF(OR(R$8&lt;$E11,R$8-$E11&gt;=12),0,$C11*INDEX(Fondsen!$F$5:$Q$30,MATCH($B11,Fondsen!$A$5:$A$30,0),R$8-$E11+1)))</f>
        <v/>
      </c>
      <c r="S11" s="31" t="str">
        <f t="array" ref="S11">IF(OR($B11="",$C11="",$E11=""),"",IF(OR(S$8&lt;$E11,S$8-$E11&gt;=12),0,$C11*INDEX(Fondsen!$F$5:$Q$30,MATCH($B11,Fondsen!$A$5:$A$30,0),S$8-$E11+1)))</f>
        <v/>
      </c>
      <c r="T11" s="31" t="str">
        <f t="array" ref="T11">IF(OR($B11="",$C11="",$E11=""),"",IF(OR(T$8&lt;$E11,T$8-$E11&gt;=12),0,$C11*INDEX(Fondsen!$F$5:$Q$30,MATCH($B11,Fondsen!$A$5:$A$30,0),T$8-$E11+1)))</f>
        <v/>
      </c>
      <c r="U11" s="31" t="str">
        <f t="array" ref="U11">IF(OR($B11="",$C11="",$E11=""),"",IF(OR(U$8&lt;$E11,U$8-$E11&gt;=12),0,$C11*INDEX(Fondsen!$F$5:$Q$30,MATCH($B11,Fondsen!$A$5:$A$30,0),U$8-$E11+1)))</f>
        <v/>
      </c>
      <c r="V11" s="31" t="str">
        <f t="array" ref="V11">IF(OR($B11="",$C11="",$E11=""),"",IF(OR(V$8&lt;$E11,V$8-$E11&gt;=12),0,$C11*INDEX(Fondsen!$F$5:$Q$30,MATCH($B11,Fondsen!$A$5:$A$30,0),V$8-$E11+1)))</f>
        <v/>
      </c>
      <c r="W11" s="31" t="str">
        <f t="array" ref="W11">IF(OR($B11="",$C11="",$E11=""),"",IF(OR(W$8&lt;$E11,W$8-$E11&gt;=12),0,$C11*INDEX(Fondsen!$F$5:$Q$30,MATCH($B11,Fondsen!$A$5:$A$30,0),W$8-$E11+1)))</f>
        <v/>
      </c>
      <c r="X11" s="31" t="str">
        <f t="array" ref="X11">IF(OR($B11="",$C11="",$E11=""),"",IF(OR(X$8&lt;$E11,X$8-$E11&gt;=12),0,$C11*INDEX(Fondsen!$F$5:$Q$30,MATCH($B11,Fondsen!$A$5:$A$30,0),X$8-$E11+1)))</f>
        <v/>
      </c>
      <c r="Y11" s="31" t="str">
        <f t="array" ref="Y11">IF(OR($B11="",$C11="",$E11=""),"",IF(OR(Y$8&lt;$E11,Y$8-$E11&gt;=12),0,$C11*INDEX(Fondsen!$F$5:$Q$30,MATCH($B11,Fondsen!$A$5:$A$30,0),Y$8-$E11+1)))</f>
        <v/>
      </c>
      <c r="Z11" s="31" t="str">
        <f t="array" ref="Z11">IF(OR($B11="",$C11="",$E11=""),"",IF(OR(Z$8&lt;$E11,Z$8-$E11&gt;=12),0,$C11*INDEX(Fondsen!$F$5:$Q$30,MATCH($B11,Fondsen!$A$5:$A$30,0),Z$8-$E11+1)))</f>
        <v/>
      </c>
      <c r="AA11" s="31" t="str">
        <f t="array" ref="AA11">IF(OR($B11="",$C11="",$E11=""),"",IF(OR(AA$8&lt;$E11,AA$8-$E11&gt;=12),0,$C11*INDEX(Fondsen!$F$5:$Q$30,MATCH($B11,Fondsen!$A$5:$A$30,0),AA$8-$E11+1)))</f>
        <v/>
      </c>
      <c r="AB11" s="31" t="str">
        <f t="array" ref="AB11">IF(OR($B11="",$C11="",$E11=""),"",IF(OR(AB$8&lt;$E11,AB$8-$E11&gt;=12),0,$C11*INDEX(Fondsen!$F$5:$Q$30,MATCH($B11,Fondsen!$A$5:$A$30,0),AB$8-$E11+1)))</f>
        <v/>
      </c>
      <c r="AC11" s="31" t="str">
        <f t="array" ref="AC11">IF(OR($B11="",$C11="",$E11=""),"",IF(OR(AC$8&lt;$E11,AC$8-$E11&gt;=12),0,$C11*INDEX(Fondsen!$F$5:$Q$30,MATCH($B11,Fondsen!$A$5:$A$30,0),AC$8-$E11+1)))</f>
        <v/>
      </c>
      <c r="AD11" s="31" t="str">
        <f t="array" ref="AD11">IF(OR($B11="",$C11="",$E11=""),"",IF(OR(AD$8&lt;$E11,AD$8-$E11&gt;=12),0,$C11*INDEX(Fondsen!$F$5:$Q$30,MATCH($B11,Fondsen!$A$5:$A$30,0),AD$8-$E11+1)))</f>
        <v/>
      </c>
      <c r="AE11" s="31" t="str">
        <f t="array" ref="AE11">IF(OR($B11="",$C11="",$E11=""),"",IF(OR(AE$8&lt;$E11,AE$8-$E11&gt;=12),0,$C11*INDEX(Fondsen!$F$5:$Q$30,MATCH($B11,Fondsen!$A$5:$A$30,0),AE$8-$E11+1)))</f>
        <v/>
      </c>
      <c r="AF11" s="31" t="str">
        <f t="array" ref="AF11">IF(OR($B11="",$C11="",$E11=""),"",IF(OR(AF$8&lt;$E11,AF$8-$E11&gt;=12),0,$C11*INDEX(Fondsen!$F$5:$Q$30,MATCH($B11,Fondsen!$A$5:$A$30,0),AF$8-$E11+1)))</f>
        <v/>
      </c>
      <c r="AG11" s="31" t="str">
        <f t="array" ref="AG11">IF(OR($B11="",$C11="",$E11=""),"",IF(OR(AG$8&lt;$E11,AG$8-$E11&gt;=12),0,$C11*INDEX(Fondsen!$F$5:$Q$30,MATCH($B11,Fondsen!$A$5:$A$30,0),AG$8-$E11+1)))</f>
        <v/>
      </c>
      <c r="AH11" s="31" t="str">
        <f t="array" ref="AH11">IF(OR($B11="",$C11="",$E11=""),"",IF(OR(AH$8&lt;$E11,AH$8-$E11&gt;=12),0,$C11*INDEX(Fondsen!$F$5:$Q$30,MATCH($B11,Fondsen!$A$5:$A$30,0),AH$8-$E11+1)))</f>
        <v/>
      </c>
      <c r="AI11" s="31" t="str">
        <f t="array" ref="AI11">IF(OR($B11="",$C11="",$E11=""),"",IF(OR(AI$8&lt;$E11,AI$8-$E11&gt;=12),0,$C11*INDEX(Fondsen!$F$5:$Q$30,MATCH($B11,Fondsen!$A$5:$A$30,0),AI$8-$E11+1)))</f>
        <v/>
      </c>
      <c r="AJ11" s="31" t="str">
        <f t="array" ref="AJ11">IF(OR($B11="",$C11="",$E11=""),"",IF(OR(AJ$8&lt;$E11,AJ$8-$E11&gt;=12),0,$C11*INDEX(Fondsen!$F$5:$Q$30,MATCH($B11,Fondsen!$A$5:$A$30,0),AJ$8-$E11+1)))</f>
        <v/>
      </c>
      <c r="AK11" s="31" t="str">
        <f t="array" ref="AK11">IF(OR($B11="",$C11="",$E11=""),"",IF(OR(AK$8&lt;$E11,AK$8-$E11&gt;=12),0,$C11*INDEX(Fondsen!$F$5:$Q$30,MATCH($B11,Fondsen!$A$5:$A$30,0),AK$8-$E11+1)))</f>
        <v/>
      </c>
      <c r="AL11" s="31" t="str">
        <f t="array" ref="AL11">IF(OR($B11="",$C11="",$E11=""),"",IF(OR(AL$8&lt;$E11,AL$8-$E11&gt;=12),0,$C11*INDEX(Fondsen!$F$5:$Q$30,MATCH($B11,Fondsen!$A$5:$A$30,0),AL$8-$E11+1)))</f>
        <v/>
      </c>
      <c r="AM11" s="31" t="str">
        <f t="array" ref="AM11">IF(OR($B11="",$C11="",$E11=""),"",IF(OR(AM$8&lt;$E11,AM$8-$E11&gt;=12),0,$C11*INDEX(Fondsen!$F$5:$Q$30,MATCH($B11,Fondsen!$A$5:$A$30,0),AM$8-$E11+1)))</f>
        <v/>
      </c>
      <c r="AN11" s="31" t="str">
        <f t="array" ref="AN11">IF(OR($B11="",$C11="",$E11=""),"",IF(OR(AN$8&lt;$E11,AN$8-$E11&gt;=12),0,$C11*INDEX(Fondsen!$F$5:$Q$30,MATCH($B11,Fondsen!$A$5:$A$30,0),AN$8-$E11+1)))</f>
        <v/>
      </c>
      <c r="AO11" s="31" t="str">
        <f t="array" ref="AO11">IF(OR($B11="",$C11="",$E11=""),"",IF(OR(AO$8&lt;$E11,AO$8-$E11&gt;=12),0,$C11*INDEX(Fondsen!$F$5:$Q$30,MATCH($B11,Fondsen!$A$5:$A$30,0),AO$8-$E11+1)))</f>
        <v/>
      </c>
      <c r="AP11" s="31" t="str">
        <f t="array" ref="AP11">IF(OR($B11="",$C11="",$E11=""),"",IF(OR(AP$8&lt;$E11,AP$8-$E11&gt;=12),0,$C11*INDEX(Fondsen!$F$5:$Q$30,MATCH($B11,Fondsen!$A$5:$A$30,0),AP$8-$E11+1)))</f>
        <v/>
      </c>
      <c r="AQ11" s="31" t="str">
        <f t="array" ref="AQ11">IF(OR($B11="",$C11="",$E11=""),"",IF(OR(AQ$8&lt;$E11,AQ$8-$E11&gt;=12),0,$C11*INDEX(Fondsen!$F$5:$Q$30,MATCH($B11,Fondsen!$A$5:$A$30,0),AQ$8-$E11+1)))</f>
        <v/>
      </c>
      <c r="AR11" s="31" t="str">
        <f t="array" ref="AR11">IF(OR($B11="",$C11="",$E11=""),"",IF(OR(AR$8&lt;$E11,AR$8-$E11&gt;=12),0,$C11*INDEX(Fondsen!$F$5:$Q$30,MATCH($B11,Fondsen!$A$5:$A$30,0),AR$8-$E11+1)))</f>
        <v/>
      </c>
      <c r="AS11" s="31" t="str">
        <f t="array" ref="AS11">IF(OR($B11="",$C11="",$E11=""),"",IF(OR(AS$8&lt;$E11,AS$8-$E11&gt;=12),0,$C11*INDEX(Fondsen!$F$5:$Q$30,MATCH($B11,Fondsen!$A$5:$A$30,0),AS$8-$E11+1)))</f>
        <v/>
      </c>
      <c r="AT11" s="32"/>
    </row>
    <row r="12" ht="24.0" customHeight="1">
      <c r="A12" s="33" t="str">
        <f>IF(B12="","",IFERROR(VLOOKUP(B12,Fondsen!$A$5:$B$30,2,FALSE()),""))</f>
        <v/>
      </c>
      <c r="B12" s="34"/>
      <c r="C12" s="35"/>
      <c r="D12" s="36" t="s">
        <v>11</v>
      </c>
      <c r="E12" s="37">
        <v>2026.0</v>
      </c>
      <c r="F12" s="38" t="str">
        <f t="array" ref="F12">IF(OR($B12="",$C12="",$E12=""),"",IF(OR(F$8&lt;$E12,F$8-$E12&gt;=12),0,$C12*INDEX(Fondsen!$F$5:$Q$30,MATCH($B12,Fondsen!$A$5:$A$30,0),F$8-$E12+1)))</f>
        <v/>
      </c>
      <c r="G12" s="39" t="str">
        <f t="array" ref="G12">IF(OR($B12="",$C12="",$E12=""),"",IF(OR(G$8&lt;$E12,G$8-$E12&gt;=12),0,$C12*INDEX(Fondsen!$F$5:$Q$30,MATCH($B12,Fondsen!$A$5:$A$30,0),G$8-$E12+1)))</f>
        <v/>
      </c>
      <c r="H12" s="39" t="str">
        <f t="array" ref="H12">IF(OR($B12="",$C12="",$E12=""),"",IF(OR(H$8&lt;$E12,H$8-$E12&gt;=12),0,$C12*INDEX(Fondsen!$F$5:$Q$30,MATCH($B12,Fondsen!$A$5:$A$30,0),H$8-$E12+1)))</f>
        <v/>
      </c>
      <c r="I12" s="39" t="str">
        <f t="array" ref="I12">IF(OR($B12="",$C12="",$E12=""),"",IF(OR(I$8&lt;$E12,I$8-$E12&gt;=12),0,$C12*INDEX(Fondsen!$F$5:$Q$30,MATCH($B12,Fondsen!$A$5:$A$30,0),I$8-$E12+1)))</f>
        <v/>
      </c>
      <c r="J12" s="39" t="str">
        <f t="array" ref="J12">IF(OR($B12="",$C12="",$E12=""),"",IF(OR(J$8&lt;$E12,J$8-$E12&gt;=12),0,$C12*INDEX(Fondsen!$F$5:$Q$30,MATCH($B12,Fondsen!$A$5:$A$30,0),J$8-$E12+1)))</f>
        <v/>
      </c>
      <c r="K12" s="39" t="str">
        <f t="array" ref="K12">IF(OR($B12="",$C12="",$E12=""),"",IF(OR(K$8&lt;$E12,K$8-$E12&gt;=12),0,$C12*INDEX(Fondsen!$F$5:$Q$30,MATCH($B12,Fondsen!$A$5:$A$30,0),K$8-$E12+1)))</f>
        <v/>
      </c>
      <c r="L12" s="39" t="str">
        <f t="array" ref="L12">IF(OR($B12="",$C12="",$E12=""),"",IF(OR(L$8&lt;$E12,L$8-$E12&gt;=12),0,$C12*INDEX(Fondsen!$F$5:$Q$30,MATCH($B12,Fondsen!$A$5:$A$30,0),L$8-$E12+1)))</f>
        <v/>
      </c>
      <c r="M12" s="39" t="str">
        <f t="array" ref="M12">IF(OR($B12="",$C12="",$E12=""),"",IF(OR(M$8&lt;$E12,M$8-$E12&gt;=12),0,$C12*INDEX(Fondsen!$F$5:$Q$30,MATCH($B12,Fondsen!$A$5:$A$30,0),M$8-$E12+1)))</f>
        <v/>
      </c>
      <c r="N12" s="39" t="str">
        <f t="array" ref="N12">IF(OR($B12="",$C12="",$E12=""),"",IF(OR(N$8&lt;$E12,N$8-$E12&gt;=12),0,$C12*INDEX(Fondsen!$F$5:$Q$30,MATCH($B12,Fondsen!$A$5:$A$30,0),N$8-$E12+1)))</f>
        <v/>
      </c>
      <c r="O12" s="39" t="str">
        <f t="array" ref="O12">IF(OR($B12="",$C12="",$E12=""),"",IF(OR(O$8&lt;$E12,O$8-$E12&gt;=12),0,$C12*INDEX(Fondsen!$F$5:$Q$30,MATCH($B12,Fondsen!$A$5:$A$30,0),O$8-$E12+1)))</f>
        <v/>
      </c>
      <c r="P12" s="39" t="str">
        <f t="array" ref="P12">IF(OR($B12="",$C12="",$E12=""),"",IF(OR(P$8&lt;$E12,P$8-$E12&gt;=12),0,$C12*INDEX(Fondsen!$F$5:$Q$30,MATCH($B12,Fondsen!$A$5:$A$30,0),P$8-$E12+1)))</f>
        <v/>
      </c>
      <c r="Q12" s="39" t="str">
        <f t="array" ref="Q12">IF(OR($B12="",$C12="",$E12=""),"",IF(OR(Q$8&lt;$E12,Q$8-$E12&gt;=12),0,$C12*INDEX(Fondsen!$F$5:$Q$30,MATCH($B12,Fondsen!$A$5:$A$30,0),Q$8-$E12+1)))</f>
        <v/>
      </c>
      <c r="R12" s="39" t="str">
        <f t="array" ref="R12">IF(OR($B12="",$C12="",$E12=""),"",IF(OR(R$8&lt;$E12,R$8-$E12&gt;=12),0,$C12*INDEX(Fondsen!$F$5:$Q$30,MATCH($B12,Fondsen!$A$5:$A$30,0),R$8-$E12+1)))</f>
        <v/>
      </c>
      <c r="S12" s="39" t="str">
        <f t="array" ref="S12">IF(OR($B12="",$C12="",$E12=""),"",IF(OR(S$8&lt;$E12,S$8-$E12&gt;=12),0,$C12*INDEX(Fondsen!$F$5:$Q$30,MATCH($B12,Fondsen!$A$5:$A$30,0),S$8-$E12+1)))</f>
        <v/>
      </c>
      <c r="T12" s="39" t="str">
        <f t="array" ref="T12">IF(OR($B12="",$C12="",$E12=""),"",IF(OR(T$8&lt;$E12,T$8-$E12&gt;=12),0,$C12*INDEX(Fondsen!$F$5:$Q$30,MATCH($B12,Fondsen!$A$5:$A$30,0),T$8-$E12+1)))</f>
        <v/>
      </c>
      <c r="U12" s="39" t="str">
        <f t="array" ref="U12">IF(OR($B12="",$C12="",$E12=""),"",IF(OR(U$8&lt;$E12,U$8-$E12&gt;=12),0,$C12*INDEX(Fondsen!$F$5:$Q$30,MATCH($B12,Fondsen!$A$5:$A$30,0),U$8-$E12+1)))</f>
        <v/>
      </c>
      <c r="V12" s="39" t="str">
        <f t="array" ref="V12">IF(OR($B12="",$C12="",$E12=""),"",IF(OR(V$8&lt;$E12,V$8-$E12&gt;=12),0,$C12*INDEX(Fondsen!$F$5:$Q$30,MATCH($B12,Fondsen!$A$5:$A$30,0),V$8-$E12+1)))</f>
        <v/>
      </c>
      <c r="W12" s="39" t="str">
        <f t="array" ref="W12">IF(OR($B12="",$C12="",$E12=""),"",IF(OR(W$8&lt;$E12,W$8-$E12&gt;=12),0,$C12*INDEX(Fondsen!$F$5:$Q$30,MATCH($B12,Fondsen!$A$5:$A$30,0),W$8-$E12+1)))</f>
        <v/>
      </c>
      <c r="X12" s="39" t="str">
        <f t="array" ref="X12">IF(OR($B12="",$C12="",$E12=""),"",IF(OR(X$8&lt;$E12,X$8-$E12&gt;=12),0,$C12*INDEX(Fondsen!$F$5:$Q$30,MATCH($B12,Fondsen!$A$5:$A$30,0),X$8-$E12+1)))</f>
        <v/>
      </c>
      <c r="Y12" s="39" t="str">
        <f t="array" ref="Y12">IF(OR($B12="",$C12="",$E12=""),"",IF(OR(Y$8&lt;$E12,Y$8-$E12&gt;=12),0,$C12*INDEX(Fondsen!$F$5:$Q$30,MATCH($B12,Fondsen!$A$5:$A$30,0),Y$8-$E12+1)))</f>
        <v/>
      </c>
      <c r="Z12" s="39" t="str">
        <f t="array" ref="Z12">IF(OR($B12="",$C12="",$E12=""),"",IF(OR(Z$8&lt;$E12,Z$8-$E12&gt;=12),0,$C12*INDEX(Fondsen!$F$5:$Q$30,MATCH($B12,Fondsen!$A$5:$A$30,0),Z$8-$E12+1)))</f>
        <v/>
      </c>
      <c r="AA12" s="39" t="str">
        <f t="array" ref="AA12">IF(OR($B12="",$C12="",$E12=""),"",IF(OR(AA$8&lt;$E12,AA$8-$E12&gt;=12),0,$C12*INDEX(Fondsen!$F$5:$Q$30,MATCH($B12,Fondsen!$A$5:$A$30,0),AA$8-$E12+1)))</f>
        <v/>
      </c>
      <c r="AB12" s="39" t="str">
        <f t="array" ref="AB12">IF(OR($B12="",$C12="",$E12=""),"",IF(OR(AB$8&lt;$E12,AB$8-$E12&gt;=12),0,$C12*INDEX(Fondsen!$F$5:$Q$30,MATCH($B12,Fondsen!$A$5:$A$30,0),AB$8-$E12+1)))</f>
        <v/>
      </c>
      <c r="AC12" s="39" t="str">
        <f t="array" ref="AC12">IF(OR($B12="",$C12="",$E12=""),"",IF(OR(AC$8&lt;$E12,AC$8-$E12&gt;=12),0,$C12*INDEX(Fondsen!$F$5:$Q$30,MATCH($B12,Fondsen!$A$5:$A$30,0),AC$8-$E12+1)))</f>
        <v/>
      </c>
      <c r="AD12" s="39" t="str">
        <f t="array" ref="AD12">IF(OR($B12="",$C12="",$E12=""),"",IF(OR(AD$8&lt;$E12,AD$8-$E12&gt;=12),0,$C12*INDEX(Fondsen!$F$5:$Q$30,MATCH($B12,Fondsen!$A$5:$A$30,0),AD$8-$E12+1)))</f>
        <v/>
      </c>
      <c r="AE12" s="39" t="str">
        <f t="array" ref="AE12">IF(OR($B12="",$C12="",$E12=""),"",IF(OR(AE$8&lt;$E12,AE$8-$E12&gt;=12),0,$C12*INDEX(Fondsen!$F$5:$Q$30,MATCH($B12,Fondsen!$A$5:$A$30,0),AE$8-$E12+1)))</f>
        <v/>
      </c>
      <c r="AF12" s="39" t="str">
        <f t="array" ref="AF12">IF(OR($B12="",$C12="",$E12=""),"",IF(OR(AF$8&lt;$E12,AF$8-$E12&gt;=12),0,$C12*INDEX(Fondsen!$F$5:$Q$30,MATCH($B12,Fondsen!$A$5:$A$30,0),AF$8-$E12+1)))</f>
        <v/>
      </c>
      <c r="AG12" s="39" t="str">
        <f t="array" ref="AG12">IF(OR($B12="",$C12="",$E12=""),"",IF(OR(AG$8&lt;$E12,AG$8-$E12&gt;=12),0,$C12*INDEX(Fondsen!$F$5:$Q$30,MATCH($B12,Fondsen!$A$5:$A$30,0),AG$8-$E12+1)))</f>
        <v/>
      </c>
      <c r="AH12" s="39" t="str">
        <f t="array" ref="AH12">IF(OR($B12="",$C12="",$E12=""),"",IF(OR(AH$8&lt;$E12,AH$8-$E12&gt;=12),0,$C12*INDEX(Fondsen!$F$5:$Q$30,MATCH($B12,Fondsen!$A$5:$A$30,0),AH$8-$E12+1)))</f>
        <v/>
      </c>
      <c r="AI12" s="39" t="str">
        <f t="array" ref="AI12">IF(OR($B12="",$C12="",$E12=""),"",IF(OR(AI$8&lt;$E12,AI$8-$E12&gt;=12),0,$C12*INDEX(Fondsen!$F$5:$Q$30,MATCH($B12,Fondsen!$A$5:$A$30,0),AI$8-$E12+1)))</f>
        <v/>
      </c>
      <c r="AJ12" s="39" t="str">
        <f t="array" ref="AJ12">IF(OR($B12="",$C12="",$E12=""),"",IF(OR(AJ$8&lt;$E12,AJ$8-$E12&gt;=12),0,$C12*INDEX(Fondsen!$F$5:$Q$30,MATCH($B12,Fondsen!$A$5:$A$30,0),AJ$8-$E12+1)))</f>
        <v/>
      </c>
      <c r="AK12" s="39" t="str">
        <f t="array" ref="AK12">IF(OR($B12="",$C12="",$E12=""),"",IF(OR(AK$8&lt;$E12,AK$8-$E12&gt;=12),0,$C12*INDEX(Fondsen!$F$5:$Q$30,MATCH($B12,Fondsen!$A$5:$A$30,0),AK$8-$E12+1)))</f>
        <v/>
      </c>
      <c r="AL12" s="39" t="str">
        <f t="array" ref="AL12">IF(OR($B12="",$C12="",$E12=""),"",IF(OR(AL$8&lt;$E12,AL$8-$E12&gt;=12),0,$C12*INDEX(Fondsen!$F$5:$Q$30,MATCH($B12,Fondsen!$A$5:$A$30,0),AL$8-$E12+1)))</f>
        <v/>
      </c>
      <c r="AM12" s="39" t="str">
        <f t="array" ref="AM12">IF(OR($B12="",$C12="",$E12=""),"",IF(OR(AM$8&lt;$E12,AM$8-$E12&gt;=12),0,$C12*INDEX(Fondsen!$F$5:$Q$30,MATCH($B12,Fondsen!$A$5:$A$30,0),AM$8-$E12+1)))</f>
        <v/>
      </c>
      <c r="AN12" s="39" t="str">
        <f t="array" ref="AN12">IF(OR($B12="",$C12="",$E12=""),"",IF(OR(AN$8&lt;$E12,AN$8-$E12&gt;=12),0,$C12*INDEX(Fondsen!$F$5:$Q$30,MATCH($B12,Fondsen!$A$5:$A$30,0),AN$8-$E12+1)))</f>
        <v/>
      </c>
      <c r="AO12" s="39" t="str">
        <f t="array" ref="AO12">IF(OR($B12="",$C12="",$E12=""),"",IF(OR(AO$8&lt;$E12,AO$8-$E12&gt;=12),0,$C12*INDEX(Fondsen!$F$5:$Q$30,MATCH($B12,Fondsen!$A$5:$A$30,0),AO$8-$E12+1)))</f>
        <v/>
      </c>
      <c r="AP12" s="39" t="str">
        <f t="array" ref="AP12">IF(OR($B12="",$C12="",$E12=""),"",IF(OR(AP$8&lt;$E12,AP$8-$E12&gt;=12),0,$C12*INDEX(Fondsen!$F$5:$Q$30,MATCH($B12,Fondsen!$A$5:$A$30,0),AP$8-$E12+1)))</f>
        <v/>
      </c>
      <c r="AQ12" s="39" t="str">
        <f t="array" ref="AQ12">IF(OR($B12="",$C12="",$E12=""),"",IF(OR(AQ$8&lt;$E12,AQ$8-$E12&gt;=12),0,$C12*INDEX(Fondsen!$F$5:$Q$30,MATCH($B12,Fondsen!$A$5:$A$30,0),AQ$8-$E12+1)))</f>
        <v/>
      </c>
      <c r="AR12" s="39" t="str">
        <f t="array" ref="AR12">IF(OR($B12="",$C12="",$E12=""),"",IF(OR(AR$8&lt;$E12,AR$8-$E12&gt;=12),0,$C12*INDEX(Fondsen!$F$5:$Q$30,MATCH($B12,Fondsen!$A$5:$A$30,0),AR$8-$E12+1)))</f>
        <v/>
      </c>
      <c r="AS12" s="39" t="str">
        <f t="array" ref="AS12">IF(OR($B12="",$C12="",$E12=""),"",IF(OR(AS$8&lt;$E12,AS$8-$E12&gt;=12),0,$C12*INDEX(Fondsen!$F$5:$Q$30,MATCH($B12,Fondsen!$A$5:$A$30,0),AS$8-$E12+1)))</f>
        <v/>
      </c>
      <c r="AT12" s="32"/>
    </row>
    <row r="13" ht="24.0" customHeight="1">
      <c r="A13" s="25" t="str">
        <f>IF(B13="","",IFERROR(VLOOKUP(B13,Fondsen!$A$5:$B$30,2,FALSE()),""))</f>
        <v/>
      </c>
      <c r="B13" s="40"/>
      <c r="C13" s="41"/>
      <c r="D13" s="28" t="s">
        <v>11</v>
      </c>
      <c r="E13" s="42">
        <v>2026.0</v>
      </c>
      <c r="F13" s="30" t="str">
        <f t="array" ref="F13">IF(OR($B13="",$C13="",$E13=""),"",IF(OR(F$8&lt;$E13,F$8-$E13&gt;=12),0,$C13*INDEX(Fondsen!$F$5:$Q$30,MATCH($B13,Fondsen!$A$5:$A$30,0),F$8-$E13+1)))</f>
        <v/>
      </c>
      <c r="G13" s="31" t="str">
        <f t="array" ref="G13">IF(OR($B13="",$C13="",$E13=""),"",IF(OR(G$8&lt;$E13,G$8-$E13&gt;=12),0,$C13*INDEX(Fondsen!$F$5:$Q$30,MATCH($B13,Fondsen!$A$5:$A$30,0),G$8-$E13+1)))</f>
        <v/>
      </c>
      <c r="H13" s="31" t="str">
        <f t="array" ref="H13">IF(OR($B13="",$C13="",$E13=""),"",IF(OR(H$8&lt;$E13,H$8-$E13&gt;=12),0,$C13*INDEX(Fondsen!$F$5:$Q$30,MATCH($B13,Fondsen!$A$5:$A$30,0),H$8-$E13+1)))</f>
        <v/>
      </c>
      <c r="I13" s="31" t="str">
        <f t="array" ref="I13">IF(OR($B13="",$C13="",$E13=""),"",IF(OR(I$8&lt;$E13,I$8-$E13&gt;=12),0,$C13*INDEX(Fondsen!$F$5:$Q$30,MATCH($B13,Fondsen!$A$5:$A$30,0),I$8-$E13+1)))</f>
        <v/>
      </c>
      <c r="J13" s="31" t="str">
        <f t="array" ref="J13">IF(OR($B13="",$C13="",$E13=""),"",IF(OR(J$8&lt;$E13,J$8-$E13&gt;=12),0,$C13*INDEX(Fondsen!$F$5:$Q$30,MATCH($B13,Fondsen!$A$5:$A$30,0),J$8-$E13+1)))</f>
        <v/>
      </c>
      <c r="K13" s="31" t="str">
        <f t="array" ref="K13">IF(OR($B13="",$C13="",$E13=""),"",IF(OR(K$8&lt;$E13,K$8-$E13&gt;=12),0,$C13*INDEX(Fondsen!$F$5:$Q$30,MATCH($B13,Fondsen!$A$5:$A$30,0),K$8-$E13+1)))</f>
        <v/>
      </c>
      <c r="L13" s="31" t="str">
        <f t="array" ref="L13">IF(OR($B13="",$C13="",$E13=""),"",IF(OR(L$8&lt;$E13,L$8-$E13&gt;=12),0,$C13*INDEX(Fondsen!$F$5:$Q$30,MATCH($B13,Fondsen!$A$5:$A$30,0),L$8-$E13+1)))</f>
        <v/>
      </c>
      <c r="M13" s="31" t="str">
        <f t="array" ref="M13">IF(OR($B13="",$C13="",$E13=""),"",IF(OR(M$8&lt;$E13,M$8-$E13&gt;=12),0,$C13*INDEX(Fondsen!$F$5:$Q$30,MATCH($B13,Fondsen!$A$5:$A$30,0),M$8-$E13+1)))</f>
        <v/>
      </c>
      <c r="N13" s="31" t="str">
        <f t="array" ref="N13">IF(OR($B13="",$C13="",$E13=""),"",IF(OR(N$8&lt;$E13,N$8-$E13&gt;=12),0,$C13*INDEX(Fondsen!$F$5:$Q$30,MATCH($B13,Fondsen!$A$5:$A$30,0),N$8-$E13+1)))</f>
        <v/>
      </c>
      <c r="O13" s="31" t="str">
        <f t="array" ref="O13">IF(OR($B13="",$C13="",$E13=""),"",IF(OR(O$8&lt;$E13,O$8-$E13&gt;=12),0,$C13*INDEX(Fondsen!$F$5:$Q$30,MATCH($B13,Fondsen!$A$5:$A$30,0),O$8-$E13+1)))</f>
        <v/>
      </c>
      <c r="P13" s="31" t="str">
        <f t="array" ref="P13">IF(OR($B13="",$C13="",$E13=""),"",IF(OR(P$8&lt;$E13,P$8-$E13&gt;=12),0,$C13*INDEX(Fondsen!$F$5:$Q$30,MATCH($B13,Fondsen!$A$5:$A$30,0),P$8-$E13+1)))</f>
        <v/>
      </c>
      <c r="Q13" s="31" t="str">
        <f t="array" ref="Q13">IF(OR($B13="",$C13="",$E13=""),"",IF(OR(Q$8&lt;$E13,Q$8-$E13&gt;=12),0,$C13*INDEX(Fondsen!$F$5:$Q$30,MATCH($B13,Fondsen!$A$5:$A$30,0),Q$8-$E13+1)))</f>
        <v/>
      </c>
      <c r="R13" s="31" t="str">
        <f t="array" ref="R13">IF(OR($B13="",$C13="",$E13=""),"",IF(OR(R$8&lt;$E13,R$8-$E13&gt;=12),0,$C13*INDEX(Fondsen!$F$5:$Q$30,MATCH($B13,Fondsen!$A$5:$A$30,0),R$8-$E13+1)))</f>
        <v/>
      </c>
      <c r="S13" s="31" t="str">
        <f t="array" ref="S13">IF(OR($B13="",$C13="",$E13=""),"",IF(OR(S$8&lt;$E13,S$8-$E13&gt;=12),0,$C13*INDEX(Fondsen!$F$5:$Q$30,MATCH($B13,Fondsen!$A$5:$A$30,0),S$8-$E13+1)))</f>
        <v/>
      </c>
      <c r="T13" s="31" t="str">
        <f t="array" ref="T13">IF(OR($B13="",$C13="",$E13=""),"",IF(OR(T$8&lt;$E13,T$8-$E13&gt;=12),0,$C13*INDEX(Fondsen!$F$5:$Q$30,MATCH($B13,Fondsen!$A$5:$A$30,0),T$8-$E13+1)))</f>
        <v/>
      </c>
      <c r="U13" s="31" t="str">
        <f t="array" ref="U13">IF(OR($B13="",$C13="",$E13=""),"",IF(OR(U$8&lt;$E13,U$8-$E13&gt;=12),0,$C13*INDEX(Fondsen!$F$5:$Q$30,MATCH($B13,Fondsen!$A$5:$A$30,0),U$8-$E13+1)))</f>
        <v/>
      </c>
      <c r="V13" s="31" t="str">
        <f t="array" ref="V13">IF(OR($B13="",$C13="",$E13=""),"",IF(OR(V$8&lt;$E13,V$8-$E13&gt;=12),0,$C13*INDEX(Fondsen!$F$5:$Q$30,MATCH($B13,Fondsen!$A$5:$A$30,0),V$8-$E13+1)))</f>
        <v/>
      </c>
      <c r="W13" s="31" t="str">
        <f t="array" ref="W13">IF(OR($B13="",$C13="",$E13=""),"",IF(OR(W$8&lt;$E13,W$8-$E13&gt;=12),0,$C13*INDEX(Fondsen!$F$5:$Q$30,MATCH($B13,Fondsen!$A$5:$A$30,0),W$8-$E13+1)))</f>
        <v/>
      </c>
      <c r="X13" s="31" t="str">
        <f t="array" ref="X13">IF(OR($B13="",$C13="",$E13=""),"",IF(OR(X$8&lt;$E13,X$8-$E13&gt;=12),0,$C13*INDEX(Fondsen!$F$5:$Q$30,MATCH($B13,Fondsen!$A$5:$A$30,0),X$8-$E13+1)))</f>
        <v/>
      </c>
      <c r="Y13" s="31" t="str">
        <f t="array" ref="Y13">IF(OR($B13="",$C13="",$E13=""),"",IF(OR(Y$8&lt;$E13,Y$8-$E13&gt;=12),0,$C13*INDEX(Fondsen!$F$5:$Q$30,MATCH($B13,Fondsen!$A$5:$A$30,0),Y$8-$E13+1)))</f>
        <v/>
      </c>
      <c r="Z13" s="31" t="str">
        <f t="array" ref="Z13">IF(OR($B13="",$C13="",$E13=""),"",IF(OR(Z$8&lt;$E13,Z$8-$E13&gt;=12),0,$C13*INDEX(Fondsen!$F$5:$Q$30,MATCH($B13,Fondsen!$A$5:$A$30,0),Z$8-$E13+1)))</f>
        <v/>
      </c>
      <c r="AA13" s="31" t="str">
        <f t="array" ref="AA13">IF(OR($B13="",$C13="",$E13=""),"",IF(OR(AA$8&lt;$E13,AA$8-$E13&gt;=12),0,$C13*INDEX(Fondsen!$F$5:$Q$30,MATCH($B13,Fondsen!$A$5:$A$30,0),AA$8-$E13+1)))</f>
        <v/>
      </c>
      <c r="AB13" s="31" t="str">
        <f t="array" ref="AB13">IF(OR($B13="",$C13="",$E13=""),"",IF(OR(AB$8&lt;$E13,AB$8-$E13&gt;=12),0,$C13*INDEX(Fondsen!$F$5:$Q$30,MATCH($B13,Fondsen!$A$5:$A$30,0),AB$8-$E13+1)))</f>
        <v/>
      </c>
      <c r="AC13" s="31" t="str">
        <f t="array" ref="AC13">IF(OR($B13="",$C13="",$E13=""),"",IF(OR(AC$8&lt;$E13,AC$8-$E13&gt;=12),0,$C13*INDEX(Fondsen!$F$5:$Q$30,MATCH($B13,Fondsen!$A$5:$A$30,0),AC$8-$E13+1)))</f>
        <v/>
      </c>
      <c r="AD13" s="31" t="str">
        <f t="array" ref="AD13">IF(OR($B13="",$C13="",$E13=""),"",IF(OR(AD$8&lt;$E13,AD$8-$E13&gt;=12),0,$C13*INDEX(Fondsen!$F$5:$Q$30,MATCH($B13,Fondsen!$A$5:$A$30,0),AD$8-$E13+1)))</f>
        <v/>
      </c>
      <c r="AE13" s="31" t="str">
        <f t="array" ref="AE13">IF(OR($B13="",$C13="",$E13=""),"",IF(OR(AE$8&lt;$E13,AE$8-$E13&gt;=12),0,$C13*INDEX(Fondsen!$F$5:$Q$30,MATCH($B13,Fondsen!$A$5:$A$30,0),AE$8-$E13+1)))</f>
        <v/>
      </c>
      <c r="AF13" s="31" t="str">
        <f t="array" ref="AF13">IF(OR($B13="",$C13="",$E13=""),"",IF(OR(AF$8&lt;$E13,AF$8-$E13&gt;=12),0,$C13*INDEX(Fondsen!$F$5:$Q$30,MATCH($B13,Fondsen!$A$5:$A$30,0),AF$8-$E13+1)))</f>
        <v/>
      </c>
      <c r="AG13" s="31" t="str">
        <f t="array" ref="AG13">IF(OR($B13="",$C13="",$E13=""),"",IF(OR(AG$8&lt;$E13,AG$8-$E13&gt;=12),0,$C13*INDEX(Fondsen!$F$5:$Q$30,MATCH($B13,Fondsen!$A$5:$A$30,0),AG$8-$E13+1)))</f>
        <v/>
      </c>
      <c r="AH13" s="31" t="str">
        <f t="array" ref="AH13">IF(OR($B13="",$C13="",$E13=""),"",IF(OR(AH$8&lt;$E13,AH$8-$E13&gt;=12),0,$C13*INDEX(Fondsen!$F$5:$Q$30,MATCH($B13,Fondsen!$A$5:$A$30,0),AH$8-$E13+1)))</f>
        <v/>
      </c>
      <c r="AI13" s="31" t="str">
        <f t="array" ref="AI13">IF(OR($B13="",$C13="",$E13=""),"",IF(OR(AI$8&lt;$E13,AI$8-$E13&gt;=12),0,$C13*INDEX(Fondsen!$F$5:$Q$30,MATCH($B13,Fondsen!$A$5:$A$30,0),AI$8-$E13+1)))</f>
        <v/>
      </c>
      <c r="AJ13" s="31" t="str">
        <f t="array" ref="AJ13">IF(OR($B13="",$C13="",$E13=""),"",IF(OR(AJ$8&lt;$E13,AJ$8-$E13&gt;=12),0,$C13*INDEX(Fondsen!$F$5:$Q$30,MATCH($B13,Fondsen!$A$5:$A$30,0),AJ$8-$E13+1)))</f>
        <v/>
      </c>
      <c r="AK13" s="31" t="str">
        <f t="array" ref="AK13">IF(OR($B13="",$C13="",$E13=""),"",IF(OR(AK$8&lt;$E13,AK$8-$E13&gt;=12),0,$C13*INDEX(Fondsen!$F$5:$Q$30,MATCH($B13,Fondsen!$A$5:$A$30,0),AK$8-$E13+1)))</f>
        <v/>
      </c>
      <c r="AL13" s="31" t="str">
        <f t="array" ref="AL13">IF(OR($B13="",$C13="",$E13=""),"",IF(OR(AL$8&lt;$E13,AL$8-$E13&gt;=12),0,$C13*INDEX(Fondsen!$F$5:$Q$30,MATCH($B13,Fondsen!$A$5:$A$30,0),AL$8-$E13+1)))</f>
        <v/>
      </c>
      <c r="AM13" s="31" t="str">
        <f t="array" ref="AM13">IF(OR($B13="",$C13="",$E13=""),"",IF(OR(AM$8&lt;$E13,AM$8-$E13&gt;=12),0,$C13*INDEX(Fondsen!$F$5:$Q$30,MATCH($B13,Fondsen!$A$5:$A$30,0),AM$8-$E13+1)))</f>
        <v/>
      </c>
      <c r="AN13" s="31" t="str">
        <f t="array" ref="AN13">IF(OR($B13="",$C13="",$E13=""),"",IF(OR(AN$8&lt;$E13,AN$8-$E13&gt;=12),0,$C13*INDEX(Fondsen!$F$5:$Q$30,MATCH($B13,Fondsen!$A$5:$A$30,0),AN$8-$E13+1)))</f>
        <v/>
      </c>
      <c r="AO13" s="31" t="str">
        <f t="array" ref="AO13">IF(OR($B13="",$C13="",$E13=""),"",IF(OR(AO$8&lt;$E13,AO$8-$E13&gt;=12),0,$C13*INDEX(Fondsen!$F$5:$Q$30,MATCH($B13,Fondsen!$A$5:$A$30,0),AO$8-$E13+1)))</f>
        <v/>
      </c>
      <c r="AP13" s="31" t="str">
        <f t="array" ref="AP13">IF(OR($B13="",$C13="",$E13=""),"",IF(OR(AP$8&lt;$E13,AP$8-$E13&gt;=12),0,$C13*INDEX(Fondsen!$F$5:$Q$30,MATCH($B13,Fondsen!$A$5:$A$30,0),AP$8-$E13+1)))</f>
        <v/>
      </c>
      <c r="AQ13" s="31" t="str">
        <f t="array" ref="AQ13">IF(OR($B13="",$C13="",$E13=""),"",IF(OR(AQ$8&lt;$E13,AQ$8-$E13&gt;=12),0,$C13*INDEX(Fondsen!$F$5:$Q$30,MATCH($B13,Fondsen!$A$5:$A$30,0),AQ$8-$E13+1)))</f>
        <v/>
      </c>
      <c r="AR13" s="31" t="str">
        <f t="array" ref="AR13">IF(OR($B13="",$C13="",$E13=""),"",IF(OR(AR$8&lt;$E13,AR$8-$E13&gt;=12),0,$C13*INDEX(Fondsen!$F$5:$Q$30,MATCH($B13,Fondsen!$A$5:$A$30,0),AR$8-$E13+1)))</f>
        <v/>
      </c>
      <c r="AS13" s="31" t="str">
        <f t="array" ref="AS13">IF(OR($B13="",$C13="",$E13=""),"",IF(OR(AS$8&lt;$E13,AS$8-$E13&gt;=12),0,$C13*INDEX(Fondsen!$F$5:$Q$30,MATCH($B13,Fondsen!$A$5:$A$30,0),AS$8-$E13+1)))</f>
        <v/>
      </c>
      <c r="AT13" s="32"/>
    </row>
    <row r="14" ht="24.0" customHeight="1">
      <c r="A14" s="33" t="str">
        <f>IF(B14="","",IFERROR(VLOOKUP(B14,Fondsen!$A$5:$B$30,2,FALSE()),""))</f>
        <v/>
      </c>
      <c r="B14" s="43"/>
      <c r="C14" s="35"/>
      <c r="D14" s="36" t="s">
        <v>11</v>
      </c>
      <c r="E14" s="37"/>
      <c r="F14" s="38" t="str">
        <f t="array" ref="F14">IF(OR($B14="",$C14="",$E14=""),"",IF(OR(F$8&lt;$E14,F$8-$E14&gt;=12),0,$C14*INDEX(Fondsen!$F$5:$Q$30,MATCH($B14,Fondsen!$A$5:$A$30,0),F$8-$E14+1)))</f>
        <v/>
      </c>
      <c r="G14" s="39" t="str">
        <f t="array" ref="G14">IF(OR($B14="",$C14="",$E14=""),"",IF(OR(G$8&lt;$E14,G$8-$E14&gt;=12),0,$C14*INDEX(Fondsen!$F$5:$Q$30,MATCH($B14,Fondsen!$A$5:$A$30,0),G$8-$E14+1)))</f>
        <v/>
      </c>
      <c r="H14" s="39" t="str">
        <f t="array" ref="H14">IF(OR($B14="",$C14="",$E14=""),"",IF(OR(H$8&lt;$E14,H$8-$E14&gt;=12),0,$C14*INDEX(Fondsen!$F$5:$Q$30,MATCH($B14,Fondsen!$A$5:$A$30,0),H$8-$E14+1)))</f>
        <v/>
      </c>
      <c r="I14" s="39" t="str">
        <f t="array" ref="I14">IF(OR($B14="",$C14="",$E14=""),"",IF(OR(I$8&lt;$E14,I$8-$E14&gt;=12),0,$C14*INDEX(Fondsen!$F$5:$Q$30,MATCH($B14,Fondsen!$A$5:$A$30,0),I$8-$E14+1)))</f>
        <v/>
      </c>
      <c r="J14" s="39" t="str">
        <f t="array" ref="J14">IF(OR($B14="",$C14="",$E14=""),"",IF(OR(J$8&lt;$E14,J$8-$E14&gt;=12),0,$C14*INDEX(Fondsen!$F$5:$Q$30,MATCH($B14,Fondsen!$A$5:$A$30,0),J$8-$E14+1)))</f>
        <v/>
      </c>
      <c r="K14" s="39" t="str">
        <f t="array" ref="K14">IF(OR($B14="",$C14="",$E14=""),"",IF(OR(K$8&lt;$E14,K$8-$E14&gt;=12),0,$C14*INDEX(Fondsen!$F$5:$Q$30,MATCH($B14,Fondsen!$A$5:$A$30,0),K$8-$E14+1)))</f>
        <v/>
      </c>
      <c r="L14" s="39" t="str">
        <f t="array" ref="L14">IF(OR($B14="",$C14="",$E14=""),"",IF(OR(L$8&lt;$E14,L$8-$E14&gt;=12),0,$C14*INDEX(Fondsen!$F$5:$Q$30,MATCH($B14,Fondsen!$A$5:$A$30,0),L$8-$E14+1)))</f>
        <v/>
      </c>
      <c r="M14" s="39" t="str">
        <f t="array" ref="M14">IF(OR($B14="",$C14="",$E14=""),"",IF(OR(M$8&lt;$E14,M$8-$E14&gt;=12),0,$C14*INDEX(Fondsen!$F$5:$Q$30,MATCH($B14,Fondsen!$A$5:$A$30,0),M$8-$E14+1)))</f>
        <v/>
      </c>
      <c r="N14" s="39" t="str">
        <f t="array" ref="N14">IF(OR($B14="",$C14="",$E14=""),"",IF(OR(N$8&lt;$E14,N$8-$E14&gt;=12),0,$C14*INDEX(Fondsen!$F$5:$Q$30,MATCH($B14,Fondsen!$A$5:$A$30,0),N$8-$E14+1)))</f>
        <v/>
      </c>
      <c r="O14" s="39" t="str">
        <f t="array" ref="O14">IF(OR($B14="",$C14="",$E14=""),"",IF(OR(O$8&lt;$E14,O$8-$E14&gt;=12),0,$C14*INDEX(Fondsen!$F$5:$Q$30,MATCH($B14,Fondsen!$A$5:$A$30,0),O$8-$E14+1)))</f>
        <v/>
      </c>
      <c r="P14" s="39" t="str">
        <f t="array" ref="P14">IF(OR($B14="",$C14="",$E14=""),"",IF(OR(P$8&lt;$E14,P$8-$E14&gt;=12),0,$C14*INDEX(Fondsen!$F$5:$Q$30,MATCH($B14,Fondsen!$A$5:$A$30,0),P$8-$E14+1)))</f>
        <v/>
      </c>
      <c r="Q14" s="39" t="str">
        <f t="array" ref="Q14">IF(OR($B14="",$C14="",$E14=""),"",IF(OR(Q$8&lt;$E14,Q$8-$E14&gt;=12),0,$C14*INDEX(Fondsen!$F$5:$Q$30,MATCH($B14,Fondsen!$A$5:$A$30,0),Q$8-$E14+1)))</f>
        <v/>
      </c>
      <c r="R14" s="39" t="str">
        <f t="array" ref="R14">IF(OR($B14="",$C14="",$E14=""),"",IF(OR(R$8&lt;$E14,R$8-$E14&gt;=12),0,$C14*INDEX(Fondsen!$F$5:$Q$30,MATCH($B14,Fondsen!$A$5:$A$30,0),R$8-$E14+1)))</f>
        <v/>
      </c>
      <c r="S14" s="39" t="str">
        <f t="array" ref="S14">IF(OR($B14="",$C14="",$E14=""),"",IF(OR(S$8&lt;$E14,S$8-$E14&gt;=12),0,$C14*INDEX(Fondsen!$F$5:$Q$30,MATCH($B14,Fondsen!$A$5:$A$30,0),S$8-$E14+1)))</f>
        <v/>
      </c>
      <c r="T14" s="39" t="str">
        <f t="array" ref="T14">IF(OR($B14="",$C14="",$E14=""),"",IF(OR(T$8&lt;$E14,T$8-$E14&gt;=12),0,$C14*INDEX(Fondsen!$F$5:$Q$30,MATCH($B14,Fondsen!$A$5:$A$30,0),T$8-$E14+1)))</f>
        <v/>
      </c>
      <c r="U14" s="39" t="str">
        <f t="array" ref="U14">IF(OR($B14="",$C14="",$E14=""),"",IF(OR(U$8&lt;$E14,U$8-$E14&gt;=12),0,$C14*INDEX(Fondsen!$F$5:$Q$30,MATCH($B14,Fondsen!$A$5:$A$30,0),U$8-$E14+1)))</f>
        <v/>
      </c>
      <c r="V14" s="39" t="str">
        <f t="array" ref="V14">IF(OR($B14="",$C14="",$E14=""),"",IF(OR(V$8&lt;$E14,V$8-$E14&gt;=12),0,$C14*INDEX(Fondsen!$F$5:$Q$30,MATCH($B14,Fondsen!$A$5:$A$30,0),V$8-$E14+1)))</f>
        <v/>
      </c>
      <c r="W14" s="39" t="str">
        <f t="array" ref="W14">IF(OR($B14="",$C14="",$E14=""),"",IF(OR(W$8&lt;$E14,W$8-$E14&gt;=12),0,$C14*INDEX(Fondsen!$F$5:$Q$30,MATCH($B14,Fondsen!$A$5:$A$30,0),W$8-$E14+1)))</f>
        <v/>
      </c>
      <c r="X14" s="39" t="str">
        <f t="array" ref="X14">IF(OR($B14="",$C14="",$E14=""),"",IF(OR(X$8&lt;$E14,X$8-$E14&gt;=12),0,$C14*INDEX(Fondsen!$F$5:$Q$30,MATCH($B14,Fondsen!$A$5:$A$30,0),X$8-$E14+1)))</f>
        <v/>
      </c>
      <c r="Y14" s="39" t="str">
        <f t="array" ref="Y14">IF(OR($B14="",$C14="",$E14=""),"",IF(OR(Y$8&lt;$E14,Y$8-$E14&gt;=12),0,$C14*INDEX(Fondsen!$F$5:$Q$30,MATCH($B14,Fondsen!$A$5:$A$30,0),Y$8-$E14+1)))</f>
        <v/>
      </c>
      <c r="Z14" s="39" t="str">
        <f t="array" ref="Z14">IF(OR($B14="",$C14="",$E14=""),"",IF(OR(Z$8&lt;$E14,Z$8-$E14&gt;=12),0,$C14*INDEX(Fondsen!$F$5:$Q$30,MATCH($B14,Fondsen!$A$5:$A$30,0),Z$8-$E14+1)))</f>
        <v/>
      </c>
      <c r="AA14" s="39" t="str">
        <f t="array" ref="AA14">IF(OR($B14="",$C14="",$E14=""),"",IF(OR(AA$8&lt;$E14,AA$8-$E14&gt;=12),0,$C14*INDEX(Fondsen!$F$5:$Q$30,MATCH($B14,Fondsen!$A$5:$A$30,0),AA$8-$E14+1)))</f>
        <v/>
      </c>
      <c r="AB14" s="39" t="str">
        <f t="array" ref="AB14">IF(OR($B14="",$C14="",$E14=""),"",IF(OR(AB$8&lt;$E14,AB$8-$E14&gt;=12),0,$C14*INDEX(Fondsen!$F$5:$Q$30,MATCH($B14,Fondsen!$A$5:$A$30,0),AB$8-$E14+1)))</f>
        <v/>
      </c>
      <c r="AC14" s="39" t="str">
        <f t="array" ref="AC14">IF(OR($B14="",$C14="",$E14=""),"",IF(OR(AC$8&lt;$E14,AC$8-$E14&gt;=12),0,$C14*INDEX(Fondsen!$F$5:$Q$30,MATCH($B14,Fondsen!$A$5:$A$30,0),AC$8-$E14+1)))</f>
        <v/>
      </c>
      <c r="AD14" s="39" t="str">
        <f t="array" ref="AD14">IF(OR($B14="",$C14="",$E14=""),"",IF(OR(AD$8&lt;$E14,AD$8-$E14&gt;=12),0,$C14*INDEX(Fondsen!$F$5:$Q$30,MATCH($B14,Fondsen!$A$5:$A$30,0),AD$8-$E14+1)))</f>
        <v/>
      </c>
      <c r="AE14" s="39" t="str">
        <f t="array" ref="AE14">IF(OR($B14="",$C14="",$E14=""),"",IF(OR(AE$8&lt;$E14,AE$8-$E14&gt;=12),0,$C14*INDEX(Fondsen!$F$5:$Q$30,MATCH($B14,Fondsen!$A$5:$A$30,0),AE$8-$E14+1)))</f>
        <v/>
      </c>
      <c r="AF14" s="39" t="str">
        <f t="array" ref="AF14">IF(OR($B14="",$C14="",$E14=""),"",IF(OR(AF$8&lt;$E14,AF$8-$E14&gt;=12),0,$C14*INDEX(Fondsen!$F$5:$Q$30,MATCH($B14,Fondsen!$A$5:$A$30,0),AF$8-$E14+1)))</f>
        <v/>
      </c>
      <c r="AG14" s="39" t="str">
        <f t="array" ref="AG14">IF(OR($B14="",$C14="",$E14=""),"",IF(OR(AG$8&lt;$E14,AG$8-$E14&gt;=12),0,$C14*INDEX(Fondsen!$F$5:$Q$30,MATCH($B14,Fondsen!$A$5:$A$30,0),AG$8-$E14+1)))</f>
        <v/>
      </c>
      <c r="AH14" s="39" t="str">
        <f t="array" ref="AH14">IF(OR($B14="",$C14="",$E14=""),"",IF(OR(AH$8&lt;$E14,AH$8-$E14&gt;=12),0,$C14*INDEX(Fondsen!$F$5:$Q$30,MATCH($B14,Fondsen!$A$5:$A$30,0),AH$8-$E14+1)))</f>
        <v/>
      </c>
      <c r="AI14" s="39" t="str">
        <f t="array" ref="AI14">IF(OR($B14="",$C14="",$E14=""),"",IF(OR(AI$8&lt;$E14,AI$8-$E14&gt;=12),0,$C14*INDEX(Fondsen!$F$5:$Q$30,MATCH($B14,Fondsen!$A$5:$A$30,0),AI$8-$E14+1)))</f>
        <v/>
      </c>
      <c r="AJ14" s="39" t="str">
        <f t="array" ref="AJ14">IF(OR($B14="",$C14="",$E14=""),"",IF(OR(AJ$8&lt;$E14,AJ$8-$E14&gt;=12),0,$C14*INDEX(Fondsen!$F$5:$Q$30,MATCH($B14,Fondsen!$A$5:$A$30,0),AJ$8-$E14+1)))</f>
        <v/>
      </c>
      <c r="AK14" s="39" t="str">
        <f t="array" ref="AK14">IF(OR($B14="",$C14="",$E14=""),"",IF(OR(AK$8&lt;$E14,AK$8-$E14&gt;=12),0,$C14*INDEX(Fondsen!$F$5:$Q$30,MATCH($B14,Fondsen!$A$5:$A$30,0),AK$8-$E14+1)))</f>
        <v/>
      </c>
      <c r="AL14" s="39" t="str">
        <f t="array" ref="AL14">IF(OR($B14="",$C14="",$E14=""),"",IF(OR(AL$8&lt;$E14,AL$8-$E14&gt;=12),0,$C14*INDEX(Fondsen!$F$5:$Q$30,MATCH($B14,Fondsen!$A$5:$A$30,0),AL$8-$E14+1)))</f>
        <v/>
      </c>
      <c r="AM14" s="39" t="str">
        <f t="array" ref="AM14">IF(OR($B14="",$C14="",$E14=""),"",IF(OR(AM$8&lt;$E14,AM$8-$E14&gt;=12),0,$C14*INDEX(Fondsen!$F$5:$Q$30,MATCH($B14,Fondsen!$A$5:$A$30,0),AM$8-$E14+1)))</f>
        <v/>
      </c>
      <c r="AN14" s="39" t="str">
        <f t="array" ref="AN14">IF(OR($B14="",$C14="",$E14=""),"",IF(OR(AN$8&lt;$E14,AN$8-$E14&gt;=12),0,$C14*INDEX(Fondsen!$F$5:$Q$30,MATCH($B14,Fondsen!$A$5:$A$30,0),AN$8-$E14+1)))</f>
        <v/>
      </c>
      <c r="AO14" s="39" t="str">
        <f t="array" ref="AO14">IF(OR($B14="",$C14="",$E14=""),"",IF(OR(AO$8&lt;$E14,AO$8-$E14&gt;=12),0,$C14*INDEX(Fondsen!$F$5:$Q$30,MATCH($B14,Fondsen!$A$5:$A$30,0),AO$8-$E14+1)))</f>
        <v/>
      </c>
      <c r="AP14" s="39" t="str">
        <f t="array" ref="AP14">IF(OR($B14="",$C14="",$E14=""),"",IF(OR(AP$8&lt;$E14,AP$8-$E14&gt;=12),0,$C14*INDEX(Fondsen!$F$5:$Q$30,MATCH($B14,Fondsen!$A$5:$A$30,0),AP$8-$E14+1)))</f>
        <v/>
      </c>
      <c r="AQ14" s="39" t="str">
        <f t="array" ref="AQ14">IF(OR($B14="",$C14="",$E14=""),"",IF(OR(AQ$8&lt;$E14,AQ$8-$E14&gt;=12),0,$C14*INDEX(Fondsen!$F$5:$Q$30,MATCH($B14,Fondsen!$A$5:$A$30,0),AQ$8-$E14+1)))</f>
        <v/>
      </c>
      <c r="AR14" s="39" t="str">
        <f t="array" ref="AR14">IF(OR($B14="",$C14="",$E14=""),"",IF(OR(AR$8&lt;$E14,AR$8-$E14&gt;=12),0,$C14*INDEX(Fondsen!$F$5:$Q$30,MATCH($B14,Fondsen!$A$5:$A$30,0),AR$8-$E14+1)))</f>
        <v/>
      </c>
      <c r="AS14" s="39" t="str">
        <f t="array" ref="AS14">IF(OR($B14="",$C14="",$E14=""),"",IF(OR(AS$8&lt;$E14,AS$8-$E14&gt;=12),0,$C14*INDEX(Fondsen!$F$5:$Q$30,MATCH($B14,Fondsen!$A$5:$A$30,0),AS$8-$E14+1)))</f>
        <v/>
      </c>
      <c r="AT14" s="32"/>
    </row>
    <row r="15" ht="24.0" customHeight="1">
      <c r="A15" s="25" t="str">
        <f>IF(B15="","",IFERROR(VLOOKUP(B15,Fondsen!$A$5:$B$30,2,FALSE()),""))</f>
        <v/>
      </c>
      <c r="B15" s="40"/>
      <c r="C15" s="27"/>
      <c r="D15" s="44" t="s">
        <v>11</v>
      </c>
      <c r="E15" s="29"/>
      <c r="F15" s="30" t="str">
        <f t="array" ref="F15">IF(OR($B15="",$C15="",$E15=""),"",IF(OR(F$8&lt;$E15,F$8-$E15&gt;=12),0,$C15*INDEX(Fondsen!$F$5:$Q$30,MATCH($B15,Fondsen!$A$5:$A$30,0),F$8-$E15+1)))</f>
        <v/>
      </c>
      <c r="G15" s="31" t="str">
        <f t="array" ref="G15">IF(OR($B15="",$C15="",$E15=""),"",IF(OR(G$8&lt;$E15,G$8-$E15&gt;=12),0,$C15*INDEX(Fondsen!$F$5:$Q$30,MATCH($B15,Fondsen!$A$5:$A$30,0),G$8-$E15+1)))</f>
        <v/>
      </c>
      <c r="H15" s="30" t="str">
        <f t="array" ref="H15">IF(OR($B15="",$C15="",$E15=""),"",IF(OR(H$8&lt;$E15,H$8-$E15&gt;=12),0,$C15*INDEX(Fondsen!$F$5:$Q$30,MATCH($B15,Fondsen!$A$5:$A$30,0),H$8-$E15+1)))</f>
        <v/>
      </c>
      <c r="I15" s="31" t="str">
        <f t="array" ref="I15">IF(OR($B15="",$C15="",$E15=""),"",IF(OR(I$8&lt;$E15,I$8-$E15&gt;=12),0,$C15*INDEX(Fondsen!$F$5:$Q$30,MATCH($B15,Fondsen!$A$5:$A$30,0),I$8-$E15+1)))</f>
        <v/>
      </c>
      <c r="J15" s="30" t="str">
        <f t="array" ref="J15">IF(OR($B15="",$C15="",$E15=""),"",IF(OR(J$8&lt;$E15,J$8-$E15&gt;=12),0,$C15*INDEX(Fondsen!$F$5:$Q$30,MATCH($B15,Fondsen!$A$5:$A$30,0),J$8-$E15+1)))</f>
        <v/>
      </c>
      <c r="K15" s="31" t="str">
        <f t="array" ref="K15">IF(OR($B15="",$C15="",$E15=""),"",IF(OR(K$8&lt;$E15,K$8-$E15&gt;=12),0,$C15*INDEX(Fondsen!$F$5:$Q$30,MATCH($B15,Fondsen!$A$5:$A$30,0),K$8-$E15+1)))</f>
        <v/>
      </c>
      <c r="L15" s="30" t="str">
        <f t="array" ref="L15">IF(OR($B15="",$C15="",$E15=""),"",IF(OR(L$8&lt;$E15,L$8-$E15&gt;=12),0,$C15*INDEX(Fondsen!$F$5:$Q$30,MATCH($B15,Fondsen!$A$5:$A$30,0),L$8-$E15+1)))</f>
        <v/>
      </c>
      <c r="M15" s="31" t="str">
        <f t="array" ref="M15">IF(OR($B15="",$C15="",$E15=""),"",IF(OR(M$8&lt;$E15,M$8-$E15&gt;=12),0,$C15*INDEX(Fondsen!$F$5:$Q$30,MATCH($B15,Fondsen!$A$5:$A$30,0),M$8-$E15+1)))</f>
        <v/>
      </c>
      <c r="N15" s="30" t="str">
        <f t="array" ref="N15">IF(OR($B15="",$C15="",$E15=""),"",IF(OR(N$8&lt;$E15,N$8-$E15&gt;=12),0,$C15*INDEX(Fondsen!$F$5:$Q$30,MATCH($B15,Fondsen!$A$5:$A$30,0),N$8-$E15+1)))</f>
        <v/>
      </c>
      <c r="O15" s="31" t="str">
        <f t="array" ref="O15">IF(OR($B15="",$C15="",$E15=""),"",IF(OR(O$8&lt;$E15,O$8-$E15&gt;=12),0,$C15*INDEX(Fondsen!$F$5:$Q$30,MATCH($B15,Fondsen!$A$5:$A$30,0),O$8-$E15+1)))</f>
        <v/>
      </c>
      <c r="P15" s="30" t="str">
        <f t="array" ref="P15">IF(OR($B15="",$C15="",$E15=""),"",IF(OR(P$8&lt;$E15,P$8-$E15&gt;=12),0,$C15*INDEX(Fondsen!$F$5:$Q$30,MATCH($B15,Fondsen!$A$5:$A$30,0),P$8-$E15+1)))</f>
        <v/>
      </c>
      <c r="Q15" s="31" t="str">
        <f t="array" ref="Q15">IF(OR($B15="",$C15="",$E15=""),"",IF(OR(Q$8&lt;$E15,Q$8-$E15&gt;=12),0,$C15*INDEX(Fondsen!$F$5:$Q$30,MATCH($B15,Fondsen!$A$5:$A$30,0),Q$8-$E15+1)))</f>
        <v/>
      </c>
      <c r="R15" s="30" t="str">
        <f t="array" ref="R15">IF(OR($B15="",$C15="",$E15=""),"",IF(OR(R$8&lt;$E15,R$8-$E15&gt;=12),0,$C15*INDEX(Fondsen!$F$5:$Q$30,MATCH($B15,Fondsen!$A$5:$A$30,0),R$8-$E15+1)))</f>
        <v/>
      </c>
      <c r="S15" s="31" t="str">
        <f t="array" ref="S15">IF(OR($B15="",$C15="",$E15=""),"",IF(OR(S$8&lt;$E15,S$8-$E15&gt;=12),0,$C15*INDEX(Fondsen!$F$5:$Q$30,MATCH($B15,Fondsen!$A$5:$A$30,0),S$8-$E15+1)))</f>
        <v/>
      </c>
      <c r="T15" s="30" t="str">
        <f t="array" ref="T15">IF(OR($B15="",$C15="",$E15=""),"",IF(OR(T$8&lt;$E15,T$8-$E15&gt;=12),0,$C15*INDEX(Fondsen!$F$5:$Q$30,MATCH($B15,Fondsen!$A$5:$A$30,0),T$8-$E15+1)))</f>
        <v/>
      </c>
      <c r="U15" s="31" t="str">
        <f t="array" ref="U15">IF(OR($B15="",$C15="",$E15=""),"",IF(OR(U$8&lt;$E15,U$8-$E15&gt;=12),0,$C15*INDEX(Fondsen!$F$5:$Q$30,MATCH($B15,Fondsen!$A$5:$A$30,0),U$8-$E15+1)))</f>
        <v/>
      </c>
      <c r="V15" s="30" t="str">
        <f t="array" ref="V15">IF(OR($B15="",$C15="",$E15=""),"",IF(OR(V$8&lt;$E15,V$8-$E15&gt;=12),0,$C15*INDEX(Fondsen!$F$5:$Q$30,MATCH($B15,Fondsen!$A$5:$A$30,0),V$8-$E15+1)))</f>
        <v/>
      </c>
      <c r="W15" s="31" t="str">
        <f t="array" ref="W15">IF(OR($B15="",$C15="",$E15=""),"",IF(OR(W$8&lt;$E15,W$8-$E15&gt;=12),0,$C15*INDEX(Fondsen!$F$5:$Q$30,MATCH($B15,Fondsen!$A$5:$A$30,0),W$8-$E15+1)))</f>
        <v/>
      </c>
      <c r="X15" s="30" t="str">
        <f t="array" ref="X15">IF(OR($B15="",$C15="",$E15=""),"",IF(OR(X$8&lt;$E15,X$8-$E15&gt;=12),0,$C15*INDEX(Fondsen!$F$5:$Q$30,MATCH($B15,Fondsen!$A$5:$A$30,0),X$8-$E15+1)))</f>
        <v/>
      </c>
      <c r="Y15" s="31" t="str">
        <f t="array" ref="Y15">IF(OR($B15="",$C15="",$E15=""),"",IF(OR(Y$8&lt;$E15,Y$8-$E15&gt;=12),0,$C15*INDEX(Fondsen!$F$5:$Q$30,MATCH($B15,Fondsen!$A$5:$A$30,0),Y$8-$E15+1)))</f>
        <v/>
      </c>
      <c r="Z15" s="30" t="str">
        <f t="array" ref="Z15">IF(OR($B15="",$C15="",$E15=""),"",IF(OR(Z$8&lt;$E15,Z$8-$E15&gt;=12),0,$C15*INDEX(Fondsen!$F$5:$Q$30,MATCH($B15,Fondsen!$A$5:$A$30,0),Z$8-$E15+1)))</f>
        <v/>
      </c>
      <c r="AA15" s="31" t="str">
        <f t="array" ref="AA15">IF(OR($B15="",$C15="",$E15=""),"",IF(OR(AA$8&lt;$E15,AA$8-$E15&gt;=12),0,$C15*INDEX(Fondsen!$F$5:$Q$30,MATCH($B15,Fondsen!$A$5:$A$30,0),AA$8-$E15+1)))</f>
        <v/>
      </c>
      <c r="AB15" s="30" t="str">
        <f t="array" ref="AB15">IF(OR($B15="",$C15="",$E15=""),"",IF(OR(AB$8&lt;$E15,AB$8-$E15&gt;=12),0,$C15*INDEX(Fondsen!$F$5:$Q$30,MATCH($B15,Fondsen!$A$5:$A$30,0),AB$8-$E15+1)))</f>
        <v/>
      </c>
      <c r="AC15" s="31" t="str">
        <f t="array" ref="AC15">IF(OR($B15="",$C15="",$E15=""),"",IF(OR(AC$8&lt;$E15,AC$8-$E15&gt;=12),0,$C15*INDEX(Fondsen!$F$5:$Q$30,MATCH($B15,Fondsen!$A$5:$A$30,0),AC$8-$E15+1)))</f>
        <v/>
      </c>
      <c r="AD15" s="30" t="str">
        <f t="array" ref="AD15">IF(OR($B15="",$C15="",$E15=""),"",IF(OR(AD$8&lt;$E15,AD$8-$E15&gt;=12),0,$C15*INDEX(Fondsen!$F$5:$Q$30,MATCH($B15,Fondsen!$A$5:$A$30,0),AD$8-$E15+1)))</f>
        <v/>
      </c>
      <c r="AE15" s="31" t="str">
        <f t="array" ref="AE15">IF(OR($B15="",$C15="",$E15=""),"",IF(OR(AE$8&lt;$E15,AE$8-$E15&gt;=12),0,$C15*INDEX(Fondsen!$F$5:$Q$30,MATCH($B15,Fondsen!$A$5:$A$30,0),AE$8-$E15+1)))</f>
        <v/>
      </c>
      <c r="AF15" s="30" t="str">
        <f t="array" ref="AF15">IF(OR($B15="",$C15="",$E15=""),"",IF(OR(AF$8&lt;$E15,AF$8-$E15&gt;=12),0,$C15*INDEX(Fondsen!$F$5:$Q$30,MATCH($B15,Fondsen!$A$5:$A$30,0),AF$8-$E15+1)))</f>
        <v/>
      </c>
      <c r="AG15" s="31" t="str">
        <f t="array" ref="AG15">IF(OR($B15="",$C15="",$E15=""),"",IF(OR(AG$8&lt;$E15,AG$8-$E15&gt;=12),0,$C15*INDEX(Fondsen!$F$5:$Q$30,MATCH($B15,Fondsen!$A$5:$A$30,0),AG$8-$E15+1)))</f>
        <v/>
      </c>
      <c r="AH15" s="30" t="str">
        <f t="array" ref="AH15">IF(OR($B15="",$C15="",$E15=""),"",IF(OR(AH$8&lt;$E15,AH$8-$E15&gt;=12),0,$C15*INDEX(Fondsen!$F$5:$Q$30,MATCH($B15,Fondsen!$A$5:$A$30,0),AH$8-$E15+1)))</f>
        <v/>
      </c>
      <c r="AI15" s="31" t="str">
        <f t="array" ref="AI15">IF(OR($B15="",$C15="",$E15=""),"",IF(OR(AI$8&lt;$E15,AI$8-$E15&gt;=12),0,$C15*INDEX(Fondsen!$F$5:$Q$30,MATCH($B15,Fondsen!$A$5:$A$30,0),AI$8-$E15+1)))</f>
        <v/>
      </c>
      <c r="AJ15" s="30" t="str">
        <f t="array" ref="AJ15">IF(OR($B15="",$C15="",$E15=""),"",IF(OR(AJ$8&lt;$E15,AJ$8-$E15&gt;=12),0,$C15*INDEX(Fondsen!$F$5:$Q$30,MATCH($B15,Fondsen!$A$5:$A$30,0),AJ$8-$E15+1)))</f>
        <v/>
      </c>
      <c r="AK15" s="31" t="str">
        <f t="array" ref="AK15">IF(OR($B15="",$C15="",$E15=""),"",IF(OR(AK$8&lt;$E15,AK$8-$E15&gt;=12),0,$C15*INDEX(Fondsen!$F$5:$Q$30,MATCH($B15,Fondsen!$A$5:$A$30,0),AK$8-$E15+1)))</f>
        <v/>
      </c>
      <c r="AL15" s="30" t="str">
        <f t="array" ref="AL15">IF(OR($B15="",$C15="",$E15=""),"",IF(OR(AL$8&lt;$E15,AL$8-$E15&gt;=12),0,$C15*INDEX(Fondsen!$F$5:$Q$30,MATCH($B15,Fondsen!$A$5:$A$30,0),AL$8-$E15+1)))</f>
        <v/>
      </c>
      <c r="AM15" s="31" t="str">
        <f t="array" ref="AM15">IF(OR($B15="",$C15="",$E15=""),"",IF(OR(AM$8&lt;$E15,AM$8-$E15&gt;=12),0,$C15*INDEX(Fondsen!$F$5:$Q$30,MATCH($B15,Fondsen!$A$5:$A$30,0),AM$8-$E15+1)))</f>
        <v/>
      </c>
      <c r="AN15" s="30" t="str">
        <f t="array" ref="AN15">IF(OR($B15="",$C15="",$E15=""),"",IF(OR(AN$8&lt;$E15,AN$8-$E15&gt;=12),0,$C15*INDEX(Fondsen!$F$5:$Q$30,MATCH($B15,Fondsen!$A$5:$A$30,0),AN$8-$E15+1)))</f>
        <v/>
      </c>
      <c r="AO15" s="31" t="str">
        <f t="array" ref="AO15">IF(OR($B15="",$C15="",$E15=""),"",IF(OR(AO$8&lt;$E15,AO$8-$E15&gt;=12),0,$C15*INDEX(Fondsen!$F$5:$Q$30,MATCH($B15,Fondsen!$A$5:$A$30,0),AO$8-$E15+1)))</f>
        <v/>
      </c>
      <c r="AP15" s="30" t="str">
        <f t="array" ref="AP15">IF(OR($B15="",$C15="",$E15=""),"",IF(OR(AP$8&lt;$E15,AP$8-$E15&gt;=12),0,$C15*INDEX(Fondsen!$F$5:$Q$30,MATCH($B15,Fondsen!$A$5:$A$30,0),AP$8-$E15+1)))</f>
        <v/>
      </c>
      <c r="AQ15" s="31" t="str">
        <f t="array" ref="AQ15">IF(OR($B15="",$C15="",$E15=""),"",IF(OR(AQ$8&lt;$E15,AQ$8-$E15&gt;=12),0,$C15*INDEX(Fondsen!$F$5:$Q$30,MATCH($B15,Fondsen!$A$5:$A$30,0),AQ$8-$E15+1)))</f>
        <v/>
      </c>
      <c r="AR15" s="30" t="str">
        <f t="array" ref="AR15">IF(OR($B15="",$C15="",$E15=""),"",IF(OR(AR$8&lt;$E15,AR$8-$E15&gt;=12),0,$C15*INDEX(Fondsen!$F$5:$Q$30,MATCH($B15,Fondsen!$A$5:$A$30,0),AR$8-$E15+1)))</f>
        <v/>
      </c>
      <c r="AS15" s="31" t="str">
        <f t="array" ref="AS15">IF(OR($B15="",$C15="",$E15=""),"",IF(OR(AS$8&lt;$E15,AS$8-$E15&gt;=12),0,$C15*INDEX(Fondsen!$F$5:$Q$30,MATCH($B15,Fondsen!$A$5:$A$30,0),AS$8-$E15+1)))</f>
        <v/>
      </c>
      <c r="AT15" s="45"/>
    </row>
    <row r="16" ht="24.0" customHeight="1">
      <c r="A16" s="33" t="str">
        <f>IF(B16="","",IFERROR(VLOOKUP(B16,Fondsen!$A$5:$B$30,2,FALSE()),""))</f>
        <v/>
      </c>
      <c r="B16" s="34"/>
      <c r="C16" s="35"/>
      <c r="D16" s="46" t="s">
        <v>11</v>
      </c>
      <c r="E16" s="37"/>
      <c r="F16" s="38" t="str">
        <f t="array" ref="F16">IF(OR($B16="",$C16="",$E16=""),"",IF(OR(F$8&lt;$E16,F$8-$E16&gt;=12),0,$C16*INDEX(Fondsen!$F$5:$Q$30,MATCH($B16,Fondsen!$A$5:$A$30,0),F$8-$E16+1)))</f>
        <v/>
      </c>
      <c r="G16" s="39" t="str">
        <f t="array" ref="G16">IF(OR($B16="",$C16="",$E16=""),"",IF(OR(G$8&lt;$E16,G$8-$E16&gt;=12),0,$C16*INDEX(Fondsen!$F$5:$Q$30,MATCH($B16,Fondsen!$A$5:$A$30,0),G$8-$E16+1)))</f>
        <v/>
      </c>
      <c r="H16" s="38" t="str">
        <f t="array" ref="H16">IF(OR($B16="",$C16="",$E16=""),"",IF(OR(H$8&lt;$E16,H$8-$E16&gt;=12),0,$C16*INDEX(Fondsen!$F$5:$Q$30,MATCH($B16,Fondsen!$A$5:$A$30,0),H$8-$E16+1)))</f>
        <v/>
      </c>
      <c r="I16" s="39" t="str">
        <f t="array" ref="I16">IF(OR($B16="",$C16="",$E16=""),"",IF(OR(I$8&lt;$E16,I$8-$E16&gt;=12),0,$C16*INDEX(Fondsen!$F$5:$Q$30,MATCH($B16,Fondsen!$A$5:$A$30,0),I$8-$E16+1)))</f>
        <v/>
      </c>
      <c r="J16" s="38" t="str">
        <f t="array" ref="J16">IF(OR($B16="",$C16="",$E16=""),"",IF(OR(J$8&lt;$E16,J$8-$E16&gt;=12),0,$C16*INDEX(Fondsen!$F$5:$Q$30,MATCH($B16,Fondsen!$A$5:$A$30,0),J$8-$E16+1)))</f>
        <v/>
      </c>
      <c r="K16" s="39" t="str">
        <f t="array" ref="K16">IF(OR($B16="",$C16="",$E16=""),"",IF(OR(K$8&lt;$E16,K$8-$E16&gt;=12),0,$C16*INDEX(Fondsen!$F$5:$Q$30,MATCH($B16,Fondsen!$A$5:$A$30,0),K$8-$E16+1)))</f>
        <v/>
      </c>
      <c r="L16" s="38" t="str">
        <f t="array" ref="L16">IF(OR($B16="",$C16="",$E16=""),"",IF(OR(L$8&lt;$E16,L$8-$E16&gt;=12),0,$C16*INDEX(Fondsen!$F$5:$Q$30,MATCH($B16,Fondsen!$A$5:$A$30,0),L$8-$E16+1)))</f>
        <v/>
      </c>
      <c r="M16" s="39" t="str">
        <f t="array" ref="M16">IF(OR($B16="",$C16="",$E16=""),"",IF(OR(M$8&lt;$E16,M$8-$E16&gt;=12),0,$C16*INDEX(Fondsen!$F$5:$Q$30,MATCH($B16,Fondsen!$A$5:$A$30,0),M$8-$E16+1)))</f>
        <v/>
      </c>
      <c r="N16" s="38" t="str">
        <f t="array" ref="N16">IF(OR($B16="",$C16="",$E16=""),"",IF(OR(N$8&lt;$E16,N$8-$E16&gt;=12),0,$C16*INDEX(Fondsen!$F$5:$Q$30,MATCH($B16,Fondsen!$A$5:$A$30,0),N$8-$E16+1)))</f>
        <v/>
      </c>
      <c r="O16" s="39" t="str">
        <f t="array" ref="O16">IF(OR($B16="",$C16="",$E16=""),"",IF(OR(O$8&lt;$E16,O$8-$E16&gt;=12),0,$C16*INDEX(Fondsen!$F$5:$Q$30,MATCH($B16,Fondsen!$A$5:$A$30,0),O$8-$E16+1)))</f>
        <v/>
      </c>
      <c r="P16" s="38" t="str">
        <f t="array" ref="P16">IF(OR($B16="",$C16="",$E16=""),"",IF(OR(P$8&lt;$E16,P$8-$E16&gt;=12),0,$C16*INDEX(Fondsen!$F$5:$Q$30,MATCH($B16,Fondsen!$A$5:$A$30,0),P$8-$E16+1)))</f>
        <v/>
      </c>
      <c r="Q16" s="39" t="str">
        <f t="array" ref="Q16">IF(OR($B16="",$C16="",$E16=""),"",IF(OR(Q$8&lt;$E16,Q$8-$E16&gt;=12),0,$C16*INDEX(Fondsen!$F$5:$Q$30,MATCH($B16,Fondsen!$A$5:$A$30,0),Q$8-$E16+1)))</f>
        <v/>
      </c>
      <c r="R16" s="38" t="str">
        <f t="array" ref="R16">IF(OR($B16="",$C16="",$E16=""),"",IF(OR(R$8&lt;$E16,R$8-$E16&gt;=12),0,$C16*INDEX(Fondsen!$F$5:$Q$30,MATCH($B16,Fondsen!$A$5:$A$30,0),R$8-$E16+1)))</f>
        <v/>
      </c>
      <c r="S16" s="39" t="str">
        <f t="array" ref="S16">IF(OR($B16="",$C16="",$E16=""),"",IF(OR(S$8&lt;$E16,S$8-$E16&gt;=12),0,$C16*INDEX(Fondsen!$F$5:$Q$30,MATCH($B16,Fondsen!$A$5:$A$30,0),S$8-$E16+1)))</f>
        <v/>
      </c>
      <c r="T16" s="38" t="str">
        <f t="array" ref="T16">IF(OR($B16="",$C16="",$E16=""),"",IF(OR(T$8&lt;$E16,T$8-$E16&gt;=12),0,$C16*INDEX(Fondsen!$F$5:$Q$30,MATCH($B16,Fondsen!$A$5:$A$30,0),T$8-$E16+1)))</f>
        <v/>
      </c>
      <c r="U16" s="39" t="str">
        <f t="array" ref="U16">IF(OR($B16="",$C16="",$E16=""),"",IF(OR(U$8&lt;$E16,U$8-$E16&gt;=12),0,$C16*INDEX(Fondsen!$F$5:$Q$30,MATCH($B16,Fondsen!$A$5:$A$30,0),U$8-$E16+1)))</f>
        <v/>
      </c>
      <c r="V16" s="38" t="str">
        <f t="array" ref="V16">IF(OR($B16="",$C16="",$E16=""),"",IF(OR(V$8&lt;$E16,V$8-$E16&gt;=12),0,$C16*INDEX(Fondsen!$F$5:$Q$30,MATCH($B16,Fondsen!$A$5:$A$30,0),V$8-$E16+1)))</f>
        <v/>
      </c>
      <c r="W16" s="39" t="str">
        <f t="array" ref="W16">IF(OR($B16="",$C16="",$E16=""),"",IF(OR(W$8&lt;$E16,W$8-$E16&gt;=12),0,$C16*INDEX(Fondsen!$F$5:$Q$30,MATCH($B16,Fondsen!$A$5:$A$30,0),W$8-$E16+1)))</f>
        <v/>
      </c>
      <c r="X16" s="38" t="str">
        <f t="array" ref="X16">IF(OR($B16="",$C16="",$E16=""),"",IF(OR(X$8&lt;$E16,X$8-$E16&gt;=12),0,$C16*INDEX(Fondsen!$F$5:$Q$30,MATCH($B16,Fondsen!$A$5:$A$30,0),X$8-$E16+1)))</f>
        <v/>
      </c>
      <c r="Y16" s="39" t="str">
        <f t="array" ref="Y16">IF(OR($B16="",$C16="",$E16=""),"",IF(OR(Y$8&lt;$E16,Y$8-$E16&gt;=12),0,$C16*INDEX(Fondsen!$F$5:$Q$30,MATCH($B16,Fondsen!$A$5:$A$30,0),Y$8-$E16+1)))</f>
        <v/>
      </c>
      <c r="Z16" s="38" t="str">
        <f t="array" ref="Z16">IF(OR($B16="",$C16="",$E16=""),"",IF(OR(Z$8&lt;$E16,Z$8-$E16&gt;=12),0,$C16*INDEX(Fondsen!$F$5:$Q$30,MATCH($B16,Fondsen!$A$5:$A$30,0),Z$8-$E16+1)))</f>
        <v/>
      </c>
      <c r="AA16" s="39" t="str">
        <f t="array" ref="AA16">IF(OR($B16="",$C16="",$E16=""),"",IF(OR(AA$8&lt;$E16,AA$8-$E16&gt;=12),0,$C16*INDEX(Fondsen!$F$5:$Q$30,MATCH($B16,Fondsen!$A$5:$A$30,0),AA$8-$E16+1)))</f>
        <v/>
      </c>
      <c r="AB16" s="38" t="str">
        <f t="array" ref="AB16">IF(OR($B16="",$C16="",$E16=""),"",IF(OR(AB$8&lt;$E16,AB$8-$E16&gt;=12),0,$C16*INDEX(Fondsen!$F$5:$Q$30,MATCH($B16,Fondsen!$A$5:$A$30,0),AB$8-$E16+1)))</f>
        <v/>
      </c>
      <c r="AC16" s="39" t="str">
        <f t="array" ref="AC16">IF(OR($B16="",$C16="",$E16=""),"",IF(OR(AC$8&lt;$E16,AC$8-$E16&gt;=12),0,$C16*INDEX(Fondsen!$F$5:$Q$30,MATCH($B16,Fondsen!$A$5:$A$30,0),AC$8-$E16+1)))</f>
        <v/>
      </c>
      <c r="AD16" s="38" t="str">
        <f t="array" ref="AD16">IF(OR($B16="",$C16="",$E16=""),"",IF(OR(AD$8&lt;$E16,AD$8-$E16&gt;=12),0,$C16*INDEX(Fondsen!$F$5:$Q$30,MATCH($B16,Fondsen!$A$5:$A$30,0),AD$8-$E16+1)))</f>
        <v/>
      </c>
      <c r="AE16" s="39" t="str">
        <f t="array" ref="AE16">IF(OR($B16="",$C16="",$E16=""),"",IF(OR(AE$8&lt;$E16,AE$8-$E16&gt;=12),0,$C16*INDEX(Fondsen!$F$5:$Q$30,MATCH($B16,Fondsen!$A$5:$A$30,0),AE$8-$E16+1)))</f>
        <v/>
      </c>
      <c r="AF16" s="38" t="str">
        <f t="array" ref="AF16">IF(OR($B16="",$C16="",$E16=""),"",IF(OR(AF$8&lt;$E16,AF$8-$E16&gt;=12),0,$C16*INDEX(Fondsen!$F$5:$Q$30,MATCH($B16,Fondsen!$A$5:$A$30,0),AF$8-$E16+1)))</f>
        <v/>
      </c>
      <c r="AG16" s="39" t="str">
        <f t="array" ref="AG16">IF(OR($B16="",$C16="",$E16=""),"",IF(OR(AG$8&lt;$E16,AG$8-$E16&gt;=12),0,$C16*INDEX(Fondsen!$F$5:$Q$30,MATCH($B16,Fondsen!$A$5:$A$30,0),AG$8-$E16+1)))</f>
        <v/>
      </c>
      <c r="AH16" s="38" t="str">
        <f t="array" ref="AH16">IF(OR($B16="",$C16="",$E16=""),"",IF(OR(AH$8&lt;$E16,AH$8-$E16&gt;=12),0,$C16*INDEX(Fondsen!$F$5:$Q$30,MATCH($B16,Fondsen!$A$5:$A$30,0),AH$8-$E16+1)))</f>
        <v/>
      </c>
      <c r="AI16" s="39" t="str">
        <f t="array" ref="AI16">IF(OR($B16="",$C16="",$E16=""),"",IF(OR(AI$8&lt;$E16,AI$8-$E16&gt;=12),0,$C16*INDEX(Fondsen!$F$5:$Q$30,MATCH($B16,Fondsen!$A$5:$A$30,0),AI$8-$E16+1)))</f>
        <v/>
      </c>
      <c r="AJ16" s="38" t="str">
        <f t="array" ref="AJ16">IF(OR($B16="",$C16="",$E16=""),"",IF(OR(AJ$8&lt;$E16,AJ$8-$E16&gt;=12),0,$C16*INDEX(Fondsen!$F$5:$Q$30,MATCH($B16,Fondsen!$A$5:$A$30,0),AJ$8-$E16+1)))</f>
        <v/>
      </c>
      <c r="AK16" s="39" t="str">
        <f t="array" ref="AK16">IF(OR($B16="",$C16="",$E16=""),"",IF(OR(AK$8&lt;$E16,AK$8-$E16&gt;=12),0,$C16*INDEX(Fondsen!$F$5:$Q$30,MATCH($B16,Fondsen!$A$5:$A$30,0),AK$8-$E16+1)))</f>
        <v/>
      </c>
      <c r="AL16" s="38" t="str">
        <f t="array" ref="AL16">IF(OR($B16="",$C16="",$E16=""),"",IF(OR(AL$8&lt;$E16,AL$8-$E16&gt;=12),0,$C16*INDEX(Fondsen!$F$5:$Q$30,MATCH($B16,Fondsen!$A$5:$A$30,0),AL$8-$E16+1)))</f>
        <v/>
      </c>
      <c r="AM16" s="39" t="str">
        <f t="array" ref="AM16">IF(OR($B16="",$C16="",$E16=""),"",IF(OR(AM$8&lt;$E16,AM$8-$E16&gt;=12),0,$C16*INDEX(Fondsen!$F$5:$Q$30,MATCH($B16,Fondsen!$A$5:$A$30,0),AM$8-$E16+1)))</f>
        <v/>
      </c>
      <c r="AN16" s="38" t="str">
        <f t="array" ref="AN16">IF(OR($B16="",$C16="",$E16=""),"",IF(OR(AN$8&lt;$E16,AN$8-$E16&gt;=12),0,$C16*INDEX(Fondsen!$F$5:$Q$30,MATCH($B16,Fondsen!$A$5:$A$30,0),AN$8-$E16+1)))</f>
        <v/>
      </c>
      <c r="AO16" s="39" t="str">
        <f t="array" ref="AO16">IF(OR($B16="",$C16="",$E16=""),"",IF(OR(AO$8&lt;$E16,AO$8-$E16&gt;=12),0,$C16*INDEX(Fondsen!$F$5:$Q$30,MATCH($B16,Fondsen!$A$5:$A$30,0),AO$8-$E16+1)))</f>
        <v/>
      </c>
      <c r="AP16" s="38" t="str">
        <f t="array" ref="AP16">IF(OR($B16="",$C16="",$E16=""),"",IF(OR(AP$8&lt;$E16,AP$8-$E16&gt;=12),0,$C16*INDEX(Fondsen!$F$5:$Q$30,MATCH($B16,Fondsen!$A$5:$A$30,0),AP$8-$E16+1)))</f>
        <v/>
      </c>
      <c r="AQ16" s="39" t="str">
        <f t="array" ref="AQ16">IF(OR($B16="",$C16="",$E16=""),"",IF(OR(AQ$8&lt;$E16,AQ$8-$E16&gt;=12),0,$C16*INDEX(Fondsen!$F$5:$Q$30,MATCH($B16,Fondsen!$A$5:$A$30,0),AQ$8-$E16+1)))</f>
        <v/>
      </c>
      <c r="AR16" s="38" t="str">
        <f t="array" ref="AR16">IF(OR($B16="",$C16="",$E16=""),"",IF(OR(AR$8&lt;$E16,AR$8-$E16&gt;=12),0,$C16*INDEX(Fondsen!$F$5:$Q$30,MATCH($B16,Fondsen!$A$5:$A$30,0),AR$8-$E16+1)))</f>
        <v/>
      </c>
      <c r="AS16" s="39" t="str">
        <f t="array" ref="AS16">IF(OR($B16="",$C16="",$E16=""),"",IF(OR(AS$8&lt;$E16,AS$8-$E16&gt;=12),0,$C16*INDEX(Fondsen!$F$5:$Q$30,MATCH($B16,Fondsen!$A$5:$A$30,0),AS$8-$E16+1)))</f>
        <v/>
      </c>
      <c r="AT16" s="45"/>
    </row>
    <row r="17" ht="24.0" customHeight="1">
      <c r="A17" s="25" t="str">
        <f>IF(B17="","",IFERROR(VLOOKUP(B17,Fondsen!$A$5:$B$30,2,FALSE()),""))</f>
        <v/>
      </c>
      <c r="B17" s="26"/>
      <c r="C17" s="27"/>
      <c r="D17" s="44" t="s">
        <v>11</v>
      </c>
      <c r="E17" s="29"/>
      <c r="F17" s="30" t="str">
        <f t="array" ref="F17">IF(OR($B17="",$C17="",$E17=""),"",IF(OR(F$8&lt;$E17,F$8-$E17&gt;=12),0,$C17*INDEX(Fondsen!$F$5:$Q$30,MATCH($B17,Fondsen!$A$5:$A$30,0),F$8-$E17+1)))</f>
        <v/>
      </c>
      <c r="G17" s="31" t="str">
        <f t="array" ref="G17">IF(OR($B17="",$C17="",$E17=""),"",IF(OR(G$8&lt;$E17,G$8-$E17&gt;=12),0,$C17*INDEX(Fondsen!$F$5:$Q$30,MATCH($B17,Fondsen!$A$5:$A$30,0),G$8-$E17+1)))</f>
        <v/>
      </c>
      <c r="H17" s="30" t="str">
        <f t="array" ref="H17">IF(OR($B17="",$C17="",$E17=""),"",IF(OR(H$8&lt;$E17,H$8-$E17&gt;=12),0,$C17*INDEX(Fondsen!$F$5:$Q$30,MATCH($B17,Fondsen!$A$5:$A$30,0),H$8-$E17+1)))</f>
        <v/>
      </c>
      <c r="I17" s="31" t="str">
        <f t="array" ref="I17">IF(OR($B17="",$C17="",$E17=""),"",IF(OR(I$8&lt;$E17,I$8-$E17&gt;=12),0,$C17*INDEX(Fondsen!$F$5:$Q$30,MATCH($B17,Fondsen!$A$5:$A$30,0),I$8-$E17+1)))</f>
        <v/>
      </c>
      <c r="J17" s="30" t="str">
        <f t="array" ref="J17">IF(OR($B17="",$C17="",$E17=""),"",IF(OR(J$8&lt;$E17,J$8-$E17&gt;=12),0,$C17*INDEX(Fondsen!$F$5:$Q$30,MATCH($B17,Fondsen!$A$5:$A$30,0),J$8-$E17+1)))</f>
        <v/>
      </c>
      <c r="K17" s="31" t="str">
        <f t="array" ref="K17">IF(OR($B17="",$C17="",$E17=""),"",IF(OR(K$8&lt;$E17,K$8-$E17&gt;=12),0,$C17*INDEX(Fondsen!$F$5:$Q$30,MATCH($B17,Fondsen!$A$5:$A$30,0),K$8-$E17+1)))</f>
        <v/>
      </c>
      <c r="L17" s="30" t="str">
        <f t="array" ref="L17">IF(OR($B17="",$C17="",$E17=""),"",IF(OR(L$8&lt;$E17,L$8-$E17&gt;=12),0,$C17*INDEX(Fondsen!$F$5:$Q$30,MATCH($B17,Fondsen!$A$5:$A$30,0),L$8-$E17+1)))</f>
        <v/>
      </c>
      <c r="M17" s="31" t="str">
        <f t="array" ref="M17">IF(OR($B17="",$C17="",$E17=""),"",IF(OR(M$8&lt;$E17,M$8-$E17&gt;=12),0,$C17*INDEX(Fondsen!$F$5:$Q$30,MATCH($B17,Fondsen!$A$5:$A$30,0),M$8-$E17+1)))</f>
        <v/>
      </c>
      <c r="N17" s="30" t="str">
        <f t="array" ref="N17">IF(OR($B17="",$C17="",$E17=""),"",IF(OR(N$8&lt;$E17,N$8-$E17&gt;=12),0,$C17*INDEX(Fondsen!$F$5:$Q$30,MATCH($B17,Fondsen!$A$5:$A$30,0),N$8-$E17+1)))</f>
        <v/>
      </c>
      <c r="O17" s="31" t="str">
        <f t="array" ref="O17">IF(OR($B17="",$C17="",$E17=""),"",IF(OR(O$8&lt;$E17,O$8-$E17&gt;=12),0,$C17*INDEX(Fondsen!$F$5:$Q$30,MATCH($B17,Fondsen!$A$5:$A$30,0),O$8-$E17+1)))</f>
        <v/>
      </c>
      <c r="P17" s="30" t="str">
        <f t="array" ref="P17">IF(OR($B17="",$C17="",$E17=""),"",IF(OR(P$8&lt;$E17,P$8-$E17&gt;=12),0,$C17*INDEX(Fondsen!$F$5:$Q$30,MATCH($B17,Fondsen!$A$5:$A$30,0),P$8-$E17+1)))</f>
        <v/>
      </c>
      <c r="Q17" s="31" t="str">
        <f t="array" ref="Q17">IF(OR($B17="",$C17="",$E17=""),"",IF(OR(Q$8&lt;$E17,Q$8-$E17&gt;=12),0,$C17*INDEX(Fondsen!$F$5:$Q$30,MATCH($B17,Fondsen!$A$5:$A$30,0),Q$8-$E17+1)))</f>
        <v/>
      </c>
      <c r="R17" s="30" t="str">
        <f t="array" ref="R17">IF(OR($B17="",$C17="",$E17=""),"",IF(OR(R$8&lt;$E17,R$8-$E17&gt;=12),0,$C17*INDEX(Fondsen!$F$5:$Q$30,MATCH($B17,Fondsen!$A$5:$A$30,0),R$8-$E17+1)))</f>
        <v/>
      </c>
      <c r="S17" s="31" t="str">
        <f t="array" ref="S17">IF(OR($B17="",$C17="",$E17=""),"",IF(OR(S$8&lt;$E17,S$8-$E17&gt;=12),0,$C17*INDEX(Fondsen!$F$5:$Q$30,MATCH($B17,Fondsen!$A$5:$A$30,0),S$8-$E17+1)))</f>
        <v/>
      </c>
      <c r="T17" s="30" t="str">
        <f t="array" ref="T17">IF(OR($B17="",$C17="",$E17=""),"",IF(OR(T$8&lt;$E17,T$8-$E17&gt;=12),0,$C17*INDEX(Fondsen!$F$5:$Q$30,MATCH($B17,Fondsen!$A$5:$A$30,0),T$8-$E17+1)))</f>
        <v/>
      </c>
      <c r="U17" s="31" t="str">
        <f t="array" ref="U17">IF(OR($B17="",$C17="",$E17=""),"",IF(OR(U$8&lt;$E17,U$8-$E17&gt;=12),0,$C17*INDEX(Fondsen!$F$5:$Q$30,MATCH($B17,Fondsen!$A$5:$A$30,0),U$8-$E17+1)))</f>
        <v/>
      </c>
      <c r="V17" s="30" t="str">
        <f t="array" ref="V17">IF(OR($B17="",$C17="",$E17=""),"",IF(OR(V$8&lt;$E17,V$8-$E17&gt;=12),0,$C17*INDEX(Fondsen!$F$5:$Q$30,MATCH($B17,Fondsen!$A$5:$A$30,0),V$8-$E17+1)))</f>
        <v/>
      </c>
      <c r="W17" s="31" t="str">
        <f t="array" ref="W17">IF(OR($B17="",$C17="",$E17=""),"",IF(OR(W$8&lt;$E17,W$8-$E17&gt;=12),0,$C17*INDEX(Fondsen!$F$5:$Q$30,MATCH($B17,Fondsen!$A$5:$A$30,0),W$8-$E17+1)))</f>
        <v/>
      </c>
      <c r="X17" s="30" t="str">
        <f t="array" ref="X17">IF(OR($B17="",$C17="",$E17=""),"",IF(OR(X$8&lt;$E17,X$8-$E17&gt;=12),0,$C17*INDEX(Fondsen!$F$5:$Q$30,MATCH($B17,Fondsen!$A$5:$A$30,0),X$8-$E17+1)))</f>
        <v/>
      </c>
      <c r="Y17" s="31" t="str">
        <f t="array" ref="Y17">IF(OR($B17="",$C17="",$E17=""),"",IF(OR(Y$8&lt;$E17,Y$8-$E17&gt;=12),0,$C17*INDEX(Fondsen!$F$5:$Q$30,MATCH($B17,Fondsen!$A$5:$A$30,0),Y$8-$E17+1)))</f>
        <v/>
      </c>
      <c r="Z17" s="30" t="str">
        <f t="array" ref="Z17">IF(OR($B17="",$C17="",$E17=""),"",IF(OR(Z$8&lt;$E17,Z$8-$E17&gt;=12),0,$C17*INDEX(Fondsen!$F$5:$Q$30,MATCH($B17,Fondsen!$A$5:$A$30,0),Z$8-$E17+1)))</f>
        <v/>
      </c>
      <c r="AA17" s="31" t="str">
        <f t="array" ref="AA17">IF(OR($B17="",$C17="",$E17=""),"",IF(OR(AA$8&lt;$E17,AA$8-$E17&gt;=12),0,$C17*INDEX(Fondsen!$F$5:$Q$30,MATCH($B17,Fondsen!$A$5:$A$30,0),AA$8-$E17+1)))</f>
        <v/>
      </c>
      <c r="AB17" s="30" t="str">
        <f t="array" ref="AB17">IF(OR($B17="",$C17="",$E17=""),"",IF(OR(AB$8&lt;$E17,AB$8-$E17&gt;=12),0,$C17*INDEX(Fondsen!$F$5:$Q$30,MATCH($B17,Fondsen!$A$5:$A$30,0),AB$8-$E17+1)))</f>
        <v/>
      </c>
      <c r="AC17" s="31" t="str">
        <f t="array" ref="AC17">IF(OR($B17="",$C17="",$E17=""),"",IF(OR(AC$8&lt;$E17,AC$8-$E17&gt;=12),0,$C17*INDEX(Fondsen!$F$5:$Q$30,MATCH($B17,Fondsen!$A$5:$A$30,0),AC$8-$E17+1)))</f>
        <v/>
      </c>
      <c r="AD17" s="30" t="str">
        <f t="array" ref="AD17">IF(OR($B17="",$C17="",$E17=""),"",IF(OR(AD$8&lt;$E17,AD$8-$E17&gt;=12),0,$C17*INDEX(Fondsen!$F$5:$Q$30,MATCH($B17,Fondsen!$A$5:$A$30,0),AD$8-$E17+1)))</f>
        <v/>
      </c>
      <c r="AE17" s="31" t="str">
        <f t="array" ref="AE17">IF(OR($B17="",$C17="",$E17=""),"",IF(OR(AE$8&lt;$E17,AE$8-$E17&gt;=12),0,$C17*INDEX(Fondsen!$F$5:$Q$30,MATCH($B17,Fondsen!$A$5:$A$30,0),AE$8-$E17+1)))</f>
        <v/>
      </c>
      <c r="AF17" s="30" t="str">
        <f t="array" ref="AF17">IF(OR($B17="",$C17="",$E17=""),"",IF(OR(AF$8&lt;$E17,AF$8-$E17&gt;=12),0,$C17*INDEX(Fondsen!$F$5:$Q$30,MATCH($B17,Fondsen!$A$5:$A$30,0),AF$8-$E17+1)))</f>
        <v/>
      </c>
      <c r="AG17" s="31" t="str">
        <f t="array" ref="AG17">IF(OR($B17="",$C17="",$E17=""),"",IF(OR(AG$8&lt;$E17,AG$8-$E17&gt;=12),0,$C17*INDEX(Fondsen!$F$5:$Q$30,MATCH($B17,Fondsen!$A$5:$A$30,0),AG$8-$E17+1)))</f>
        <v/>
      </c>
      <c r="AH17" s="30" t="str">
        <f t="array" ref="AH17">IF(OR($B17="",$C17="",$E17=""),"",IF(OR(AH$8&lt;$E17,AH$8-$E17&gt;=12),0,$C17*INDEX(Fondsen!$F$5:$Q$30,MATCH($B17,Fondsen!$A$5:$A$30,0),AH$8-$E17+1)))</f>
        <v/>
      </c>
      <c r="AI17" s="31" t="str">
        <f t="array" ref="AI17">IF(OR($B17="",$C17="",$E17=""),"",IF(OR(AI$8&lt;$E17,AI$8-$E17&gt;=12),0,$C17*INDEX(Fondsen!$F$5:$Q$30,MATCH($B17,Fondsen!$A$5:$A$30,0),AI$8-$E17+1)))</f>
        <v/>
      </c>
      <c r="AJ17" s="30" t="str">
        <f t="array" ref="AJ17">IF(OR($B17="",$C17="",$E17=""),"",IF(OR(AJ$8&lt;$E17,AJ$8-$E17&gt;=12),0,$C17*INDEX(Fondsen!$F$5:$Q$30,MATCH($B17,Fondsen!$A$5:$A$30,0),AJ$8-$E17+1)))</f>
        <v/>
      </c>
      <c r="AK17" s="31" t="str">
        <f t="array" ref="AK17">IF(OR($B17="",$C17="",$E17=""),"",IF(OR(AK$8&lt;$E17,AK$8-$E17&gt;=12),0,$C17*INDEX(Fondsen!$F$5:$Q$30,MATCH($B17,Fondsen!$A$5:$A$30,0),AK$8-$E17+1)))</f>
        <v/>
      </c>
      <c r="AL17" s="30" t="str">
        <f t="array" ref="AL17">IF(OR($B17="",$C17="",$E17=""),"",IF(OR(AL$8&lt;$E17,AL$8-$E17&gt;=12),0,$C17*INDEX(Fondsen!$F$5:$Q$30,MATCH($B17,Fondsen!$A$5:$A$30,0),AL$8-$E17+1)))</f>
        <v/>
      </c>
      <c r="AM17" s="31" t="str">
        <f t="array" ref="AM17">IF(OR($B17="",$C17="",$E17=""),"",IF(OR(AM$8&lt;$E17,AM$8-$E17&gt;=12),0,$C17*INDEX(Fondsen!$F$5:$Q$30,MATCH($B17,Fondsen!$A$5:$A$30,0),AM$8-$E17+1)))</f>
        <v/>
      </c>
      <c r="AN17" s="30" t="str">
        <f t="array" ref="AN17">IF(OR($B17="",$C17="",$E17=""),"",IF(OR(AN$8&lt;$E17,AN$8-$E17&gt;=12),0,$C17*INDEX(Fondsen!$F$5:$Q$30,MATCH($B17,Fondsen!$A$5:$A$30,0),AN$8-$E17+1)))</f>
        <v/>
      </c>
      <c r="AO17" s="31" t="str">
        <f t="array" ref="AO17">IF(OR($B17="",$C17="",$E17=""),"",IF(OR(AO$8&lt;$E17,AO$8-$E17&gt;=12),0,$C17*INDEX(Fondsen!$F$5:$Q$30,MATCH($B17,Fondsen!$A$5:$A$30,0),AO$8-$E17+1)))</f>
        <v/>
      </c>
      <c r="AP17" s="30" t="str">
        <f t="array" ref="AP17">IF(OR($B17="",$C17="",$E17=""),"",IF(OR(AP$8&lt;$E17,AP$8-$E17&gt;=12),0,$C17*INDEX(Fondsen!$F$5:$Q$30,MATCH($B17,Fondsen!$A$5:$A$30,0),AP$8-$E17+1)))</f>
        <v/>
      </c>
      <c r="AQ17" s="31" t="str">
        <f t="array" ref="AQ17">IF(OR($B17="",$C17="",$E17=""),"",IF(OR(AQ$8&lt;$E17,AQ$8-$E17&gt;=12),0,$C17*INDEX(Fondsen!$F$5:$Q$30,MATCH($B17,Fondsen!$A$5:$A$30,0),AQ$8-$E17+1)))</f>
        <v/>
      </c>
      <c r="AR17" s="30" t="str">
        <f t="array" ref="AR17">IF(OR($B17="",$C17="",$E17=""),"",IF(OR(AR$8&lt;$E17,AR$8-$E17&gt;=12),0,$C17*INDEX(Fondsen!$F$5:$Q$30,MATCH($B17,Fondsen!$A$5:$A$30,0),AR$8-$E17+1)))</f>
        <v/>
      </c>
      <c r="AS17" s="31" t="str">
        <f t="array" ref="AS17">IF(OR($B17="",$C17="",$E17=""),"",IF(OR(AS$8&lt;$E17,AS$8-$E17&gt;=12),0,$C17*INDEX(Fondsen!$F$5:$Q$30,MATCH($B17,Fondsen!$A$5:$A$30,0),AS$8-$E17+1)))</f>
        <v/>
      </c>
      <c r="AT17" s="45"/>
    </row>
    <row r="18" ht="24.0" customHeight="1">
      <c r="A18" s="33" t="str">
        <f>IF(B18="","",IFERROR(VLOOKUP(B18,Fondsen!$A$5:$B$30,2,FALSE()),""))</f>
        <v/>
      </c>
      <c r="B18" s="34"/>
      <c r="C18" s="35"/>
      <c r="D18" s="46" t="s">
        <v>11</v>
      </c>
      <c r="E18" s="37"/>
      <c r="F18" s="38" t="str">
        <f t="array" ref="F18">IF(OR($B18="",$C18="",$E18=""),"",IF(OR(F$8&lt;$E18,F$8-$E18&gt;=12),0,$C18*INDEX(Fondsen!$F$5:$Q$30,MATCH($B18,Fondsen!$A$5:$A$30,0),F$8-$E18+1)))</f>
        <v/>
      </c>
      <c r="G18" s="39" t="str">
        <f t="array" ref="G18">IF(OR($B18="",$C18="",$E18=""),"",IF(OR(G$8&lt;$E18,G$8-$E18&gt;=12),0,$C18*INDEX(Fondsen!$F$5:$Q$30,MATCH($B18,Fondsen!$A$5:$A$30,0),G$8-$E18+1)))</f>
        <v/>
      </c>
      <c r="H18" s="38" t="str">
        <f t="array" ref="H18">IF(OR($B18="",$C18="",$E18=""),"",IF(OR(H$8&lt;$E18,H$8-$E18&gt;=12),0,$C18*INDEX(Fondsen!$F$5:$Q$30,MATCH($B18,Fondsen!$A$5:$A$30,0),H$8-$E18+1)))</f>
        <v/>
      </c>
      <c r="I18" s="39" t="str">
        <f t="array" ref="I18">IF(OR($B18="",$C18="",$E18=""),"",IF(OR(I$8&lt;$E18,I$8-$E18&gt;=12),0,$C18*INDEX(Fondsen!$F$5:$Q$30,MATCH($B18,Fondsen!$A$5:$A$30,0),I$8-$E18+1)))</f>
        <v/>
      </c>
      <c r="J18" s="38" t="str">
        <f t="array" ref="J18">IF(OR($B18="",$C18="",$E18=""),"",IF(OR(J$8&lt;$E18,J$8-$E18&gt;=12),0,$C18*INDEX(Fondsen!$F$5:$Q$30,MATCH($B18,Fondsen!$A$5:$A$30,0),J$8-$E18+1)))</f>
        <v/>
      </c>
      <c r="K18" s="39" t="str">
        <f t="array" ref="K18">IF(OR($B18="",$C18="",$E18=""),"",IF(OR(K$8&lt;$E18,K$8-$E18&gt;=12),0,$C18*INDEX(Fondsen!$F$5:$Q$30,MATCH($B18,Fondsen!$A$5:$A$30,0),K$8-$E18+1)))</f>
        <v/>
      </c>
      <c r="L18" s="38" t="str">
        <f t="array" ref="L18">IF(OR($B18="",$C18="",$E18=""),"",IF(OR(L$8&lt;$E18,L$8-$E18&gt;=12),0,$C18*INDEX(Fondsen!$F$5:$Q$30,MATCH($B18,Fondsen!$A$5:$A$30,0),L$8-$E18+1)))</f>
        <v/>
      </c>
      <c r="M18" s="39" t="str">
        <f t="array" ref="M18">IF(OR($B18="",$C18="",$E18=""),"",IF(OR(M$8&lt;$E18,M$8-$E18&gt;=12),0,$C18*INDEX(Fondsen!$F$5:$Q$30,MATCH($B18,Fondsen!$A$5:$A$30,0),M$8-$E18+1)))</f>
        <v/>
      </c>
      <c r="N18" s="38" t="str">
        <f t="array" ref="N18">IF(OR($B18="",$C18="",$E18=""),"",IF(OR(N$8&lt;$E18,N$8-$E18&gt;=12),0,$C18*INDEX(Fondsen!$F$5:$Q$30,MATCH($B18,Fondsen!$A$5:$A$30,0),N$8-$E18+1)))</f>
        <v/>
      </c>
      <c r="O18" s="39" t="str">
        <f t="array" ref="O18">IF(OR($B18="",$C18="",$E18=""),"",IF(OR(O$8&lt;$E18,O$8-$E18&gt;=12),0,$C18*INDEX(Fondsen!$F$5:$Q$30,MATCH($B18,Fondsen!$A$5:$A$30,0),O$8-$E18+1)))</f>
        <v/>
      </c>
      <c r="P18" s="38" t="str">
        <f t="array" ref="P18">IF(OR($B18="",$C18="",$E18=""),"",IF(OR(P$8&lt;$E18,P$8-$E18&gt;=12),0,$C18*INDEX(Fondsen!$F$5:$Q$30,MATCH($B18,Fondsen!$A$5:$A$30,0),P$8-$E18+1)))</f>
        <v/>
      </c>
      <c r="Q18" s="39" t="str">
        <f t="array" ref="Q18">IF(OR($B18="",$C18="",$E18=""),"",IF(OR(Q$8&lt;$E18,Q$8-$E18&gt;=12),0,$C18*INDEX(Fondsen!$F$5:$Q$30,MATCH($B18,Fondsen!$A$5:$A$30,0),Q$8-$E18+1)))</f>
        <v/>
      </c>
      <c r="R18" s="38" t="str">
        <f t="array" ref="R18">IF(OR($B18="",$C18="",$E18=""),"",IF(OR(R$8&lt;$E18,R$8-$E18&gt;=12),0,$C18*INDEX(Fondsen!$F$5:$Q$30,MATCH($B18,Fondsen!$A$5:$A$30,0),R$8-$E18+1)))</f>
        <v/>
      </c>
      <c r="S18" s="39" t="str">
        <f t="array" ref="S18">IF(OR($B18="",$C18="",$E18=""),"",IF(OR(S$8&lt;$E18,S$8-$E18&gt;=12),0,$C18*INDEX(Fondsen!$F$5:$Q$30,MATCH($B18,Fondsen!$A$5:$A$30,0),S$8-$E18+1)))</f>
        <v/>
      </c>
      <c r="T18" s="38" t="str">
        <f t="array" ref="T18">IF(OR($B18="",$C18="",$E18=""),"",IF(OR(T$8&lt;$E18,T$8-$E18&gt;=12),0,$C18*INDEX(Fondsen!$F$5:$Q$30,MATCH($B18,Fondsen!$A$5:$A$30,0),T$8-$E18+1)))</f>
        <v/>
      </c>
      <c r="U18" s="39" t="str">
        <f t="array" ref="U18">IF(OR($B18="",$C18="",$E18=""),"",IF(OR(U$8&lt;$E18,U$8-$E18&gt;=12),0,$C18*INDEX(Fondsen!$F$5:$Q$30,MATCH($B18,Fondsen!$A$5:$A$30,0),U$8-$E18+1)))</f>
        <v/>
      </c>
      <c r="V18" s="38" t="str">
        <f t="array" ref="V18">IF(OR($B18="",$C18="",$E18=""),"",IF(OR(V$8&lt;$E18,V$8-$E18&gt;=12),0,$C18*INDEX(Fondsen!$F$5:$Q$30,MATCH($B18,Fondsen!$A$5:$A$30,0),V$8-$E18+1)))</f>
        <v/>
      </c>
      <c r="W18" s="39" t="str">
        <f t="array" ref="W18">IF(OR($B18="",$C18="",$E18=""),"",IF(OR(W$8&lt;$E18,W$8-$E18&gt;=12),0,$C18*INDEX(Fondsen!$F$5:$Q$30,MATCH($B18,Fondsen!$A$5:$A$30,0),W$8-$E18+1)))</f>
        <v/>
      </c>
      <c r="X18" s="38" t="str">
        <f t="array" ref="X18">IF(OR($B18="",$C18="",$E18=""),"",IF(OR(X$8&lt;$E18,X$8-$E18&gt;=12),0,$C18*INDEX(Fondsen!$F$5:$Q$30,MATCH($B18,Fondsen!$A$5:$A$30,0),X$8-$E18+1)))</f>
        <v/>
      </c>
      <c r="Y18" s="39" t="str">
        <f t="array" ref="Y18">IF(OR($B18="",$C18="",$E18=""),"",IF(OR(Y$8&lt;$E18,Y$8-$E18&gt;=12),0,$C18*INDEX(Fondsen!$F$5:$Q$30,MATCH($B18,Fondsen!$A$5:$A$30,0),Y$8-$E18+1)))</f>
        <v/>
      </c>
      <c r="Z18" s="38" t="str">
        <f t="array" ref="Z18">IF(OR($B18="",$C18="",$E18=""),"",IF(OR(Z$8&lt;$E18,Z$8-$E18&gt;=12),0,$C18*INDEX(Fondsen!$F$5:$Q$30,MATCH($B18,Fondsen!$A$5:$A$30,0),Z$8-$E18+1)))</f>
        <v/>
      </c>
      <c r="AA18" s="39" t="str">
        <f t="array" ref="AA18">IF(OR($B18="",$C18="",$E18=""),"",IF(OR(AA$8&lt;$E18,AA$8-$E18&gt;=12),0,$C18*INDEX(Fondsen!$F$5:$Q$30,MATCH($B18,Fondsen!$A$5:$A$30,0),AA$8-$E18+1)))</f>
        <v/>
      </c>
      <c r="AB18" s="38" t="str">
        <f t="array" ref="AB18">IF(OR($B18="",$C18="",$E18=""),"",IF(OR(AB$8&lt;$E18,AB$8-$E18&gt;=12),0,$C18*INDEX(Fondsen!$F$5:$Q$30,MATCH($B18,Fondsen!$A$5:$A$30,0),AB$8-$E18+1)))</f>
        <v/>
      </c>
      <c r="AC18" s="39" t="str">
        <f t="array" ref="AC18">IF(OR($B18="",$C18="",$E18=""),"",IF(OR(AC$8&lt;$E18,AC$8-$E18&gt;=12),0,$C18*INDEX(Fondsen!$F$5:$Q$30,MATCH($B18,Fondsen!$A$5:$A$30,0),AC$8-$E18+1)))</f>
        <v/>
      </c>
      <c r="AD18" s="38" t="str">
        <f t="array" ref="AD18">IF(OR($B18="",$C18="",$E18=""),"",IF(OR(AD$8&lt;$E18,AD$8-$E18&gt;=12),0,$C18*INDEX(Fondsen!$F$5:$Q$30,MATCH($B18,Fondsen!$A$5:$A$30,0),AD$8-$E18+1)))</f>
        <v/>
      </c>
      <c r="AE18" s="39" t="str">
        <f t="array" ref="AE18">IF(OR($B18="",$C18="",$E18=""),"",IF(OR(AE$8&lt;$E18,AE$8-$E18&gt;=12),0,$C18*INDEX(Fondsen!$F$5:$Q$30,MATCH($B18,Fondsen!$A$5:$A$30,0),AE$8-$E18+1)))</f>
        <v/>
      </c>
      <c r="AF18" s="38" t="str">
        <f t="array" ref="AF18">IF(OR($B18="",$C18="",$E18=""),"",IF(OR(AF$8&lt;$E18,AF$8-$E18&gt;=12),0,$C18*INDEX(Fondsen!$F$5:$Q$30,MATCH($B18,Fondsen!$A$5:$A$30,0),AF$8-$E18+1)))</f>
        <v/>
      </c>
      <c r="AG18" s="39" t="str">
        <f t="array" ref="AG18">IF(OR($B18="",$C18="",$E18=""),"",IF(OR(AG$8&lt;$E18,AG$8-$E18&gt;=12),0,$C18*INDEX(Fondsen!$F$5:$Q$30,MATCH($B18,Fondsen!$A$5:$A$30,0),AG$8-$E18+1)))</f>
        <v/>
      </c>
      <c r="AH18" s="38" t="str">
        <f t="array" ref="AH18">IF(OR($B18="",$C18="",$E18=""),"",IF(OR(AH$8&lt;$E18,AH$8-$E18&gt;=12),0,$C18*INDEX(Fondsen!$F$5:$Q$30,MATCH($B18,Fondsen!$A$5:$A$30,0),AH$8-$E18+1)))</f>
        <v/>
      </c>
      <c r="AI18" s="39" t="str">
        <f t="array" ref="AI18">IF(OR($B18="",$C18="",$E18=""),"",IF(OR(AI$8&lt;$E18,AI$8-$E18&gt;=12),0,$C18*INDEX(Fondsen!$F$5:$Q$30,MATCH($B18,Fondsen!$A$5:$A$30,0),AI$8-$E18+1)))</f>
        <v/>
      </c>
      <c r="AJ18" s="38" t="str">
        <f t="array" ref="AJ18">IF(OR($B18="",$C18="",$E18=""),"",IF(OR(AJ$8&lt;$E18,AJ$8-$E18&gt;=12),0,$C18*INDEX(Fondsen!$F$5:$Q$30,MATCH($B18,Fondsen!$A$5:$A$30,0),AJ$8-$E18+1)))</f>
        <v/>
      </c>
      <c r="AK18" s="39" t="str">
        <f t="array" ref="AK18">IF(OR($B18="",$C18="",$E18=""),"",IF(OR(AK$8&lt;$E18,AK$8-$E18&gt;=12),0,$C18*INDEX(Fondsen!$F$5:$Q$30,MATCH($B18,Fondsen!$A$5:$A$30,0),AK$8-$E18+1)))</f>
        <v/>
      </c>
      <c r="AL18" s="38" t="str">
        <f t="array" ref="AL18">IF(OR($B18="",$C18="",$E18=""),"",IF(OR(AL$8&lt;$E18,AL$8-$E18&gt;=12),0,$C18*INDEX(Fondsen!$F$5:$Q$30,MATCH($B18,Fondsen!$A$5:$A$30,0),AL$8-$E18+1)))</f>
        <v/>
      </c>
      <c r="AM18" s="39" t="str">
        <f t="array" ref="AM18">IF(OR($B18="",$C18="",$E18=""),"",IF(OR(AM$8&lt;$E18,AM$8-$E18&gt;=12),0,$C18*INDEX(Fondsen!$F$5:$Q$30,MATCH($B18,Fondsen!$A$5:$A$30,0),AM$8-$E18+1)))</f>
        <v/>
      </c>
      <c r="AN18" s="38" t="str">
        <f t="array" ref="AN18">IF(OR($B18="",$C18="",$E18=""),"",IF(OR(AN$8&lt;$E18,AN$8-$E18&gt;=12),0,$C18*INDEX(Fondsen!$F$5:$Q$30,MATCH($B18,Fondsen!$A$5:$A$30,0),AN$8-$E18+1)))</f>
        <v/>
      </c>
      <c r="AO18" s="39" t="str">
        <f t="array" ref="AO18">IF(OR($B18="",$C18="",$E18=""),"",IF(OR(AO$8&lt;$E18,AO$8-$E18&gt;=12),0,$C18*INDEX(Fondsen!$F$5:$Q$30,MATCH($B18,Fondsen!$A$5:$A$30,0),AO$8-$E18+1)))</f>
        <v/>
      </c>
      <c r="AP18" s="38" t="str">
        <f t="array" ref="AP18">IF(OR($B18="",$C18="",$E18=""),"",IF(OR(AP$8&lt;$E18,AP$8-$E18&gt;=12),0,$C18*INDEX(Fondsen!$F$5:$Q$30,MATCH($B18,Fondsen!$A$5:$A$30,0),AP$8-$E18+1)))</f>
        <v/>
      </c>
      <c r="AQ18" s="39" t="str">
        <f t="array" ref="AQ18">IF(OR($B18="",$C18="",$E18=""),"",IF(OR(AQ$8&lt;$E18,AQ$8-$E18&gt;=12),0,$C18*INDEX(Fondsen!$F$5:$Q$30,MATCH($B18,Fondsen!$A$5:$A$30,0),AQ$8-$E18+1)))</f>
        <v/>
      </c>
      <c r="AR18" s="38" t="str">
        <f t="array" ref="AR18">IF(OR($B18="",$C18="",$E18=""),"",IF(OR(AR$8&lt;$E18,AR$8-$E18&gt;=12),0,$C18*INDEX(Fondsen!$F$5:$Q$30,MATCH($B18,Fondsen!$A$5:$A$30,0),AR$8-$E18+1)))</f>
        <v/>
      </c>
      <c r="AS18" s="39" t="str">
        <f t="array" ref="AS18">IF(OR($B18="",$C18="",$E18=""),"",IF(OR(AS$8&lt;$E18,AS$8-$E18&gt;=12),0,$C18*INDEX(Fondsen!$F$5:$Q$30,MATCH($B18,Fondsen!$A$5:$A$30,0),AS$8-$E18+1)))</f>
        <v/>
      </c>
      <c r="AT18" s="45"/>
    </row>
    <row r="19" ht="24.0" customHeight="1">
      <c r="A19" s="47" t="str">
        <f>IF(B19="","",IFERROR(VLOOKUP(B19,Fondsen!$A$5:$B$30,2,FALSE()),""))</f>
        <v/>
      </c>
      <c r="B19" s="26"/>
      <c r="C19" s="27"/>
      <c r="D19" s="44" t="s">
        <v>11</v>
      </c>
      <c r="E19" s="29"/>
      <c r="F19" s="30" t="str">
        <f t="array" ref="F19">IF(OR($B19="",$C19="",$E19=""),"",IF(OR(F$8&lt;$E19,F$8-$E19&gt;=12),0,$C19*INDEX(Fondsen!$F$5:$Q$30,MATCH($B19,Fondsen!$A$5:$A$30,0),F$8-$E19+1)))</f>
        <v/>
      </c>
      <c r="G19" s="31" t="str">
        <f t="array" ref="G19">IF(OR($B19="",$C19="",$E19=""),"",IF(OR(G$8&lt;$E19,G$8-$E19&gt;=12),0,$C19*INDEX(Fondsen!$F$5:$Q$30,MATCH($B19,Fondsen!$A$5:$A$30,0),G$8-$E19+1)))</f>
        <v/>
      </c>
      <c r="H19" s="30" t="str">
        <f t="array" ref="H19">IF(OR($B19="",$C19="",$E19=""),"",IF(OR(H$8&lt;$E19,H$8-$E19&gt;=12),0,$C19*INDEX(Fondsen!$F$5:$Q$30,MATCH($B19,Fondsen!$A$5:$A$30,0),H$8-$E19+1)))</f>
        <v/>
      </c>
      <c r="I19" s="31" t="str">
        <f t="array" ref="I19">IF(OR($B19="",$C19="",$E19=""),"",IF(OR(I$8&lt;$E19,I$8-$E19&gt;=12),0,$C19*INDEX(Fondsen!$F$5:$Q$30,MATCH($B19,Fondsen!$A$5:$A$30,0),I$8-$E19+1)))</f>
        <v/>
      </c>
      <c r="J19" s="30" t="str">
        <f t="array" ref="J19">IF(OR($B19="",$C19="",$E19=""),"",IF(OR(J$8&lt;$E19,J$8-$E19&gt;=12),0,$C19*INDEX(Fondsen!$F$5:$Q$30,MATCH($B19,Fondsen!$A$5:$A$30,0),J$8-$E19+1)))</f>
        <v/>
      </c>
      <c r="K19" s="31" t="str">
        <f t="array" ref="K19">IF(OR($B19="",$C19="",$E19=""),"",IF(OR(K$8&lt;$E19,K$8-$E19&gt;=12),0,$C19*INDEX(Fondsen!$F$5:$Q$30,MATCH($B19,Fondsen!$A$5:$A$30,0),K$8-$E19+1)))</f>
        <v/>
      </c>
      <c r="L19" s="30" t="str">
        <f t="array" ref="L19">IF(OR($B19="",$C19="",$E19=""),"",IF(OR(L$8&lt;$E19,L$8-$E19&gt;=12),0,$C19*INDEX(Fondsen!$F$5:$Q$30,MATCH($B19,Fondsen!$A$5:$A$30,0),L$8-$E19+1)))</f>
        <v/>
      </c>
      <c r="M19" s="31" t="str">
        <f t="array" ref="M19">IF(OR($B19="",$C19="",$E19=""),"",IF(OR(M$8&lt;$E19,M$8-$E19&gt;=12),0,$C19*INDEX(Fondsen!$F$5:$Q$30,MATCH($B19,Fondsen!$A$5:$A$30,0),M$8-$E19+1)))</f>
        <v/>
      </c>
      <c r="N19" s="30" t="str">
        <f t="array" ref="N19">IF(OR($B19="",$C19="",$E19=""),"",IF(OR(N$8&lt;$E19,N$8-$E19&gt;=12),0,$C19*INDEX(Fondsen!$F$5:$Q$30,MATCH($B19,Fondsen!$A$5:$A$30,0),N$8-$E19+1)))</f>
        <v/>
      </c>
      <c r="O19" s="31" t="str">
        <f t="array" ref="O19">IF(OR($B19="",$C19="",$E19=""),"",IF(OR(O$8&lt;$E19,O$8-$E19&gt;=12),0,$C19*INDEX(Fondsen!$F$5:$Q$30,MATCH($B19,Fondsen!$A$5:$A$30,0),O$8-$E19+1)))</f>
        <v/>
      </c>
      <c r="P19" s="30" t="str">
        <f t="array" ref="P19">IF(OR($B19="",$C19="",$E19=""),"",IF(OR(P$8&lt;$E19,P$8-$E19&gt;=12),0,$C19*INDEX(Fondsen!$F$5:$Q$30,MATCH($B19,Fondsen!$A$5:$A$30,0),P$8-$E19+1)))</f>
        <v/>
      </c>
      <c r="Q19" s="31" t="str">
        <f t="array" ref="Q19">IF(OR($B19="",$C19="",$E19=""),"",IF(OR(Q$8&lt;$E19,Q$8-$E19&gt;=12),0,$C19*INDEX(Fondsen!$F$5:$Q$30,MATCH($B19,Fondsen!$A$5:$A$30,0),Q$8-$E19+1)))</f>
        <v/>
      </c>
      <c r="R19" s="30" t="str">
        <f t="array" ref="R19">IF(OR($B19="",$C19="",$E19=""),"",IF(OR(R$8&lt;$E19,R$8-$E19&gt;=12),0,$C19*INDEX(Fondsen!$F$5:$Q$30,MATCH($B19,Fondsen!$A$5:$A$30,0),R$8-$E19+1)))</f>
        <v/>
      </c>
      <c r="S19" s="31" t="str">
        <f t="array" ref="S19">IF(OR($B19="",$C19="",$E19=""),"",IF(OR(S$8&lt;$E19,S$8-$E19&gt;=12),0,$C19*INDEX(Fondsen!$F$5:$Q$30,MATCH($B19,Fondsen!$A$5:$A$30,0),S$8-$E19+1)))</f>
        <v/>
      </c>
      <c r="T19" s="30" t="str">
        <f t="array" ref="T19">IF(OR($B19="",$C19="",$E19=""),"",IF(OR(T$8&lt;$E19,T$8-$E19&gt;=12),0,$C19*INDEX(Fondsen!$F$5:$Q$30,MATCH($B19,Fondsen!$A$5:$A$30,0),T$8-$E19+1)))</f>
        <v/>
      </c>
      <c r="U19" s="31" t="str">
        <f t="array" ref="U19">IF(OR($B19="",$C19="",$E19=""),"",IF(OR(U$8&lt;$E19,U$8-$E19&gt;=12),0,$C19*INDEX(Fondsen!$F$5:$Q$30,MATCH($B19,Fondsen!$A$5:$A$30,0),U$8-$E19+1)))</f>
        <v/>
      </c>
      <c r="V19" s="30" t="str">
        <f t="array" ref="V19">IF(OR($B19="",$C19="",$E19=""),"",IF(OR(V$8&lt;$E19,V$8-$E19&gt;=12),0,$C19*INDEX(Fondsen!$F$5:$Q$30,MATCH($B19,Fondsen!$A$5:$A$30,0),V$8-$E19+1)))</f>
        <v/>
      </c>
      <c r="W19" s="31" t="str">
        <f t="array" ref="W19">IF(OR($B19="",$C19="",$E19=""),"",IF(OR(W$8&lt;$E19,W$8-$E19&gt;=12),0,$C19*INDEX(Fondsen!$F$5:$Q$30,MATCH($B19,Fondsen!$A$5:$A$30,0),W$8-$E19+1)))</f>
        <v/>
      </c>
      <c r="X19" s="30" t="str">
        <f t="array" ref="X19">IF(OR($B19="",$C19="",$E19=""),"",IF(OR(X$8&lt;$E19,X$8-$E19&gt;=12),0,$C19*INDEX(Fondsen!$F$5:$Q$30,MATCH($B19,Fondsen!$A$5:$A$30,0),X$8-$E19+1)))</f>
        <v/>
      </c>
      <c r="Y19" s="31" t="str">
        <f t="array" ref="Y19">IF(OR($B19="",$C19="",$E19=""),"",IF(OR(Y$8&lt;$E19,Y$8-$E19&gt;=12),0,$C19*INDEX(Fondsen!$F$5:$Q$30,MATCH($B19,Fondsen!$A$5:$A$30,0),Y$8-$E19+1)))</f>
        <v/>
      </c>
      <c r="Z19" s="30" t="str">
        <f t="array" ref="Z19">IF(OR($B19="",$C19="",$E19=""),"",IF(OR(Z$8&lt;$E19,Z$8-$E19&gt;=12),0,$C19*INDEX(Fondsen!$F$5:$Q$30,MATCH($B19,Fondsen!$A$5:$A$30,0),Z$8-$E19+1)))</f>
        <v/>
      </c>
      <c r="AA19" s="31" t="str">
        <f t="array" ref="AA19">IF(OR($B19="",$C19="",$E19=""),"",IF(OR(AA$8&lt;$E19,AA$8-$E19&gt;=12),0,$C19*INDEX(Fondsen!$F$5:$Q$30,MATCH($B19,Fondsen!$A$5:$A$30,0),AA$8-$E19+1)))</f>
        <v/>
      </c>
      <c r="AB19" s="30" t="str">
        <f t="array" ref="AB19">IF(OR($B19="",$C19="",$E19=""),"",IF(OR(AB$8&lt;$E19,AB$8-$E19&gt;=12),0,$C19*INDEX(Fondsen!$F$5:$Q$30,MATCH($B19,Fondsen!$A$5:$A$30,0),AB$8-$E19+1)))</f>
        <v/>
      </c>
      <c r="AC19" s="31" t="str">
        <f t="array" ref="AC19">IF(OR($B19="",$C19="",$E19=""),"",IF(OR(AC$8&lt;$E19,AC$8-$E19&gt;=12),0,$C19*INDEX(Fondsen!$F$5:$Q$30,MATCH($B19,Fondsen!$A$5:$A$30,0),AC$8-$E19+1)))</f>
        <v/>
      </c>
      <c r="AD19" s="30" t="str">
        <f t="array" ref="AD19">IF(OR($B19="",$C19="",$E19=""),"",IF(OR(AD$8&lt;$E19,AD$8-$E19&gt;=12),0,$C19*INDEX(Fondsen!$F$5:$Q$30,MATCH($B19,Fondsen!$A$5:$A$30,0),AD$8-$E19+1)))</f>
        <v/>
      </c>
      <c r="AE19" s="31" t="str">
        <f t="array" ref="AE19">IF(OR($B19="",$C19="",$E19=""),"",IF(OR(AE$8&lt;$E19,AE$8-$E19&gt;=12),0,$C19*INDEX(Fondsen!$F$5:$Q$30,MATCH($B19,Fondsen!$A$5:$A$30,0),AE$8-$E19+1)))</f>
        <v/>
      </c>
      <c r="AF19" s="30" t="str">
        <f t="array" ref="AF19">IF(OR($B19="",$C19="",$E19=""),"",IF(OR(AF$8&lt;$E19,AF$8-$E19&gt;=12),0,$C19*INDEX(Fondsen!$F$5:$Q$30,MATCH($B19,Fondsen!$A$5:$A$30,0),AF$8-$E19+1)))</f>
        <v/>
      </c>
      <c r="AG19" s="31" t="str">
        <f t="array" ref="AG19">IF(OR($B19="",$C19="",$E19=""),"",IF(OR(AG$8&lt;$E19,AG$8-$E19&gt;=12),0,$C19*INDEX(Fondsen!$F$5:$Q$30,MATCH($B19,Fondsen!$A$5:$A$30,0),AG$8-$E19+1)))</f>
        <v/>
      </c>
      <c r="AH19" s="30" t="str">
        <f t="array" ref="AH19">IF(OR($B19="",$C19="",$E19=""),"",IF(OR(AH$8&lt;$E19,AH$8-$E19&gt;=12),0,$C19*INDEX(Fondsen!$F$5:$Q$30,MATCH($B19,Fondsen!$A$5:$A$30,0),AH$8-$E19+1)))</f>
        <v/>
      </c>
      <c r="AI19" s="31" t="str">
        <f t="array" ref="AI19">IF(OR($B19="",$C19="",$E19=""),"",IF(OR(AI$8&lt;$E19,AI$8-$E19&gt;=12),0,$C19*INDEX(Fondsen!$F$5:$Q$30,MATCH($B19,Fondsen!$A$5:$A$30,0),AI$8-$E19+1)))</f>
        <v/>
      </c>
      <c r="AJ19" s="30" t="str">
        <f t="array" ref="AJ19">IF(OR($B19="",$C19="",$E19=""),"",IF(OR(AJ$8&lt;$E19,AJ$8-$E19&gt;=12),0,$C19*INDEX(Fondsen!$F$5:$Q$30,MATCH($B19,Fondsen!$A$5:$A$30,0),AJ$8-$E19+1)))</f>
        <v/>
      </c>
      <c r="AK19" s="31" t="str">
        <f t="array" ref="AK19">IF(OR($B19="",$C19="",$E19=""),"",IF(OR(AK$8&lt;$E19,AK$8-$E19&gt;=12),0,$C19*INDEX(Fondsen!$F$5:$Q$30,MATCH($B19,Fondsen!$A$5:$A$30,0),AK$8-$E19+1)))</f>
        <v/>
      </c>
      <c r="AL19" s="30" t="str">
        <f t="array" ref="AL19">IF(OR($B19="",$C19="",$E19=""),"",IF(OR(AL$8&lt;$E19,AL$8-$E19&gt;=12),0,$C19*INDEX(Fondsen!$F$5:$Q$30,MATCH($B19,Fondsen!$A$5:$A$30,0),AL$8-$E19+1)))</f>
        <v/>
      </c>
      <c r="AM19" s="31" t="str">
        <f t="array" ref="AM19">IF(OR($B19="",$C19="",$E19=""),"",IF(OR(AM$8&lt;$E19,AM$8-$E19&gt;=12),0,$C19*INDEX(Fondsen!$F$5:$Q$30,MATCH($B19,Fondsen!$A$5:$A$30,0),AM$8-$E19+1)))</f>
        <v/>
      </c>
      <c r="AN19" s="30" t="str">
        <f t="array" ref="AN19">IF(OR($B19="",$C19="",$E19=""),"",IF(OR(AN$8&lt;$E19,AN$8-$E19&gt;=12),0,$C19*INDEX(Fondsen!$F$5:$Q$30,MATCH($B19,Fondsen!$A$5:$A$30,0),AN$8-$E19+1)))</f>
        <v/>
      </c>
      <c r="AO19" s="31" t="str">
        <f t="array" ref="AO19">IF(OR($B19="",$C19="",$E19=""),"",IF(OR(AO$8&lt;$E19,AO$8-$E19&gt;=12),0,$C19*INDEX(Fondsen!$F$5:$Q$30,MATCH($B19,Fondsen!$A$5:$A$30,0),AO$8-$E19+1)))</f>
        <v/>
      </c>
      <c r="AP19" s="30" t="str">
        <f t="array" ref="AP19">IF(OR($B19="",$C19="",$E19=""),"",IF(OR(AP$8&lt;$E19,AP$8-$E19&gt;=12),0,$C19*INDEX(Fondsen!$F$5:$Q$30,MATCH($B19,Fondsen!$A$5:$A$30,0),AP$8-$E19+1)))</f>
        <v/>
      </c>
      <c r="AQ19" s="31" t="str">
        <f t="array" ref="AQ19">IF(OR($B19="",$C19="",$E19=""),"",IF(OR(AQ$8&lt;$E19,AQ$8-$E19&gt;=12),0,$C19*INDEX(Fondsen!$F$5:$Q$30,MATCH($B19,Fondsen!$A$5:$A$30,0),AQ$8-$E19+1)))</f>
        <v/>
      </c>
      <c r="AR19" s="30" t="str">
        <f t="array" ref="AR19">IF(OR($B19="",$C19="",$E19=""),"",IF(OR(AR$8&lt;$E19,AR$8-$E19&gt;=12),0,$C19*INDEX(Fondsen!$F$5:$Q$30,MATCH($B19,Fondsen!$A$5:$A$30,0),AR$8-$E19+1)))</f>
        <v/>
      </c>
      <c r="AS19" s="31" t="str">
        <f t="array" ref="AS19">IF(OR($B19="",$C19="",$E19=""),"",IF(OR(AS$8&lt;$E19,AS$8-$E19&gt;=12),0,$C19*INDEX(Fondsen!$F$5:$Q$30,MATCH($B19,Fondsen!$A$5:$A$30,0),AS$8-$E19+1)))</f>
        <v/>
      </c>
      <c r="AT19" s="45"/>
    </row>
    <row r="20" ht="24.0" customHeight="1">
      <c r="A20" s="33" t="str">
        <f>IF(B20="","",IFERROR(VLOOKUP(B20,Fondsen!$A$5:$B$30,2,FALSE()),""))</f>
        <v/>
      </c>
      <c r="B20" s="34"/>
      <c r="C20" s="35"/>
      <c r="D20" s="46" t="s">
        <v>11</v>
      </c>
      <c r="E20" s="37"/>
      <c r="F20" s="38" t="str">
        <f t="array" ref="F20">IF(OR($B20="",$C20="",$E20=""),"",IF(OR(F$8&lt;$E20,F$8-$E20&gt;=12),0,$C20*INDEX(Fondsen!$F$5:$Q$30,MATCH($B20,Fondsen!$A$5:$A$30,0),F$8-$E20+1)))</f>
        <v/>
      </c>
      <c r="G20" s="39" t="str">
        <f t="array" ref="G20">IF(OR($B20="",$C20="",$E20=""),"",IF(OR(G$8&lt;$E20,G$8-$E20&gt;=12),0,$C20*INDEX(Fondsen!$F$5:$Q$30,MATCH($B20,Fondsen!$A$5:$A$30,0),G$8-$E20+1)))</f>
        <v/>
      </c>
      <c r="H20" s="38" t="str">
        <f t="array" ref="H20">IF(OR($B20="",$C20="",$E20=""),"",IF(OR(H$8&lt;$E20,H$8-$E20&gt;=12),0,$C20*INDEX(Fondsen!$F$5:$Q$30,MATCH($B20,Fondsen!$A$5:$A$30,0),H$8-$E20+1)))</f>
        <v/>
      </c>
      <c r="I20" s="39" t="str">
        <f t="array" ref="I20">IF(OR($B20="",$C20="",$E20=""),"",IF(OR(I$8&lt;$E20,I$8-$E20&gt;=12),0,$C20*INDEX(Fondsen!$F$5:$Q$30,MATCH($B20,Fondsen!$A$5:$A$30,0),I$8-$E20+1)))</f>
        <v/>
      </c>
      <c r="J20" s="38" t="str">
        <f t="array" ref="J20">IF(OR($B20="",$C20="",$E20=""),"",IF(OR(J$8&lt;$E20,J$8-$E20&gt;=12),0,$C20*INDEX(Fondsen!$F$5:$Q$30,MATCH($B20,Fondsen!$A$5:$A$30,0),J$8-$E20+1)))</f>
        <v/>
      </c>
      <c r="K20" s="39" t="str">
        <f t="array" ref="K20">IF(OR($B20="",$C20="",$E20=""),"",IF(OR(K$8&lt;$E20,K$8-$E20&gt;=12),0,$C20*INDEX(Fondsen!$F$5:$Q$30,MATCH($B20,Fondsen!$A$5:$A$30,0),K$8-$E20+1)))</f>
        <v/>
      </c>
      <c r="L20" s="38" t="str">
        <f t="array" ref="L20">IF(OR($B20="",$C20="",$E20=""),"",IF(OR(L$8&lt;$E20,L$8-$E20&gt;=12),0,$C20*INDEX(Fondsen!$F$5:$Q$30,MATCH($B20,Fondsen!$A$5:$A$30,0),L$8-$E20+1)))</f>
        <v/>
      </c>
      <c r="M20" s="39" t="str">
        <f t="array" ref="M20">IF(OR($B20="",$C20="",$E20=""),"",IF(OR(M$8&lt;$E20,M$8-$E20&gt;=12),0,$C20*INDEX(Fondsen!$F$5:$Q$30,MATCH($B20,Fondsen!$A$5:$A$30,0),M$8-$E20+1)))</f>
        <v/>
      </c>
      <c r="N20" s="38" t="str">
        <f t="array" ref="N20">IF(OR($B20="",$C20="",$E20=""),"",IF(OR(N$8&lt;$E20,N$8-$E20&gt;=12),0,$C20*INDEX(Fondsen!$F$5:$Q$30,MATCH($B20,Fondsen!$A$5:$A$30,0),N$8-$E20+1)))</f>
        <v/>
      </c>
      <c r="O20" s="39" t="str">
        <f t="array" ref="O20">IF(OR($B20="",$C20="",$E20=""),"",IF(OR(O$8&lt;$E20,O$8-$E20&gt;=12),0,$C20*INDEX(Fondsen!$F$5:$Q$30,MATCH($B20,Fondsen!$A$5:$A$30,0),O$8-$E20+1)))</f>
        <v/>
      </c>
      <c r="P20" s="38" t="str">
        <f t="array" ref="P20">IF(OR($B20="",$C20="",$E20=""),"",IF(OR(P$8&lt;$E20,P$8-$E20&gt;=12),0,$C20*INDEX(Fondsen!$F$5:$Q$30,MATCH($B20,Fondsen!$A$5:$A$30,0),P$8-$E20+1)))</f>
        <v/>
      </c>
      <c r="Q20" s="39" t="str">
        <f t="array" ref="Q20">IF(OR($B20="",$C20="",$E20=""),"",IF(OR(Q$8&lt;$E20,Q$8-$E20&gt;=12),0,$C20*INDEX(Fondsen!$F$5:$Q$30,MATCH($B20,Fondsen!$A$5:$A$30,0),Q$8-$E20+1)))</f>
        <v/>
      </c>
      <c r="R20" s="38" t="str">
        <f t="array" ref="R20">IF(OR($B20="",$C20="",$E20=""),"",IF(OR(R$8&lt;$E20,R$8-$E20&gt;=12),0,$C20*INDEX(Fondsen!$F$5:$Q$30,MATCH($B20,Fondsen!$A$5:$A$30,0),R$8-$E20+1)))</f>
        <v/>
      </c>
      <c r="S20" s="39" t="str">
        <f t="array" ref="S20">IF(OR($B20="",$C20="",$E20=""),"",IF(OR(S$8&lt;$E20,S$8-$E20&gt;=12),0,$C20*INDEX(Fondsen!$F$5:$Q$30,MATCH($B20,Fondsen!$A$5:$A$30,0),S$8-$E20+1)))</f>
        <v/>
      </c>
      <c r="T20" s="38" t="str">
        <f t="array" ref="T20">IF(OR($B20="",$C20="",$E20=""),"",IF(OR(T$8&lt;$E20,T$8-$E20&gt;=12),0,$C20*INDEX(Fondsen!$F$5:$Q$30,MATCH($B20,Fondsen!$A$5:$A$30,0),T$8-$E20+1)))</f>
        <v/>
      </c>
      <c r="U20" s="39" t="str">
        <f t="array" ref="U20">IF(OR($B20="",$C20="",$E20=""),"",IF(OR(U$8&lt;$E20,U$8-$E20&gt;=12),0,$C20*INDEX(Fondsen!$F$5:$Q$30,MATCH($B20,Fondsen!$A$5:$A$30,0),U$8-$E20+1)))</f>
        <v/>
      </c>
      <c r="V20" s="38" t="str">
        <f t="array" ref="V20">IF(OR($B20="",$C20="",$E20=""),"",IF(OR(V$8&lt;$E20,V$8-$E20&gt;=12),0,$C20*INDEX(Fondsen!$F$5:$Q$30,MATCH($B20,Fondsen!$A$5:$A$30,0),V$8-$E20+1)))</f>
        <v/>
      </c>
      <c r="W20" s="39" t="str">
        <f t="array" ref="W20">IF(OR($B20="",$C20="",$E20=""),"",IF(OR(W$8&lt;$E20,W$8-$E20&gt;=12),0,$C20*INDEX(Fondsen!$F$5:$Q$30,MATCH($B20,Fondsen!$A$5:$A$30,0),W$8-$E20+1)))</f>
        <v/>
      </c>
      <c r="X20" s="38" t="str">
        <f t="array" ref="X20">IF(OR($B20="",$C20="",$E20=""),"",IF(OR(X$8&lt;$E20,X$8-$E20&gt;=12),0,$C20*INDEX(Fondsen!$F$5:$Q$30,MATCH($B20,Fondsen!$A$5:$A$30,0),X$8-$E20+1)))</f>
        <v/>
      </c>
      <c r="Y20" s="39" t="str">
        <f t="array" ref="Y20">IF(OR($B20="",$C20="",$E20=""),"",IF(OR(Y$8&lt;$E20,Y$8-$E20&gt;=12),0,$C20*INDEX(Fondsen!$F$5:$Q$30,MATCH($B20,Fondsen!$A$5:$A$30,0),Y$8-$E20+1)))</f>
        <v/>
      </c>
      <c r="Z20" s="38" t="str">
        <f t="array" ref="Z20">IF(OR($B20="",$C20="",$E20=""),"",IF(OR(Z$8&lt;$E20,Z$8-$E20&gt;=12),0,$C20*INDEX(Fondsen!$F$5:$Q$30,MATCH($B20,Fondsen!$A$5:$A$30,0),Z$8-$E20+1)))</f>
        <v/>
      </c>
      <c r="AA20" s="39" t="str">
        <f t="array" ref="AA20">IF(OR($B20="",$C20="",$E20=""),"",IF(OR(AA$8&lt;$E20,AA$8-$E20&gt;=12),0,$C20*INDEX(Fondsen!$F$5:$Q$30,MATCH($B20,Fondsen!$A$5:$A$30,0),AA$8-$E20+1)))</f>
        <v/>
      </c>
      <c r="AB20" s="38" t="str">
        <f t="array" ref="AB20">IF(OR($B20="",$C20="",$E20=""),"",IF(OR(AB$8&lt;$E20,AB$8-$E20&gt;=12),0,$C20*INDEX(Fondsen!$F$5:$Q$30,MATCH($B20,Fondsen!$A$5:$A$30,0),AB$8-$E20+1)))</f>
        <v/>
      </c>
      <c r="AC20" s="39" t="str">
        <f t="array" ref="AC20">IF(OR($B20="",$C20="",$E20=""),"",IF(OR(AC$8&lt;$E20,AC$8-$E20&gt;=12),0,$C20*INDEX(Fondsen!$F$5:$Q$30,MATCH($B20,Fondsen!$A$5:$A$30,0),AC$8-$E20+1)))</f>
        <v/>
      </c>
      <c r="AD20" s="38" t="str">
        <f t="array" ref="AD20">IF(OR($B20="",$C20="",$E20=""),"",IF(OR(AD$8&lt;$E20,AD$8-$E20&gt;=12),0,$C20*INDEX(Fondsen!$F$5:$Q$30,MATCH($B20,Fondsen!$A$5:$A$30,0),AD$8-$E20+1)))</f>
        <v/>
      </c>
      <c r="AE20" s="39" t="str">
        <f t="array" ref="AE20">IF(OR($B20="",$C20="",$E20=""),"",IF(OR(AE$8&lt;$E20,AE$8-$E20&gt;=12),0,$C20*INDEX(Fondsen!$F$5:$Q$30,MATCH($B20,Fondsen!$A$5:$A$30,0),AE$8-$E20+1)))</f>
        <v/>
      </c>
      <c r="AF20" s="38" t="str">
        <f t="array" ref="AF20">IF(OR($B20="",$C20="",$E20=""),"",IF(OR(AF$8&lt;$E20,AF$8-$E20&gt;=12),0,$C20*INDEX(Fondsen!$F$5:$Q$30,MATCH($B20,Fondsen!$A$5:$A$30,0),AF$8-$E20+1)))</f>
        <v/>
      </c>
      <c r="AG20" s="39" t="str">
        <f t="array" ref="AG20">IF(OR($B20="",$C20="",$E20=""),"",IF(OR(AG$8&lt;$E20,AG$8-$E20&gt;=12),0,$C20*INDEX(Fondsen!$F$5:$Q$30,MATCH($B20,Fondsen!$A$5:$A$30,0),AG$8-$E20+1)))</f>
        <v/>
      </c>
      <c r="AH20" s="38" t="str">
        <f t="array" ref="AH20">IF(OR($B20="",$C20="",$E20=""),"",IF(OR(AH$8&lt;$E20,AH$8-$E20&gt;=12),0,$C20*INDEX(Fondsen!$F$5:$Q$30,MATCH($B20,Fondsen!$A$5:$A$30,0),AH$8-$E20+1)))</f>
        <v/>
      </c>
      <c r="AI20" s="39" t="str">
        <f t="array" ref="AI20">IF(OR($B20="",$C20="",$E20=""),"",IF(OR(AI$8&lt;$E20,AI$8-$E20&gt;=12),0,$C20*INDEX(Fondsen!$F$5:$Q$30,MATCH($B20,Fondsen!$A$5:$A$30,0),AI$8-$E20+1)))</f>
        <v/>
      </c>
      <c r="AJ20" s="38" t="str">
        <f t="array" ref="AJ20">IF(OR($B20="",$C20="",$E20=""),"",IF(OR(AJ$8&lt;$E20,AJ$8-$E20&gt;=12),0,$C20*INDEX(Fondsen!$F$5:$Q$30,MATCH($B20,Fondsen!$A$5:$A$30,0),AJ$8-$E20+1)))</f>
        <v/>
      </c>
      <c r="AK20" s="39" t="str">
        <f t="array" ref="AK20">IF(OR($B20="",$C20="",$E20=""),"",IF(OR(AK$8&lt;$E20,AK$8-$E20&gt;=12),0,$C20*INDEX(Fondsen!$F$5:$Q$30,MATCH($B20,Fondsen!$A$5:$A$30,0),AK$8-$E20+1)))</f>
        <v/>
      </c>
      <c r="AL20" s="38" t="str">
        <f t="array" ref="AL20">IF(OR($B20="",$C20="",$E20=""),"",IF(OR(AL$8&lt;$E20,AL$8-$E20&gt;=12),0,$C20*INDEX(Fondsen!$F$5:$Q$30,MATCH($B20,Fondsen!$A$5:$A$30,0),AL$8-$E20+1)))</f>
        <v/>
      </c>
      <c r="AM20" s="39" t="str">
        <f t="array" ref="AM20">IF(OR($B20="",$C20="",$E20=""),"",IF(OR(AM$8&lt;$E20,AM$8-$E20&gt;=12),0,$C20*INDEX(Fondsen!$F$5:$Q$30,MATCH($B20,Fondsen!$A$5:$A$30,0),AM$8-$E20+1)))</f>
        <v/>
      </c>
      <c r="AN20" s="38" t="str">
        <f t="array" ref="AN20">IF(OR($B20="",$C20="",$E20=""),"",IF(OR(AN$8&lt;$E20,AN$8-$E20&gt;=12),0,$C20*INDEX(Fondsen!$F$5:$Q$30,MATCH($B20,Fondsen!$A$5:$A$30,0),AN$8-$E20+1)))</f>
        <v/>
      </c>
      <c r="AO20" s="39" t="str">
        <f t="array" ref="AO20">IF(OR($B20="",$C20="",$E20=""),"",IF(OR(AO$8&lt;$E20,AO$8-$E20&gt;=12),0,$C20*INDEX(Fondsen!$F$5:$Q$30,MATCH($B20,Fondsen!$A$5:$A$30,0),AO$8-$E20+1)))</f>
        <v/>
      </c>
      <c r="AP20" s="38" t="str">
        <f t="array" ref="AP20">IF(OR($B20="",$C20="",$E20=""),"",IF(OR(AP$8&lt;$E20,AP$8-$E20&gt;=12),0,$C20*INDEX(Fondsen!$F$5:$Q$30,MATCH($B20,Fondsen!$A$5:$A$30,0),AP$8-$E20+1)))</f>
        <v/>
      </c>
      <c r="AQ20" s="39" t="str">
        <f t="array" ref="AQ20">IF(OR($B20="",$C20="",$E20=""),"",IF(OR(AQ$8&lt;$E20,AQ$8-$E20&gt;=12),0,$C20*INDEX(Fondsen!$F$5:$Q$30,MATCH($B20,Fondsen!$A$5:$A$30,0),AQ$8-$E20+1)))</f>
        <v/>
      </c>
      <c r="AR20" s="38" t="str">
        <f t="array" ref="AR20">IF(OR($B20="",$C20="",$E20=""),"",IF(OR(AR$8&lt;$E20,AR$8-$E20&gt;=12),0,$C20*INDEX(Fondsen!$F$5:$Q$30,MATCH($B20,Fondsen!$A$5:$A$30,0),AR$8-$E20+1)))</f>
        <v/>
      </c>
      <c r="AS20" s="39" t="str">
        <f t="array" ref="AS20">IF(OR($B20="",$C20="",$E20=""),"",IF(OR(AS$8&lt;$E20,AS$8-$E20&gt;=12),0,$C20*INDEX(Fondsen!$F$5:$Q$30,MATCH($B20,Fondsen!$A$5:$A$30,0),AS$8-$E20+1)))</f>
        <v/>
      </c>
      <c r="AT20" s="45"/>
    </row>
    <row r="21" ht="24.0" customHeight="1">
      <c r="A21" s="47" t="str">
        <f>IF(B21="","",IFERROR(VLOOKUP(B21,Fondsen!$A$5:$B$30,2,FALSE()),""))</f>
        <v/>
      </c>
      <c r="B21" s="26"/>
      <c r="C21" s="27"/>
      <c r="D21" s="44" t="s">
        <v>11</v>
      </c>
      <c r="E21" s="29"/>
      <c r="F21" s="30" t="str">
        <f t="array" ref="F21">IF(OR($B21="",$C21="",$E21=""),"",IF(OR(F$8&lt;$E21,F$8-$E21&gt;=12),0,$C21*INDEX(Fondsen!$F$5:$Q$30,MATCH($B21,Fondsen!$A$5:$A$30,0),F$8-$E21+1)))</f>
        <v/>
      </c>
      <c r="G21" s="31" t="str">
        <f t="array" ref="G21">IF(OR($B21="",$C21="",$E21=""),"",IF(OR(G$8&lt;$E21,G$8-$E21&gt;=12),0,$C21*INDEX(Fondsen!$F$5:$Q$30,MATCH($B21,Fondsen!$A$5:$A$30,0),G$8-$E21+1)))</f>
        <v/>
      </c>
      <c r="H21" s="30" t="str">
        <f t="array" ref="H21">IF(OR($B21="",$C21="",$E21=""),"",IF(OR(H$8&lt;$E21,H$8-$E21&gt;=12),0,$C21*INDEX(Fondsen!$F$5:$Q$30,MATCH($B21,Fondsen!$A$5:$A$30,0),H$8-$E21+1)))</f>
        <v/>
      </c>
      <c r="I21" s="31" t="str">
        <f t="array" ref="I21">IF(OR($B21="",$C21="",$E21=""),"",IF(OR(I$8&lt;$E21,I$8-$E21&gt;=12),0,$C21*INDEX(Fondsen!$F$5:$Q$30,MATCH($B21,Fondsen!$A$5:$A$30,0),I$8-$E21+1)))</f>
        <v/>
      </c>
      <c r="J21" s="30" t="str">
        <f t="array" ref="J21">IF(OR($B21="",$C21="",$E21=""),"",IF(OR(J$8&lt;$E21,J$8-$E21&gt;=12),0,$C21*INDEX(Fondsen!$F$5:$Q$30,MATCH($B21,Fondsen!$A$5:$A$30,0),J$8-$E21+1)))</f>
        <v/>
      </c>
      <c r="K21" s="31" t="str">
        <f t="array" ref="K21">IF(OR($B21="",$C21="",$E21=""),"",IF(OR(K$8&lt;$E21,K$8-$E21&gt;=12),0,$C21*INDEX(Fondsen!$F$5:$Q$30,MATCH($B21,Fondsen!$A$5:$A$30,0),K$8-$E21+1)))</f>
        <v/>
      </c>
      <c r="L21" s="30" t="str">
        <f t="array" ref="L21">IF(OR($B21="",$C21="",$E21=""),"",IF(OR(L$8&lt;$E21,L$8-$E21&gt;=12),0,$C21*INDEX(Fondsen!$F$5:$Q$30,MATCH($B21,Fondsen!$A$5:$A$30,0),L$8-$E21+1)))</f>
        <v/>
      </c>
      <c r="M21" s="31" t="str">
        <f t="array" ref="M21">IF(OR($B21="",$C21="",$E21=""),"",IF(OR(M$8&lt;$E21,M$8-$E21&gt;=12),0,$C21*INDEX(Fondsen!$F$5:$Q$30,MATCH($B21,Fondsen!$A$5:$A$30,0),M$8-$E21+1)))</f>
        <v/>
      </c>
      <c r="N21" s="30" t="str">
        <f t="array" ref="N21">IF(OR($B21="",$C21="",$E21=""),"",IF(OR(N$8&lt;$E21,N$8-$E21&gt;=12),0,$C21*INDEX(Fondsen!$F$5:$Q$30,MATCH($B21,Fondsen!$A$5:$A$30,0),N$8-$E21+1)))</f>
        <v/>
      </c>
      <c r="O21" s="31" t="str">
        <f t="array" ref="O21">IF(OR($B21="",$C21="",$E21=""),"",IF(OR(O$8&lt;$E21,O$8-$E21&gt;=12),0,$C21*INDEX(Fondsen!$F$5:$Q$30,MATCH($B21,Fondsen!$A$5:$A$30,0),O$8-$E21+1)))</f>
        <v/>
      </c>
      <c r="P21" s="30" t="str">
        <f t="array" ref="P21">IF(OR($B21="",$C21="",$E21=""),"",IF(OR(P$8&lt;$E21,P$8-$E21&gt;=12),0,$C21*INDEX(Fondsen!$F$5:$Q$30,MATCH($B21,Fondsen!$A$5:$A$30,0),P$8-$E21+1)))</f>
        <v/>
      </c>
      <c r="Q21" s="31" t="str">
        <f t="array" ref="Q21">IF(OR($B21="",$C21="",$E21=""),"",IF(OR(Q$8&lt;$E21,Q$8-$E21&gt;=12),0,$C21*INDEX(Fondsen!$F$5:$Q$30,MATCH($B21,Fondsen!$A$5:$A$30,0),Q$8-$E21+1)))</f>
        <v/>
      </c>
      <c r="R21" s="30" t="str">
        <f t="array" ref="R21">IF(OR($B21="",$C21="",$E21=""),"",IF(OR(R$8&lt;$E21,R$8-$E21&gt;=12),0,$C21*INDEX(Fondsen!$F$5:$Q$30,MATCH($B21,Fondsen!$A$5:$A$30,0),R$8-$E21+1)))</f>
        <v/>
      </c>
      <c r="S21" s="31" t="str">
        <f t="array" ref="S21">IF(OR($B21="",$C21="",$E21=""),"",IF(OR(S$8&lt;$E21,S$8-$E21&gt;=12),0,$C21*INDEX(Fondsen!$F$5:$Q$30,MATCH($B21,Fondsen!$A$5:$A$30,0),S$8-$E21+1)))</f>
        <v/>
      </c>
      <c r="T21" s="30" t="str">
        <f t="array" ref="T21">IF(OR($B21="",$C21="",$E21=""),"",IF(OR(T$8&lt;$E21,T$8-$E21&gt;=12),0,$C21*INDEX(Fondsen!$F$5:$Q$30,MATCH($B21,Fondsen!$A$5:$A$30,0),T$8-$E21+1)))</f>
        <v/>
      </c>
      <c r="U21" s="31" t="str">
        <f t="array" ref="U21">IF(OR($B21="",$C21="",$E21=""),"",IF(OR(U$8&lt;$E21,U$8-$E21&gt;=12),0,$C21*INDEX(Fondsen!$F$5:$Q$30,MATCH($B21,Fondsen!$A$5:$A$30,0),U$8-$E21+1)))</f>
        <v/>
      </c>
      <c r="V21" s="30" t="str">
        <f t="array" ref="V21">IF(OR($B21="",$C21="",$E21=""),"",IF(OR(V$8&lt;$E21,V$8-$E21&gt;=12),0,$C21*INDEX(Fondsen!$F$5:$Q$30,MATCH($B21,Fondsen!$A$5:$A$30,0),V$8-$E21+1)))</f>
        <v/>
      </c>
      <c r="W21" s="31" t="str">
        <f t="array" ref="W21">IF(OR($B21="",$C21="",$E21=""),"",IF(OR(W$8&lt;$E21,W$8-$E21&gt;=12),0,$C21*INDEX(Fondsen!$F$5:$Q$30,MATCH($B21,Fondsen!$A$5:$A$30,0),W$8-$E21+1)))</f>
        <v/>
      </c>
      <c r="X21" s="30" t="str">
        <f t="array" ref="X21">IF(OR($B21="",$C21="",$E21=""),"",IF(OR(X$8&lt;$E21,X$8-$E21&gt;=12),0,$C21*INDEX(Fondsen!$F$5:$Q$30,MATCH($B21,Fondsen!$A$5:$A$30,0),X$8-$E21+1)))</f>
        <v/>
      </c>
      <c r="Y21" s="31" t="str">
        <f t="array" ref="Y21">IF(OR($B21="",$C21="",$E21=""),"",IF(OR(Y$8&lt;$E21,Y$8-$E21&gt;=12),0,$C21*INDEX(Fondsen!$F$5:$Q$30,MATCH($B21,Fondsen!$A$5:$A$30,0),Y$8-$E21+1)))</f>
        <v/>
      </c>
      <c r="Z21" s="30" t="str">
        <f t="array" ref="Z21">IF(OR($B21="",$C21="",$E21=""),"",IF(OR(Z$8&lt;$E21,Z$8-$E21&gt;=12),0,$C21*INDEX(Fondsen!$F$5:$Q$30,MATCH($B21,Fondsen!$A$5:$A$30,0),Z$8-$E21+1)))</f>
        <v/>
      </c>
      <c r="AA21" s="31" t="str">
        <f t="array" ref="AA21">IF(OR($B21="",$C21="",$E21=""),"",IF(OR(AA$8&lt;$E21,AA$8-$E21&gt;=12),0,$C21*INDEX(Fondsen!$F$5:$Q$30,MATCH($B21,Fondsen!$A$5:$A$30,0),AA$8-$E21+1)))</f>
        <v/>
      </c>
      <c r="AB21" s="30" t="str">
        <f t="array" ref="AB21">IF(OR($B21="",$C21="",$E21=""),"",IF(OR(AB$8&lt;$E21,AB$8-$E21&gt;=12),0,$C21*INDEX(Fondsen!$F$5:$Q$30,MATCH($B21,Fondsen!$A$5:$A$30,0),AB$8-$E21+1)))</f>
        <v/>
      </c>
      <c r="AC21" s="31" t="str">
        <f t="array" ref="AC21">IF(OR($B21="",$C21="",$E21=""),"",IF(OR(AC$8&lt;$E21,AC$8-$E21&gt;=12),0,$C21*INDEX(Fondsen!$F$5:$Q$30,MATCH($B21,Fondsen!$A$5:$A$30,0),AC$8-$E21+1)))</f>
        <v/>
      </c>
      <c r="AD21" s="30" t="str">
        <f t="array" ref="AD21">IF(OR($B21="",$C21="",$E21=""),"",IF(OR(AD$8&lt;$E21,AD$8-$E21&gt;=12),0,$C21*INDEX(Fondsen!$F$5:$Q$30,MATCH($B21,Fondsen!$A$5:$A$30,0),AD$8-$E21+1)))</f>
        <v/>
      </c>
      <c r="AE21" s="31" t="str">
        <f t="array" ref="AE21">IF(OR($B21="",$C21="",$E21=""),"",IF(OR(AE$8&lt;$E21,AE$8-$E21&gt;=12),0,$C21*INDEX(Fondsen!$F$5:$Q$30,MATCH($B21,Fondsen!$A$5:$A$30,0),AE$8-$E21+1)))</f>
        <v/>
      </c>
      <c r="AF21" s="30" t="str">
        <f t="array" ref="AF21">IF(OR($B21="",$C21="",$E21=""),"",IF(OR(AF$8&lt;$E21,AF$8-$E21&gt;=12),0,$C21*INDEX(Fondsen!$F$5:$Q$30,MATCH($B21,Fondsen!$A$5:$A$30,0),AF$8-$E21+1)))</f>
        <v/>
      </c>
      <c r="AG21" s="31" t="str">
        <f t="array" ref="AG21">IF(OR($B21="",$C21="",$E21=""),"",IF(OR(AG$8&lt;$E21,AG$8-$E21&gt;=12),0,$C21*INDEX(Fondsen!$F$5:$Q$30,MATCH($B21,Fondsen!$A$5:$A$30,0),AG$8-$E21+1)))</f>
        <v/>
      </c>
      <c r="AH21" s="30" t="str">
        <f t="array" ref="AH21">IF(OR($B21="",$C21="",$E21=""),"",IF(OR(AH$8&lt;$E21,AH$8-$E21&gt;=12),0,$C21*INDEX(Fondsen!$F$5:$Q$30,MATCH($B21,Fondsen!$A$5:$A$30,0),AH$8-$E21+1)))</f>
        <v/>
      </c>
      <c r="AI21" s="31" t="str">
        <f t="array" ref="AI21">IF(OR($B21="",$C21="",$E21=""),"",IF(OR(AI$8&lt;$E21,AI$8-$E21&gt;=12),0,$C21*INDEX(Fondsen!$F$5:$Q$30,MATCH($B21,Fondsen!$A$5:$A$30,0),AI$8-$E21+1)))</f>
        <v/>
      </c>
      <c r="AJ21" s="30" t="str">
        <f t="array" ref="AJ21">IF(OR($B21="",$C21="",$E21=""),"",IF(OR(AJ$8&lt;$E21,AJ$8-$E21&gt;=12),0,$C21*INDEX(Fondsen!$F$5:$Q$30,MATCH($B21,Fondsen!$A$5:$A$30,0),AJ$8-$E21+1)))</f>
        <v/>
      </c>
      <c r="AK21" s="31" t="str">
        <f t="array" ref="AK21">IF(OR($B21="",$C21="",$E21=""),"",IF(OR(AK$8&lt;$E21,AK$8-$E21&gt;=12),0,$C21*INDEX(Fondsen!$F$5:$Q$30,MATCH($B21,Fondsen!$A$5:$A$30,0),AK$8-$E21+1)))</f>
        <v/>
      </c>
      <c r="AL21" s="30" t="str">
        <f t="array" ref="AL21">IF(OR($B21="",$C21="",$E21=""),"",IF(OR(AL$8&lt;$E21,AL$8-$E21&gt;=12),0,$C21*INDEX(Fondsen!$F$5:$Q$30,MATCH($B21,Fondsen!$A$5:$A$30,0),AL$8-$E21+1)))</f>
        <v/>
      </c>
      <c r="AM21" s="31" t="str">
        <f t="array" ref="AM21">IF(OR($B21="",$C21="",$E21=""),"",IF(OR(AM$8&lt;$E21,AM$8-$E21&gt;=12),0,$C21*INDEX(Fondsen!$F$5:$Q$30,MATCH($B21,Fondsen!$A$5:$A$30,0),AM$8-$E21+1)))</f>
        <v/>
      </c>
      <c r="AN21" s="30" t="str">
        <f t="array" ref="AN21">IF(OR($B21="",$C21="",$E21=""),"",IF(OR(AN$8&lt;$E21,AN$8-$E21&gt;=12),0,$C21*INDEX(Fondsen!$F$5:$Q$30,MATCH($B21,Fondsen!$A$5:$A$30,0),AN$8-$E21+1)))</f>
        <v/>
      </c>
      <c r="AO21" s="31" t="str">
        <f t="array" ref="AO21">IF(OR($B21="",$C21="",$E21=""),"",IF(OR(AO$8&lt;$E21,AO$8-$E21&gt;=12),0,$C21*INDEX(Fondsen!$F$5:$Q$30,MATCH($B21,Fondsen!$A$5:$A$30,0),AO$8-$E21+1)))</f>
        <v/>
      </c>
      <c r="AP21" s="30" t="str">
        <f t="array" ref="AP21">IF(OR($B21="",$C21="",$E21=""),"",IF(OR(AP$8&lt;$E21,AP$8-$E21&gt;=12),0,$C21*INDEX(Fondsen!$F$5:$Q$30,MATCH($B21,Fondsen!$A$5:$A$30,0),AP$8-$E21+1)))</f>
        <v/>
      </c>
      <c r="AQ21" s="31" t="str">
        <f t="array" ref="AQ21">IF(OR($B21="",$C21="",$E21=""),"",IF(OR(AQ$8&lt;$E21,AQ$8-$E21&gt;=12),0,$C21*INDEX(Fondsen!$F$5:$Q$30,MATCH($B21,Fondsen!$A$5:$A$30,0),AQ$8-$E21+1)))</f>
        <v/>
      </c>
      <c r="AR21" s="30" t="str">
        <f t="array" ref="AR21">IF(OR($B21="",$C21="",$E21=""),"",IF(OR(AR$8&lt;$E21,AR$8-$E21&gt;=12),0,$C21*INDEX(Fondsen!$F$5:$Q$30,MATCH($B21,Fondsen!$A$5:$A$30,0),AR$8-$E21+1)))</f>
        <v/>
      </c>
      <c r="AS21" s="31" t="str">
        <f t="array" ref="AS21">IF(OR($B21="",$C21="",$E21=""),"",IF(OR(AS$8&lt;$E21,AS$8-$E21&gt;=12),0,$C21*INDEX(Fondsen!$F$5:$Q$30,MATCH($B21,Fondsen!$A$5:$A$30,0),AS$8-$E21+1)))</f>
        <v/>
      </c>
      <c r="AT21" s="45"/>
    </row>
    <row r="22" ht="24.0" customHeight="1">
      <c r="A22" s="33" t="str">
        <f>IF(B22="","",IFERROR(VLOOKUP(B22,Fondsen!$A$5:$B$30,2,FALSE()),""))</f>
        <v/>
      </c>
      <c r="B22" s="34"/>
      <c r="C22" s="35"/>
      <c r="D22" s="46" t="s">
        <v>11</v>
      </c>
      <c r="E22" s="37"/>
      <c r="F22" s="38" t="str">
        <f t="array" ref="F22">IF(OR($B22="",$C22="",$E22=""),"",IF(OR(F$8&lt;$E22,F$8-$E22&gt;=12),0,$C22*INDEX(Fondsen!$F$5:$Q$30,MATCH($B22,Fondsen!$A$5:$A$30,0),F$8-$E22+1)))</f>
        <v/>
      </c>
      <c r="G22" s="39" t="str">
        <f t="array" ref="G22">IF(OR($B22="",$C22="",$E22=""),"",IF(OR(G$8&lt;$E22,G$8-$E22&gt;=12),0,$C22*INDEX(Fondsen!$F$5:$Q$30,MATCH($B22,Fondsen!$A$5:$A$30,0),G$8-$E22+1)))</f>
        <v/>
      </c>
      <c r="H22" s="38" t="str">
        <f t="array" ref="H22">IF(OR($B22="",$C22="",$E22=""),"",IF(OR(H$8&lt;$E22,H$8-$E22&gt;=12),0,$C22*INDEX(Fondsen!$F$5:$Q$30,MATCH($B22,Fondsen!$A$5:$A$30,0),H$8-$E22+1)))</f>
        <v/>
      </c>
      <c r="I22" s="39" t="str">
        <f t="array" ref="I22">IF(OR($B22="",$C22="",$E22=""),"",IF(OR(I$8&lt;$E22,I$8-$E22&gt;=12),0,$C22*INDEX(Fondsen!$F$5:$Q$30,MATCH($B22,Fondsen!$A$5:$A$30,0),I$8-$E22+1)))</f>
        <v/>
      </c>
      <c r="J22" s="38" t="str">
        <f t="array" ref="J22">IF(OR($B22="",$C22="",$E22=""),"",IF(OR(J$8&lt;$E22,J$8-$E22&gt;=12),0,$C22*INDEX(Fondsen!$F$5:$Q$30,MATCH($B22,Fondsen!$A$5:$A$30,0),J$8-$E22+1)))</f>
        <v/>
      </c>
      <c r="K22" s="39" t="str">
        <f t="array" ref="K22">IF(OR($B22="",$C22="",$E22=""),"",IF(OR(K$8&lt;$E22,K$8-$E22&gt;=12),0,$C22*INDEX(Fondsen!$F$5:$Q$30,MATCH($B22,Fondsen!$A$5:$A$30,0),K$8-$E22+1)))</f>
        <v/>
      </c>
      <c r="L22" s="38" t="str">
        <f t="array" ref="L22">IF(OR($B22="",$C22="",$E22=""),"",IF(OR(L$8&lt;$E22,L$8-$E22&gt;=12),0,$C22*INDEX(Fondsen!$F$5:$Q$30,MATCH($B22,Fondsen!$A$5:$A$30,0),L$8-$E22+1)))</f>
        <v/>
      </c>
      <c r="M22" s="39" t="str">
        <f t="array" ref="M22">IF(OR($B22="",$C22="",$E22=""),"",IF(OR(M$8&lt;$E22,M$8-$E22&gt;=12),0,$C22*INDEX(Fondsen!$F$5:$Q$30,MATCH($B22,Fondsen!$A$5:$A$30,0),M$8-$E22+1)))</f>
        <v/>
      </c>
      <c r="N22" s="38" t="str">
        <f t="array" ref="N22">IF(OR($B22="",$C22="",$E22=""),"",IF(OR(N$8&lt;$E22,N$8-$E22&gt;=12),0,$C22*INDEX(Fondsen!$F$5:$Q$30,MATCH($B22,Fondsen!$A$5:$A$30,0),N$8-$E22+1)))</f>
        <v/>
      </c>
      <c r="O22" s="39" t="str">
        <f t="array" ref="O22">IF(OR($B22="",$C22="",$E22=""),"",IF(OR(O$8&lt;$E22,O$8-$E22&gt;=12),0,$C22*INDEX(Fondsen!$F$5:$Q$30,MATCH($B22,Fondsen!$A$5:$A$30,0),O$8-$E22+1)))</f>
        <v/>
      </c>
      <c r="P22" s="38" t="str">
        <f t="array" ref="P22">IF(OR($B22="",$C22="",$E22=""),"",IF(OR(P$8&lt;$E22,P$8-$E22&gt;=12),0,$C22*INDEX(Fondsen!$F$5:$Q$30,MATCH($B22,Fondsen!$A$5:$A$30,0),P$8-$E22+1)))</f>
        <v/>
      </c>
      <c r="Q22" s="39" t="str">
        <f t="array" ref="Q22">IF(OR($B22="",$C22="",$E22=""),"",IF(OR(Q$8&lt;$E22,Q$8-$E22&gt;=12),0,$C22*INDEX(Fondsen!$F$5:$Q$30,MATCH($B22,Fondsen!$A$5:$A$30,0),Q$8-$E22+1)))</f>
        <v/>
      </c>
      <c r="R22" s="38" t="str">
        <f t="array" ref="R22">IF(OR($B22="",$C22="",$E22=""),"",IF(OR(R$8&lt;$E22,R$8-$E22&gt;=12),0,$C22*INDEX(Fondsen!$F$5:$Q$30,MATCH($B22,Fondsen!$A$5:$A$30,0),R$8-$E22+1)))</f>
        <v/>
      </c>
      <c r="S22" s="39" t="str">
        <f t="array" ref="S22">IF(OR($B22="",$C22="",$E22=""),"",IF(OR(S$8&lt;$E22,S$8-$E22&gt;=12),0,$C22*INDEX(Fondsen!$F$5:$Q$30,MATCH($B22,Fondsen!$A$5:$A$30,0),S$8-$E22+1)))</f>
        <v/>
      </c>
      <c r="T22" s="38" t="str">
        <f t="array" ref="T22">IF(OR($B22="",$C22="",$E22=""),"",IF(OR(T$8&lt;$E22,T$8-$E22&gt;=12),0,$C22*INDEX(Fondsen!$F$5:$Q$30,MATCH($B22,Fondsen!$A$5:$A$30,0),T$8-$E22+1)))</f>
        <v/>
      </c>
      <c r="U22" s="39" t="str">
        <f t="array" ref="U22">IF(OR($B22="",$C22="",$E22=""),"",IF(OR(U$8&lt;$E22,U$8-$E22&gt;=12),0,$C22*INDEX(Fondsen!$F$5:$Q$30,MATCH($B22,Fondsen!$A$5:$A$30,0),U$8-$E22+1)))</f>
        <v/>
      </c>
      <c r="V22" s="38" t="str">
        <f t="array" ref="V22">IF(OR($B22="",$C22="",$E22=""),"",IF(OR(V$8&lt;$E22,V$8-$E22&gt;=12),0,$C22*INDEX(Fondsen!$F$5:$Q$30,MATCH($B22,Fondsen!$A$5:$A$30,0),V$8-$E22+1)))</f>
        <v/>
      </c>
      <c r="W22" s="39" t="str">
        <f t="array" ref="W22">IF(OR($B22="",$C22="",$E22=""),"",IF(OR(W$8&lt;$E22,W$8-$E22&gt;=12),0,$C22*INDEX(Fondsen!$F$5:$Q$30,MATCH($B22,Fondsen!$A$5:$A$30,0),W$8-$E22+1)))</f>
        <v/>
      </c>
      <c r="X22" s="38" t="str">
        <f t="array" ref="X22">IF(OR($B22="",$C22="",$E22=""),"",IF(OR(X$8&lt;$E22,X$8-$E22&gt;=12),0,$C22*INDEX(Fondsen!$F$5:$Q$30,MATCH($B22,Fondsen!$A$5:$A$30,0),X$8-$E22+1)))</f>
        <v/>
      </c>
      <c r="Y22" s="39" t="str">
        <f t="array" ref="Y22">IF(OR($B22="",$C22="",$E22=""),"",IF(OR(Y$8&lt;$E22,Y$8-$E22&gt;=12),0,$C22*INDEX(Fondsen!$F$5:$Q$30,MATCH($B22,Fondsen!$A$5:$A$30,0),Y$8-$E22+1)))</f>
        <v/>
      </c>
      <c r="Z22" s="38" t="str">
        <f t="array" ref="Z22">IF(OR($B22="",$C22="",$E22=""),"",IF(OR(Z$8&lt;$E22,Z$8-$E22&gt;=12),0,$C22*INDEX(Fondsen!$F$5:$Q$30,MATCH($B22,Fondsen!$A$5:$A$30,0),Z$8-$E22+1)))</f>
        <v/>
      </c>
      <c r="AA22" s="39" t="str">
        <f t="array" ref="AA22">IF(OR($B22="",$C22="",$E22=""),"",IF(OR(AA$8&lt;$E22,AA$8-$E22&gt;=12),0,$C22*INDEX(Fondsen!$F$5:$Q$30,MATCH($B22,Fondsen!$A$5:$A$30,0),AA$8-$E22+1)))</f>
        <v/>
      </c>
      <c r="AB22" s="38" t="str">
        <f t="array" ref="AB22">IF(OR($B22="",$C22="",$E22=""),"",IF(OR(AB$8&lt;$E22,AB$8-$E22&gt;=12),0,$C22*INDEX(Fondsen!$F$5:$Q$30,MATCH($B22,Fondsen!$A$5:$A$30,0),AB$8-$E22+1)))</f>
        <v/>
      </c>
      <c r="AC22" s="39" t="str">
        <f t="array" ref="AC22">IF(OR($B22="",$C22="",$E22=""),"",IF(OR(AC$8&lt;$E22,AC$8-$E22&gt;=12),0,$C22*INDEX(Fondsen!$F$5:$Q$30,MATCH($B22,Fondsen!$A$5:$A$30,0),AC$8-$E22+1)))</f>
        <v/>
      </c>
      <c r="AD22" s="38" t="str">
        <f t="array" ref="AD22">IF(OR($B22="",$C22="",$E22=""),"",IF(OR(AD$8&lt;$E22,AD$8-$E22&gt;=12),0,$C22*INDEX(Fondsen!$F$5:$Q$30,MATCH($B22,Fondsen!$A$5:$A$30,0),AD$8-$E22+1)))</f>
        <v/>
      </c>
      <c r="AE22" s="39" t="str">
        <f t="array" ref="AE22">IF(OR($B22="",$C22="",$E22=""),"",IF(OR(AE$8&lt;$E22,AE$8-$E22&gt;=12),0,$C22*INDEX(Fondsen!$F$5:$Q$30,MATCH($B22,Fondsen!$A$5:$A$30,0),AE$8-$E22+1)))</f>
        <v/>
      </c>
      <c r="AF22" s="38" t="str">
        <f t="array" ref="AF22">IF(OR($B22="",$C22="",$E22=""),"",IF(OR(AF$8&lt;$E22,AF$8-$E22&gt;=12),0,$C22*INDEX(Fondsen!$F$5:$Q$30,MATCH($B22,Fondsen!$A$5:$A$30,0),AF$8-$E22+1)))</f>
        <v/>
      </c>
      <c r="AG22" s="39" t="str">
        <f t="array" ref="AG22">IF(OR($B22="",$C22="",$E22=""),"",IF(OR(AG$8&lt;$E22,AG$8-$E22&gt;=12),0,$C22*INDEX(Fondsen!$F$5:$Q$30,MATCH($B22,Fondsen!$A$5:$A$30,0),AG$8-$E22+1)))</f>
        <v/>
      </c>
      <c r="AH22" s="38" t="str">
        <f t="array" ref="AH22">IF(OR($B22="",$C22="",$E22=""),"",IF(OR(AH$8&lt;$E22,AH$8-$E22&gt;=12),0,$C22*INDEX(Fondsen!$F$5:$Q$30,MATCH($B22,Fondsen!$A$5:$A$30,0),AH$8-$E22+1)))</f>
        <v/>
      </c>
      <c r="AI22" s="39" t="str">
        <f t="array" ref="AI22">IF(OR($B22="",$C22="",$E22=""),"",IF(OR(AI$8&lt;$E22,AI$8-$E22&gt;=12),0,$C22*INDEX(Fondsen!$F$5:$Q$30,MATCH($B22,Fondsen!$A$5:$A$30,0),AI$8-$E22+1)))</f>
        <v/>
      </c>
      <c r="AJ22" s="38" t="str">
        <f t="array" ref="AJ22">IF(OR($B22="",$C22="",$E22=""),"",IF(OR(AJ$8&lt;$E22,AJ$8-$E22&gt;=12),0,$C22*INDEX(Fondsen!$F$5:$Q$30,MATCH($B22,Fondsen!$A$5:$A$30,0),AJ$8-$E22+1)))</f>
        <v/>
      </c>
      <c r="AK22" s="39" t="str">
        <f t="array" ref="AK22">IF(OR($B22="",$C22="",$E22=""),"",IF(OR(AK$8&lt;$E22,AK$8-$E22&gt;=12),0,$C22*INDEX(Fondsen!$F$5:$Q$30,MATCH($B22,Fondsen!$A$5:$A$30,0),AK$8-$E22+1)))</f>
        <v/>
      </c>
      <c r="AL22" s="38" t="str">
        <f t="array" ref="AL22">IF(OR($B22="",$C22="",$E22=""),"",IF(OR(AL$8&lt;$E22,AL$8-$E22&gt;=12),0,$C22*INDEX(Fondsen!$F$5:$Q$30,MATCH($B22,Fondsen!$A$5:$A$30,0),AL$8-$E22+1)))</f>
        <v/>
      </c>
      <c r="AM22" s="39" t="str">
        <f t="array" ref="AM22">IF(OR($B22="",$C22="",$E22=""),"",IF(OR(AM$8&lt;$E22,AM$8-$E22&gt;=12),0,$C22*INDEX(Fondsen!$F$5:$Q$30,MATCH($B22,Fondsen!$A$5:$A$30,0),AM$8-$E22+1)))</f>
        <v/>
      </c>
      <c r="AN22" s="38" t="str">
        <f t="array" ref="AN22">IF(OR($B22="",$C22="",$E22=""),"",IF(OR(AN$8&lt;$E22,AN$8-$E22&gt;=12),0,$C22*INDEX(Fondsen!$F$5:$Q$30,MATCH($B22,Fondsen!$A$5:$A$30,0),AN$8-$E22+1)))</f>
        <v/>
      </c>
      <c r="AO22" s="39" t="str">
        <f t="array" ref="AO22">IF(OR($B22="",$C22="",$E22=""),"",IF(OR(AO$8&lt;$E22,AO$8-$E22&gt;=12),0,$C22*INDEX(Fondsen!$F$5:$Q$30,MATCH($B22,Fondsen!$A$5:$A$30,0),AO$8-$E22+1)))</f>
        <v/>
      </c>
      <c r="AP22" s="38" t="str">
        <f t="array" ref="AP22">IF(OR($B22="",$C22="",$E22=""),"",IF(OR(AP$8&lt;$E22,AP$8-$E22&gt;=12),0,$C22*INDEX(Fondsen!$F$5:$Q$30,MATCH($B22,Fondsen!$A$5:$A$30,0),AP$8-$E22+1)))</f>
        <v/>
      </c>
      <c r="AQ22" s="39" t="str">
        <f t="array" ref="AQ22">IF(OR($B22="",$C22="",$E22=""),"",IF(OR(AQ$8&lt;$E22,AQ$8-$E22&gt;=12),0,$C22*INDEX(Fondsen!$F$5:$Q$30,MATCH($B22,Fondsen!$A$5:$A$30,0),AQ$8-$E22+1)))</f>
        <v/>
      </c>
      <c r="AR22" s="38" t="str">
        <f t="array" ref="AR22">IF(OR($B22="",$C22="",$E22=""),"",IF(OR(AR$8&lt;$E22,AR$8-$E22&gt;=12),0,$C22*INDEX(Fondsen!$F$5:$Q$30,MATCH($B22,Fondsen!$A$5:$A$30,0),AR$8-$E22+1)))</f>
        <v/>
      </c>
      <c r="AS22" s="39" t="str">
        <f t="array" ref="AS22">IF(OR($B22="",$C22="",$E22=""),"",IF(OR(AS$8&lt;$E22,AS$8-$E22&gt;=12),0,$C22*INDEX(Fondsen!$F$5:$Q$30,MATCH($B22,Fondsen!$A$5:$A$30,0),AS$8-$E22+1)))</f>
        <v/>
      </c>
      <c r="AT22" s="45"/>
    </row>
    <row r="23" ht="24.0" customHeight="1">
      <c r="A23" s="47" t="str">
        <f>IF(B23="","",IFERROR(VLOOKUP(B23,Fondsen!$A$5:$B$30,2,FALSE()),""))</f>
        <v/>
      </c>
      <c r="B23" s="26"/>
      <c r="C23" s="27"/>
      <c r="D23" s="44" t="s">
        <v>11</v>
      </c>
      <c r="E23" s="29"/>
      <c r="F23" s="30" t="str">
        <f t="array" ref="F23">IF(OR($B23="",$C23="",$E23=""),"",IF(OR(F$8&lt;$E23,F$8-$E23&gt;=12),0,$C23*INDEX(Fondsen!$F$5:$Q$30,MATCH($B23,Fondsen!$A$5:$A$30,0),F$8-$E23+1)))</f>
        <v/>
      </c>
      <c r="G23" s="31" t="str">
        <f t="array" ref="G23">IF(OR($B23="",$C23="",$E23=""),"",IF(OR(G$8&lt;$E23,G$8-$E23&gt;=12),0,$C23*INDEX(Fondsen!$F$5:$Q$30,MATCH($B23,Fondsen!$A$5:$A$30,0),G$8-$E23+1)))</f>
        <v/>
      </c>
      <c r="H23" s="30" t="str">
        <f t="array" ref="H23">IF(OR($B23="",$C23="",$E23=""),"",IF(OR(H$8&lt;$E23,H$8-$E23&gt;=12),0,$C23*INDEX(Fondsen!$F$5:$Q$30,MATCH($B23,Fondsen!$A$5:$A$30,0),H$8-$E23+1)))</f>
        <v/>
      </c>
      <c r="I23" s="31" t="str">
        <f t="array" ref="I23">IF(OR($B23="",$C23="",$E23=""),"",IF(OR(I$8&lt;$E23,I$8-$E23&gt;=12),0,$C23*INDEX(Fondsen!$F$5:$Q$30,MATCH($B23,Fondsen!$A$5:$A$30,0),I$8-$E23+1)))</f>
        <v/>
      </c>
      <c r="J23" s="30" t="str">
        <f t="array" ref="J23">IF(OR($B23="",$C23="",$E23=""),"",IF(OR(J$8&lt;$E23,J$8-$E23&gt;=12),0,$C23*INDEX(Fondsen!$F$5:$Q$30,MATCH($B23,Fondsen!$A$5:$A$30,0),J$8-$E23+1)))</f>
        <v/>
      </c>
      <c r="K23" s="31" t="str">
        <f t="array" ref="K23">IF(OR($B23="",$C23="",$E23=""),"",IF(OR(K$8&lt;$E23,K$8-$E23&gt;=12),0,$C23*INDEX(Fondsen!$F$5:$Q$30,MATCH($B23,Fondsen!$A$5:$A$30,0),K$8-$E23+1)))</f>
        <v/>
      </c>
      <c r="L23" s="30" t="str">
        <f t="array" ref="L23">IF(OR($B23="",$C23="",$E23=""),"",IF(OR(L$8&lt;$E23,L$8-$E23&gt;=12),0,$C23*INDEX(Fondsen!$F$5:$Q$30,MATCH($B23,Fondsen!$A$5:$A$30,0),L$8-$E23+1)))</f>
        <v/>
      </c>
      <c r="M23" s="31" t="str">
        <f t="array" ref="M23">IF(OR($B23="",$C23="",$E23=""),"",IF(OR(M$8&lt;$E23,M$8-$E23&gt;=12),0,$C23*INDEX(Fondsen!$F$5:$Q$30,MATCH($B23,Fondsen!$A$5:$A$30,0),M$8-$E23+1)))</f>
        <v/>
      </c>
      <c r="N23" s="30" t="str">
        <f t="array" ref="N23">IF(OR($B23="",$C23="",$E23=""),"",IF(OR(N$8&lt;$E23,N$8-$E23&gt;=12),0,$C23*INDEX(Fondsen!$F$5:$Q$30,MATCH($B23,Fondsen!$A$5:$A$30,0),N$8-$E23+1)))</f>
        <v/>
      </c>
      <c r="O23" s="31" t="str">
        <f t="array" ref="O23">IF(OR($B23="",$C23="",$E23=""),"",IF(OR(O$8&lt;$E23,O$8-$E23&gt;=12),0,$C23*INDEX(Fondsen!$F$5:$Q$30,MATCH($B23,Fondsen!$A$5:$A$30,0),O$8-$E23+1)))</f>
        <v/>
      </c>
      <c r="P23" s="30" t="str">
        <f t="array" ref="P23">IF(OR($B23="",$C23="",$E23=""),"",IF(OR(P$8&lt;$E23,P$8-$E23&gt;=12),0,$C23*INDEX(Fondsen!$F$5:$Q$30,MATCH($B23,Fondsen!$A$5:$A$30,0),P$8-$E23+1)))</f>
        <v/>
      </c>
      <c r="Q23" s="31" t="str">
        <f t="array" ref="Q23">IF(OR($B23="",$C23="",$E23=""),"",IF(OR(Q$8&lt;$E23,Q$8-$E23&gt;=12),0,$C23*INDEX(Fondsen!$F$5:$Q$30,MATCH($B23,Fondsen!$A$5:$A$30,0),Q$8-$E23+1)))</f>
        <v/>
      </c>
      <c r="R23" s="30" t="str">
        <f t="array" ref="R23">IF(OR($B23="",$C23="",$E23=""),"",IF(OR(R$8&lt;$E23,R$8-$E23&gt;=12),0,$C23*INDEX(Fondsen!$F$5:$Q$30,MATCH($B23,Fondsen!$A$5:$A$30,0),R$8-$E23+1)))</f>
        <v/>
      </c>
      <c r="S23" s="31" t="str">
        <f t="array" ref="S23">IF(OR($B23="",$C23="",$E23=""),"",IF(OR(S$8&lt;$E23,S$8-$E23&gt;=12),0,$C23*INDEX(Fondsen!$F$5:$Q$30,MATCH($B23,Fondsen!$A$5:$A$30,0),S$8-$E23+1)))</f>
        <v/>
      </c>
      <c r="T23" s="30" t="str">
        <f t="array" ref="T23">IF(OR($B23="",$C23="",$E23=""),"",IF(OR(T$8&lt;$E23,T$8-$E23&gt;=12),0,$C23*INDEX(Fondsen!$F$5:$Q$30,MATCH($B23,Fondsen!$A$5:$A$30,0),T$8-$E23+1)))</f>
        <v/>
      </c>
      <c r="U23" s="31" t="str">
        <f t="array" ref="U23">IF(OR($B23="",$C23="",$E23=""),"",IF(OR(U$8&lt;$E23,U$8-$E23&gt;=12),0,$C23*INDEX(Fondsen!$F$5:$Q$30,MATCH($B23,Fondsen!$A$5:$A$30,0),U$8-$E23+1)))</f>
        <v/>
      </c>
      <c r="V23" s="30" t="str">
        <f t="array" ref="V23">IF(OR($B23="",$C23="",$E23=""),"",IF(OR(V$8&lt;$E23,V$8-$E23&gt;=12),0,$C23*INDEX(Fondsen!$F$5:$Q$30,MATCH($B23,Fondsen!$A$5:$A$30,0),V$8-$E23+1)))</f>
        <v/>
      </c>
      <c r="W23" s="31" t="str">
        <f t="array" ref="W23">IF(OR($B23="",$C23="",$E23=""),"",IF(OR(W$8&lt;$E23,W$8-$E23&gt;=12),0,$C23*INDEX(Fondsen!$F$5:$Q$30,MATCH($B23,Fondsen!$A$5:$A$30,0),W$8-$E23+1)))</f>
        <v/>
      </c>
      <c r="X23" s="30" t="str">
        <f t="array" ref="X23">IF(OR($B23="",$C23="",$E23=""),"",IF(OR(X$8&lt;$E23,X$8-$E23&gt;=12),0,$C23*INDEX(Fondsen!$F$5:$Q$30,MATCH($B23,Fondsen!$A$5:$A$30,0),X$8-$E23+1)))</f>
        <v/>
      </c>
      <c r="Y23" s="31" t="str">
        <f t="array" ref="Y23">IF(OR($B23="",$C23="",$E23=""),"",IF(OR(Y$8&lt;$E23,Y$8-$E23&gt;=12),0,$C23*INDEX(Fondsen!$F$5:$Q$30,MATCH($B23,Fondsen!$A$5:$A$30,0),Y$8-$E23+1)))</f>
        <v/>
      </c>
      <c r="Z23" s="30" t="str">
        <f t="array" ref="Z23">IF(OR($B23="",$C23="",$E23=""),"",IF(OR(Z$8&lt;$E23,Z$8-$E23&gt;=12),0,$C23*INDEX(Fondsen!$F$5:$Q$30,MATCH($B23,Fondsen!$A$5:$A$30,0),Z$8-$E23+1)))</f>
        <v/>
      </c>
      <c r="AA23" s="31" t="str">
        <f t="array" ref="AA23">IF(OR($B23="",$C23="",$E23=""),"",IF(OR(AA$8&lt;$E23,AA$8-$E23&gt;=12),0,$C23*INDEX(Fondsen!$F$5:$Q$30,MATCH($B23,Fondsen!$A$5:$A$30,0),AA$8-$E23+1)))</f>
        <v/>
      </c>
      <c r="AB23" s="30" t="str">
        <f t="array" ref="AB23">IF(OR($B23="",$C23="",$E23=""),"",IF(OR(AB$8&lt;$E23,AB$8-$E23&gt;=12),0,$C23*INDEX(Fondsen!$F$5:$Q$30,MATCH($B23,Fondsen!$A$5:$A$30,0),AB$8-$E23+1)))</f>
        <v/>
      </c>
      <c r="AC23" s="31" t="str">
        <f t="array" ref="AC23">IF(OR($B23="",$C23="",$E23=""),"",IF(OR(AC$8&lt;$E23,AC$8-$E23&gt;=12),0,$C23*INDEX(Fondsen!$F$5:$Q$30,MATCH($B23,Fondsen!$A$5:$A$30,0),AC$8-$E23+1)))</f>
        <v/>
      </c>
      <c r="AD23" s="30" t="str">
        <f t="array" ref="AD23">IF(OR($B23="",$C23="",$E23=""),"",IF(OR(AD$8&lt;$E23,AD$8-$E23&gt;=12),0,$C23*INDEX(Fondsen!$F$5:$Q$30,MATCH($B23,Fondsen!$A$5:$A$30,0),AD$8-$E23+1)))</f>
        <v/>
      </c>
      <c r="AE23" s="31" t="str">
        <f t="array" ref="AE23">IF(OR($B23="",$C23="",$E23=""),"",IF(OR(AE$8&lt;$E23,AE$8-$E23&gt;=12),0,$C23*INDEX(Fondsen!$F$5:$Q$30,MATCH($B23,Fondsen!$A$5:$A$30,0),AE$8-$E23+1)))</f>
        <v/>
      </c>
      <c r="AF23" s="30" t="str">
        <f t="array" ref="AF23">IF(OR($B23="",$C23="",$E23=""),"",IF(OR(AF$8&lt;$E23,AF$8-$E23&gt;=12),0,$C23*INDEX(Fondsen!$F$5:$Q$30,MATCH($B23,Fondsen!$A$5:$A$30,0),AF$8-$E23+1)))</f>
        <v/>
      </c>
      <c r="AG23" s="31" t="str">
        <f t="array" ref="AG23">IF(OR($B23="",$C23="",$E23=""),"",IF(OR(AG$8&lt;$E23,AG$8-$E23&gt;=12),0,$C23*INDEX(Fondsen!$F$5:$Q$30,MATCH($B23,Fondsen!$A$5:$A$30,0),AG$8-$E23+1)))</f>
        <v/>
      </c>
      <c r="AH23" s="30" t="str">
        <f t="array" ref="AH23">IF(OR($B23="",$C23="",$E23=""),"",IF(OR(AH$8&lt;$E23,AH$8-$E23&gt;=12),0,$C23*INDEX(Fondsen!$F$5:$Q$30,MATCH($B23,Fondsen!$A$5:$A$30,0),AH$8-$E23+1)))</f>
        <v/>
      </c>
      <c r="AI23" s="31" t="str">
        <f t="array" ref="AI23">IF(OR($B23="",$C23="",$E23=""),"",IF(OR(AI$8&lt;$E23,AI$8-$E23&gt;=12),0,$C23*INDEX(Fondsen!$F$5:$Q$30,MATCH($B23,Fondsen!$A$5:$A$30,0),AI$8-$E23+1)))</f>
        <v/>
      </c>
      <c r="AJ23" s="30" t="str">
        <f t="array" ref="AJ23">IF(OR($B23="",$C23="",$E23=""),"",IF(OR(AJ$8&lt;$E23,AJ$8-$E23&gt;=12),0,$C23*INDEX(Fondsen!$F$5:$Q$30,MATCH($B23,Fondsen!$A$5:$A$30,0),AJ$8-$E23+1)))</f>
        <v/>
      </c>
      <c r="AK23" s="31" t="str">
        <f t="array" ref="AK23">IF(OR($B23="",$C23="",$E23=""),"",IF(OR(AK$8&lt;$E23,AK$8-$E23&gt;=12),0,$C23*INDEX(Fondsen!$F$5:$Q$30,MATCH($B23,Fondsen!$A$5:$A$30,0),AK$8-$E23+1)))</f>
        <v/>
      </c>
      <c r="AL23" s="30" t="str">
        <f t="array" ref="AL23">IF(OR($B23="",$C23="",$E23=""),"",IF(OR(AL$8&lt;$E23,AL$8-$E23&gt;=12),0,$C23*INDEX(Fondsen!$F$5:$Q$30,MATCH($B23,Fondsen!$A$5:$A$30,0),AL$8-$E23+1)))</f>
        <v/>
      </c>
      <c r="AM23" s="31" t="str">
        <f t="array" ref="AM23">IF(OR($B23="",$C23="",$E23=""),"",IF(OR(AM$8&lt;$E23,AM$8-$E23&gt;=12),0,$C23*INDEX(Fondsen!$F$5:$Q$30,MATCH($B23,Fondsen!$A$5:$A$30,0),AM$8-$E23+1)))</f>
        <v/>
      </c>
      <c r="AN23" s="30" t="str">
        <f t="array" ref="AN23">IF(OR($B23="",$C23="",$E23=""),"",IF(OR(AN$8&lt;$E23,AN$8-$E23&gt;=12),0,$C23*INDEX(Fondsen!$F$5:$Q$30,MATCH($B23,Fondsen!$A$5:$A$30,0),AN$8-$E23+1)))</f>
        <v/>
      </c>
      <c r="AO23" s="31" t="str">
        <f t="array" ref="AO23">IF(OR($B23="",$C23="",$E23=""),"",IF(OR(AO$8&lt;$E23,AO$8-$E23&gt;=12),0,$C23*INDEX(Fondsen!$F$5:$Q$30,MATCH($B23,Fondsen!$A$5:$A$30,0),AO$8-$E23+1)))</f>
        <v/>
      </c>
      <c r="AP23" s="30" t="str">
        <f t="array" ref="AP23">IF(OR($B23="",$C23="",$E23=""),"",IF(OR(AP$8&lt;$E23,AP$8-$E23&gt;=12),0,$C23*INDEX(Fondsen!$F$5:$Q$30,MATCH($B23,Fondsen!$A$5:$A$30,0),AP$8-$E23+1)))</f>
        <v/>
      </c>
      <c r="AQ23" s="31" t="str">
        <f t="array" ref="AQ23">IF(OR($B23="",$C23="",$E23=""),"",IF(OR(AQ$8&lt;$E23,AQ$8-$E23&gt;=12),0,$C23*INDEX(Fondsen!$F$5:$Q$30,MATCH($B23,Fondsen!$A$5:$A$30,0),AQ$8-$E23+1)))</f>
        <v/>
      </c>
      <c r="AR23" s="30" t="str">
        <f t="array" ref="AR23">IF(OR($B23="",$C23="",$E23=""),"",IF(OR(AR$8&lt;$E23,AR$8-$E23&gt;=12),0,$C23*INDEX(Fondsen!$F$5:$Q$30,MATCH($B23,Fondsen!$A$5:$A$30,0),AR$8-$E23+1)))</f>
        <v/>
      </c>
      <c r="AS23" s="31" t="str">
        <f t="array" ref="AS23">IF(OR($B23="",$C23="",$E23=""),"",IF(OR(AS$8&lt;$E23,AS$8-$E23&gt;=12),0,$C23*INDEX(Fondsen!$F$5:$Q$30,MATCH($B23,Fondsen!$A$5:$A$30,0),AS$8-$E23+1)))</f>
        <v/>
      </c>
      <c r="AT23" s="45"/>
    </row>
    <row r="24" ht="24.0" customHeight="1">
      <c r="A24" s="33" t="str">
        <f>IF(B24="","",IFERROR(VLOOKUP(B24,Fondsen!$A$5:$B$30,2,FALSE()),""))</f>
        <v/>
      </c>
      <c r="B24" s="34"/>
      <c r="C24" s="35"/>
      <c r="D24" s="46" t="s">
        <v>11</v>
      </c>
      <c r="E24" s="37"/>
      <c r="F24" s="38" t="str">
        <f t="array" ref="F24">IF(OR($B24="",$C24="",$E24=""),"",IF(OR(F$8&lt;$E24,F$8-$E24&gt;=12),0,$C24*INDEX(Fondsen!$F$5:$Q$30,MATCH($B24,Fondsen!$A$5:$A$30,0),F$8-$E24+1)))</f>
        <v/>
      </c>
      <c r="G24" s="39" t="str">
        <f t="array" ref="G24">IF(OR($B24="",$C24="",$E24=""),"",IF(OR(G$8&lt;$E24,G$8-$E24&gt;=12),0,$C24*INDEX(Fondsen!$F$5:$Q$30,MATCH($B24,Fondsen!$A$5:$A$30,0),G$8-$E24+1)))</f>
        <v/>
      </c>
      <c r="H24" s="38" t="str">
        <f t="array" ref="H24">IF(OR($B24="",$C24="",$E24=""),"",IF(OR(H$8&lt;$E24,H$8-$E24&gt;=12),0,$C24*INDEX(Fondsen!$F$5:$Q$30,MATCH($B24,Fondsen!$A$5:$A$30,0),H$8-$E24+1)))</f>
        <v/>
      </c>
      <c r="I24" s="39" t="str">
        <f t="array" ref="I24">IF(OR($B24="",$C24="",$E24=""),"",IF(OR(I$8&lt;$E24,I$8-$E24&gt;=12),0,$C24*INDEX(Fondsen!$F$5:$Q$30,MATCH($B24,Fondsen!$A$5:$A$30,0),I$8-$E24+1)))</f>
        <v/>
      </c>
      <c r="J24" s="38" t="str">
        <f t="array" ref="J24">IF(OR($B24="",$C24="",$E24=""),"",IF(OR(J$8&lt;$E24,J$8-$E24&gt;=12),0,$C24*INDEX(Fondsen!$F$5:$Q$30,MATCH($B24,Fondsen!$A$5:$A$30,0),J$8-$E24+1)))</f>
        <v/>
      </c>
      <c r="K24" s="39" t="str">
        <f t="array" ref="K24">IF(OR($B24="",$C24="",$E24=""),"",IF(OR(K$8&lt;$E24,K$8-$E24&gt;=12),0,$C24*INDEX(Fondsen!$F$5:$Q$30,MATCH($B24,Fondsen!$A$5:$A$30,0),K$8-$E24+1)))</f>
        <v/>
      </c>
      <c r="L24" s="38" t="str">
        <f t="array" ref="L24">IF(OR($B24="",$C24="",$E24=""),"",IF(OR(L$8&lt;$E24,L$8-$E24&gt;=12),0,$C24*INDEX(Fondsen!$F$5:$Q$30,MATCH($B24,Fondsen!$A$5:$A$30,0),L$8-$E24+1)))</f>
        <v/>
      </c>
      <c r="M24" s="39" t="str">
        <f t="array" ref="M24">IF(OR($B24="",$C24="",$E24=""),"",IF(OR(M$8&lt;$E24,M$8-$E24&gt;=12),0,$C24*INDEX(Fondsen!$F$5:$Q$30,MATCH($B24,Fondsen!$A$5:$A$30,0),M$8-$E24+1)))</f>
        <v/>
      </c>
      <c r="N24" s="38" t="str">
        <f t="array" ref="N24">IF(OR($B24="",$C24="",$E24=""),"",IF(OR(N$8&lt;$E24,N$8-$E24&gt;=12),0,$C24*INDEX(Fondsen!$F$5:$Q$30,MATCH($B24,Fondsen!$A$5:$A$30,0),N$8-$E24+1)))</f>
        <v/>
      </c>
      <c r="O24" s="39" t="str">
        <f t="array" ref="O24">IF(OR($B24="",$C24="",$E24=""),"",IF(OR(O$8&lt;$E24,O$8-$E24&gt;=12),0,$C24*INDEX(Fondsen!$F$5:$Q$30,MATCH($B24,Fondsen!$A$5:$A$30,0),O$8-$E24+1)))</f>
        <v/>
      </c>
      <c r="P24" s="38" t="str">
        <f t="array" ref="P24">IF(OR($B24="",$C24="",$E24=""),"",IF(OR(P$8&lt;$E24,P$8-$E24&gt;=12),0,$C24*INDEX(Fondsen!$F$5:$Q$30,MATCH($B24,Fondsen!$A$5:$A$30,0),P$8-$E24+1)))</f>
        <v/>
      </c>
      <c r="Q24" s="39" t="str">
        <f t="array" ref="Q24">IF(OR($B24="",$C24="",$E24=""),"",IF(OR(Q$8&lt;$E24,Q$8-$E24&gt;=12),0,$C24*INDEX(Fondsen!$F$5:$Q$30,MATCH($B24,Fondsen!$A$5:$A$30,0),Q$8-$E24+1)))</f>
        <v/>
      </c>
      <c r="R24" s="38" t="str">
        <f t="array" ref="R24">IF(OR($B24="",$C24="",$E24=""),"",IF(OR(R$8&lt;$E24,R$8-$E24&gt;=12),0,$C24*INDEX(Fondsen!$F$5:$Q$30,MATCH($B24,Fondsen!$A$5:$A$30,0),R$8-$E24+1)))</f>
        <v/>
      </c>
      <c r="S24" s="39" t="str">
        <f t="array" ref="S24">IF(OR($B24="",$C24="",$E24=""),"",IF(OR(S$8&lt;$E24,S$8-$E24&gt;=12),0,$C24*INDEX(Fondsen!$F$5:$Q$30,MATCH($B24,Fondsen!$A$5:$A$30,0),S$8-$E24+1)))</f>
        <v/>
      </c>
      <c r="T24" s="38" t="str">
        <f t="array" ref="T24">IF(OR($B24="",$C24="",$E24=""),"",IF(OR(T$8&lt;$E24,T$8-$E24&gt;=12),0,$C24*INDEX(Fondsen!$F$5:$Q$30,MATCH($B24,Fondsen!$A$5:$A$30,0),T$8-$E24+1)))</f>
        <v/>
      </c>
      <c r="U24" s="39" t="str">
        <f t="array" ref="U24">IF(OR($B24="",$C24="",$E24=""),"",IF(OR(U$8&lt;$E24,U$8-$E24&gt;=12),0,$C24*INDEX(Fondsen!$F$5:$Q$30,MATCH($B24,Fondsen!$A$5:$A$30,0),U$8-$E24+1)))</f>
        <v/>
      </c>
      <c r="V24" s="38" t="str">
        <f t="array" ref="V24">IF(OR($B24="",$C24="",$E24=""),"",IF(OR(V$8&lt;$E24,V$8-$E24&gt;=12),0,$C24*INDEX(Fondsen!$F$5:$Q$30,MATCH($B24,Fondsen!$A$5:$A$30,0),V$8-$E24+1)))</f>
        <v/>
      </c>
      <c r="W24" s="39" t="str">
        <f t="array" ref="W24">IF(OR($B24="",$C24="",$E24=""),"",IF(OR(W$8&lt;$E24,W$8-$E24&gt;=12),0,$C24*INDEX(Fondsen!$F$5:$Q$30,MATCH($B24,Fondsen!$A$5:$A$30,0),W$8-$E24+1)))</f>
        <v/>
      </c>
      <c r="X24" s="38" t="str">
        <f t="array" ref="X24">IF(OR($B24="",$C24="",$E24=""),"",IF(OR(X$8&lt;$E24,X$8-$E24&gt;=12),0,$C24*INDEX(Fondsen!$F$5:$Q$30,MATCH($B24,Fondsen!$A$5:$A$30,0),X$8-$E24+1)))</f>
        <v/>
      </c>
      <c r="Y24" s="39" t="str">
        <f t="array" ref="Y24">IF(OR($B24="",$C24="",$E24=""),"",IF(OR(Y$8&lt;$E24,Y$8-$E24&gt;=12),0,$C24*INDEX(Fondsen!$F$5:$Q$30,MATCH($B24,Fondsen!$A$5:$A$30,0),Y$8-$E24+1)))</f>
        <v/>
      </c>
      <c r="Z24" s="38" t="str">
        <f t="array" ref="Z24">IF(OR($B24="",$C24="",$E24=""),"",IF(OR(Z$8&lt;$E24,Z$8-$E24&gt;=12),0,$C24*INDEX(Fondsen!$F$5:$Q$30,MATCH($B24,Fondsen!$A$5:$A$30,0),Z$8-$E24+1)))</f>
        <v/>
      </c>
      <c r="AA24" s="39" t="str">
        <f t="array" ref="AA24">IF(OR($B24="",$C24="",$E24=""),"",IF(OR(AA$8&lt;$E24,AA$8-$E24&gt;=12),0,$C24*INDEX(Fondsen!$F$5:$Q$30,MATCH($B24,Fondsen!$A$5:$A$30,0),AA$8-$E24+1)))</f>
        <v/>
      </c>
      <c r="AB24" s="38" t="str">
        <f t="array" ref="AB24">IF(OR($B24="",$C24="",$E24=""),"",IF(OR(AB$8&lt;$E24,AB$8-$E24&gt;=12),0,$C24*INDEX(Fondsen!$F$5:$Q$30,MATCH($B24,Fondsen!$A$5:$A$30,0),AB$8-$E24+1)))</f>
        <v/>
      </c>
      <c r="AC24" s="39" t="str">
        <f t="array" ref="AC24">IF(OR($B24="",$C24="",$E24=""),"",IF(OR(AC$8&lt;$E24,AC$8-$E24&gt;=12),0,$C24*INDEX(Fondsen!$F$5:$Q$30,MATCH($B24,Fondsen!$A$5:$A$30,0),AC$8-$E24+1)))</f>
        <v/>
      </c>
      <c r="AD24" s="38" t="str">
        <f t="array" ref="AD24">IF(OR($B24="",$C24="",$E24=""),"",IF(OR(AD$8&lt;$E24,AD$8-$E24&gt;=12),0,$C24*INDEX(Fondsen!$F$5:$Q$30,MATCH($B24,Fondsen!$A$5:$A$30,0),AD$8-$E24+1)))</f>
        <v/>
      </c>
      <c r="AE24" s="39" t="str">
        <f t="array" ref="AE24">IF(OR($B24="",$C24="",$E24=""),"",IF(OR(AE$8&lt;$E24,AE$8-$E24&gt;=12),0,$C24*INDEX(Fondsen!$F$5:$Q$30,MATCH($B24,Fondsen!$A$5:$A$30,0),AE$8-$E24+1)))</f>
        <v/>
      </c>
      <c r="AF24" s="38" t="str">
        <f t="array" ref="AF24">IF(OR($B24="",$C24="",$E24=""),"",IF(OR(AF$8&lt;$E24,AF$8-$E24&gt;=12),0,$C24*INDEX(Fondsen!$F$5:$Q$30,MATCH($B24,Fondsen!$A$5:$A$30,0),AF$8-$E24+1)))</f>
        <v/>
      </c>
      <c r="AG24" s="39" t="str">
        <f t="array" ref="AG24">IF(OR($B24="",$C24="",$E24=""),"",IF(OR(AG$8&lt;$E24,AG$8-$E24&gt;=12),0,$C24*INDEX(Fondsen!$F$5:$Q$30,MATCH($B24,Fondsen!$A$5:$A$30,0),AG$8-$E24+1)))</f>
        <v/>
      </c>
      <c r="AH24" s="38" t="str">
        <f t="array" ref="AH24">IF(OR($B24="",$C24="",$E24=""),"",IF(OR(AH$8&lt;$E24,AH$8-$E24&gt;=12),0,$C24*INDEX(Fondsen!$F$5:$Q$30,MATCH($B24,Fondsen!$A$5:$A$30,0),AH$8-$E24+1)))</f>
        <v/>
      </c>
      <c r="AI24" s="39" t="str">
        <f t="array" ref="AI24">IF(OR($B24="",$C24="",$E24=""),"",IF(OR(AI$8&lt;$E24,AI$8-$E24&gt;=12),0,$C24*INDEX(Fondsen!$F$5:$Q$30,MATCH($B24,Fondsen!$A$5:$A$30,0),AI$8-$E24+1)))</f>
        <v/>
      </c>
      <c r="AJ24" s="38" t="str">
        <f t="array" ref="AJ24">IF(OR($B24="",$C24="",$E24=""),"",IF(OR(AJ$8&lt;$E24,AJ$8-$E24&gt;=12),0,$C24*INDEX(Fondsen!$F$5:$Q$30,MATCH($B24,Fondsen!$A$5:$A$30,0),AJ$8-$E24+1)))</f>
        <v/>
      </c>
      <c r="AK24" s="39" t="str">
        <f t="array" ref="AK24">IF(OR($B24="",$C24="",$E24=""),"",IF(OR(AK$8&lt;$E24,AK$8-$E24&gt;=12),0,$C24*INDEX(Fondsen!$F$5:$Q$30,MATCH($B24,Fondsen!$A$5:$A$30,0),AK$8-$E24+1)))</f>
        <v/>
      </c>
      <c r="AL24" s="38" t="str">
        <f t="array" ref="AL24">IF(OR($B24="",$C24="",$E24=""),"",IF(OR(AL$8&lt;$E24,AL$8-$E24&gt;=12),0,$C24*INDEX(Fondsen!$F$5:$Q$30,MATCH($B24,Fondsen!$A$5:$A$30,0),AL$8-$E24+1)))</f>
        <v/>
      </c>
      <c r="AM24" s="39" t="str">
        <f t="array" ref="AM24">IF(OR($B24="",$C24="",$E24=""),"",IF(OR(AM$8&lt;$E24,AM$8-$E24&gt;=12),0,$C24*INDEX(Fondsen!$F$5:$Q$30,MATCH($B24,Fondsen!$A$5:$A$30,0),AM$8-$E24+1)))</f>
        <v/>
      </c>
      <c r="AN24" s="38" t="str">
        <f t="array" ref="AN24">IF(OR($B24="",$C24="",$E24=""),"",IF(OR(AN$8&lt;$E24,AN$8-$E24&gt;=12),0,$C24*INDEX(Fondsen!$F$5:$Q$30,MATCH($B24,Fondsen!$A$5:$A$30,0),AN$8-$E24+1)))</f>
        <v/>
      </c>
      <c r="AO24" s="39" t="str">
        <f t="array" ref="AO24">IF(OR($B24="",$C24="",$E24=""),"",IF(OR(AO$8&lt;$E24,AO$8-$E24&gt;=12),0,$C24*INDEX(Fondsen!$F$5:$Q$30,MATCH($B24,Fondsen!$A$5:$A$30,0),AO$8-$E24+1)))</f>
        <v/>
      </c>
      <c r="AP24" s="38" t="str">
        <f t="array" ref="AP24">IF(OR($B24="",$C24="",$E24=""),"",IF(OR(AP$8&lt;$E24,AP$8-$E24&gt;=12),0,$C24*INDEX(Fondsen!$F$5:$Q$30,MATCH($B24,Fondsen!$A$5:$A$30,0),AP$8-$E24+1)))</f>
        <v/>
      </c>
      <c r="AQ24" s="39" t="str">
        <f t="array" ref="AQ24">IF(OR($B24="",$C24="",$E24=""),"",IF(OR(AQ$8&lt;$E24,AQ$8-$E24&gt;=12),0,$C24*INDEX(Fondsen!$F$5:$Q$30,MATCH($B24,Fondsen!$A$5:$A$30,0),AQ$8-$E24+1)))</f>
        <v/>
      </c>
      <c r="AR24" s="38" t="str">
        <f t="array" ref="AR24">IF(OR($B24="",$C24="",$E24=""),"",IF(OR(AR$8&lt;$E24,AR$8-$E24&gt;=12),0,$C24*INDEX(Fondsen!$F$5:$Q$30,MATCH($B24,Fondsen!$A$5:$A$30,0),AR$8-$E24+1)))</f>
        <v/>
      </c>
      <c r="AS24" s="39" t="str">
        <f t="array" ref="AS24">IF(OR($B24="",$C24="",$E24=""),"",IF(OR(AS$8&lt;$E24,AS$8-$E24&gt;=12),0,$C24*INDEX(Fondsen!$F$5:$Q$30,MATCH($B24,Fondsen!$A$5:$A$30,0),AS$8-$E24+1)))</f>
        <v/>
      </c>
      <c r="AT24" s="45"/>
    </row>
    <row r="25" ht="24.0" customHeight="1">
      <c r="A25" s="47" t="str">
        <f>IF(B25="","",IFERROR(VLOOKUP(B25,Fondsen!$A$5:$B$30,2,FALSE()),""))</f>
        <v/>
      </c>
      <c r="B25" s="26"/>
      <c r="C25" s="27"/>
      <c r="D25" s="44" t="s">
        <v>11</v>
      </c>
      <c r="E25" s="29"/>
      <c r="F25" s="30" t="str">
        <f t="array" ref="F25">IF(OR($B25="",$C25="",$E25=""),"",IF(OR(F$8&lt;$E25,F$8-$E25&gt;=12),0,$C25*INDEX(Fondsen!$F$5:$Q$30,MATCH($B25,Fondsen!$A$5:$A$30,0),F$8-$E25+1)))</f>
        <v/>
      </c>
      <c r="G25" s="31" t="str">
        <f t="array" ref="G25">IF(OR($B25="",$C25="",$E25=""),"",IF(OR(G$8&lt;$E25,G$8-$E25&gt;=12),0,$C25*INDEX(Fondsen!$F$5:$Q$30,MATCH($B25,Fondsen!$A$5:$A$30,0),G$8-$E25+1)))</f>
        <v/>
      </c>
      <c r="H25" s="30" t="str">
        <f t="array" ref="H25">IF(OR($B25="",$C25="",$E25=""),"",IF(OR(H$8&lt;$E25,H$8-$E25&gt;=12),0,$C25*INDEX(Fondsen!$F$5:$Q$30,MATCH($B25,Fondsen!$A$5:$A$30,0),H$8-$E25+1)))</f>
        <v/>
      </c>
      <c r="I25" s="31" t="str">
        <f t="array" ref="I25">IF(OR($B25="",$C25="",$E25=""),"",IF(OR(I$8&lt;$E25,I$8-$E25&gt;=12),0,$C25*INDEX(Fondsen!$F$5:$Q$30,MATCH($B25,Fondsen!$A$5:$A$30,0),I$8-$E25+1)))</f>
        <v/>
      </c>
      <c r="J25" s="30" t="str">
        <f t="array" ref="J25">IF(OR($B25="",$C25="",$E25=""),"",IF(OR(J$8&lt;$E25,J$8-$E25&gt;=12),0,$C25*INDEX(Fondsen!$F$5:$Q$30,MATCH($B25,Fondsen!$A$5:$A$30,0),J$8-$E25+1)))</f>
        <v/>
      </c>
      <c r="K25" s="31" t="str">
        <f t="array" ref="K25">IF(OR($B25="",$C25="",$E25=""),"",IF(OR(K$8&lt;$E25,K$8-$E25&gt;=12),0,$C25*INDEX(Fondsen!$F$5:$Q$30,MATCH($B25,Fondsen!$A$5:$A$30,0),K$8-$E25+1)))</f>
        <v/>
      </c>
      <c r="L25" s="30" t="str">
        <f t="array" ref="L25">IF(OR($B25="",$C25="",$E25=""),"",IF(OR(L$8&lt;$E25,L$8-$E25&gt;=12),0,$C25*INDEX(Fondsen!$F$5:$Q$30,MATCH($B25,Fondsen!$A$5:$A$30,0),L$8-$E25+1)))</f>
        <v/>
      </c>
      <c r="M25" s="31" t="str">
        <f t="array" ref="M25">IF(OR($B25="",$C25="",$E25=""),"",IF(OR(M$8&lt;$E25,M$8-$E25&gt;=12),0,$C25*INDEX(Fondsen!$F$5:$Q$30,MATCH($B25,Fondsen!$A$5:$A$30,0),M$8-$E25+1)))</f>
        <v/>
      </c>
      <c r="N25" s="30" t="str">
        <f t="array" ref="N25">IF(OR($B25="",$C25="",$E25=""),"",IF(OR(N$8&lt;$E25,N$8-$E25&gt;=12),0,$C25*INDEX(Fondsen!$F$5:$Q$30,MATCH($B25,Fondsen!$A$5:$A$30,0),N$8-$E25+1)))</f>
        <v/>
      </c>
      <c r="O25" s="31" t="str">
        <f t="array" ref="O25">IF(OR($B25="",$C25="",$E25=""),"",IF(OR(O$8&lt;$E25,O$8-$E25&gt;=12),0,$C25*INDEX(Fondsen!$F$5:$Q$30,MATCH($B25,Fondsen!$A$5:$A$30,0),O$8-$E25+1)))</f>
        <v/>
      </c>
      <c r="P25" s="30" t="str">
        <f t="array" ref="P25">IF(OR($B25="",$C25="",$E25=""),"",IF(OR(P$8&lt;$E25,P$8-$E25&gt;=12),0,$C25*INDEX(Fondsen!$F$5:$Q$30,MATCH($B25,Fondsen!$A$5:$A$30,0),P$8-$E25+1)))</f>
        <v/>
      </c>
      <c r="Q25" s="31" t="str">
        <f t="array" ref="Q25">IF(OR($B25="",$C25="",$E25=""),"",IF(OR(Q$8&lt;$E25,Q$8-$E25&gt;=12),0,$C25*INDEX(Fondsen!$F$5:$Q$30,MATCH($B25,Fondsen!$A$5:$A$30,0),Q$8-$E25+1)))</f>
        <v/>
      </c>
      <c r="R25" s="30" t="str">
        <f t="array" ref="R25">IF(OR($B25="",$C25="",$E25=""),"",IF(OR(R$8&lt;$E25,R$8-$E25&gt;=12),0,$C25*INDEX(Fondsen!$F$5:$Q$30,MATCH($B25,Fondsen!$A$5:$A$30,0),R$8-$E25+1)))</f>
        <v/>
      </c>
      <c r="S25" s="31" t="str">
        <f t="array" ref="S25">IF(OR($B25="",$C25="",$E25=""),"",IF(OR(S$8&lt;$E25,S$8-$E25&gt;=12),0,$C25*INDEX(Fondsen!$F$5:$Q$30,MATCH($B25,Fondsen!$A$5:$A$30,0),S$8-$E25+1)))</f>
        <v/>
      </c>
      <c r="T25" s="30" t="str">
        <f t="array" ref="T25">IF(OR($B25="",$C25="",$E25=""),"",IF(OR(T$8&lt;$E25,T$8-$E25&gt;=12),0,$C25*INDEX(Fondsen!$F$5:$Q$30,MATCH($B25,Fondsen!$A$5:$A$30,0),T$8-$E25+1)))</f>
        <v/>
      </c>
      <c r="U25" s="31" t="str">
        <f t="array" ref="U25">IF(OR($B25="",$C25="",$E25=""),"",IF(OR(U$8&lt;$E25,U$8-$E25&gt;=12),0,$C25*INDEX(Fondsen!$F$5:$Q$30,MATCH($B25,Fondsen!$A$5:$A$30,0),U$8-$E25+1)))</f>
        <v/>
      </c>
      <c r="V25" s="30" t="str">
        <f t="array" ref="V25">IF(OR($B25="",$C25="",$E25=""),"",IF(OR(V$8&lt;$E25,V$8-$E25&gt;=12),0,$C25*INDEX(Fondsen!$F$5:$Q$30,MATCH($B25,Fondsen!$A$5:$A$30,0),V$8-$E25+1)))</f>
        <v/>
      </c>
      <c r="W25" s="31" t="str">
        <f t="array" ref="W25">IF(OR($B25="",$C25="",$E25=""),"",IF(OR(W$8&lt;$E25,W$8-$E25&gt;=12),0,$C25*INDEX(Fondsen!$F$5:$Q$30,MATCH($B25,Fondsen!$A$5:$A$30,0),W$8-$E25+1)))</f>
        <v/>
      </c>
      <c r="X25" s="30" t="str">
        <f t="array" ref="X25">IF(OR($B25="",$C25="",$E25=""),"",IF(OR(X$8&lt;$E25,X$8-$E25&gt;=12),0,$C25*INDEX(Fondsen!$F$5:$Q$30,MATCH($B25,Fondsen!$A$5:$A$30,0),X$8-$E25+1)))</f>
        <v/>
      </c>
      <c r="Y25" s="31" t="str">
        <f t="array" ref="Y25">IF(OR($B25="",$C25="",$E25=""),"",IF(OR(Y$8&lt;$E25,Y$8-$E25&gt;=12),0,$C25*INDEX(Fondsen!$F$5:$Q$30,MATCH($B25,Fondsen!$A$5:$A$30,0),Y$8-$E25+1)))</f>
        <v/>
      </c>
      <c r="Z25" s="30" t="str">
        <f t="array" ref="Z25">IF(OR($B25="",$C25="",$E25=""),"",IF(OR(Z$8&lt;$E25,Z$8-$E25&gt;=12),0,$C25*INDEX(Fondsen!$F$5:$Q$30,MATCH($B25,Fondsen!$A$5:$A$30,0),Z$8-$E25+1)))</f>
        <v/>
      </c>
      <c r="AA25" s="31" t="str">
        <f t="array" ref="AA25">IF(OR($B25="",$C25="",$E25=""),"",IF(OR(AA$8&lt;$E25,AA$8-$E25&gt;=12),0,$C25*INDEX(Fondsen!$F$5:$Q$30,MATCH($B25,Fondsen!$A$5:$A$30,0),AA$8-$E25+1)))</f>
        <v/>
      </c>
      <c r="AB25" s="30" t="str">
        <f t="array" ref="AB25">IF(OR($B25="",$C25="",$E25=""),"",IF(OR(AB$8&lt;$E25,AB$8-$E25&gt;=12),0,$C25*INDEX(Fondsen!$F$5:$Q$30,MATCH($B25,Fondsen!$A$5:$A$30,0),AB$8-$E25+1)))</f>
        <v/>
      </c>
      <c r="AC25" s="31" t="str">
        <f t="array" ref="AC25">IF(OR($B25="",$C25="",$E25=""),"",IF(OR(AC$8&lt;$E25,AC$8-$E25&gt;=12),0,$C25*INDEX(Fondsen!$F$5:$Q$30,MATCH($B25,Fondsen!$A$5:$A$30,0),AC$8-$E25+1)))</f>
        <v/>
      </c>
      <c r="AD25" s="30" t="str">
        <f t="array" ref="AD25">IF(OR($B25="",$C25="",$E25=""),"",IF(OR(AD$8&lt;$E25,AD$8-$E25&gt;=12),0,$C25*INDEX(Fondsen!$F$5:$Q$30,MATCH($B25,Fondsen!$A$5:$A$30,0),AD$8-$E25+1)))</f>
        <v/>
      </c>
      <c r="AE25" s="31" t="str">
        <f t="array" ref="AE25">IF(OR($B25="",$C25="",$E25=""),"",IF(OR(AE$8&lt;$E25,AE$8-$E25&gt;=12),0,$C25*INDEX(Fondsen!$F$5:$Q$30,MATCH($B25,Fondsen!$A$5:$A$30,0),AE$8-$E25+1)))</f>
        <v/>
      </c>
      <c r="AF25" s="30" t="str">
        <f t="array" ref="AF25">IF(OR($B25="",$C25="",$E25=""),"",IF(OR(AF$8&lt;$E25,AF$8-$E25&gt;=12),0,$C25*INDEX(Fondsen!$F$5:$Q$30,MATCH($B25,Fondsen!$A$5:$A$30,0),AF$8-$E25+1)))</f>
        <v/>
      </c>
      <c r="AG25" s="31" t="str">
        <f t="array" ref="AG25">IF(OR($B25="",$C25="",$E25=""),"",IF(OR(AG$8&lt;$E25,AG$8-$E25&gt;=12),0,$C25*INDEX(Fondsen!$F$5:$Q$30,MATCH($B25,Fondsen!$A$5:$A$30,0),AG$8-$E25+1)))</f>
        <v/>
      </c>
      <c r="AH25" s="30" t="str">
        <f t="array" ref="AH25">IF(OR($B25="",$C25="",$E25=""),"",IF(OR(AH$8&lt;$E25,AH$8-$E25&gt;=12),0,$C25*INDEX(Fondsen!$F$5:$Q$30,MATCH($B25,Fondsen!$A$5:$A$30,0),AH$8-$E25+1)))</f>
        <v/>
      </c>
      <c r="AI25" s="31" t="str">
        <f t="array" ref="AI25">IF(OR($B25="",$C25="",$E25=""),"",IF(OR(AI$8&lt;$E25,AI$8-$E25&gt;=12),0,$C25*INDEX(Fondsen!$F$5:$Q$30,MATCH($B25,Fondsen!$A$5:$A$30,0),AI$8-$E25+1)))</f>
        <v/>
      </c>
      <c r="AJ25" s="30" t="str">
        <f t="array" ref="AJ25">IF(OR($B25="",$C25="",$E25=""),"",IF(OR(AJ$8&lt;$E25,AJ$8-$E25&gt;=12),0,$C25*INDEX(Fondsen!$F$5:$Q$30,MATCH($B25,Fondsen!$A$5:$A$30,0),AJ$8-$E25+1)))</f>
        <v/>
      </c>
      <c r="AK25" s="31" t="str">
        <f t="array" ref="AK25">IF(OR($B25="",$C25="",$E25=""),"",IF(OR(AK$8&lt;$E25,AK$8-$E25&gt;=12),0,$C25*INDEX(Fondsen!$F$5:$Q$30,MATCH($B25,Fondsen!$A$5:$A$30,0),AK$8-$E25+1)))</f>
        <v/>
      </c>
      <c r="AL25" s="30" t="str">
        <f t="array" ref="AL25">IF(OR($B25="",$C25="",$E25=""),"",IF(OR(AL$8&lt;$E25,AL$8-$E25&gt;=12),0,$C25*INDEX(Fondsen!$F$5:$Q$30,MATCH($B25,Fondsen!$A$5:$A$30,0),AL$8-$E25+1)))</f>
        <v/>
      </c>
      <c r="AM25" s="31" t="str">
        <f t="array" ref="AM25">IF(OR($B25="",$C25="",$E25=""),"",IF(OR(AM$8&lt;$E25,AM$8-$E25&gt;=12),0,$C25*INDEX(Fondsen!$F$5:$Q$30,MATCH($B25,Fondsen!$A$5:$A$30,0),AM$8-$E25+1)))</f>
        <v/>
      </c>
      <c r="AN25" s="30" t="str">
        <f t="array" ref="AN25">IF(OR($B25="",$C25="",$E25=""),"",IF(OR(AN$8&lt;$E25,AN$8-$E25&gt;=12),0,$C25*INDEX(Fondsen!$F$5:$Q$30,MATCH($B25,Fondsen!$A$5:$A$30,0),AN$8-$E25+1)))</f>
        <v/>
      </c>
      <c r="AO25" s="31" t="str">
        <f t="array" ref="AO25">IF(OR($B25="",$C25="",$E25=""),"",IF(OR(AO$8&lt;$E25,AO$8-$E25&gt;=12),0,$C25*INDEX(Fondsen!$F$5:$Q$30,MATCH($B25,Fondsen!$A$5:$A$30,0),AO$8-$E25+1)))</f>
        <v/>
      </c>
      <c r="AP25" s="30" t="str">
        <f t="array" ref="AP25">IF(OR($B25="",$C25="",$E25=""),"",IF(OR(AP$8&lt;$E25,AP$8-$E25&gt;=12),0,$C25*INDEX(Fondsen!$F$5:$Q$30,MATCH($B25,Fondsen!$A$5:$A$30,0),AP$8-$E25+1)))</f>
        <v/>
      </c>
      <c r="AQ25" s="31" t="str">
        <f t="array" ref="AQ25">IF(OR($B25="",$C25="",$E25=""),"",IF(OR(AQ$8&lt;$E25,AQ$8-$E25&gt;=12),0,$C25*INDEX(Fondsen!$F$5:$Q$30,MATCH($B25,Fondsen!$A$5:$A$30,0),AQ$8-$E25+1)))</f>
        <v/>
      </c>
      <c r="AR25" s="30" t="str">
        <f t="array" ref="AR25">IF(OR($B25="",$C25="",$E25=""),"",IF(OR(AR$8&lt;$E25,AR$8-$E25&gt;=12),0,$C25*INDEX(Fondsen!$F$5:$Q$30,MATCH($B25,Fondsen!$A$5:$A$30,0),AR$8-$E25+1)))</f>
        <v/>
      </c>
      <c r="AS25" s="31" t="str">
        <f t="array" ref="AS25">IF(OR($B25="",$C25="",$E25=""),"",IF(OR(AS$8&lt;$E25,AS$8-$E25&gt;=12),0,$C25*INDEX(Fondsen!$F$5:$Q$30,MATCH($B25,Fondsen!$A$5:$A$30,0),AS$8-$E25+1)))</f>
        <v/>
      </c>
      <c r="AT25" s="45"/>
    </row>
    <row r="26" ht="24.0" customHeight="1">
      <c r="A26" s="33" t="str">
        <f>IF(B26="","",IFERROR(VLOOKUP(B26,Fondsen!$A$5:$B$30,2,FALSE()),""))</f>
        <v/>
      </c>
      <c r="B26" s="34"/>
      <c r="C26" s="35"/>
      <c r="D26" s="46" t="s">
        <v>11</v>
      </c>
      <c r="E26" s="37"/>
      <c r="F26" s="38" t="str">
        <f t="array" ref="F26">IF(OR($B26="",$C26="",$E26=""),"",IF(OR(F$8&lt;$E26,F$8-$E26&gt;=12),0,$C26*INDEX(Fondsen!$F$5:$Q$30,MATCH($B26,Fondsen!$A$5:$A$30,0),F$8-$E26+1)))</f>
        <v/>
      </c>
      <c r="G26" s="39" t="str">
        <f t="array" ref="G26">IF(OR($B26="",$C26="",$E26=""),"",IF(OR(G$8&lt;$E26,G$8-$E26&gt;=12),0,$C26*INDEX(Fondsen!$F$5:$Q$30,MATCH($B26,Fondsen!$A$5:$A$30,0),G$8-$E26+1)))</f>
        <v/>
      </c>
      <c r="H26" s="38" t="str">
        <f t="array" ref="H26">IF(OR($B26="",$C26="",$E26=""),"",IF(OR(H$8&lt;$E26,H$8-$E26&gt;=12),0,$C26*INDEX(Fondsen!$F$5:$Q$30,MATCH($B26,Fondsen!$A$5:$A$30,0),H$8-$E26+1)))</f>
        <v/>
      </c>
      <c r="I26" s="39" t="str">
        <f t="array" ref="I26">IF(OR($B26="",$C26="",$E26=""),"",IF(OR(I$8&lt;$E26,I$8-$E26&gt;=12),0,$C26*INDEX(Fondsen!$F$5:$Q$30,MATCH($B26,Fondsen!$A$5:$A$30,0),I$8-$E26+1)))</f>
        <v/>
      </c>
      <c r="J26" s="38" t="str">
        <f t="array" ref="J26">IF(OR($B26="",$C26="",$E26=""),"",IF(OR(J$8&lt;$E26,J$8-$E26&gt;=12),0,$C26*INDEX(Fondsen!$F$5:$Q$30,MATCH($B26,Fondsen!$A$5:$A$30,0),J$8-$E26+1)))</f>
        <v/>
      </c>
      <c r="K26" s="39" t="str">
        <f t="array" ref="K26">IF(OR($B26="",$C26="",$E26=""),"",IF(OR(K$8&lt;$E26,K$8-$E26&gt;=12),0,$C26*INDEX(Fondsen!$F$5:$Q$30,MATCH($B26,Fondsen!$A$5:$A$30,0),K$8-$E26+1)))</f>
        <v/>
      </c>
      <c r="L26" s="38" t="str">
        <f t="array" ref="L26">IF(OR($B26="",$C26="",$E26=""),"",IF(OR(L$8&lt;$E26,L$8-$E26&gt;=12),0,$C26*INDEX(Fondsen!$F$5:$Q$30,MATCH($B26,Fondsen!$A$5:$A$30,0),L$8-$E26+1)))</f>
        <v/>
      </c>
      <c r="M26" s="39" t="str">
        <f t="array" ref="M26">IF(OR($B26="",$C26="",$E26=""),"",IF(OR(M$8&lt;$E26,M$8-$E26&gt;=12),0,$C26*INDEX(Fondsen!$F$5:$Q$30,MATCH($B26,Fondsen!$A$5:$A$30,0),M$8-$E26+1)))</f>
        <v/>
      </c>
      <c r="N26" s="38" t="str">
        <f t="array" ref="N26">IF(OR($B26="",$C26="",$E26=""),"",IF(OR(N$8&lt;$E26,N$8-$E26&gt;=12),0,$C26*INDEX(Fondsen!$F$5:$Q$30,MATCH($B26,Fondsen!$A$5:$A$30,0),N$8-$E26+1)))</f>
        <v/>
      </c>
      <c r="O26" s="39" t="str">
        <f t="array" ref="O26">IF(OR($B26="",$C26="",$E26=""),"",IF(OR(O$8&lt;$E26,O$8-$E26&gt;=12),0,$C26*INDEX(Fondsen!$F$5:$Q$30,MATCH($B26,Fondsen!$A$5:$A$30,0),O$8-$E26+1)))</f>
        <v/>
      </c>
      <c r="P26" s="38" t="str">
        <f t="array" ref="P26">IF(OR($B26="",$C26="",$E26=""),"",IF(OR(P$8&lt;$E26,P$8-$E26&gt;=12),0,$C26*INDEX(Fondsen!$F$5:$Q$30,MATCH($B26,Fondsen!$A$5:$A$30,0),P$8-$E26+1)))</f>
        <v/>
      </c>
      <c r="Q26" s="39" t="str">
        <f t="array" ref="Q26">IF(OR($B26="",$C26="",$E26=""),"",IF(OR(Q$8&lt;$E26,Q$8-$E26&gt;=12),0,$C26*INDEX(Fondsen!$F$5:$Q$30,MATCH($B26,Fondsen!$A$5:$A$30,0),Q$8-$E26+1)))</f>
        <v/>
      </c>
      <c r="R26" s="38" t="str">
        <f t="array" ref="R26">IF(OR($B26="",$C26="",$E26=""),"",IF(OR(R$8&lt;$E26,R$8-$E26&gt;=12),0,$C26*INDEX(Fondsen!$F$5:$Q$30,MATCH($B26,Fondsen!$A$5:$A$30,0),R$8-$E26+1)))</f>
        <v/>
      </c>
      <c r="S26" s="39" t="str">
        <f t="array" ref="S26">IF(OR($B26="",$C26="",$E26=""),"",IF(OR(S$8&lt;$E26,S$8-$E26&gt;=12),0,$C26*INDEX(Fondsen!$F$5:$Q$30,MATCH($B26,Fondsen!$A$5:$A$30,0),S$8-$E26+1)))</f>
        <v/>
      </c>
      <c r="T26" s="38" t="str">
        <f t="array" ref="T26">IF(OR($B26="",$C26="",$E26=""),"",IF(OR(T$8&lt;$E26,T$8-$E26&gt;=12),0,$C26*INDEX(Fondsen!$F$5:$Q$30,MATCH($B26,Fondsen!$A$5:$A$30,0),T$8-$E26+1)))</f>
        <v/>
      </c>
      <c r="U26" s="39" t="str">
        <f t="array" ref="U26">IF(OR($B26="",$C26="",$E26=""),"",IF(OR(U$8&lt;$E26,U$8-$E26&gt;=12),0,$C26*INDEX(Fondsen!$F$5:$Q$30,MATCH($B26,Fondsen!$A$5:$A$30,0),U$8-$E26+1)))</f>
        <v/>
      </c>
      <c r="V26" s="38" t="str">
        <f t="array" ref="V26">IF(OR($B26="",$C26="",$E26=""),"",IF(OR(V$8&lt;$E26,V$8-$E26&gt;=12),0,$C26*INDEX(Fondsen!$F$5:$Q$30,MATCH($B26,Fondsen!$A$5:$A$30,0),V$8-$E26+1)))</f>
        <v/>
      </c>
      <c r="W26" s="39" t="str">
        <f t="array" ref="W26">IF(OR($B26="",$C26="",$E26=""),"",IF(OR(W$8&lt;$E26,W$8-$E26&gt;=12),0,$C26*INDEX(Fondsen!$F$5:$Q$30,MATCH($B26,Fondsen!$A$5:$A$30,0),W$8-$E26+1)))</f>
        <v/>
      </c>
      <c r="X26" s="38" t="str">
        <f t="array" ref="X26">IF(OR($B26="",$C26="",$E26=""),"",IF(OR(X$8&lt;$E26,X$8-$E26&gt;=12),0,$C26*INDEX(Fondsen!$F$5:$Q$30,MATCH($B26,Fondsen!$A$5:$A$30,0),X$8-$E26+1)))</f>
        <v/>
      </c>
      <c r="Y26" s="39" t="str">
        <f t="array" ref="Y26">IF(OR($B26="",$C26="",$E26=""),"",IF(OR(Y$8&lt;$E26,Y$8-$E26&gt;=12),0,$C26*INDEX(Fondsen!$F$5:$Q$30,MATCH($B26,Fondsen!$A$5:$A$30,0),Y$8-$E26+1)))</f>
        <v/>
      </c>
      <c r="Z26" s="38" t="str">
        <f t="array" ref="Z26">IF(OR($B26="",$C26="",$E26=""),"",IF(OR(Z$8&lt;$E26,Z$8-$E26&gt;=12),0,$C26*INDEX(Fondsen!$F$5:$Q$30,MATCH($B26,Fondsen!$A$5:$A$30,0),Z$8-$E26+1)))</f>
        <v/>
      </c>
      <c r="AA26" s="39" t="str">
        <f t="array" ref="AA26">IF(OR($B26="",$C26="",$E26=""),"",IF(OR(AA$8&lt;$E26,AA$8-$E26&gt;=12),0,$C26*INDEX(Fondsen!$F$5:$Q$30,MATCH($B26,Fondsen!$A$5:$A$30,0),AA$8-$E26+1)))</f>
        <v/>
      </c>
      <c r="AB26" s="38" t="str">
        <f t="array" ref="AB26">IF(OR($B26="",$C26="",$E26=""),"",IF(OR(AB$8&lt;$E26,AB$8-$E26&gt;=12),0,$C26*INDEX(Fondsen!$F$5:$Q$30,MATCH($B26,Fondsen!$A$5:$A$30,0),AB$8-$E26+1)))</f>
        <v/>
      </c>
      <c r="AC26" s="39" t="str">
        <f t="array" ref="AC26">IF(OR($B26="",$C26="",$E26=""),"",IF(OR(AC$8&lt;$E26,AC$8-$E26&gt;=12),0,$C26*INDEX(Fondsen!$F$5:$Q$30,MATCH($B26,Fondsen!$A$5:$A$30,0),AC$8-$E26+1)))</f>
        <v/>
      </c>
      <c r="AD26" s="38" t="str">
        <f t="array" ref="AD26">IF(OR($B26="",$C26="",$E26=""),"",IF(OR(AD$8&lt;$E26,AD$8-$E26&gt;=12),0,$C26*INDEX(Fondsen!$F$5:$Q$30,MATCH($B26,Fondsen!$A$5:$A$30,0),AD$8-$E26+1)))</f>
        <v/>
      </c>
      <c r="AE26" s="39" t="str">
        <f t="array" ref="AE26">IF(OR($B26="",$C26="",$E26=""),"",IF(OR(AE$8&lt;$E26,AE$8-$E26&gt;=12),0,$C26*INDEX(Fondsen!$F$5:$Q$30,MATCH($B26,Fondsen!$A$5:$A$30,0),AE$8-$E26+1)))</f>
        <v/>
      </c>
      <c r="AF26" s="38" t="str">
        <f t="array" ref="AF26">IF(OR($B26="",$C26="",$E26=""),"",IF(OR(AF$8&lt;$E26,AF$8-$E26&gt;=12),0,$C26*INDEX(Fondsen!$F$5:$Q$30,MATCH($B26,Fondsen!$A$5:$A$30,0),AF$8-$E26+1)))</f>
        <v/>
      </c>
      <c r="AG26" s="39" t="str">
        <f t="array" ref="AG26">IF(OR($B26="",$C26="",$E26=""),"",IF(OR(AG$8&lt;$E26,AG$8-$E26&gt;=12),0,$C26*INDEX(Fondsen!$F$5:$Q$30,MATCH($B26,Fondsen!$A$5:$A$30,0),AG$8-$E26+1)))</f>
        <v/>
      </c>
      <c r="AH26" s="38" t="str">
        <f t="array" ref="AH26">IF(OR($B26="",$C26="",$E26=""),"",IF(OR(AH$8&lt;$E26,AH$8-$E26&gt;=12),0,$C26*INDEX(Fondsen!$F$5:$Q$30,MATCH($B26,Fondsen!$A$5:$A$30,0),AH$8-$E26+1)))</f>
        <v/>
      </c>
      <c r="AI26" s="39" t="str">
        <f t="array" ref="AI26">IF(OR($B26="",$C26="",$E26=""),"",IF(OR(AI$8&lt;$E26,AI$8-$E26&gt;=12),0,$C26*INDEX(Fondsen!$F$5:$Q$30,MATCH($B26,Fondsen!$A$5:$A$30,0),AI$8-$E26+1)))</f>
        <v/>
      </c>
      <c r="AJ26" s="38" t="str">
        <f t="array" ref="AJ26">IF(OR($B26="",$C26="",$E26=""),"",IF(OR(AJ$8&lt;$E26,AJ$8-$E26&gt;=12),0,$C26*INDEX(Fondsen!$F$5:$Q$30,MATCH($B26,Fondsen!$A$5:$A$30,0),AJ$8-$E26+1)))</f>
        <v/>
      </c>
      <c r="AK26" s="39" t="str">
        <f t="array" ref="AK26">IF(OR($B26="",$C26="",$E26=""),"",IF(OR(AK$8&lt;$E26,AK$8-$E26&gt;=12),0,$C26*INDEX(Fondsen!$F$5:$Q$30,MATCH($B26,Fondsen!$A$5:$A$30,0),AK$8-$E26+1)))</f>
        <v/>
      </c>
      <c r="AL26" s="38" t="str">
        <f t="array" ref="AL26">IF(OR($B26="",$C26="",$E26=""),"",IF(OR(AL$8&lt;$E26,AL$8-$E26&gt;=12),0,$C26*INDEX(Fondsen!$F$5:$Q$30,MATCH($B26,Fondsen!$A$5:$A$30,0),AL$8-$E26+1)))</f>
        <v/>
      </c>
      <c r="AM26" s="39" t="str">
        <f t="array" ref="AM26">IF(OR($B26="",$C26="",$E26=""),"",IF(OR(AM$8&lt;$E26,AM$8-$E26&gt;=12),0,$C26*INDEX(Fondsen!$F$5:$Q$30,MATCH($B26,Fondsen!$A$5:$A$30,0),AM$8-$E26+1)))</f>
        <v/>
      </c>
      <c r="AN26" s="38" t="str">
        <f t="array" ref="AN26">IF(OR($B26="",$C26="",$E26=""),"",IF(OR(AN$8&lt;$E26,AN$8-$E26&gt;=12),0,$C26*INDEX(Fondsen!$F$5:$Q$30,MATCH($B26,Fondsen!$A$5:$A$30,0),AN$8-$E26+1)))</f>
        <v/>
      </c>
      <c r="AO26" s="39" t="str">
        <f t="array" ref="AO26">IF(OR($B26="",$C26="",$E26=""),"",IF(OR(AO$8&lt;$E26,AO$8-$E26&gt;=12),0,$C26*INDEX(Fondsen!$F$5:$Q$30,MATCH($B26,Fondsen!$A$5:$A$30,0),AO$8-$E26+1)))</f>
        <v/>
      </c>
      <c r="AP26" s="38" t="str">
        <f t="array" ref="AP26">IF(OR($B26="",$C26="",$E26=""),"",IF(OR(AP$8&lt;$E26,AP$8-$E26&gt;=12),0,$C26*INDEX(Fondsen!$F$5:$Q$30,MATCH($B26,Fondsen!$A$5:$A$30,0),AP$8-$E26+1)))</f>
        <v/>
      </c>
      <c r="AQ26" s="39" t="str">
        <f t="array" ref="AQ26">IF(OR($B26="",$C26="",$E26=""),"",IF(OR(AQ$8&lt;$E26,AQ$8-$E26&gt;=12),0,$C26*INDEX(Fondsen!$F$5:$Q$30,MATCH($B26,Fondsen!$A$5:$A$30,0),AQ$8-$E26+1)))</f>
        <v/>
      </c>
      <c r="AR26" s="38" t="str">
        <f t="array" ref="AR26">IF(OR($B26="",$C26="",$E26=""),"",IF(OR(AR$8&lt;$E26,AR$8-$E26&gt;=12),0,$C26*INDEX(Fondsen!$F$5:$Q$30,MATCH($B26,Fondsen!$A$5:$A$30,0),AR$8-$E26+1)))</f>
        <v/>
      </c>
      <c r="AS26" s="39" t="str">
        <f t="array" ref="AS26">IF(OR($B26="",$C26="",$E26=""),"",IF(OR(AS$8&lt;$E26,AS$8-$E26&gt;=12),0,$C26*INDEX(Fondsen!$F$5:$Q$30,MATCH($B26,Fondsen!$A$5:$A$30,0),AS$8-$E26+1)))</f>
        <v/>
      </c>
      <c r="AT26" s="45"/>
    </row>
    <row r="27" ht="24.0" customHeight="1">
      <c r="A27" s="47" t="str">
        <f>IF(B27="","",IFERROR(VLOOKUP(B27,Fondsen!$A$5:$B$30,2,FALSE()),""))</f>
        <v/>
      </c>
      <c r="B27" s="26"/>
      <c r="C27" s="27"/>
      <c r="D27" s="44" t="s">
        <v>11</v>
      </c>
      <c r="E27" s="29"/>
      <c r="F27" s="30" t="str">
        <f t="array" ref="F27">IF(OR($B27="",$C27="",$E27=""),"",IF(OR(F$8&lt;$E27,F$8-$E27&gt;=12),0,$C27*INDEX(Fondsen!$F$5:$Q$30,MATCH($B27,Fondsen!$A$5:$A$30,0),F$8-$E27+1)))</f>
        <v/>
      </c>
      <c r="G27" s="31" t="str">
        <f t="array" ref="G27">IF(OR($B27="",$C27="",$E27=""),"",IF(OR(G$8&lt;$E27,G$8-$E27&gt;=12),0,$C27*INDEX(Fondsen!$F$5:$Q$30,MATCH($B27,Fondsen!$A$5:$A$30,0),G$8-$E27+1)))</f>
        <v/>
      </c>
      <c r="H27" s="30" t="str">
        <f t="array" ref="H27">IF(OR($B27="",$C27="",$E27=""),"",IF(OR(H$8&lt;$E27,H$8-$E27&gt;=12),0,$C27*INDEX(Fondsen!$F$5:$Q$30,MATCH($B27,Fondsen!$A$5:$A$30,0),H$8-$E27+1)))</f>
        <v/>
      </c>
      <c r="I27" s="31" t="str">
        <f t="array" ref="I27">IF(OR($B27="",$C27="",$E27=""),"",IF(OR(I$8&lt;$E27,I$8-$E27&gt;=12),0,$C27*INDEX(Fondsen!$F$5:$Q$30,MATCH($B27,Fondsen!$A$5:$A$30,0),I$8-$E27+1)))</f>
        <v/>
      </c>
      <c r="J27" s="30" t="str">
        <f t="array" ref="J27">IF(OR($B27="",$C27="",$E27=""),"",IF(OR(J$8&lt;$E27,J$8-$E27&gt;=12),0,$C27*INDEX(Fondsen!$F$5:$Q$30,MATCH($B27,Fondsen!$A$5:$A$30,0),J$8-$E27+1)))</f>
        <v/>
      </c>
      <c r="K27" s="31" t="str">
        <f t="array" ref="K27">IF(OR($B27="",$C27="",$E27=""),"",IF(OR(K$8&lt;$E27,K$8-$E27&gt;=12),0,$C27*INDEX(Fondsen!$F$5:$Q$30,MATCH($B27,Fondsen!$A$5:$A$30,0),K$8-$E27+1)))</f>
        <v/>
      </c>
      <c r="L27" s="30" t="str">
        <f t="array" ref="L27">IF(OR($B27="",$C27="",$E27=""),"",IF(OR(L$8&lt;$E27,L$8-$E27&gt;=12),0,$C27*INDEX(Fondsen!$F$5:$Q$30,MATCH($B27,Fondsen!$A$5:$A$30,0),L$8-$E27+1)))</f>
        <v/>
      </c>
      <c r="M27" s="31" t="str">
        <f t="array" ref="M27">IF(OR($B27="",$C27="",$E27=""),"",IF(OR(M$8&lt;$E27,M$8-$E27&gt;=12),0,$C27*INDEX(Fondsen!$F$5:$Q$30,MATCH($B27,Fondsen!$A$5:$A$30,0),M$8-$E27+1)))</f>
        <v/>
      </c>
      <c r="N27" s="30" t="str">
        <f t="array" ref="N27">IF(OR($B27="",$C27="",$E27=""),"",IF(OR(N$8&lt;$E27,N$8-$E27&gt;=12),0,$C27*INDEX(Fondsen!$F$5:$Q$30,MATCH($B27,Fondsen!$A$5:$A$30,0),N$8-$E27+1)))</f>
        <v/>
      </c>
      <c r="O27" s="31" t="str">
        <f t="array" ref="O27">IF(OR($B27="",$C27="",$E27=""),"",IF(OR(O$8&lt;$E27,O$8-$E27&gt;=12),0,$C27*INDEX(Fondsen!$F$5:$Q$30,MATCH($B27,Fondsen!$A$5:$A$30,0),O$8-$E27+1)))</f>
        <v/>
      </c>
      <c r="P27" s="30" t="str">
        <f t="array" ref="P27">IF(OR($B27="",$C27="",$E27=""),"",IF(OR(P$8&lt;$E27,P$8-$E27&gt;=12),0,$C27*INDEX(Fondsen!$F$5:$Q$30,MATCH($B27,Fondsen!$A$5:$A$30,0),P$8-$E27+1)))</f>
        <v/>
      </c>
      <c r="Q27" s="31" t="str">
        <f t="array" ref="Q27">IF(OR($B27="",$C27="",$E27=""),"",IF(OR(Q$8&lt;$E27,Q$8-$E27&gt;=12),0,$C27*INDEX(Fondsen!$F$5:$Q$30,MATCH($B27,Fondsen!$A$5:$A$30,0),Q$8-$E27+1)))</f>
        <v/>
      </c>
      <c r="R27" s="30" t="str">
        <f t="array" ref="R27">IF(OR($B27="",$C27="",$E27=""),"",IF(OR(R$8&lt;$E27,R$8-$E27&gt;=12),0,$C27*INDEX(Fondsen!$F$5:$Q$30,MATCH($B27,Fondsen!$A$5:$A$30,0),R$8-$E27+1)))</f>
        <v/>
      </c>
      <c r="S27" s="31" t="str">
        <f t="array" ref="S27">IF(OR($B27="",$C27="",$E27=""),"",IF(OR(S$8&lt;$E27,S$8-$E27&gt;=12),0,$C27*INDEX(Fondsen!$F$5:$Q$30,MATCH($B27,Fondsen!$A$5:$A$30,0),S$8-$E27+1)))</f>
        <v/>
      </c>
      <c r="T27" s="30" t="str">
        <f t="array" ref="T27">IF(OR($B27="",$C27="",$E27=""),"",IF(OR(T$8&lt;$E27,T$8-$E27&gt;=12),0,$C27*INDEX(Fondsen!$F$5:$Q$30,MATCH($B27,Fondsen!$A$5:$A$30,0),T$8-$E27+1)))</f>
        <v/>
      </c>
      <c r="U27" s="31" t="str">
        <f t="array" ref="U27">IF(OR($B27="",$C27="",$E27=""),"",IF(OR(U$8&lt;$E27,U$8-$E27&gt;=12),0,$C27*INDEX(Fondsen!$F$5:$Q$30,MATCH($B27,Fondsen!$A$5:$A$30,0),U$8-$E27+1)))</f>
        <v/>
      </c>
      <c r="V27" s="30" t="str">
        <f t="array" ref="V27">IF(OR($B27="",$C27="",$E27=""),"",IF(OR(V$8&lt;$E27,V$8-$E27&gt;=12),0,$C27*INDEX(Fondsen!$F$5:$Q$30,MATCH($B27,Fondsen!$A$5:$A$30,0),V$8-$E27+1)))</f>
        <v/>
      </c>
      <c r="W27" s="31" t="str">
        <f t="array" ref="W27">IF(OR($B27="",$C27="",$E27=""),"",IF(OR(W$8&lt;$E27,W$8-$E27&gt;=12),0,$C27*INDEX(Fondsen!$F$5:$Q$30,MATCH($B27,Fondsen!$A$5:$A$30,0),W$8-$E27+1)))</f>
        <v/>
      </c>
      <c r="X27" s="30" t="str">
        <f t="array" ref="X27">IF(OR($B27="",$C27="",$E27=""),"",IF(OR(X$8&lt;$E27,X$8-$E27&gt;=12),0,$C27*INDEX(Fondsen!$F$5:$Q$30,MATCH($B27,Fondsen!$A$5:$A$30,0),X$8-$E27+1)))</f>
        <v/>
      </c>
      <c r="Y27" s="31" t="str">
        <f t="array" ref="Y27">IF(OR($B27="",$C27="",$E27=""),"",IF(OR(Y$8&lt;$E27,Y$8-$E27&gt;=12),0,$C27*INDEX(Fondsen!$F$5:$Q$30,MATCH($B27,Fondsen!$A$5:$A$30,0),Y$8-$E27+1)))</f>
        <v/>
      </c>
      <c r="Z27" s="30" t="str">
        <f t="array" ref="Z27">IF(OR($B27="",$C27="",$E27=""),"",IF(OR(Z$8&lt;$E27,Z$8-$E27&gt;=12),0,$C27*INDEX(Fondsen!$F$5:$Q$30,MATCH($B27,Fondsen!$A$5:$A$30,0),Z$8-$E27+1)))</f>
        <v/>
      </c>
      <c r="AA27" s="31" t="str">
        <f t="array" ref="AA27">IF(OR($B27="",$C27="",$E27=""),"",IF(OR(AA$8&lt;$E27,AA$8-$E27&gt;=12),0,$C27*INDEX(Fondsen!$F$5:$Q$30,MATCH($B27,Fondsen!$A$5:$A$30,0),AA$8-$E27+1)))</f>
        <v/>
      </c>
      <c r="AB27" s="30" t="str">
        <f t="array" ref="AB27">IF(OR($B27="",$C27="",$E27=""),"",IF(OR(AB$8&lt;$E27,AB$8-$E27&gt;=12),0,$C27*INDEX(Fondsen!$F$5:$Q$30,MATCH($B27,Fondsen!$A$5:$A$30,0),AB$8-$E27+1)))</f>
        <v/>
      </c>
      <c r="AC27" s="31" t="str">
        <f t="array" ref="AC27">IF(OR($B27="",$C27="",$E27=""),"",IF(OR(AC$8&lt;$E27,AC$8-$E27&gt;=12),0,$C27*INDEX(Fondsen!$F$5:$Q$30,MATCH($B27,Fondsen!$A$5:$A$30,0),AC$8-$E27+1)))</f>
        <v/>
      </c>
      <c r="AD27" s="30" t="str">
        <f t="array" ref="AD27">IF(OR($B27="",$C27="",$E27=""),"",IF(OR(AD$8&lt;$E27,AD$8-$E27&gt;=12),0,$C27*INDEX(Fondsen!$F$5:$Q$30,MATCH($B27,Fondsen!$A$5:$A$30,0),AD$8-$E27+1)))</f>
        <v/>
      </c>
      <c r="AE27" s="31" t="str">
        <f t="array" ref="AE27">IF(OR($B27="",$C27="",$E27=""),"",IF(OR(AE$8&lt;$E27,AE$8-$E27&gt;=12),0,$C27*INDEX(Fondsen!$F$5:$Q$30,MATCH($B27,Fondsen!$A$5:$A$30,0),AE$8-$E27+1)))</f>
        <v/>
      </c>
      <c r="AF27" s="30" t="str">
        <f t="array" ref="AF27">IF(OR($B27="",$C27="",$E27=""),"",IF(OR(AF$8&lt;$E27,AF$8-$E27&gt;=12),0,$C27*INDEX(Fondsen!$F$5:$Q$30,MATCH($B27,Fondsen!$A$5:$A$30,0),AF$8-$E27+1)))</f>
        <v/>
      </c>
      <c r="AG27" s="31" t="str">
        <f t="array" ref="AG27">IF(OR($B27="",$C27="",$E27=""),"",IF(OR(AG$8&lt;$E27,AG$8-$E27&gt;=12),0,$C27*INDEX(Fondsen!$F$5:$Q$30,MATCH($B27,Fondsen!$A$5:$A$30,0),AG$8-$E27+1)))</f>
        <v/>
      </c>
      <c r="AH27" s="30" t="str">
        <f t="array" ref="AH27">IF(OR($B27="",$C27="",$E27=""),"",IF(OR(AH$8&lt;$E27,AH$8-$E27&gt;=12),0,$C27*INDEX(Fondsen!$F$5:$Q$30,MATCH($B27,Fondsen!$A$5:$A$30,0),AH$8-$E27+1)))</f>
        <v/>
      </c>
      <c r="AI27" s="31" t="str">
        <f t="array" ref="AI27">IF(OR($B27="",$C27="",$E27=""),"",IF(OR(AI$8&lt;$E27,AI$8-$E27&gt;=12),0,$C27*INDEX(Fondsen!$F$5:$Q$30,MATCH($B27,Fondsen!$A$5:$A$30,0),AI$8-$E27+1)))</f>
        <v/>
      </c>
      <c r="AJ27" s="30" t="str">
        <f t="array" ref="AJ27">IF(OR($B27="",$C27="",$E27=""),"",IF(OR(AJ$8&lt;$E27,AJ$8-$E27&gt;=12),0,$C27*INDEX(Fondsen!$F$5:$Q$30,MATCH($B27,Fondsen!$A$5:$A$30,0),AJ$8-$E27+1)))</f>
        <v/>
      </c>
      <c r="AK27" s="31" t="str">
        <f t="array" ref="AK27">IF(OR($B27="",$C27="",$E27=""),"",IF(OR(AK$8&lt;$E27,AK$8-$E27&gt;=12),0,$C27*INDEX(Fondsen!$F$5:$Q$30,MATCH($B27,Fondsen!$A$5:$A$30,0),AK$8-$E27+1)))</f>
        <v/>
      </c>
      <c r="AL27" s="30" t="str">
        <f t="array" ref="AL27">IF(OR($B27="",$C27="",$E27=""),"",IF(OR(AL$8&lt;$E27,AL$8-$E27&gt;=12),0,$C27*INDEX(Fondsen!$F$5:$Q$30,MATCH($B27,Fondsen!$A$5:$A$30,0),AL$8-$E27+1)))</f>
        <v/>
      </c>
      <c r="AM27" s="31" t="str">
        <f t="array" ref="AM27">IF(OR($B27="",$C27="",$E27=""),"",IF(OR(AM$8&lt;$E27,AM$8-$E27&gt;=12),0,$C27*INDEX(Fondsen!$F$5:$Q$30,MATCH($B27,Fondsen!$A$5:$A$30,0),AM$8-$E27+1)))</f>
        <v/>
      </c>
      <c r="AN27" s="30" t="str">
        <f t="array" ref="AN27">IF(OR($B27="",$C27="",$E27=""),"",IF(OR(AN$8&lt;$E27,AN$8-$E27&gt;=12),0,$C27*INDEX(Fondsen!$F$5:$Q$30,MATCH($B27,Fondsen!$A$5:$A$30,0),AN$8-$E27+1)))</f>
        <v/>
      </c>
      <c r="AO27" s="31" t="str">
        <f t="array" ref="AO27">IF(OR($B27="",$C27="",$E27=""),"",IF(OR(AO$8&lt;$E27,AO$8-$E27&gt;=12),0,$C27*INDEX(Fondsen!$F$5:$Q$30,MATCH($B27,Fondsen!$A$5:$A$30,0),AO$8-$E27+1)))</f>
        <v/>
      </c>
      <c r="AP27" s="30" t="str">
        <f t="array" ref="AP27">IF(OR($B27="",$C27="",$E27=""),"",IF(OR(AP$8&lt;$E27,AP$8-$E27&gt;=12),0,$C27*INDEX(Fondsen!$F$5:$Q$30,MATCH($B27,Fondsen!$A$5:$A$30,0),AP$8-$E27+1)))</f>
        <v/>
      </c>
      <c r="AQ27" s="31" t="str">
        <f t="array" ref="AQ27">IF(OR($B27="",$C27="",$E27=""),"",IF(OR(AQ$8&lt;$E27,AQ$8-$E27&gt;=12),0,$C27*INDEX(Fondsen!$F$5:$Q$30,MATCH($B27,Fondsen!$A$5:$A$30,0),AQ$8-$E27+1)))</f>
        <v/>
      </c>
      <c r="AR27" s="30" t="str">
        <f t="array" ref="AR27">IF(OR($B27="",$C27="",$E27=""),"",IF(OR(AR$8&lt;$E27,AR$8-$E27&gt;=12),0,$C27*INDEX(Fondsen!$F$5:$Q$30,MATCH($B27,Fondsen!$A$5:$A$30,0),AR$8-$E27+1)))</f>
        <v/>
      </c>
      <c r="AS27" s="31" t="str">
        <f t="array" ref="AS27">IF(OR($B27="",$C27="",$E27=""),"",IF(OR(AS$8&lt;$E27,AS$8-$E27&gt;=12),0,$C27*INDEX(Fondsen!$F$5:$Q$30,MATCH($B27,Fondsen!$A$5:$A$30,0),AS$8-$E27+1)))</f>
        <v/>
      </c>
      <c r="AT27" s="45"/>
    </row>
    <row r="28" ht="24.0" customHeight="1">
      <c r="A28" s="33" t="str">
        <f>IF(B28="","",IFERROR(VLOOKUP(B28,Fondsen!$A$5:$B$30,2,FALSE()),""))</f>
        <v/>
      </c>
      <c r="B28" s="34"/>
      <c r="C28" s="35"/>
      <c r="D28" s="46" t="s">
        <v>11</v>
      </c>
      <c r="E28" s="37"/>
      <c r="F28" s="38" t="str">
        <f t="array" ref="F28">IF(OR($B28="",$C28="",$E28=""),"",IF(OR(F$8&lt;$E28,F$8-$E28&gt;=12),0,$C28*INDEX(Fondsen!$F$5:$Q$30,MATCH($B28,Fondsen!$A$5:$A$30,0),F$8-$E28+1)))</f>
        <v/>
      </c>
      <c r="G28" s="39" t="str">
        <f t="array" ref="G28">IF(OR($B28="",$C28="",$E28=""),"",IF(OR(G$8&lt;$E28,G$8-$E28&gt;=12),0,$C28*INDEX(Fondsen!$F$5:$Q$30,MATCH($B28,Fondsen!$A$5:$A$30,0),G$8-$E28+1)))</f>
        <v/>
      </c>
      <c r="H28" s="38" t="str">
        <f t="array" ref="H28">IF(OR($B28="",$C28="",$E28=""),"",IF(OR(H$8&lt;$E28,H$8-$E28&gt;=12),0,$C28*INDEX(Fondsen!$F$5:$Q$30,MATCH($B28,Fondsen!$A$5:$A$30,0),H$8-$E28+1)))</f>
        <v/>
      </c>
      <c r="I28" s="39" t="str">
        <f t="array" ref="I28">IF(OR($B28="",$C28="",$E28=""),"",IF(OR(I$8&lt;$E28,I$8-$E28&gt;=12),0,$C28*INDEX(Fondsen!$F$5:$Q$30,MATCH($B28,Fondsen!$A$5:$A$30,0),I$8-$E28+1)))</f>
        <v/>
      </c>
      <c r="J28" s="38" t="str">
        <f t="array" ref="J28">IF(OR($B28="",$C28="",$E28=""),"",IF(OR(J$8&lt;$E28,J$8-$E28&gt;=12),0,$C28*INDEX(Fondsen!$F$5:$Q$30,MATCH($B28,Fondsen!$A$5:$A$30,0),J$8-$E28+1)))</f>
        <v/>
      </c>
      <c r="K28" s="39" t="str">
        <f t="array" ref="K28">IF(OR($B28="",$C28="",$E28=""),"",IF(OR(K$8&lt;$E28,K$8-$E28&gt;=12),0,$C28*INDEX(Fondsen!$F$5:$Q$30,MATCH($B28,Fondsen!$A$5:$A$30,0),K$8-$E28+1)))</f>
        <v/>
      </c>
      <c r="L28" s="38" t="str">
        <f t="array" ref="L28">IF(OR($B28="",$C28="",$E28=""),"",IF(OR(L$8&lt;$E28,L$8-$E28&gt;=12),0,$C28*INDEX(Fondsen!$F$5:$Q$30,MATCH($B28,Fondsen!$A$5:$A$30,0),L$8-$E28+1)))</f>
        <v/>
      </c>
      <c r="M28" s="39" t="str">
        <f t="array" ref="M28">IF(OR($B28="",$C28="",$E28=""),"",IF(OR(M$8&lt;$E28,M$8-$E28&gt;=12),0,$C28*INDEX(Fondsen!$F$5:$Q$30,MATCH($B28,Fondsen!$A$5:$A$30,0),M$8-$E28+1)))</f>
        <v/>
      </c>
      <c r="N28" s="38" t="str">
        <f t="array" ref="N28">IF(OR($B28="",$C28="",$E28=""),"",IF(OR(N$8&lt;$E28,N$8-$E28&gt;=12),0,$C28*INDEX(Fondsen!$F$5:$Q$30,MATCH($B28,Fondsen!$A$5:$A$30,0),N$8-$E28+1)))</f>
        <v/>
      </c>
      <c r="O28" s="39" t="str">
        <f t="array" ref="O28">IF(OR($B28="",$C28="",$E28=""),"",IF(OR(O$8&lt;$E28,O$8-$E28&gt;=12),0,$C28*INDEX(Fondsen!$F$5:$Q$30,MATCH($B28,Fondsen!$A$5:$A$30,0),O$8-$E28+1)))</f>
        <v/>
      </c>
      <c r="P28" s="38" t="str">
        <f t="array" ref="P28">IF(OR($B28="",$C28="",$E28=""),"",IF(OR(P$8&lt;$E28,P$8-$E28&gt;=12),0,$C28*INDEX(Fondsen!$F$5:$Q$30,MATCH($B28,Fondsen!$A$5:$A$30,0),P$8-$E28+1)))</f>
        <v/>
      </c>
      <c r="Q28" s="39" t="str">
        <f t="array" ref="Q28">IF(OR($B28="",$C28="",$E28=""),"",IF(OR(Q$8&lt;$E28,Q$8-$E28&gt;=12),0,$C28*INDEX(Fondsen!$F$5:$Q$30,MATCH($B28,Fondsen!$A$5:$A$30,0),Q$8-$E28+1)))</f>
        <v/>
      </c>
      <c r="R28" s="38" t="str">
        <f t="array" ref="R28">IF(OR($B28="",$C28="",$E28=""),"",IF(OR(R$8&lt;$E28,R$8-$E28&gt;=12),0,$C28*INDEX(Fondsen!$F$5:$Q$30,MATCH($B28,Fondsen!$A$5:$A$30,0),R$8-$E28+1)))</f>
        <v/>
      </c>
      <c r="S28" s="39" t="str">
        <f t="array" ref="S28">IF(OR($B28="",$C28="",$E28=""),"",IF(OR(S$8&lt;$E28,S$8-$E28&gt;=12),0,$C28*INDEX(Fondsen!$F$5:$Q$30,MATCH($B28,Fondsen!$A$5:$A$30,0),S$8-$E28+1)))</f>
        <v/>
      </c>
      <c r="T28" s="38" t="str">
        <f t="array" ref="T28">IF(OR($B28="",$C28="",$E28=""),"",IF(OR(T$8&lt;$E28,T$8-$E28&gt;=12),0,$C28*INDEX(Fondsen!$F$5:$Q$30,MATCH($B28,Fondsen!$A$5:$A$30,0),T$8-$E28+1)))</f>
        <v/>
      </c>
      <c r="U28" s="39" t="str">
        <f t="array" ref="U28">IF(OR($B28="",$C28="",$E28=""),"",IF(OR(U$8&lt;$E28,U$8-$E28&gt;=12),0,$C28*INDEX(Fondsen!$F$5:$Q$30,MATCH($B28,Fondsen!$A$5:$A$30,0),U$8-$E28+1)))</f>
        <v/>
      </c>
      <c r="V28" s="38" t="str">
        <f t="array" ref="V28">IF(OR($B28="",$C28="",$E28=""),"",IF(OR(V$8&lt;$E28,V$8-$E28&gt;=12),0,$C28*INDEX(Fondsen!$F$5:$Q$30,MATCH($B28,Fondsen!$A$5:$A$30,0),V$8-$E28+1)))</f>
        <v/>
      </c>
      <c r="W28" s="39" t="str">
        <f t="array" ref="W28">IF(OR($B28="",$C28="",$E28=""),"",IF(OR(W$8&lt;$E28,W$8-$E28&gt;=12),0,$C28*INDEX(Fondsen!$F$5:$Q$30,MATCH($B28,Fondsen!$A$5:$A$30,0),W$8-$E28+1)))</f>
        <v/>
      </c>
      <c r="X28" s="38" t="str">
        <f t="array" ref="X28">IF(OR($B28="",$C28="",$E28=""),"",IF(OR(X$8&lt;$E28,X$8-$E28&gt;=12),0,$C28*INDEX(Fondsen!$F$5:$Q$30,MATCH($B28,Fondsen!$A$5:$A$30,0),X$8-$E28+1)))</f>
        <v/>
      </c>
      <c r="Y28" s="39" t="str">
        <f t="array" ref="Y28">IF(OR($B28="",$C28="",$E28=""),"",IF(OR(Y$8&lt;$E28,Y$8-$E28&gt;=12),0,$C28*INDEX(Fondsen!$F$5:$Q$30,MATCH($B28,Fondsen!$A$5:$A$30,0),Y$8-$E28+1)))</f>
        <v/>
      </c>
      <c r="Z28" s="38" t="str">
        <f t="array" ref="Z28">IF(OR($B28="",$C28="",$E28=""),"",IF(OR(Z$8&lt;$E28,Z$8-$E28&gt;=12),0,$C28*INDEX(Fondsen!$F$5:$Q$30,MATCH($B28,Fondsen!$A$5:$A$30,0),Z$8-$E28+1)))</f>
        <v/>
      </c>
      <c r="AA28" s="39" t="str">
        <f t="array" ref="AA28">IF(OR($B28="",$C28="",$E28=""),"",IF(OR(AA$8&lt;$E28,AA$8-$E28&gt;=12),0,$C28*INDEX(Fondsen!$F$5:$Q$30,MATCH($B28,Fondsen!$A$5:$A$30,0),AA$8-$E28+1)))</f>
        <v/>
      </c>
      <c r="AB28" s="38" t="str">
        <f t="array" ref="AB28">IF(OR($B28="",$C28="",$E28=""),"",IF(OR(AB$8&lt;$E28,AB$8-$E28&gt;=12),0,$C28*INDEX(Fondsen!$F$5:$Q$30,MATCH($B28,Fondsen!$A$5:$A$30,0),AB$8-$E28+1)))</f>
        <v/>
      </c>
      <c r="AC28" s="39" t="str">
        <f t="array" ref="AC28">IF(OR($B28="",$C28="",$E28=""),"",IF(OR(AC$8&lt;$E28,AC$8-$E28&gt;=12),0,$C28*INDEX(Fondsen!$F$5:$Q$30,MATCH($B28,Fondsen!$A$5:$A$30,0),AC$8-$E28+1)))</f>
        <v/>
      </c>
      <c r="AD28" s="38" t="str">
        <f t="array" ref="AD28">IF(OR($B28="",$C28="",$E28=""),"",IF(OR(AD$8&lt;$E28,AD$8-$E28&gt;=12),0,$C28*INDEX(Fondsen!$F$5:$Q$30,MATCH($B28,Fondsen!$A$5:$A$30,0),AD$8-$E28+1)))</f>
        <v/>
      </c>
      <c r="AE28" s="39" t="str">
        <f t="array" ref="AE28">IF(OR($B28="",$C28="",$E28=""),"",IF(OR(AE$8&lt;$E28,AE$8-$E28&gt;=12),0,$C28*INDEX(Fondsen!$F$5:$Q$30,MATCH($B28,Fondsen!$A$5:$A$30,0),AE$8-$E28+1)))</f>
        <v/>
      </c>
      <c r="AF28" s="38" t="str">
        <f t="array" ref="AF28">IF(OR($B28="",$C28="",$E28=""),"",IF(OR(AF$8&lt;$E28,AF$8-$E28&gt;=12),0,$C28*INDEX(Fondsen!$F$5:$Q$30,MATCH($B28,Fondsen!$A$5:$A$30,0),AF$8-$E28+1)))</f>
        <v/>
      </c>
      <c r="AG28" s="39" t="str">
        <f t="array" ref="AG28">IF(OR($B28="",$C28="",$E28=""),"",IF(OR(AG$8&lt;$E28,AG$8-$E28&gt;=12),0,$C28*INDEX(Fondsen!$F$5:$Q$30,MATCH($B28,Fondsen!$A$5:$A$30,0),AG$8-$E28+1)))</f>
        <v/>
      </c>
      <c r="AH28" s="38" t="str">
        <f t="array" ref="AH28">IF(OR($B28="",$C28="",$E28=""),"",IF(OR(AH$8&lt;$E28,AH$8-$E28&gt;=12),0,$C28*INDEX(Fondsen!$F$5:$Q$30,MATCH($B28,Fondsen!$A$5:$A$30,0),AH$8-$E28+1)))</f>
        <v/>
      </c>
      <c r="AI28" s="39" t="str">
        <f t="array" ref="AI28">IF(OR($B28="",$C28="",$E28=""),"",IF(OR(AI$8&lt;$E28,AI$8-$E28&gt;=12),0,$C28*INDEX(Fondsen!$F$5:$Q$30,MATCH($B28,Fondsen!$A$5:$A$30,0),AI$8-$E28+1)))</f>
        <v/>
      </c>
      <c r="AJ28" s="38" t="str">
        <f t="array" ref="AJ28">IF(OR($B28="",$C28="",$E28=""),"",IF(OR(AJ$8&lt;$E28,AJ$8-$E28&gt;=12),0,$C28*INDEX(Fondsen!$F$5:$Q$30,MATCH($B28,Fondsen!$A$5:$A$30,0),AJ$8-$E28+1)))</f>
        <v/>
      </c>
      <c r="AK28" s="39" t="str">
        <f t="array" ref="AK28">IF(OR($B28="",$C28="",$E28=""),"",IF(OR(AK$8&lt;$E28,AK$8-$E28&gt;=12),0,$C28*INDEX(Fondsen!$F$5:$Q$30,MATCH($B28,Fondsen!$A$5:$A$30,0),AK$8-$E28+1)))</f>
        <v/>
      </c>
      <c r="AL28" s="38" t="str">
        <f t="array" ref="AL28">IF(OR($B28="",$C28="",$E28=""),"",IF(OR(AL$8&lt;$E28,AL$8-$E28&gt;=12),0,$C28*INDEX(Fondsen!$F$5:$Q$30,MATCH($B28,Fondsen!$A$5:$A$30,0),AL$8-$E28+1)))</f>
        <v/>
      </c>
      <c r="AM28" s="39" t="str">
        <f t="array" ref="AM28">IF(OR($B28="",$C28="",$E28=""),"",IF(OR(AM$8&lt;$E28,AM$8-$E28&gt;=12),0,$C28*INDEX(Fondsen!$F$5:$Q$30,MATCH($B28,Fondsen!$A$5:$A$30,0),AM$8-$E28+1)))</f>
        <v/>
      </c>
      <c r="AN28" s="38" t="str">
        <f t="array" ref="AN28">IF(OR($B28="",$C28="",$E28=""),"",IF(OR(AN$8&lt;$E28,AN$8-$E28&gt;=12),0,$C28*INDEX(Fondsen!$F$5:$Q$30,MATCH($B28,Fondsen!$A$5:$A$30,0),AN$8-$E28+1)))</f>
        <v/>
      </c>
      <c r="AO28" s="39" t="str">
        <f t="array" ref="AO28">IF(OR($B28="",$C28="",$E28=""),"",IF(OR(AO$8&lt;$E28,AO$8-$E28&gt;=12),0,$C28*INDEX(Fondsen!$F$5:$Q$30,MATCH($B28,Fondsen!$A$5:$A$30,0),AO$8-$E28+1)))</f>
        <v/>
      </c>
      <c r="AP28" s="38" t="str">
        <f t="array" ref="AP28">IF(OR($B28="",$C28="",$E28=""),"",IF(OR(AP$8&lt;$E28,AP$8-$E28&gt;=12),0,$C28*INDEX(Fondsen!$F$5:$Q$30,MATCH($B28,Fondsen!$A$5:$A$30,0),AP$8-$E28+1)))</f>
        <v/>
      </c>
      <c r="AQ28" s="39" t="str">
        <f t="array" ref="AQ28">IF(OR($B28="",$C28="",$E28=""),"",IF(OR(AQ$8&lt;$E28,AQ$8-$E28&gt;=12),0,$C28*INDEX(Fondsen!$F$5:$Q$30,MATCH($B28,Fondsen!$A$5:$A$30,0),AQ$8-$E28+1)))</f>
        <v/>
      </c>
      <c r="AR28" s="38" t="str">
        <f t="array" ref="AR28">IF(OR($B28="",$C28="",$E28=""),"",IF(OR(AR$8&lt;$E28,AR$8-$E28&gt;=12),0,$C28*INDEX(Fondsen!$F$5:$Q$30,MATCH($B28,Fondsen!$A$5:$A$30,0),AR$8-$E28+1)))</f>
        <v/>
      </c>
      <c r="AS28" s="39" t="str">
        <f t="array" ref="AS28">IF(OR($B28="",$C28="",$E28=""),"",IF(OR(AS$8&lt;$E28,AS$8-$E28&gt;=12),0,$C28*INDEX(Fondsen!$F$5:$Q$30,MATCH($B28,Fondsen!$A$5:$A$30,0),AS$8-$E28+1)))</f>
        <v/>
      </c>
      <c r="AT28" s="45"/>
    </row>
    <row r="29" ht="24.0" customHeight="1">
      <c r="A29" s="47" t="str">
        <f>IF(B29="","",IFERROR(VLOOKUP(B29,Fondsen!$A$5:$B$30,2,FALSE()),""))</f>
        <v/>
      </c>
      <c r="B29" s="26"/>
      <c r="C29" s="27"/>
      <c r="D29" s="44" t="s">
        <v>11</v>
      </c>
      <c r="E29" s="29"/>
      <c r="F29" s="30" t="str">
        <f t="array" ref="F29">IF(OR($B29="",$C29="",$E29=""),"",IF(OR(F$8&lt;$E29,F$8-$E29&gt;=12),0,$C29*INDEX(Fondsen!$F$5:$Q$30,MATCH($B29,Fondsen!$A$5:$A$30,0),F$8-$E29+1)))</f>
        <v/>
      </c>
      <c r="G29" s="31" t="str">
        <f t="array" ref="G29">IF(OR($B29="",$C29="",$E29=""),"",IF(OR(G$8&lt;$E29,G$8-$E29&gt;=12),0,$C29*INDEX(Fondsen!$F$5:$Q$30,MATCH($B29,Fondsen!$A$5:$A$30,0),G$8-$E29+1)))</f>
        <v/>
      </c>
      <c r="H29" s="30" t="str">
        <f t="array" ref="H29">IF(OR($B29="",$C29="",$E29=""),"",IF(OR(H$8&lt;$E29,H$8-$E29&gt;=12),0,$C29*INDEX(Fondsen!$F$5:$Q$30,MATCH($B29,Fondsen!$A$5:$A$30,0),H$8-$E29+1)))</f>
        <v/>
      </c>
      <c r="I29" s="31" t="str">
        <f t="array" ref="I29">IF(OR($B29="",$C29="",$E29=""),"",IF(OR(I$8&lt;$E29,I$8-$E29&gt;=12),0,$C29*INDEX(Fondsen!$F$5:$Q$30,MATCH($B29,Fondsen!$A$5:$A$30,0),I$8-$E29+1)))</f>
        <v/>
      </c>
      <c r="J29" s="30" t="str">
        <f t="array" ref="J29">IF(OR($B29="",$C29="",$E29=""),"",IF(OR(J$8&lt;$E29,J$8-$E29&gt;=12),0,$C29*INDEX(Fondsen!$F$5:$Q$30,MATCH($B29,Fondsen!$A$5:$A$30,0),J$8-$E29+1)))</f>
        <v/>
      </c>
      <c r="K29" s="31" t="str">
        <f t="array" ref="K29">IF(OR($B29="",$C29="",$E29=""),"",IF(OR(K$8&lt;$E29,K$8-$E29&gt;=12),0,$C29*INDEX(Fondsen!$F$5:$Q$30,MATCH($B29,Fondsen!$A$5:$A$30,0),K$8-$E29+1)))</f>
        <v/>
      </c>
      <c r="L29" s="30" t="str">
        <f t="array" ref="L29">IF(OR($B29="",$C29="",$E29=""),"",IF(OR(L$8&lt;$E29,L$8-$E29&gt;=12),0,$C29*INDEX(Fondsen!$F$5:$Q$30,MATCH($B29,Fondsen!$A$5:$A$30,0),L$8-$E29+1)))</f>
        <v/>
      </c>
      <c r="M29" s="31" t="str">
        <f t="array" ref="M29">IF(OR($B29="",$C29="",$E29=""),"",IF(OR(M$8&lt;$E29,M$8-$E29&gt;=12),0,$C29*INDEX(Fondsen!$F$5:$Q$30,MATCH($B29,Fondsen!$A$5:$A$30,0),M$8-$E29+1)))</f>
        <v/>
      </c>
      <c r="N29" s="30" t="str">
        <f t="array" ref="N29">IF(OR($B29="",$C29="",$E29=""),"",IF(OR(N$8&lt;$E29,N$8-$E29&gt;=12),0,$C29*INDEX(Fondsen!$F$5:$Q$30,MATCH($B29,Fondsen!$A$5:$A$30,0),N$8-$E29+1)))</f>
        <v/>
      </c>
      <c r="O29" s="31" t="str">
        <f t="array" ref="O29">IF(OR($B29="",$C29="",$E29=""),"",IF(OR(O$8&lt;$E29,O$8-$E29&gt;=12),0,$C29*INDEX(Fondsen!$F$5:$Q$30,MATCH($B29,Fondsen!$A$5:$A$30,0),O$8-$E29+1)))</f>
        <v/>
      </c>
      <c r="P29" s="30" t="str">
        <f t="array" ref="P29">IF(OR($B29="",$C29="",$E29=""),"",IF(OR(P$8&lt;$E29,P$8-$E29&gt;=12),0,$C29*INDEX(Fondsen!$F$5:$Q$30,MATCH($B29,Fondsen!$A$5:$A$30,0),P$8-$E29+1)))</f>
        <v/>
      </c>
      <c r="Q29" s="31" t="str">
        <f t="array" ref="Q29">IF(OR($B29="",$C29="",$E29=""),"",IF(OR(Q$8&lt;$E29,Q$8-$E29&gt;=12),0,$C29*INDEX(Fondsen!$F$5:$Q$30,MATCH($B29,Fondsen!$A$5:$A$30,0),Q$8-$E29+1)))</f>
        <v/>
      </c>
      <c r="R29" s="30" t="str">
        <f t="array" ref="R29">IF(OR($B29="",$C29="",$E29=""),"",IF(OR(R$8&lt;$E29,R$8-$E29&gt;=12),0,$C29*INDEX(Fondsen!$F$5:$Q$30,MATCH($B29,Fondsen!$A$5:$A$30,0),R$8-$E29+1)))</f>
        <v/>
      </c>
      <c r="S29" s="31" t="str">
        <f t="array" ref="S29">IF(OR($B29="",$C29="",$E29=""),"",IF(OR(S$8&lt;$E29,S$8-$E29&gt;=12),0,$C29*INDEX(Fondsen!$F$5:$Q$30,MATCH($B29,Fondsen!$A$5:$A$30,0),S$8-$E29+1)))</f>
        <v/>
      </c>
      <c r="T29" s="30" t="str">
        <f t="array" ref="T29">IF(OR($B29="",$C29="",$E29=""),"",IF(OR(T$8&lt;$E29,T$8-$E29&gt;=12),0,$C29*INDEX(Fondsen!$F$5:$Q$30,MATCH($B29,Fondsen!$A$5:$A$30,0),T$8-$E29+1)))</f>
        <v/>
      </c>
      <c r="U29" s="31" t="str">
        <f t="array" ref="U29">IF(OR($B29="",$C29="",$E29=""),"",IF(OR(U$8&lt;$E29,U$8-$E29&gt;=12),0,$C29*INDEX(Fondsen!$F$5:$Q$30,MATCH($B29,Fondsen!$A$5:$A$30,0),U$8-$E29+1)))</f>
        <v/>
      </c>
      <c r="V29" s="30" t="str">
        <f t="array" ref="V29">IF(OR($B29="",$C29="",$E29=""),"",IF(OR(V$8&lt;$E29,V$8-$E29&gt;=12),0,$C29*INDEX(Fondsen!$F$5:$Q$30,MATCH($B29,Fondsen!$A$5:$A$30,0),V$8-$E29+1)))</f>
        <v/>
      </c>
      <c r="W29" s="31" t="str">
        <f t="array" ref="W29">IF(OR($B29="",$C29="",$E29=""),"",IF(OR(W$8&lt;$E29,W$8-$E29&gt;=12),0,$C29*INDEX(Fondsen!$F$5:$Q$30,MATCH($B29,Fondsen!$A$5:$A$30,0),W$8-$E29+1)))</f>
        <v/>
      </c>
      <c r="X29" s="30" t="str">
        <f t="array" ref="X29">IF(OR($B29="",$C29="",$E29=""),"",IF(OR(X$8&lt;$E29,X$8-$E29&gt;=12),0,$C29*INDEX(Fondsen!$F$5:$Q$30,MATCH($B29,Fondsen!$A$5:$A$30,0),X$8-$E29+1)))</f>
        <v/>
      </c>
      <c r="Y29" s="31" t="str">
        <f t="array" ref="Y29">IF(OR($B29="",$C29="",$E29=""),"",IF(OR(Y$8&lt;$E29,Y$8-$E29&gt;=12),0,$C29*INDEX(Fondsen!$F$5:$Q$30,MATCH($B29,Fondsen!$A$5:$A$30,0),Y$8-$E29+1)))</f>
        <v/>
      </c>
      <c r="Z29" s="30" t="str">
        <f t="array" ref="Z29">IF(OR($B29="",$C29="",$E29=""),"",IF(OR(Z$8&lt;$E29,Z$8-$E29&gt;=12),0,$C29*INDEX(Fondsen!$F$5:$Q$30,MATCH($B29,Fondsen!$A$5:$A$30,0),Z$8-$E29+1)))</f>
        <v/>
      </c>
      <c r="AA29" s="31" t="str">
        <f t="array" ref="AA29">IF(OR($B29="",$C29="",$E29=""),"",IF(OR(AA$8&lt;$E29,AA$8-$E29&gt;=12),0,$C29*INDEX(Fondsen!$F$5:$Q$30,MATCH($B29,Fondsen!$A$5:$A$30,0),AA$8-$E29+1)))</f>
        <v/>
      </c>
      <c r="AB29" s="30" t="str">
        <f t="array" ref="AB29">IF(OR($B29="",$C29="",$E29=""),"",IF(OR(AB$8&lt;$E29,AB$8-$E29&gt;=12),0,$C29*INDEX(Fondsen!$F$5:$Q$30,MATCH($B29,Fondsen!$A$5:$A$30,0),AB$8-$E29+1)))</f>
        <v/>
      </c>
      <c r="AC29" s="31" t="str">
        <f t="array" ref="AC29">IF(OR($B29="",$C29="",$E29=""),"",IF(OR(AC$8&lt;$E29,AC$8-$E29&gt;=12),0,$C29*INDEX(Fondsen!$F$5:$Q$30,MATCH($B29,Fondsen!$A$5:$A$30,0),AC$8-$E29+1)))</f>
        <v/>
      </c>
      <c r="AD29" s="30" t="str">
        <f t="array" ref="AD29">IF(OR($B29="",$C29="",$E29=""),"",IF(OR(AD$8&lt;$E29,AD$8-$E29&gt;=12),0,$C29*INDEX(Fondsen!$F$5:$Q$30,MATCH($B29,Fondsen!$A$5:$A$30,0),AD$8-$E29+1)))</f>
        <v/>
      </c>
      <c r="AE29" s="31" t="str">
        <f t="array" ref="AE29">IF(OR($B29="",$C29="",$E29=""),"",IF(OR(AE$8&lt;$E29,AE$8-$E29&gt;=12),0,$C29*INDEX(Fondsen!$F$5:$Q$30,MATCH($B29,Fondsen!$A$5:$A$30,0),AE$8-$E29+1)))</f>
        <v/>
      </c>
      <c r="AF29" s="30" t="str">
        <f t="array" ref="AF29">IF(OR($B29="",$C29="",$E29=""),"",IF(OR(AF$8&lt;$E29,AF$8-$E29&gt;=12),0,$C29*INDEX(Fondsen!$F$5:$Q$30,MATCH($B29,Fondsen!$A$5:$A$30,0),AF$8-$E29+1)))</f>
        <v/>
      </c>
      <c r="AG29" s="31" t="str">
        <f t="array" ref="AG29">IF(OR($B29="",$C29="",$E29=""),"",IF(OR(AG$8&lt;$E29,AG$8-$E29&gt;=12),0,$C29*INDEX(Fondsen!$F$5:$Q$30,MATCH($B29,Fondsen!$A$5:$A$30,0),AG$8-$E29+1)))</f>
        <v/>
      </c>
      <c r="AH29" s="30" t="str">
        <f t="array" ref="AH29">IF(OR($B29="",$C29="",$E29=""),"",IF(OR(AH$8&lt;$E29,AH$8-$E29&gt;=12),0,$C29*INDEX(Fondsen!$F$5:$Q$30,MATCH($B29,Fondsen!$A$5:$A$30,0),AH$8-$E29+1)))</f>
        <v/>
      </c>
      <c r="AI29" s="31" t="str">
        <f t="array" ref="AI29">IF(OR($B29="",$C29="",$E29=""),"",IF(OR(AI$8&lt;$E29,AI$8-$E29&gt;=12),0,$C29*INDEX(Fondsen!$F$5:$Q$30,MATCH($B29,Fondsen!$A$5:$A$30,0),AI$8-$E29+1)))</f>
        <v/>
      </c>
      <c r="AJ29" s="30" t="str">
        <f t="array" ref="AJ29">IF(OR($B29="",$C29="",$E29=""),"",IF(OR(AJ$8&lt;$E29,AJ$8-$E29&gt;=12),0,$C29*INDEX(Fondsen!$F$5:$Q$30,MATCH($B29,Fondsen!$A$5:$A$30,0),AJ$8-$E29+1)))</f>
        <v/>
      </c>
      <c r="AK29" s="31" t="str">
        <f t="array" ref="AK29">IF(OR($B29="",$C29="",$E29=""),"",IF(OR(AK$8&lt;$E29,AK$8-$E29&gt;=12),0,$C29*INDEX(Fondsen!$F$5:$Q$30,MATCH($B29,Fondsen!$A$5:$A$30,0),AK$8-$E29+1)))</f>
        <v/>
      </c>
      <c r="AL29" s="30" t="str">
        <f t="array" ref="AL29">IF(OR($B29="",$C29="",$E29=""),"",IF(OR(AL$8&lt;$E29,AL$8-$E29&gt;=12),0,$C29*INDEX(Fondsen!$F$5:$Q$30,MATCH($B29,Fondsen!$A$5:$A$30,0),AL$8-$E29+1)))</f>
        <v/>
      </c>
      <c r="AM29" s="31" t="str">
        <f t="array" ref="AM29">IF(OR($B29="",$C29="",$E29=""),"",IF(OR(AM$8&lt;$E29,AM$8-$E29&gt;=12),0,$C29*INDEX(Fondsen!$F$5:$Q$30,MATCH($B29,Fondsen!$A$5:$A$30,0),AM$8-$E29+1)))</f>
        <v/>
      </c>
      <c r="AN29" s="30" t="str">
        <f t="array" ref="AN29">IF(OR($B29="",$C29="",$E29=""),"",IF(OR(AN$8&lt;$E29,AN$8-$E29&gt;=12),0,$C29*INDEX(Fondsen!$F$5:$Q$30,MATCH($B29,Fondsen!$A$5:$A$30,0),AN$8-$E29+1)))</f>
        <v/>
      </c>
      <c r="AO29" s="31" t="str">
        <f t="array" ref="AO29">IF(OR($B29="",$C29="",$E29=""),"",IF(OR(AO$8&lt;$E29,AO$8-$E29&gt;=12),0,$C29*INDEX(Fondsen!$F$5:$Q$30,MATCH($B29,Fondsen!$A$5:$A$30,0),AO$8-$E29+1)))</f>
        <v/>
      </c>
      <c r="AP29" s="30" t="str">
        <f t="array" ref="AP29">IF(OR($B29="",$C29="",$E29=""),"",IF(OR(AP$8&lt;$E29,AP$8-$E29&gt;=12),0,$C29*INDEX(Fondsen!$F$5:$Q$30,MATCH($B29,Fondsen!$A$5:$A$30,0),AP$8-$E29+1)))</f>
        <v/>
      </c>
      <c r="AQ29" s="31" t="str">
        <f t="array" ref="AQ29">IF(OR($B29="",$C29="",$E29=""),"",IF(OR(AQ$8&lt;$E29,AQ$8-$E29&gt;=12),0,$C29*INDEX(Fondsen!$F$5:$Q$30,MATCH($B29,Fondsen!$A$5:$A$30,0),AQ$8-$E29+1)))</f>
        <v/>
      </c>
      <c r="AR29" s="30" t="str">
        <f t="array" ref="AR29">IF(OR($B29="",$C29="",$E29=""),"",IF(OR(AR$8&lt;$E29,AR$8-$E29&gt;=12),0,$C29*INDEX(Fondsen!$F$5:$Q$30,MATCH($B29,Fondsen!$A$5:$A$30,0),AR$8-$E29+1)))</f>
        <v/>
      </c>
      <c r="AS29" s="31" t="str">
        <f t="array" ref="AS29">IF(OR($B29="",$C29="",$E29=""),"",IF(OR(AS$8&lt;$E29,AS$8-$E29&gt;=12),0,$C29*INDEX(Fondsen!$F$5:$Q$30,MATCH($B29,Fondsen!$A$5:$A$30,0),AS$8-$E29+1)))</f>
        <v/>
      </c>
      <c r="AT29" s="45"/>
    </row>
    <row r="30" ht="24.0" customHeight="1">
      <c r="A30" s="33" t="str">
        <f>IF(B30="","",IFERROR(VLOOKUP(B30,Fondsen!$A$5:$B$30,2,FALSE()),""))</f>
        <v/>
      </c>
      <c r="B30" s="34"/>
      <c r="C30" s="35"/>
      <c r="D30" s="46" t="s">
        <v>11</v>
      </c>
      <c r="E30" s="37"/>
      <c r="F30" s="38" t="str">
        <f t="array" ref="F30">IF(OR($B30="",$C30="",$E30=""),"",IF(OR(F$8&lt;$E30,F$8-$E30&gt;=12),0,$C30*INDEX(Fondsen!$F$5:$Q$30,MATCH($B30,Fondsen!$A$5:$A$30,0),F$8-$E30+1)))</f>
        <v/>
      </c>
      <c r="G30" s="39" t="str">
        <f t="array" ref="G30">IF(OR($B30="",$C30="",$E30=""),"",IF(OR(G$8&lt;$E30,G$8-$E30&gt;=12),0,$C30*INDEX(Fondsen!$F$5:$Q$30,MATCH($B30,Fondsen!$A$5:$A$30,0),G$8-$E30+1)))</f>
        <v/>
      </c>
      <c r="H30" s="38" t="str">
        <f t="array" ref="H30">IF(OR($B30="",$C30="",$E30=""),"",IF(OR(H$8&lt;$E30,H$8-$E30&gt;=12),0,$C30*INDEX(Fondsen!$F$5:$Q$30,MATCH($B30,Fondsen!$A$5:$A$30,0),H$8-$E30+1)))</f>
        <v/>
      </c>
      <c r="I30" s="39" t="str">
        <f t="array" ref="I30">IF(OR($B30="",$C30="",$E30=""),"",IF(OR(I$8&lt;$E30,I$8-$E30&gt;=12),0,$C30*INDEX(Fondsen!$F$5:$Q$30,MATCH($B30,Fondsen!$A$5:$A$30,0),I$8-$E30+1)))</f>
        <v/>
      </c>
      <c r="J30" s="38" t="str">
        <f t="array" ref="J30">IF(OR($B30="",$C30="",$E30=""),"",IF(OR(J$8&lt;$E30,J$8-$E30&gt;=12),0,$C30*INDEX(Fondsen!$F$5:$Q$30,MATCH($B30,Fondsen!$A$5:$A$30,0),J$8-$E30+1)))</f>
        <v/>
      </c>
      <c r="K30" s="39" t="str">
        <f t="array" ref="K30">IF(OR($B30="",$C30="",$E30=""),"",IF(OR(K$8&lt;$E30,K$8-$E30&gt;=12),0,$C30*INDEX(Fondsen!$F$5:$Q$30,MATCH($B30,Fondsen!$A$5:$A$30,0),K$8-$E30+1)))</f>
        <v/>
      </c>
      <c r="L30" s="38" t="str">
        <f t="array" ref="L30">IF(OR($B30="",$C30="",$E30=""),"",IF(OR(L$8&lt;$E30,L$8-$E30&gt;=12),0,$C30*INDEX(Fondsen!$F$5:$Q$30,MATCH($B30,Fondsen!$A$5:$A$30,0),L$8-$E30+1)))</f>
        <v/>
      </c>
      <c r="M30" s="39" t="str">
        <f t="array" ref="M30">IF(OR($B30="",$C30="",$E30=""),"",IF(OR(M$8&lt;$E30,M$8-$E30&gt;=12),0,$C30*INDEX(Fondsen!$F$5:$Q$30,MATCH($B30,Fondsen!$A$5:$A$30,0),M$8-$E30+1)))</f>
        <v/>
      </c>
      <c r="N30" s="38" t="str">
        <f t="array" ref="N30">IF(OR($B30="",$C30="",$E30=""),"",IF(OR(N$8&lt;$E30,N$8-$E30&gt;=12),0,$C30*INDEX(Fondsen!$F$5:$Q$30,MATCH($B30,Fondsen!$A$5:$A$30,0),N$8-$E30+1)))</f>
        <v/>
      </c>
      <c r="O30" s="39" t="str">
        <f t="array" ref="O30">IF(OR($B30="",$C30="",$E30=""),"",IF(OR(O$8&lt;$E30,O$8-$E30&gt;=12),0,$C30*INDEX(Fondsen!$F$5:$Q$30,MATCH($B30,Fondsen!$A$5:$A$30,0),O$8-$E30+1)))</f>
        <v/>
      </c>
      <c r="P30" s="38" t="str">
        <f t="array" ref="P30">IF(OR($B30="",$C30="",$E30=""),"",IF(OR(P$8&lt;$E30,P$8-$E30&gt;=12),0,$C30*INDEX(Fondsen!$F$5:$Q$30,MATCH($B30,Fondsen!$A$5:$A$30,0),P$8-$E30+1)))</f>
        <v/>
      </c>
      <c r="Q30" s="39" t="str">
        <f t="array" ref="Q30">IF(OR($B30="",$C30="",$E30=""),"",IF(OR(Q$8&lt;$E30,Q$8-$E30&gt;=12),0,$C30*INDEX(Fondsen!$F$5:$Q$30,MATCH($B30,Fondsen!$A$5:$A$30,0),Q$8-$E30+1)))</f>
        <v/>
      </c>
      <c r="R30" s="38" t="str">
        <f t="array" ref="R30">IF(OR($B30="",$C30="",$E30=""),"",IF(OR(R$8&lt;$E30,R$8-$E30&gt;=12),0,$C30*INDEX(Fondsen!$F$5:$Q$30,MATCH($B30,Fondsen!$A$5:$A$30,0),R$8-$E30+1)))</f>
        <v/>
      </c>
      <c r="S30" s="39" t="str">
        <f t="array" ref="S30">IF(OR($B30="",$C30="",$E30=""),"",IF(OR(S$8&lt;$E30,S$8-$E30&gt;=12),0,$C30*INDEX(Fondsen!$F$5:$Q$30,MATCH($B30,Fondsen!$A$5:$A$30,0),S$8-$E30+1)))</f>
        <v/>
      </c>
      <c r="T30" s="38" t="str">
        <f t="array" ref="T30">IF(OR($B30="",$C30="",$E30=""),"",IF(OR(T$8&lt;$E30,T$8-$E30&gt;=12),0,$C30*INDEX(Fondsen!$F$5:$Q$30,MATCH($B30,Fondsen!$A$5:$A$30,0),T$8-$E30+1)))</f>
        <v/>
      </c>
      <c r="U30" s="39" t="str">
        <f t="array" ref="U30">IF(OR($B30="",$C30="",$E30=""),"",IF(OR(U$8&lt;$E30,U$8-$E30&gt;=12),0,$C30*INDEX(Fondsen!$F$5:$Q$30,MATCH($B30,Fondsen!$A$5:$A$30,0),U$8-$E30+1)))</f>
        <v/>
      </c>
      <c r="V30" s="38" t="str">
        <f t="array" ref="V30">IF(OR($B30="",$C30="",$E30=""),"",IF(OR(V$8&lt;$E30,V$8-$E30&gt;=12),0,$C30*INDEX(Fondsen!$F$5:$Q$30,MATCH($B30,Fondsen!$A$5:$A$30,0),V$8-$E30+1)))</f>
        <v/>
      </c>
      <c r="W30" s="39" t="str">
        <f t="array" ref="W30">IF(OR($B30="",$C30="",$E30=""),"",IF(OR(W$8&lt;$E30,W$8-$E30&gt;=12),0,$C30*INDEX(Fondsen!$F$5:$Q$30,MATCH($B30,Fondsen!$A$5:$A$30,0),W$8-$E30+1)))</f>
        <v/>
      </c>
      <c r="X30" s="38" t="str">
        <f t="array" ref="X30">IF(OR($B30="",$C30="",$E30=""),"",IF(OR(X$8&lt;$E30,X$8-$E30&gt;=12),0,$C30*INDEX(Fondsen!$F$5:$Q$30,MATCH($B30,Fondsen!$A$5:$A$30,0),X$8-$E30+1)))</f>
        <v/>
      </c>
      <c r="Y30" s="39" t="str">
        <f t="array" ref="Y30">IF(OR($B30="",$C30="",$E30=""),"",IF(OR(Y$8&lt;$E30,Y$8-$E30&gt;=12),0,$C30*INDEX(Fondsen!$F$5:$Q$30,MATCH($B30,Fondsen!$A$5:$A$30,0),Y$8-$E30+1)))</f>
        <v/>
      </c>
      <c r="Z30" s="38" t="str">
        <f t="array" ref="Z30">IF(OR($B30="",$C30="",$E30=""),"",IF(OR(Z$8&lt;$E30,Z$8-$E30&gt;=12),0,$C30*INDEX(Fondsen!$F$5:$Q$30,MATCH($B30,Fondsen!$A$5:$A$30,0),Z$8-$E30+1)))</f>
        <v/>
      </c>
      <c r="AA30" s="39" t="str">
        <f t="array" ref="AA30">IF(OR($B30="",$C30="",$E30=""),"",IF(OR(AA$8&lt;$E30,AA$8-$E30&gt;=12),0,$C30*INDEX(Fondsen!$F$5:$Q$30,MATCH($B30,Fondsen!$A$5:$A$30,0),AA$8-$E30+1)))</f>
        <v/>
      </c>
      <c r="AB30" s="38" t="str">
        <f t="array" ref="AB30">IF(OR($B30="",$C30="",$E30=""),"",IF(OR(AB$8&lt;$E30,AB$8-$E30&gt;=12),0,$C30*INDEX(Fondsen!$F$5:$Q$30,MATCH($B30,Fondsen!$A$5:$A$30,0),AB$8-$E30+1)))</f>
        <v/>
      </c>
      <c r="AC30" s="39" t="str">
        <f t="array" ref="AC30">IF(OR($B30="",$C30="",$E30=""),"",IF(OR(AC$8&lt;$E30,AC$8-$E30&gt;=12),0,$C30*INDEX(Fondsen!$F$5:$Q$30,MATCH($B30,Fondsen!$A$5:$A$30,0),AC$8-$E30+1)))</f>
        <v/>
      </c>
      <c r="AD30" s="38" t="str">
        <f t="array" ref="AD30">IF(OR($B30="",$C30="",$E30=""),"",IF(OR(AD$8&lt;$E30,AD$8-$E30&gt;=12),0,$C30*INDEX(Fondsen!$F$5:$Q$30,MATCH($B30,Fondsen!$A$5:$A$30,0),AD$8-$E30+1)))</f>
        <v/>
      </c>
      <c r="AE30" s="39" t="str">
        <f t="array" ref="AE30">IF(OR($B30="",$C30="",$E30=""),"",IF(OR(AE$8&lt;$E30,AE$8-$E30&gt;=12),0,$C30*INDEX(Fondsen!$F$5:$Q$30,MATCH($B30,Fondsen!$A$5:$A$30,0),AE$8-$E30+1)))</f>
        <v/>
      </c>
      <c r="AF30" s="38" t="str">
        <f t="array" ref="AF30">IF(OR($B30="",$C30="",$E30=""),"",IF(OR(AF$8&lt;$E30,AF$8-$E30&gt;=12),0,$C30*INDEX(Fondsen!$F$5:$Q$30,MATCH($B30,Fondsen!$A$5:$A$30,0),AF$8-$E30+1)))</f>
        <v/>
      </c>
      <c r="AG30" s="39" t="str">
        <f t="array" ref="AG30">IF(OR($B30="",$C30="",$E30=""),"",IF(OR(AG$8&lt;$E30,AG$8-$E30&gt;=12),0,$C30*INDEX(Fondsen!$F$5:$Q$30,MATCH($B30,Fondsen!$A$5:$A$30,0),AG$8-$E30+1)))</f>
        <v/>
      </c>
      <c r="AH30" s="38" t="str">
        <f t="array" ref="AH30">IF(OR($B30="",$C30="",$E30=""),"",IF(OR(AH$8&lt;$E30,AH$8-$E30&gt;=12),0,$C30*INDEX(Fondsen!$F$5:$Q$30,MATCH($B30,Fondsen!$A$5:$A$30,0),AH$8-$E30+1)))</f>
        <v/>
      </c>
      <c r="AI30" s="39" t="str">
        <f t="array" ref="AI30">IF(OR($B30="",$C30="",$E30=""),"",IF(OR(AI$8&lt;$E30,AI$8-$E30&gt;=12),0,$C30*INDEX(Fondsen!$F$5:$Q$30,MATCH($B30,Fondsen!$A$5:$A$30,0),AI$8-$E30+1)))</f>
        <v/>
      </c>
      <c r="AJ30" s="38" t="str">
        <f t="array" ref="AJ30">IF(OR($B30="",$C30="",$E30=""),"",IF(OR(AJ$8&lt;$E30,AJ$8-$E30&gt;=12),0,$C30*INDEX(Fondsen!$F$5:$Q$30,MATCH($B30,Fondsen!$A$5:$A$30,0),AJ$8-$E30+1)))</f>
        <v/>
      </c>
      <c r="AK30" s="39" t="str">
        <f t="array" ref="AK30">IF(OR($B30="",$C30="",$E30=""),"",IF(OR(AK$8&lt;$E30,AK$8-$E30&gt;=12),0,$C30*INDEX(Fondsen!$F$5:$Q$30,MATCH($B30,Fondsen!$A$5:$A$30,0),AK$8-$E30+1)))</f>
        <v/>
      </c>
      <c r="AL30" s="38" t="str">
        <f t="array" ref="AL30">IF(OR($B30="",$C30="",$E30=""),"",IF(OR(AL$8&lt;$E30,AL$8-$E30&gt;=12),0,$C30*INDEX(Fondsen!$F$5:$Q$30,MATCH($B30,Fondsen!$A$5:$A$30,0),AL$8-$E30+1)))</f>
        <v/>
      </c>
      <c r="AM30" s="39" t="str">
        <f t="array" ref="AM30">IF(OR($B30="",$C30="",$E30=""),"",IF(OR(AM$8&lt;$E30,AM$8-$E30&gt;=12),0,$C30*INDEX(Fondsen!$F$5:$Q$30,MATCH($B30,Fondsen!$A$5:$A$30,0),AM$8-$E30+1)))</f>
        <v/>
      </c>
      <c r="AN30" s="38" t="str">
        <f t="array" ref="AN30">IF(OR($B30="",$C30="",$E30=""),"",IF(OR(AN$8&lt;$E30,AN$8-$E30&gt;=12),0,$C30*INDEX(Fondsen!$F$5:$Q$30,MATCH($B30,Fondsen!$A$5:$A$30,0),AN$8-$E30+1)))</f>
        <v/>
      </c>
      <c r="AO30" s="39" t="str">
        <f t="array" ref="AO30">IF(OR($B30="",$C30="",$E30=""),"",IF(OR(AO$8&lt;$E30,AO$8-$E30&gt;=12),0,$C30*INDEX(Fondsen!$F$5:$Q$30,MATCH($B30,Fondsen!$A$5:$A$30,0),AO$8-$E30+1)))</f>
        <v/>
      </c>
      <c r="AP30" s="38" t="str">
        <f t="array" ref="AP30">IF(OR($B30="",$C30="",$E30=""),"",IF(OR(AP$8&lt;$E30,AP$8-$E30&gt;=12),0,$C30*INDEX(Fondsen!$F$5:$Q$30,MATCH($B30,Fondsen!$A$5:$A$30,0),AP$8-$E30+1)))</f>
        <v/>
      </c>
      <c r="AQ30" s="39" t="str">
        <f t="array" ref="AQ30">IF(OR($B30="",$C30="",$E30=""),"",IF(OR(AQ$8&lt;$E30,AQ$8-$E30&gt;=12),0,$C30*INDEX(Fondsen!$F$5:$Q$30,MATCH($B30,Fondsen!$A$5:$A$30,0),AQ$8-$E30+1)))</f>
        <v/>
      </c>
      <c r="AR30" s="38" t="str">
        <f t="array" ref="AR30">IF(OR($B30="",$C30="",$E30=""),"",IF(OR(AR$8&lt;$E30,AR$8-$E30&gt;=12),0,$C30*INDEX(Fondsen!$F$5:$Q$30,MATCH($B30,Fondsen!$A$5:$A$30,0),AR$8-$E30+1)))</f>
        <v/>
      </c>
      <c r="AS30" s="39" t="str">
        <f t="array" ref="AS30">IF(OR($B30="",$C30="",$E30=""),"",IF(OR(AS$8&lt;$E30,AS$8-$E30&gt;=12),0,$C30*INDEX(Fondsen!$F$5:$Q$30,MATCH($B30,Fondsen!$A$5:$A$30,0),AS$8-$E30+1)))</f>
        <v/>
      </c>
      <c r="AT30" s="45"/>
    </row>
    <row r="31" ht="24.0" customHeight="1">
      <c r="A31" s="47" t="str">
        <f>IF(B31="","",IFERROR(VLOOKUP(B31,Fondsen!$A$5:$B$30,2,FALSE()),""))</f>
        <v/>
      </c>
      <c r="B31" s="26"/>
      <c r="C31" s="27"/>
      <c r="D31" s="44" t="s">
        <v>11</v>
      </c>
      <c r="E31" s="29"/>
      <c r="F31" s="30" t="str">
        <f t="array" ref="F31">IF(OR($B31="",$C31="",$E31=""),"",IF(OR(F$8&lt;$E31,F$8-$E31&gt;=12),0,$C31*INDEX(Fondsen!$F$5:$Q$30,MATCH($B31,Fondsen!$A$5:$A$30,0),F$8-$E31+1)))</f>
        <v/>
      </c>
      <c r="G31" s="31" t="str">
        <f t="array" ref="G31">IF(OR($B31="",$C31="",$E31=""),"",IF(OR(G$8&lt;$E31,G$8-$E31&gt;=12),0,$C31*INDEX(Fondsen!$F$5:$Q$30,MATCH($B31,Fondsen!$A$5:$A$30,0),G$8-$E31+1)))</f>
        <v/>
      </c>
      <c r="H31" s="30" t="str">
        <f t="array" ref="H31">IF(OR($B31="",$C31="",$E31=""),"",IF(OR(H$8&lt;$E31,H$8-$E31&gt;=12),0,$C31*INDEX(Fondsen!$F$5:$Q$30,MATCH($B31,Fondsen!$A$5:$A$30,0),H$8-$E31+1)))</f>
        <v/>
      </c>
      <c r="I31" s="31" t="str">
        <f t="array" ref="I31">IF(OR($B31="",$C31="",$E31=""),"",IF(OR(I$8&lt;$E31,I$8-$E31&gt;=12),0,$C31*INDEX(Fondsen!$F$5:$Q$30,MATCH($B31,Fondsen!$A$5:$A$30,0),I$8-$E31+1)))</f>
        <v/>
      </c>
      <c r="J31" s="30" t="str">
        <f t="array" ref="J31">IF(OR($B31="",$C31="",$E31=""),"",IF(OR(J$8&lt;$E31,J$8-$E31&gt;=12),0,$C31*INDEX(Fondsen!$F$5:$Q$30,MATCH($B31,Fondsen!$A$5:$A$30,0),J$8-$E31+1)))</f>
        <v/>
      </c>
      <c r="K31" s="31" t="str">
        <f t="array" ref="K31">IF(OR($B31="",$C31="",$E31=""),"",IF(OR(K$8&lt;$E31,K$8-$E31&gt;=12),0,$C31*INDEX(Fondsen!$F$5:$Q$30,MATCH($B31,Fondsen!$A$5:$A$30,0),K$8-$E31+1)))</f>
        <v/>
      </c>
      <c r="L31" s="30" t="str">
        <f t="array" ref="L31">IF(OR($B31="",$C31="",$E31=""),"",IF(OR(L$8&lt;$E31,L$8-$E31&gt;=12),0,$C31*INDEX(Fondsen!$F$5:$Q$30,MATCH($B31,Fondsen!$A$5:$A$30,0),L$8-$E31+1)))</f>
        <v/>
      </c>
      <c r="M31" s="31" t="str">
        <f t="array" ref="M31">IF(OR($B31="",$C31="",$E31=""),"",IF(OR(M$8&lt;$E31,M$8-$E31&gt;=12),0,$C31*INDEX(Fondsen!$F$5:$Q$30,MATCH($B31,Fondsen!$A$5:$A$30,0),M$8-$E31+1)))</f>
        <v/>
      </c>
      <c r="N31" s="30" t="str">
        <f t="array" ref="N31">IF(OR($B31="",$C31="",$E31=""),"",IF(OR(N$8&lt;$E31,N$8-$E31&gt;=12),0,$C31*INDEX(Fondsen!$F$5:$Q$30,MATCH($B31,Fondsen!$A$5:$A$30,0),N$8-$E31+1)))</f>
        <v/>
      </c>
      <c r="O31" s="31" t="str">
        <f t="array" ref="O31">IF(OR($B31="",$C31="",$E31=""),"",IF(OR(O$8&lt;$E31,O$8-$E31&gt;=12),0,$C31*INDEX(Fondsen!$F$5:$Q$30,MATCH($B31,Fondsen!$A$5:$A$30,0),O$8-$E31+1)))</f>
        <v/>
      </c>
      <c r="P31" s="30" t="str">
        <f t="array" ref="P31">IF(OR($B31="",$C31="",$E31=""),"",IF(OR(P$8&lt;$E31,P$8-$E31&gt;=12),0,$C31*INDEX(Fondsen!$F$5:$Q$30,MATCH($B31,Fondsen!$A$5:$A$30,0),P$8-$E31+1)))</f>
        <v/>
      </c>
      <c r="Q31" s="31" t="str">
        <f t="array" ref="Q31">IF(OR($B31="",$C31="",$E31=""),"",IF(OR(Q$8&lt;$E31,Q$8-$E31&gt;=12),0,$C31*INDEX(Fondsen!$F$5:$Q$30,MATCH($B31,Fondsen!$A$5:$A$30,0),Q$8-$E31+1)))</f>
        <v/>
      </c>
      <c r="R31" s="30" t="str">
        <f t="array" ref="R31">IF(OR($B31="",$C31="",$E31=""),"",IF(OR(R$8&lt;$E31,R$8-$E31&gt;=12),0,$C31*INDEX(Fondsen!$F$5:$Q$30,MATCH($B31,Fondsen!$A$5:$A$30,0),R$8-$E31+1)))</f>
        <v/>
      </c>
      <c r="S31" s="31" t="str">
        <f t="array" ref="S31">IF(OR($B31="",$C31="",$E31=""),"",IF(OR(S$8&lt;$E31,S$8-$E31&gt;=12),0,$C31*INDEX(Fondsen!$F$5:$Q$30,MATCH($B31,Fondsen!$A$5:$A$30,0),S$8-$E31+1)))</f>
        <v/>
      </c>
      <c r="T31" s="30" t="str">
        <f t="array" ref="T31">IF(OR($B31="",$C31="",$E31=""),"",IF(OR(T$8&lt;$E31,T$8-$E31&gt;=12),0,$C31*INDEX(Fondsen!$F$5:$Q$30,MATCH($B31,Fondsen!$A$5:$A$30,0),T$8-$E31+1)))</f>
        <v/>
      </c>
      <c r="U31" s="31" t="str">
        <f t="array" ref="U31">IF(OR($B31="",$C31="",$E31=""),"",IF(OR(U$8&lt;$E31,U$8-$E31&gt;=12),0,$C31*INDEX(Fondsen!$F$5:$Q$30,MATCH($B31,Fondsen!$A$5:$A$30,0),U$8-$E31+1)))</f>
        <v/>
      </c>
      <c r="V31" s="30" t="str">
        <f t="array" ref="V31">IF(OR($B31="",$C31="",$E31=""),"",IF(OR(V$8&lt;$E31,V$8-$E31&gt;=12),0,$C31*INDEX(Fondsen!$F$5:$Q$30,MATCH($B31,Fondsen!$A$5:$A$30,0),V$8-$E31+1)))</f>
        <v/>
      </c>
      <c r="W31" s="31" t="str">
        <f t="array" ref="W31">IF(OR($B31="",$C31="",$E31=""),"",IF(OR(W$8&lt;$E31,W$8-$E31&gt;=12),0,$C31*INDEX(Fondsen!$F$5:$Q$30,MATCH($B31,Fondsen!$A$5:$A$30,0),W$8-$E31+1)))</f>
        <v/>
      </c>
      <c r="X31" s="30" t="str">
        <f t="array" ref="X31">IF(OR($B31="",$C31="",$E31=""),"",IF(OR(X$8&lt;$E31,X$8-$E31&gt;=12),0,$C31*INDEX(Fondsen!$F$5:$Q$30,MATCH($B31,Fondsen!$A$5:$A$30,0),X$8-$E31+1)))</f>
        <v/>
      </c>
      <c r="Y31" s="31" t="str">
        <f t="array" ref="Y31">IF(OR($B31="",$C31="",$E31=""),"",IF(OR(Y$8&lt;$E31,Y$8-$E31&gt;=12),0,$C31*INDEX(Fondsen!$F$5:$Q$30,MATCH($B31,Fondsen!$A$5:$A$30,0),Y$8-$E31+1)))</f>
        <v/>
      </c>
      <c r="Z31" s="30" t="str">
        <f t="array" ref="Z31">IF(OR($B31="",$C31="",$E31=""),"",IF(OR(Z$8&lt;$E31,Z$8-$E31&gt;=12),0,$C31*INDEX(Fondsen!$F$5:$Q$30,MATCH($B31,Fondsen!$A$5:$A$30,0),Z$8-$E31+1)))</f>
        <v/>
      </c>
      <c r="AA31" s="31" t="str">
        <f t="array" ref="AA31">IF(OR($B31="",$C31="",$E31=""),"",IF(OR(AA$8&lt;$E31,AA$8-$E31&gt;=12),0,$C31*INDEX(Fondsen!$F$5:$Q$30,MATCH($B31,Fondsen!$A$5:$A$30,0),AA$8-$E31+1)))</f>
        <v/>
      </c>
      <c r="AB31" s="30" t="str">
        <f t="array" ref="AB31">IF(OR($B31="",$C31="",$E31=""),"",IF(OR(AB$8&lt;$E31,AB$8-$E31&gt;=12),0,$C31*INDEX(Fondsen!$F$5:$Q$30,MATCH($B31,Fondsen!$A$5:$A$30,0),AB$8-$E31+1)))</f>
        <v/>
      </c>
      <c r="AC31" s="31" t="str">
        <f t="array" ref="AC31">IF(OR($B31="",$C31="",$E31=""),"",IF(OR(AC$8&lt;$E31,AC$8-$E31&gt;=12),0,$C31*INDEX(Fondsen!$F$5:$Q$30,MATCH($B31,Fondsen!$A$5:$A$30,0),AC$8-$E31+1)))</f>
        <v/>
      </c>
      <c r="AD31" s="30" t="str">
        <f t="array" ref="AD31">IF(OR($B31="",$C31="",$E31=""),"",IF(OR(AD$8&lt;$E31,AD$8-$E31&gt;=12),0,$C31*INDEX(Fondsen!$F$5:$Q$30,MATCH($B31,Fondsen!$A$5:$A$30,0),AD$8-$E31+1)))</f>
        <v/>
      </c>
      <c r="AE31" s="31" t="str">
        <f t="array" ref="AE31">IF(OR($B31="",$C31="",$E31=""),"",IF(OR(AE$8&lt;$E31,AE$8-$E31&gt;=12),0,$C31*INDEX(Fondsen!$F$5:$Q$30,MATCH($B31,Fondsen!$A$5:$A$30,0),AE$8-$E31+1)))</f>
        <v/>
      </c>
      <c r="AF31" s="30" t="str">
        <f t="array" ref="AF31">IF(OR($B31="",$C31="",$E31=""),"",IF(OR(AF$8&lt;$E31,AF$8-$E31&gt;=12),0,$C31*INDEX(Fondsen!$F$5:$Q$30,MATCH($B31,Fondsen!$A$5:$A$30,0),AF$8-$E31+1)))</f>
        <v/>
      </c>
      <c r="AG31" s="31" t="str">
        <f t="array" ref="AG31">IF(OR($B31="",$C31="",$E31=""),"",IF(OR(AG$8&lt;$E31,AG$8-$E31&gt;=12),0,$C31*INDEX(Fondsen!$F$5:$Q$30,MATCH($B31,Fondsen!$A$5:$A$30,0),AG$8-$E31+1)))</f>
        <v/>
      </c>
      <c r="AH31" s="30" t="str">
        <f t="array" ref="AH31">IF(OR($B31="",$C31="",$E31=""),"",IF(OR(AH$8&lt;$E31,AH$8-$E31&gt;=12),0,$C31*INDEX(Fondsen!$F$5:$Q$30,MATCH($B31,Fondsen!$A$5:$A$30,0),AH$8-$E31+1)))</f>
        <v/>
      </c>
      <c r="AI31" s="31" t="str">
        <f t="array" ref="AI31">IF(OR($B31="",$C31="",$E31=""),"",IF(OR(AI$8&lt;$E31,AI$8-$E31&gt;=12),0,$C31*INDEX(Fondsen!$F$5:$Q$30,MATCH($B31,Fondsen!$A$5:$A$30,0),AI$8-$E31+1)))</f>
        <v/>
      </c>
      <c r="AJ31" s="30" t="str">
        <f t="array" ref="AJ31">IF(OR($B31="",$C31="",$E31=""),"",IF(OR(AJ$8&lt;$E31,AJ$8-$E31&gt;=12),0,$C31*INDEX(Fondsen!$F$5:$Q$30,MATCH($B31,Fondsen!$A$5:$A$30,0),AJ$8-$E31+1)))</f>
        <v/>
      </c>
      <c r="AK31" s="31" t="str">
        <f t="array" ref="AK31">IF(OR($B31="",$C31="",$E31=""),"",IF(OR(AK$8&lt;$E31,AK$8-$E31&gt;=12),0,$C31*INDEX(Fondsen!$F$5:$Q$30,MATCH($B31,Fondsen!$A$5:$A$30,0),AK$8-$E31+1)))</f>
        <v/>
      </c>
      <c r="AL31" s="30" t="str">
        <f t="array" ref="AL31">IF(OR($B31="",$C31="",$E31=""),"",IF(OR(AL$8&lt;$E31,AL$8-$E31&gt;=12),0,$C31*INDEX(Fondsen!$F$5:$Q$30,MATCH($B31,Fondsen!$A$5:$A$30,0),AL$8-$E31+1)))</f>
        <v/>
      </c>
      <c r="AM31" s="31" t="str">
        <f t="array" ref="AM31">IF(OR($B31="",$C31="",$E31=""),"",IF(OR(AM$8&lt;$E31,AM$8-$E31&gt;=12),0,$C31*INDEX(Fondsen!$F$5:$Q$30,MATCH($B31,Fondsen!$A$5:$A$30,0),AM$8-$E31+1)))</f>
        <v/>
      </c>
      <c r="AN31" s="30" t="str">
        <f t="array" ref="AN31">IF(OR($B31="",$C31="",$E31=""),"",IF(OR(AN$8&lt;$E31,AN$8-$E31&gt;=12),0,$C31*INDEX(Fondsen!$F$5:$Q$30,MATCH($B31,Fondsen!$A$5:$A$30,0),AN$8-$E31+1)))</f>
        <v/>
      </c>
      <c r="AO31" s="31" t="str">
        <f t="array" ref="AO31">IF(OR($B31="",$C31="",$E31=""),"",IF(OR(AO$8&lt;$E31,AO$8-$E31&gt;=12),0,$C31*INDEX(Fondsen!$F$5:$Q$30,MATCH($B31,Fondsen!$A$5:$A$30,0),AO$8-$E31+1)))</f>
        <v/>
      </c>
      <c r="AP31" s="30" t="str">
        <f t="array" ref="AP31">IF(OR($B31="",$C31="",$E31=""),"",IF(OR(AP$8&lt;$E31,AP$8-$E31&gt;=12),0,$C31*INDEX(Fondsen!$F$5:$Q$30,MATCH($B31,Fondsen!$A$5:$A$30,0),AP$8-$E31+1)))</f>
        <v/>
      </c>
      <c r="AQ31" s="31" t="str">
        <f t="array" ref="AQ31">IF(OR($B31="",$C31="",$E31=""),"",IF(OR(AQ$8&lt;$E31,AQ$8-$E31&gt;=12),0,$C31*INDEX(Fondsen!$F$5:$Q$30,MATCH($B31,Fondsen!$A$5:$A$30,0),AQ$8-$E31+1)))</f>
        <v/>
      </c>
      <c r="AR31" s="30" t="str">
        <f t="array" ref="AR31">IF(OR($B31="",$C31="",$E31=""),"",IF(OR(AR$8&lt;$E31,AR$8-$E31&gt;=12),0,$C31*INDEX(Fondsen!$F$5:$Q$30,MATCH($B31,Fondsen!$A$5:$A$30,0),AR$8-$E31+1)))</f>
        <v/>
      </c>
      <c r="AS31" s="31" t="str">
        <f t="array" ref="AS31">IF(OR($B31="",$C31="",$E31=""),"",IF(OR(AS$8&lt;$E31,AS$8-$E31&gt;=12),0,$C31*INDEX(Fondsen!$F$5:$Q$30,MATCH($B31,Fondsen!$A$5:$A$30,0),AS$8-$E31+1)))</f>
        <v/>
      </c>
      <c r="AT31" s="45"/>
    </row>
    <row r="32" ht="24.0" customHeight="1">
      <c r="A32" s="33" t="str">
        <f>IF(B32="","",IFERROR(VLOOKUP(B32,Fondsen!$A$5:$B$30,2,FALSE()),""))</f>
        <v/>
      </c>
      <c r="B32" s="34"/>
      <c r="C32" s="35"/>
      <c r="D32" s="46" t="s">
        <v>11</v>
      </c>
      <c r="E32" s="37"/>
      <c r="F32" s="38" t="str">
        <f t="array" ref="F32">IF(OR($B32="",$C32="",$E32=""),"",IF(OR(F$8&lt;$E32,F$8-$E32&gt;=12),0,$C32*INDEX(Fondsen!$F$5:$Q$30,MATCH($B32,Fondsen!$A$5:$A$30,0),F$8-$E32+1)))</f>
        <v/>
      </c>
      <c r="G32" s="39" t="str">
        <f t="array" ref="G32">IF(OR($B32="",$C32="",$E32=""),"",IF(OR(G$8&lt;$E32,G$8-$E32&gt;=12),0,$C32*INDEX(Fondsen!$F$5:$Q$30,MATCH($B32,Fondsen!$A$5:$A$30,0),G$8-$E32+1)))</f>
        <v/>
      </c>
      <c r="H32" s="38" t="str">
        <f t="array" ref="H32">IF(OR($B32="",$C32="",$E32=""),"",IF(OR(H$8&lt;$E32,H$8-$E32&gt;=12),0,$C32*INDEX(Fondsen!$F$5:$Q$30,MATCH($B32,Fondsen!$A$5:$A$30,0),H$8-$E32+1)))</f>
        <v/>
      </c>
      <c r="I32" s="39" t="str">
        <f t="array" ref="I32">IF(OR($B32="",$C32="",$E32=""),"",IF(OR(I$8&lt;$E32,I$8-$E32&gt;=12),0,$C32*INDEX(Fondsen!$F$5:$Q$30,MATCH($B32,Fondsen!$A$5:$A$30,0),I$8-$E32+1)))</f>
        <v/>
      </c>
      <c r="J32" s="38" t="str">
        <f t="array" ref="J32">IF(OR($B32="",$C32="",$E32=""),"",IF(OR(J$8&lt;$E32,J$8-$E32&gt;=12),0,$C32*INDEX(Fondsen!$F$5:$Q$30,MATCH($B32,Fondsen!$A$5:$A$30,0),J$8-$E32+1)))</f>
        <v/>
      </c>
      <c r="K32" s="39" t="str">
        <f t="array" ref="K32">IF(OR($B32="",$C32="",$E32=""),"",IF(OR(K$8&lt;$E32,K$8-$E32&gt;=12),0,$C32*INDEX(Fondsen!$F$5:$Q$30,MATCH($B32,Fondsen!$A$5:$A$30,0),K$8-$E32+1)))</f>
        <v/>
      </c>
      <c r="L32" s="38" t="str">
        <f t="array" ref="L32">IF(OR($B32="",$C32="",$E32=""),"",IF(OR(L$8&lt;$E32,L$8-$E32&gt;=12),0,$C32*INDEX(Fondsen!$F$5:$Q$30,MATCH($B32,Fondsen!$A$5:$A$30,0),L$8-$E32+1)))</f>
        <v/>
      </c>
      <c r="M32" s="39" t="str">
        <f t="array" ref="M32">IF(OR($B32="",$C32="",$E32=""),"",IF(OR(M$8&lt;$E32,M$8-$E32&gt;=12),0,$C32*INDEX(Fondsen!$F$5:$Q$30,MATCH($B32,Fondsen!$A$5:$A$30,0),M$8-$E32+1)))</f>
        <v/>
      </c>
      <c r="N32" s="38" t="str">
        <f t="array" ref="N32">IF(OR($B32="",$C32="",$E32=""),"",IF(OR(N$8&lt;$E32,N$8-$E32&gt;=12),0,$C32*INDEX(Fondsen!$F$5:$Q$30,MATCH($B32,Fondsen!$A$5:$A$30,0),N$8-$E32+1)))</f>
        <v/>
      </c>
      <c r="O32" s="39" t="str">
        <f t="array" ref="O32">IF(OR($B32="",$C32="",$E32=""),"",IF(OR(O$8&lt;$E32,O$8-$E32&gt;=12),0,$C32*INDEX(Fondsen!$F$5:$Q$30,MATCH($B32,Fondsen!$A$5:$A$30,0),O$8-$E32+1)))</f>
        <v/>
      </c>
      <c r="P32" s="38" t="str">
        <f t="array" ref="P32">IF(OR($B32="",$C32="",$E32=""),"",IF(OR(P$8&lt;$E32,P$8-$E32&gt;=12),0,$C32*INDEX(Fondsen!$F$5:$Q$30,MATCH($B32,Fondsen!$A$5:$A$30,0),P$8-$E32+1)))</f>
        <v/>
      </c>
      <c r="Q32" s="39" t="str">
        <f t="array" ref="Q32">IF(OR($B32="",$C32="",$E32=""),"",IF(OR(Q$8&lt;$E32,Q$8-$E32&gt;=12),0,$C32*INDEX(Fondsen!$F$5:$Q$30,MATCH($B32,Fondsen!$A$5:$A$30,0),Q$8-$E32+1)))</f>
        <v/>
      </c>
      <c r="R32" s="38" t="str">
        <f t="array" ref="R32">IF(OR($B32="",$C32="",$E32=""),"",IF(OR(R$8&lt;$E32,R$8-$E32&gt;=12),0,$C32*INDEX(Fondsen!$F$5:$Q$30,MATCH($B32,Fondsen!$A$5:$A$30,0),R$8-$E32+1)))</f>
        <v/>
      </c>
      <c r="S32" s="39" t="str">
        <f t="array" ref="S32">IF(OR($B32="",$C32="",$E32=""),"",IF(OR(S$8&lt;$E32,S$8-$E32&gt;=12),0,$C32*INDEX(Fondsen!$F$5:$Q$30,MATCH($B32,Fondsen!$A$5:$A$30,0),S$8-$E32+1)))</f>
        <v/>
      </c>
      <c r="T32" s="38" t="str">
        <f t="array" ref="T32">IF(OR($B32="",$C32="",$E32=""),"",IF(OR(T$8&lt;$E32,T$8-$E32&gt;=12),0,$C32*INDEX(Fondsen!$F$5:$Q$30,MATCH($B32,Fondsen!$A$5:$A$30,0),T$8-$E32+1)))</f>
        <v/>
      </c>
      <c r="U32" s="39" t="str">
        <f t="array" ref="U32">IF(OR($B32="",$C32="",$E32=""),"",IF(OR(U$8&lt;$E32,U$8-$E32&gt;=12),0,$C32*INDEX(Fondsen!$F$5:$Q$30,MATCH($B32,Fondsen!$A$5:$A$30,0),U$8-$E32+1)))</f>
        <v/>
      </c>
      <c r="V32" s="38" t="str">
        <f t="array" ref="V32">IF(OR($B32="",$C32="",$E32=""),"",IF(OR(V$8&lt;$E32,V$8-$E32&gt;=12),0,$C32*INDEX(Fondsen!$F$5:$Q$30,MATCH($B32,Fondsen!$A$5:$A$30,0),V$8-$E32+1)))</f>
        <v/>
      </c>
      <c r="W32" s="39" t="str">
        <f t="array" ref="W32">IF(OR($B32="",$C32="",$E32=""),"",IF(OR(W$8&lt;$E32,W$8-$E32&gt;=12),0,$C32*INDEX(Fondsen!$F$5:$Q$30,MATCH($B32,Fondsen!$A$5:$A$30,0),W$8-$E32+1)))</f>
        <v/>
      </c>
      <c r="X32" s="38" t="str">
        <f t="array" ref="X32">IF(OR($B32="",$C32="",$E32=""),"",IF(OR(X$8&lt;$E32,X$8-$E32&gt;=12),0,$C32*INDEX(Fondsen!$F$5:$Q$30,MATCH($B32,Fondsen!$A$5:$A$30,0),X$8-$E32+1)))</f>
        <v/>
      </c>
      <c r="Y32" s="39" t="str">
        <f t="array" ref="Y32">IF(OR($B32="",$C32="",$E32=""),"",IF(OR(Y$8&lt;$E32,Y$8-$E32&gt;=12),0,$C32*INDEX(Fondsen!$F$5:$Q$30,MATCH($B32,Fondsen!$A$5:$A$30,0),Y$8-$E32+1)))</f>
        <v/>
      </c>
      <c r="Z32" s="38" t="str">
        <f t="array" ref="Z32">IF(OR($B32="",$C32="",$E32=""),"",IF(OR(Z$8&lt;$E32,Z$8-$E32&gt;=12),0,$C32*INDEX(Fondsen!$F$5:$Q$30,MATCH($B32,Fondsen!$A$5:$A$30,0),Z$8-$E32+1)))</f>
        <v/>
      </c>
      <c r="AA32" s="39" t="str">
        <f t="array" ref="AA32">IF(OR($B32="",$C32="",$E32=""),"",IF(OR(AA$8&lt;$E32,AA$8-$E32&gt;=12),0,$C32*INDEX(Fondsen!$F$5:$Q$30,MATCH($B32,Fondsen!$A$5:$A$30,0),AA$8-$E32+1)))</f>
        <v/>
      </c>
      <c r="AB32" s="38" t="str">
        <f t="array" ref="AB32">IF(OR($B32="",$C32="",$E32=""),"",IF(OR(AB$8&lt;$E32,AB$8-$E32&gt;=12),0,$C32*INDEX(Fondsen!$F$5:$Q$30,MATCH($B32,Fondsen!$A$5:$A$30,0),AB$8-$E32+1)))</f>
        <v/>
      </c>
      <c r="AC32" s="39" t="str">
        <f t="array" ref="AC32">IF(OR($B32="",$C32="",$E32=""),"",IF(OR(AC$8&lt;$E32,AC$8-$E32&gt;=12),0,$C32*INDEX(Fondsen!$F$5:$Q$30,MATCH($B32,Fondsen!$A$5:$A$30,0),AC$8-$E32+1)))</f>
        <v/>
      </c>
      <c r="AD32" s="38" t="str">
        <f t="array" ref="AD32">IF(OR($B32="",$C32="",$E32=""),"",IF(OR(AD$8&lt;$E32,AD$8-$E32&gt;=12),0,$C32*INDEX(Fondsen!$F$5:$Q$30,MATCH($B32,Fondsen!$A$5:$A$30,0),AD$8-$E32+1)))</f>
        <v/>
      </c>
      <c r="AE32" s="39" t="str">
        <f t="array" ref="AE32">IF(OR($B32="",$C32="",$E32=""),"",IF(OR(AE$8&lt;$E32,AE$8-$E32&gt;=12),0,$C32*INDEX(Fondsen!$F$5:$Q$30,MATCH($B32,Fondsen!$A$5:$A$30,0),AE$8-$E32+1)))</f>
        <v/>
      </c>
      <c r="AF32" s="38" t="str">
        <f t="array" ref="AF32">IF(OR($B32="",$C32="",$E32=""),"",IF(OR(AF$8&lt;$E32,AF$8-$E32&gt;=12),0,$C32*INDEX(Fondsen!$F$5:$Q$30,MATCH($B32,Fondsen!$A$5:$A$30,0),AF$8-$E32+1)))</f>
        <v/>
      </c>
      <c r="AG32" s="39" t="str">
        <f t="array" ref="AG32">IF(OR($B32="",$C32="",$E32=""),"",IF(OR(AG$8&lt;$E32,AG$8-$E32&gt;=12),0,$C32*INDEX(Fondsen!$F$5:$Q$30,MATCH($B32,Fondsen!$A$5:$A$30,0),AG$8-$E32+1)))</f>
        <v/>
      </c>
      <c r="AH32" s="38" t="str">
        <f t="array" ref="AH32">IF(OR($B32="",$C32="",$E32=""),"",IF(OR(AH$8&lt;$E32,AH$8-$E32&gt;=12),0,$C32*INDEX(Fondsen!$F$5:$Q$30,MATCH($B32,Fondsen!$A$5:$A$30,0),AH$8-$E32+1)))</f>
        <v/>
      </c>
      <c r="AI32" s="39" t="str">
        <f t="array" ref="AI32">IF(OR($B32="",$C32="",$E32=""),"",IF(OR(AI$8&lt;$E32,AI$8-$E32&gt;=12),0,$C32*INDEX(Fondsen!$F$5:$Q$30,MATCH($B32,Fondsen!$A$5:$A$30,0),AI$8-$E32+1)))</f>
        <v/>
      </c>
      <c r="AJ32" s="38" t="str">
        <f t="array" ref="AJ32">IF(OR($B32="",$C32="",$E32=""),"",IF(OR(AJ$8&lt;$E32,AJ$8-$E32&gt;=12),0,$C32*INDEX(Fondsen!$F$5:$Q$30,MATCH($B32,Fondsen!$A$5:$A$30,0),AJ$8-$E32+1)))</f>
        <v/>
      </c>
      <c r="AK32" s="39" t="str">
        <f t="array" ref="AK32">IF(OR($B32="",$C32="",$E32=""),"",IF(OR(AK$8&lt;$E32,AK$8-$E32&gt;=12),0,$C32*INDEX(Fondsen!$F$5:$Q$30,MATCH($B32,Fondsen!$A$5:$A$30,0),AK$8-$E32+1)))</f>
        <v/>
      </c>
      <c r="AL32" s="38" t="str">
        <f t="array" ref="AL32">IF(OR($B32="",$C32="",$E32=""),"",IF(OR(AL$8&lt;$E32,AL$8-$E32&gt;=12),0,$C32*INDEX(Fondsen!$F$5:$Q$30,MATCH($B32,Fondsen!$A$5:$A$30,0),AL$8-$E32+1)))</f>
        <v/>
      </c>
      <c r="AM32" s="39" t="str">
        <f t="array" ref="AM32">IF(OR($B32="",$C32="",$E32=""),"",IF(OR(AM$8&lt;$E32,AM$8-$E32&gt;=12),0,$C32*INDEX(Fondsen!$F$5:$Q$30,MATCH($B32,Fondsen!$A$5:$A$30,0),AM$8-$E32+1)))</f>
        <v/>
      </c>
      <c r="AN32" s="38" t="str">
        <f t="array" ref="AN32">IF(OR($B32="",$C32="",$E32=""),"",IF(OR(AN$8&lt;$E32,AN$8-$E32&gt;=12),0,$C32*INDEX(Fondsen!$F$5:$Q$30,MATCH($B32,Fondsen!$A$5:$A$30,0),AN$8-$E32+1)))</f>
        <v/>
      </c>
      <c r="AO32" s="39" t="str">
        <f t="array" ref="AO32">IF(OR($B32="",$C32="",$E32=""),"",IF(OR(AO$8&lt;$E32,AO$8-$E32&gt;=12),0,$C32*INDEX(Fondsen!$F$5:$Q$30,MATCH($B32,Fondsen!$A$5:$A$30,0),AO$8-$E32+1)))</f>
        <v/>
      </c>
      <c r="AP32" s="38" t="str">
        <f t="array" ref="AP32">IF(OR($B32="",$C32="",$E32=""),"",IF(OR(AP$8&lt;$E32,AP$8-$E32&gt;=12),0,$C32*INDEX(Fondsen!$F$5:$Q$30,MATCH($B32,Fondsen!$A$5:$A$30,0),AP$8-$E32+1)))</f>
        <v/>
      </c>
      <c r="AQ32" s="39" t="str">
        <f t="array" ref="AQ32">IF(OR($B32="",$C32="",$E32=""),"",IF(OR(AQ$8&lt;$E32,AQ$8-$E32&gt;=12),0,$C32*INDEX(Fondsen!$F$5:$Q$30,MATCH($B32,Fondsen!$A$5:$A$30,0),AQ$8-$E32+1)))</f>
        <v/>
      </c>
      <c r="AR32" s="38" t="str">
        <f t="array" ref="AR32">IF(OR($B32="",$C32="",$E32=""),"",IF(OR(AR$8&lt;$E32,AR$8-$E32&gt;=12),0,$C32*INDEX(Fondsen!$F$5:$Q$30,MATCH($B32,Fondsen!$A$5:$A$30,0),AR$8-$E32+1)))</f>
        <v/>
      </c>
      <c r="AS32" s="39" t="str">
        <f t="array" ref="AS32">IF(OR($B32="",$C32="",$E32=""),"",IF(OR(AS$8&lt;$E32,AS$8-$E32&gt;=12),0,$C32*INDEX(Fondsen!$F$5:$Q$30,MATCH($B32,Fondsen!$A$5:$A$30,0),AS$8-$E32+1)))</f>
        <v/>
      </c>
      <c r="AT32" s="45"/>
    </row>
    <row r="33" ht="24.0" customHeight="1">
      <c r="A33" s="47" t="str">
        <f>IF(B33="","",IFERROR(VLOOKUP(B33,Fondsen!$A$5:$B$30,2,FALSE()),""))</f>
        <v/>
      </c>
      <c r="B33" s="26"/>
      <c r="C33" s="27"/>
      <c r="D33" s="44" t="s">
        <v>11</v>
      </c>
      <c r="E33" s="29"/>
      <c r="F33" s="30" t="str">
        <f t="array" ref="F33">IF(OR($B33="",$C33="",$E33=""),"",IF(OR(F$8&lt;$E33,F$8-$E33&gt;=12),0,$C33*INDEX(Fondsen!$F$5:$Q$30,MATCH($B33,Fondsen!$A$5:$A$30,0),F$8-$E33+1)))</f>
        <v/>
      </c>
      <c r="G33" s="31" t="str">
        <f t="array" ref="G33">IF(OR($B33="",$C33="",$E33=""),"",IF(OR(G$8&lt;$E33,G$8-$E33&gt;=12),0,$C33*INDEX(Fondsen!$F$5:$Q$30,MATCH($B33,Fondsen!$A$5:$A$30,0),G$8-$E33+1)))</f>
        <v/>
      </c>
      <c r="H33" s="30" t="str">
        <f t="array" ref="H33">IF(OR($B33="",$C33="",$E33=""),"",IF(OR(H$8&lt;$E33,H$8-$E33&gt;=12),0,$C33*INDEX(Fondsen!$F$5:$Q$30,MATCH($B33,Fondsen!$A$5:$A$30,0),H$8-$E33+1)))</f>
        <v/>
      </c>
      <c r="I33" s="31" t="str">
        <f t="array" ref="I33">IF(OR($B33="",$C33="",$E33=""),"",IF(OR(I$8&lt;$E33,I$8-$E33&gt;=12),0,$C33*INDEX(Fondsen!$F$5:$Q$30,MATCH($B33,Fondsen!$A$5:$A$30,0),I$8-$E33+1)))</f>
        <v/>
      </c>
      <c r="J33" s="30" t="str">
        <f t="array" ref="J33">IF(OR($B33="",$C33="",$E33=""),"",IF(OR(J$8&lt;$E33,J$8-$E33&gt;=12),0,$C33*INDEX(Fondsen!$F$5:$Q$30,MATCH($B33,Fondsen!$A$5:$A$30,0),J$8-$E33+1)))</f>
        <v/>
      </c>
      <c r="K33" s="31" t="str">
        <f t="array" ref="K33">IF(OR($B33="",$C33="",$E33=""),"",IF(OR(K$8&lt;$E33,K$8-$E33&gt;=12),0,$C33*INDEX(Fondsen!$F$5:$Q$30,MATCH($B33,Fondsen!$A$5:$A$30,0),K$8-$E33+1)))</f>
        <v/>
      </c>
      <c r="L33" s="30" t="str">
        <f t="array" ref="L33">IF(OR($B33="",$C33="",$E33=""),"",IF(OR(L$8&lt;$E33,L$8-$E33&gt;=12),0,$C33*INDEX(Fondsen!$F$5:$Q$30,MATCH($B33,Fondsen!$A$5:$A$30,0),L$8-$E33+1)))</f>
        <v/>
      </c>
      <c r="M33" s="31" t="str">
        <f t="array" ref="M33">IF(OR($B33="",$C33="",$E33=""),"",IF(OR(M$8&lt;$E33,M$8-$E33&gt;=12),0,$C33*INDEX(Fondsen!$F$5:$Q$30,MATCH($B33,Fondsen!$A$5:$A$30,0),M$8-$E33+1)))</f>
        <v/>
      </c>
      <c r="N33" s="30" t="str">
        <f t="array" ref="N33">IF(OR($B33="",$C33="",$E33=""),"",IF(OR(N$8&lt;$E33,N$8-$E33&gt;=12),0,$C33*INDEX(Fondsen!$F$5:$Q$30,MATCH($B33,Fondsen!$A$5:$A$30,0),N$8-$E33+1)))</f>
        <v/>
      </c>
      <c r="O33" s="31" t="str">
        <f t="array" ref="O33">IF(OR($B33="",$C33="",$E33=""),"",IF(OR(O$8&lt;$E33,O$8-$E33&gt;=12),0,$C33*INDEX(Fondsen!$F$5:$Q$30,MATCH($B33,Fondsen!$A$5:$A$30,0),O$8-$E33+1)))</f>
        <v/>
      </c>
      <c r="P33" s="30" t="str">
        <f t="array" ref="P33">IF(OR($B33="",$C33="",$E33=""),"",IF(OR(P$8&lt;$E33,P$8-$E33&gt;=12),0,$C33*INDEX(Fondsen!$F$5:$Q$30,MATCH($B33,Fondsen!$A$5:$A$30,0),P$8-$E33+1)))</f>
        <v/>
      </c>
      <c r="Q33" s="31" t="str">
        <f t="array" ref="Q33">IF(OR($B33="",$C33="",$E33=""),"",IF(OR(Q$8&lt;$E33,Q$8-$E33&gt;=12),0,$C33*INDEX(Fondsen!$F$5:$Q$30,MATCH($B33,Fondsen!$A$5:$A$30,0),Q$8-$E33+1)))</f>
        <v/>
      </c>
      <c r="R33" s="30" t="str">
        <f t="array" ref="R33">IF(OR($B33="",$C33="",$E33=""),"",IF(OR(R$8&lt;$E33,R$8-$E33&gt;=12),0,$C33*INDEX(Fondsen!$F$5:$Q$30,MATCH($B33,Fondsen!$A$5:$A$30,0),R$8-$E33+1)))</f>
        <v/>
      </c>
      <c r="S33" s="31" t="str">
        <f t="array" ref="S33">IF(OR($B33="",$C33="",$E33=""),"",IF(OR(S$8&lt;$E33,S$8-$E33&gt;=12),0,$C33*INDEX(Fondsen!$F$5:$Q$30,MATCH($B33,Fondsen!$A$5:$A$30,0),S$8-$E33+1)))</f>
        <v/>
      </c>
      <c r="T33" s="30" t="str">
        <f t="array" ref="T33">IF(OR($B33="",$C33="",$E33=""),"",IF(OR(T$8&lt;$E33,T$8-$E33&gt;=12),0,$C33*INDEX(Fondsen!$F$5:$Q$30,MATCH($B33,Fondsen!$A$5:$A$30,0),T$8-$E33+1)))</f>
        <v/>
      </c>
      <c r="U33" s="31" t="str">
        <f t="array" ref="U33">IF(OR($B33="",$C33="",$E33=""),"",IF(OR(U$8&lt;$E33,U$8-$E33&gt;=12),0,$C33*INDEX(Fondsen!$F$5:$Q$30,MATCH($B33,Fondsen!$A$5:$A$30,0),U$8-$E33+1)))</f>
        <v/>
      </c>
      <c r="V33" s="30" t="str">
        <f t="array" ref="V33">IF(OR($B33="",$C33="",$E33=""),"",IF(OR(V$8&lt;$E33,V$8-$E33&gt;=12),0,$C33*INDEX(Fondsen!$F$5:$Q$30,MATCH($B33,Fondsen!$A$5:$A$30,0),V$8-$E33+1)))</f>
        <v/>
      </c>
      <c r="W33" s="31" t="str">
        <f t="array" ref="W33">IF(OR($B33="",$C33="",$E33=""),"",IF(OR(W$8&lt;$E33,W$8-$E33&gt;=12),0,$C33*INDEX(Fondsen!$F$5:$Q$30,MATCH($B33,Fondsen!$A$5:$A$30,0),W$8-$E33+1)))</f>
        <v/>
      </c>
      <c r="X33" s="30" t="str">
        <f t="array" ref="X33">IF(OR($B33="",$C33="",$E33=""),"",IF(OR(X$8&lt;$E33,X$8-$E33&gt;=12),0,$C33*INDEX(Fondsen!$F$5:$Q$30,MATCH($B33,Fondsen!$A$5:$A$30,0),X$8-$E33+1)))</f>
        <v/>
      </c>
      <c r="Y33" s="31" t="str">
        <f t="array" ref="Y33">IF(OR($B33="",$C33="",$E33=""),"",IF(OR(Y$8&lt;$E33,Y$8-$E33&gt;=12),0,$C33*INDEX(Fondsen!$F$5:$Q$30,MATCH($B33,Fondsen!$A$5:$A$30,0),Y$8-$E33+1)))</f>
        <v/>
      </c>
      <c r="Z33" s="30" t="str">
        <f t="array" ref="Z33">IF(OR($B33="",$C33="",$E33=""),"",IF(OR(Z$8&lt;$E33,Z$8-$E33&gt;=12),0,$C33*INDEX(Fondsen!$F$5:$Q$30,MATCH($B33,Fondsen!$A$5:$A$30,0),Z$8-$E33+1)))</f>
        <v/>
      </c>
      <c r="AA33" s="31" t="str">
        <f t="array" ref="AA33">IF(OR($B33="",$C33="",$E33=""),"",IF(OR(AA$8&lt;$E33,AA$8-$E33&gt;=12),0,$C33*INDEX(Fondsen!$F$5:$Q$30,MATCH($B33,Fondsen!$A$5:$A$30,0),AA$8-$E33+1)))</f>
        <v/>
      </c>
      <c r="AB33" s="30" t="str">
        <f t="array" ref="AB33">IF(OR($B33="",$C33="",$E33=""),"",IF(OR(AB$8&lt;$E33,AB$8-$E33&gt;=12),0,$C33*INDEX(Fondsen!$F$5:$Q$30,MATCH($B33,Fondsen!$A$5:$A$30,0),AB$8-$E33+1)))</f>
        <v/>
      </c>
      <c r="AC33" s="31" t="str">
        <f t="array" ref="AC33">IF(OR($B33="",$C33="",$E33=""),"",IF(OR(AC$8&lt;$E33,AC$8-$E33&gt;=12),0,$C33*INDEX(Fondsen!$F$5:$Q$30,MATCH($B33,Fondsen!$A$5:$A$30,0),AC$8-$E33+1)))</f>
        <v/>
      </c>
      <c r="AD33" s="30" t="str">
        <f t="array" ref="AD33">IF(OR($B33="",$C33="",$E33=""),"",IF(OR(AD$8&lt;$E33,AD$8-$E33&gt;=12),0,$C33*INDEX(Fondsen!$F$5:$Q$30,MATCH($B33,Fondsen!$A$5:$A$30,0),AD$8-$E33+1)))</f>
        <v/>
      </c>
      <c r="AE33" s="31" t="str">
        <f t="array" ref="AE33">IF(OR($B33="",$C33="",$E33=""),"",IF(OR(AE$8&lt;$E33,AE$8-$E33&gt;=12),0,$C33*INDEX(Fondsen!$F$5:$Q$30,MATCH($B33,Fondsen!$A$5:$A$30,0),AE$8-$E33+1)))</f>
        <v/>
      </c>
      <c r="AF33" s="30" t="str">
        <f t="array" ref="AF33">IF(OR($B33="",$C33="",$E33=""),"",IF(OR(AF$8&lt;$E33,AF$8-$E33&gt;=12),0,$C33*INDEX(Fondsen!$F$5:$Q$30,MATCH($B33,Fondsen!$A$5:$A$30,0),AF$8-$E33+1)))</f>
        <v/>
      </c>
      <c r="AG33" s="31" t="str">
        <f t="array" ref="AG33">IF(OR($B33="",$C33="",$E33=""),"",IF(OR(AG$8&lt;$E33,AG$8-$E33&gt;=12),0,$C33*INDEX(Fondsen!$F$5:$Q$30,MATCH($B33,Fondsen!$A$5:$A$30,0),AG$8-$E33+1)))</f>
        <v/>
      </c>
      <c r="AH33" s="30" t="str">
        <f t="array" ref="AH33">IF(OR($B33="",$C33="",$E33=""),"",IF(OR(AH$8&lt;$E33,AH$8-$E33&gt;=12),0,$C33*INDEX(Fondsen!$F$5:$Q$30,MATCH($B33,Fondsen!$A$5:$A$30,0),AH$8-$E33+1)))</f>
        <v/>
      </c>
      <c r="AI33" s="31" t="str">
        <f t="array" ref="AI33">IF(OR($B33="",$C33="",$E33=""),"",IF(OR(AI$8&lt;$E33,AI$8-$E33&gt;=12),0,$C33*INDEX(Fondsen!$F$5:$Q$30,MATCH($B33,Fondsen!$A$5:$A$30,0),AI$8-$E33+1)))</f>
        <v/>
      </c>
      <c r="AJ33" s="30" t="str">
        <f t="array" ref="AJ33">IF(OR($B33="",$C33="",$E33=""),"",IF(OR(AJ$8&lt;$E33,AJ$8-$E33&gt;=12),0,$C33*INDEX(Fondsen!$F$5:$Q$30,MATCH($B33,Fondsen!$A$5:$A$30,0),AJ$8-$E33+1)))</f>
        <v/>
      </c>
      <c r="AK33" s="31" t="str">
        <f t="array" ref="AK33">IF(OR($B33="",$C33="",$E33=""),"",IF(OR(AK$8&lt;$E33,AK$8-$E33&gt;=12),0,$C33*INDEX(Fondsen!$F$5:$Q$30,MATCH($B33,Fondsen!$A$5:$A$30,0),AK$8-$E33+1)))</f>
        <v/>
      </c>
      <c r="AL33" s="30" t="str">
        <f t="array" ref="AL33">IF(OR($B33="",$C33="",$E33=""),"",IF(OR(AL$8&lt;$E33,AL$8-$E33&gt;=12),0,$C33*INDEX(Fondsen!$F$5:$Q$30,MATCH($B33,Fondsen!$A$5:$A$30,0),AL$8-$E33+1)))</f>
        <v/>
      </c>
      <c r="AM33" s="31" t="str">
        <f t="array" ref="AM33">IF(OR($B33="",$C33="",$E33=""),"",IF(OR(AM$8&lt;$E33,AM$8-$E33&gt;=12),0,$C33*INDEX(Fondsen!$F$5:$Q$30,MATCH($B33,Fondsen!$A$5:$A$30,0),AM$8-$E33+1)))</f>
        <v/>
      </c>
      <c r="AN33" s="30" t="str">
        <f t="array" ref="AN33">IF(OR($B33="",$C33="",$E33=""),"",IF(OR(AN$8&lt;$E33,AN$8-$E33&gt;=12),0,$C33*INDEX(Fondsen!$F$5:$Q$30,MATCH($B33,Fondsen!$A$5:$A$30,0),AN$8-$E33+1)))</f>
        <v/>
      </c>
      <c r="AO33" s="31" t="str">
        <f t="array" ref="AO33">IF(OR($B33="",$C33="",$E33=""),"",IF(OR(AO$8&lt;$E33,AO$8-$E33&gt;=12),0,$C33*INDEX(Fondsen!$F$5:$Q$30,MATCH($B33,Fondsen!$A$5:$A$30,0),AO$8-$E33+1)))</f>
        <v/>
      </c>
      <c r="AP33" s="30" t="str">
        <f t="array" ref="AP33">IF(OR($B33="",$C33="",$E33=""),"",IF(OR(AP$8&lt;$E33,AP$8-$E33&gt;=12),0,$C33*INDEX(Fondsen!$F$5:$Q$30,MATCH($B33,Fondsen!$A$5:$A$30,0),AP$8-$E33+1)))</f>
        <v/>
      </c>
      <c r="AQ33" s="31" t="str">
        <f t="array" ref="AQ33">IF(OR($B33="",$C33="",$E33=""),"",IF(OR(AQ$8&lt;$E33,AQ$8-$E33&gt;=12),0,$C33*INDEX(Fondsen!$F$5:$Q$30,MATCH($B33,Fondsen!$A$5:$A$30,0),AQ$8-$E33+1)))</f>
        <v/>
      </c>
      <c r="AR33" s="30" t="str">
        <f t="array" ref="AR33">IF(OR($B33="",$C33="",$E33=""),"",IF(OR(AR$8&lt;$E33,AR$8-$E33&gt;=12),0,$C33*INDEX(Fondsen!$F$5:$Q$30,MATCH($B33,Fondsen!$A$5:$A$30,0),AR$8-$E33+1)))</f>
        <v/>
      </c>
      <c r="AS33" s="31" t="str">
        <f t="array" ref="AS33">IF(OR($B33="",$C33="",$E33=""),"",IF(OR(AS$8&lt;$E33,AS$8-$E33&gt;=12),0,$C33*INDEX(Fondsen!$F$5:$Q$30,MATCH($B33,Fondsen!$A$5:$A$30,0),AS$8-$E33+1)))</f>
        <v/>
      </c>
      <c r="AT33" s="45"/>
    </row>
    <row r="34" ht="24.0" customHeight="1">
      <c r="A34" s="33" t="str">
        <f>IF(B34="","",IFERROR(VLOOKUP(B34,Fondsen!$A$5:$B$30,2,FALSE()),""))</f>
        <v/>
      </c>
      <c r="B34" s="34"/>
      <c r="C34" s="35"/>
      <c r="D34" s="46" t="s">
        <v>11</v>
      </c>
      <c r="E34" s="37"/>
      <c r="F34" s="38" t="str">
        <f t="array" ref="F34">IF(OR($B34="",$C34="",$E34=""),"",IF(OR(F$8&lt;$E34,F$8-$E34&gt;=12),0,$C34*INDEX(Fondsen!$F$5:$Q$30,MATCH($B34,Fondsen!$A$5:$A$30,0),F$8-$E34+1)))</f>
        <v/>
      </c>
      <c r="G34" s="39" t="str">
        <f t="array" ref="G34">IF(OR($B34="",$C34="",$E34=""),"",IF(OR(G$8&lt;$E34,G$8-$E34&gt;=12),0,$C34*INDEX(Fondsen!$F$5:$Q$30,MATCH($B34,Fondsen!$A$5:$A$30,0),G$8-$E34+1)))</f>
        <v/>
      </c>
      <c r="H34" s="38" t="str">
        <f t="array" ref="H34">IF(OR($B34="",$C34="",$E34=""),"",IF(OR(H$8&lt;$E34,H$8-$E34&gt;=12),0,$C34*INDEX(Fondsen!$F$5:$Q$30,MATCH($B34,Fondsen!$A$5:$A$30,0),H$8-$E34+1)))</f>
        <v/>
      </c>
      <c r="I34" s="39" t="str">
        <f t="array" ref="I34">IF(OR($B34="",$C34="",$E34=""),"",IF(OR(I$8&lt;$E34,I$8-$E34&gt;=12),0,$C34*INDEX(Fondsen!$F$5:$Q$30,MATCH($B34,Fondsen!$A$5:$A$30,0),I$8-$E34+1)))</f>
        <v/>
      </c>
      <c r="J34" s="38" t="str">
        <f t="array" ref="J34">IF(OR($B34="",$C34="",$E34=""),"",IF(OR(J$8&lt;$E34,J$8-$E34&gt;=12),0,$C34*INDEX(Fondsen!$F$5:$Q$30,MATCH($B34,Fondsen!$A$5:$A$30,0),J$8-$E34+1)))</f>
        <v/>
      </c>
      <c r="K34" s="39" t="str">
        <f t="array" ref="K34">IF(OR($B34="",$C34="",$E34=""),"",IF(OR(K$8&lt;$E34,K$8-$E34&gt;=12),0,$C34*INDEX(Fondsen!$F$5:$Q$30,MATCH($B34,Fondsen!$A$5:$A$30,0),K$8-$E34+1)))</f>
        <v/>
      </c>
      <c r="L34" s="38" t="str">
        <f t="array" ref="L34">IF(OR($B34="",$C34="",$E34=""),"",IF(OR(L$8&lt;$E34,L$8-$E34&gt;=12),0,$C34*INDEX(Fondsen!$F$5:$Q$30,MATCH($B34,Fondsen!$A$5:$A$30,0),L$8-$E34+1)))</f>
        <v/>
      </c>
      <c r="M34" s="39" t="str">
        <f t="array" ref="M34">IF(OR($B34="",$C34="",$E34=""),"",IF(OR(M$8&lt;$E34,M$8-$E34&gt;=12),0,$C34*INDEX(Fondsen!$F$5:$Q$30,MATCH($B34,Fondsen!$A$5:$A$30,0),M$8-$E34+1)))</f>
        <v/>
      </c>
      <c r="N34" s="38" t="str">
        <f t="array" ref="N34">IF(OR($B34="",$C34="",$E34=""),"",IF(OR(N$8&lt;$E34,N$8-$E34&gt;=12),0,$C34*INDEX(Fondsen!$F$5:$Q$30,MATCH($B34,Fondsen!$A$5:$A$30,0),N$8-$E34+1)))</f>
        <v/>
      </c>
      <c r="O34" s="39" t="str">
        <f t="array" ref="O34">IF(OR($B34="",$C34="",$E34=""),"",IF(OR(O$8&lt;$E34,O$8-$E34&gt;=12),0,$C34*INDEX(Fondsen!$F$5:$Q$30,MATCH($B34,Fondsen!$A$5:$A$30,0),O$8-$E34+1)))</f>
        <v/>
      </c>
      <c r="P34" s="38" t="str">
        <f t="array" ref="P34">IF(OR($B34="",$C34="",$E34=""),"",IF(OR(P$8&lt;$E34,P$8-$E34&gt;=12),0,$C34*INDEX(Fondsen!$F$5:$Q$30,MATCH($B34,Fondsen!$A$5:$A$30,0),P$8-$E34+1)))</f>
        <v/>
      </c>
      <c r="Q34" s="39" t="str">
        <f t="array" ref="Q34">IF(OR($B34="",$C34="",$E34=""),"",IF(OR(Q$8&lt;$E34,Q$8-$E34&gt;=12),0,$C34*INDEX(Fondsen!$F$5:$Q$30,MATCH($B34,Fondsen!$A$5:$A$30,0),Q$8-$E34+1)))</f>
        <v/>
      </c>
      <c r="R34" s="38" t="str">
        <f t="array" ref="R34">IF(OR($B34="",$C34="",$E34=""),"",IF(OR(R$8&lt;$E34,R$8-$E34&gt;=12),0,$C34*INDEX(Fondsen!$F$5:$Q$30,MATCH($B34,Fondsen!$A$5:$A$30,0),R$8-$E34+1)))</f>
        <v/>
      </c>
      <c r="S34" s="39" t="str">
        <f t="array" ref="S34">IF(OR($B34="",$C34="",$E34=""),"",IF(OR(S$8&lt;$E34,S$8-$E34&gt;=12),0,$C34*INDEX(Fondsen!$F$5:$Q$30,MATCH($B34,Fondsen!$A$5:$A$30,0),S$8-$E34+1)))</f>
        <v/>
      </c>
      <c r="T34" s="38" t="str">
        <f t="array" ref="T34">IF(OR($B34="",$C34="",$E34=""),"",IF(OR(T$8&lt;$E34,T$8-$E34&gt;=12),0,$C34*INDEX(Fondsen!$F$5:$Q$30,MATCH($B34,Fondsen!$A$5:$A$30,0),T$8-$E34+1)))</f>
        <v/>
      </c>
      <c r="U34" s="39" t="str">
        <f t="array" ref="U34">IF(OR($B34="",$C34="",$E34=""),"",IF(OR(U$8&lt;$E34,U$8-$E34&gt;=12),0,$C34*INDEX(Fondsen!$F$5:$Q$30,MATCH($B34,Fondsen!$A$5:$A$30,0),U$8-$E34+1)))</f>
        <v/>
      </c>
      <c r="V34" s="38" t="str">
        <f t="array" ref="V34">IF(OR($B34="",$C34="",$E34=""),"",IF(OR(V$8&lt;$E34,V$8-$E34&gt;=12),0,$C34*INDEX(Fondsen!$F$5:$Q$30,MATCH($B34,Fondsen!$A$5:$A$30,0),V$8-$E34+1)))</f>
        <v/>
      </c>
      <c r="W34" s="39" t="str">
        <f t="array" ref="W34">IF(OR($B34="",$C34="",$E34=""),"",IF(OR(W$8&lt;$E34,W$8-$E34&gt;=12),0,$C34*INDEX(Fondsen!$F$5:$Q$30,MATCH($B34,Fondsen!$A$5:$A$30,0),W$8-$E34+1)))</f>
        <v/>
      </c>
      <c r="X34" s="38" t="str">
        <f t="array" ref="X34">IF(OR($B34="",$C34="",$E34=""),"",IF(OR(X$8&lt;$E34,X$8-$E34&gt;=12),0,$C34*INDEX(Fondsen!$F$5:$Q$30,MATCH($B34,Fondsen!$A$5:$A$30,0),X$8-$E34+1)))</f>
        <v/>
      </c>
      <c r="Y34" s="39" t="str">
        <f t="array" ref="Y34">IF(OR($B34="",$C34="",$E34=""),"",IF(OR(Y$8&lt;$E34,Y$8-$E34&gt;=12),0,$C34*INDEX(Fondsen!$F$5:$Q$30,MATCH($B34,Fondsen!$A$5:$A$30,0),Y$8-$E34+1)))</f>
        <v/>
      </c>
      <c r="Z34" s="38" t="str">
        <f t="array" ref="Z34">IF(OR($B34="",$C34="",$E34=""),"",IF(OR(Z$8&lt;$E34,Z$8-$E34&gt;=12),0,$C34*INDEX(Fondsen!$F$5:$Q$30,MATCH($B34,Fondsen!$A$5:$A$30,0),Z$8-$E34+1)))</f>
        <v/>
      </c>
      <c r="AA34" s="39" t="str">
        <f t="array" ref="AA34">IF(OR($B34="",$C34="",$E34=""),"",IF(OR(AA$8&lt;$E34,AA$8-$E34&gt;=12),0,$C34*INDEX(Fondsen!$F$5:$Q$30,MATCH($B34,Fondsen!$A$5:$A$30,0),AA$8-$E34+1)))</f>
        <v/>
      </c>
      <c r="AB34" s="38" t="str">
        <f t="array" ref="AB34">IF(OR($B34="",$C34="",$E34=""),"",IF(OR(AB$8&lt;$E34,AB$8-$E34&gt;=12),0,$C34*INDEX(Fondsen!$F$5:$Q$30,MATCH($B34,Fondsen!$A$5:$A$30,0),AB$8-$E34+1)))</f>
        <v/>
      </c>
      <c r="AC34" s="39" t="str">
        <f t="array" ref="AC34">IF(OR($B34="",$C34="",$E34=""),"",IF(OR(AC$8&lt;$E34,AC$8-$E34&gt;=12),0,$C34*INDEX(Fondsen!$F$5:$Q$30,MATCH($B34,Fondsen!$A$5:$A$30,0),AC$8-$E34+1)))</f>
        <v/>
      </c>
      <c r="AD34" s="38" t="str">
        <f t="array" ref="AD34">IF(OR($B34="",$C34="",$E34=""),"",IF(OR(AD$8&lt;$E34,AD$8-$E34&gt;=12),0,$C34*INDEX(Fondsen!$F$5:$Q$30,MATCH($B34,Fondsen!$A$5:$A$30,0),AD$8-$E34+1)))</f>
        <v/>
      </c>
      <c r="AE34" s="39" t="str">
        <f t="array" ref="AE34">IF(OR($B34="",$C34="",$E34=""),"",IF(OR(AE$8&lt;$E34,AE$8-$E34&gt;=12),0,$C34*INDEX(Fondsen!$F$5:$Q$30,MATCH($B34,Fondsen!$A$5:$A$30,0),AE$8-$E34+1)))</f>
        <v/>
      </c>
      <c r="AF34" s="38" t="str">
        <f t="array" ref="AF34">IF(OR($B34="",$C34="",$E34=""),"",IF(OR(AF$8&lt;$E34,AF$8-$E34&gt;=12),0,$C34*INDEX(Fondsen!$F$5:$Q$30,MATCH($B34,Fondsen!$A$5:$A$30,0),AF$8-$E34+1)))</f>
        <v/>
      </c>
      <c r="AG34" s="39" t="str">
        <f t="array" ref="AG34">IF(OR($B34="",$C34="",$E34=""),"",IF(OR(AG$8&lt;$E34,AG$8-$E34&gt;=12),0,$C34*INDEX(Fondsen!$F$5:$Q$30,MATCH($B34,Fondsen!$A$5:$A$30,0),AG$8-$E34+1)))</f>
        <v/>
      </c>
      <c r="AH34" s="38" t="str">
        <f t="array" ref="AH34">IF(OR($B34="",$C34="",$E34=""),"",IF(OR(AH$8&lt;$E34,AH$8-$E34&gt;=12),0,$C34*INDEX(Fondsen!$F$5:$Q$30,MATCH($B34,Fondsen!$A$5:$A$30,0),AH$8-$E34+1)))</f>
        <v/>
      </c>
      <c r="AI34" s="39" t="str">
        <f t="array" ref="AI34">IF(OR($B34="",$C34="",$E34=""),"",IF(OR(AI$8&lt;$E34,AI$8-$E34&gt;=12),0,$C34*INDEX(Fondsen!$F$5:$Q$30,MATCH($B34,Fondsen!$A$5:$A$30,0),AI$8-$E34+1)))</f>
        <v/>
      </c>
      <c r="AJ34" s="38" t="str">
        <f t="array" ref="AJ34">IF(OR($B34="",$C34="",$E34=""),"",IF(OR(AJ$8&lt;$E34,AJ$8-$E34&gt;=12),0,$C34*INDEX(Fondsen!$F$5:$Q$30,MATCH($B34,Fondsen!$A$5:$A$30,0),AJ$8-$E34+1)))</f>
        <v/>
      </c>
      <c r="AK34" s="39" t="str">
        <f t="array" ref="AK34">IF(OR($B34="",$C34="",$E34=""),"",IF(OR(AK$8&lt;$E34,AK$8-$E34&gt;=12),0,$C34*INDEX(Fondsen!$F$5:$Q$30,MATCH($B34,Fondsen!$A$5:$A$30,0),AK$8-$E34+1)))</f>
        <v/>
      </c>
      <c r="AL34" s="38" t="str">
        <f t="array" ref="AL34">IF(OR($B34="",$C34="",$E34=""),"",IF(OR(AL$8&lt;$E34,AL$8-$E34&gt;=12),0,$C34*INDEX(Fondsen!$F$5:$Q$30,MATCH($B34,Fondsen!$A$5:$A$30,0),AL$8-$E34+1)))</f>
        <v/>
      </c>
      <c r="AM34" s="39" t="str">
        <f t="array" ref="AM34">IF(OR($B34="",$C34="",$E34=""),"",IF(OR(AM$8&lt;$E34,AM$8-$E34&gt;=12),0,$C34*INDEX(Fondsen!$F$5:$Q$30,MATCH($B34,Fondsen!$A$5:$A$30,0),AM$8-$E34+1)))</f>
        <v/>
      </c>
      <c r="AN34" s="38" t="str">
        <f t="array" ref="AN34">IF(OR($B34="",$C34="",$E34=""),"",IF(OR(AN$8&lt;$E34,AN$8-$E34&gt;=12),0,$C34*INDEX(Fondsen!$F$5:$Q$30,MATCH($B34,Fondsen!$A$5:$A$30,0),AN$8-$E34+1)))</f>
        <v/>
      </c>
      <c r="AO34" s="39" t="str">
        <f t="array" ref="AO34">IF(OR($B34="",$C34="",$E34=""),"",IF(OR(AO$8&lt;$E34,AO$8-$E34&gt;=12),0,$C34*INDEX(Fondsen!$F$5:$Q$30,MATCH($B34,Fondsen!$A$5:$A$30,0),AO$8-$E34+1)))</f>
        <v/>
      </c>
      <c r="AP34" s="38" t="str">
        <f t="array" ref="AP34">IF(OR($B34="",$C34="",$E34=""),"",IF(OR(AP$8&lt;$E34,AP$8-$E34&gt;=12),0,$C34*INDEX(Fondsen!$F$5:$Q$30,MATCH($B34,Fondsen!$A$5:$A$30,0),AP$8-$E34+1)))</f>
        <v/>
      </c>
      <c r="AQ34" s="39" t="str">
        <f t="array" ref="AQ34">IF(OR($B34="",$C34="",$E34=""),"",IF(OR(AQ$8&lt;$E34,AQ$8-$E34&gt;=12),0,$C34*INDEX(Fondsen!$F$5:$Q$30,MATCH($B34,Fondsen!$A$5:$A$30,0),AQ$8-$E34+1)))</f>
        <v/>
      </c>
      <c r="AR34" s="38" t="str">
        <f t="array" ref="AR34">IF(OR($B34="",$C34="",$E34=""),"",IF(OR(AR$8&lt;$E34,AR$8-$E34&gt;=12),0,$C34*INDEX(Fondsen!$F$5:$Q$30,MATCH($B34,Fondsen!$A$5:$A$30,0),AR$8-$E34+1)))</f>
        <v/>
      </c>
      <c r="AS34" s="39" t="str">
        <f t="array" ref="AS34">IF(OR($B34="",$C34="",$E34=""),"",IF(OR(AS$8&lt;$E34,AS$8-$E34&gt;=12),0,$C34*INDEX(Fondsen!$F$5:$Q$30,MATCH($B34,Fondsen!$A$5:$A$30,0),AS$8-$E34+1)))</f>
        <v/>
      </c>
      <c r="AT34" s="45"/>
    </row>
    <row r="35" ht="24.0" customHeight="1">
      <c r="A35" s="47" t="str">
        <f>IF(B35="","",IFERROR(VLOOKUP(B35,Fondsen!$A$5:$B$30,2,FALSE()),""))</f>
        <v/>
      </c>
      <c r="B35" s="26"/>
      <c r="C35" s="27"/>
      <c r="D35" s="44" t="s">
        <v>11</v>
      </c>
      <c r="E35" s="29"/>
      <c r="F35" s="30" t="str">
        <f t="array" ref="F35">IF(OR($B35="",$C35="",$E35=""),"",IF(OR(F$8&lt;$E35,F$8-$E35&gt;=12),0,$C35*INDEX(Fondsen!$F$5:$Q$30,MATCH($B35,Fondsen!$A$5:$A$30,0),F$8-$E35+1)))</f>
        <v/>
      </c>
      <c r="G35" s="31" t="str">
        <f t="array" ref="G35">IF(OR($B35="",$C35="",$E35=""),"",IF(OR(G$8&lt;$E35,G$8-$E35&gt;=12),0,$C35*INDEX(Fondsen!$F$5:$Q$30,MATCH($B35,Fondsen!$A$5:$A$30,0),G$8-$E35+1)))</f>
        <v/>
      </c>
      <c r="H35" s="30" t="str">
        <f t="array" ref="H35">IF(OR($B35="",$C35="",$E35=""),"",IF(OR(H$8&lt;$E35,H$8-$E35&gt;=12),0,$C35*INDEX(Fondsen!$F$5:$Q$30,MATCH($B35,Fondsen!$A$5:$A$30,0),H$8-$E35+1)))</f>
        <v/>
      </c>
      <c r="I35" s="31" t="str">
        <f t="array" ref="I35">IF(OR($B35="",$C35="",$E35=""),"",IF(OR(I$8&lt;$E35,I$8-$E35&gt;=12),0,$C35*INDEX(Fondsen!$F$5:$Q$30,MATCH($B35,Fondsen!$A$5:$A$30,0),I$8-$E35+1)))</f>
        <v/>
      </c>
      <c r="J35" s="30" t="str">
        <f t="array" ref="J35">IF(OR($B35="",$C35="",$E35=""),"",IF(OR(J$8&lt;$E35,J$8-$E35&gt;=12),0,$C35*INDEX(Fondsen!$F$5:$Q$30,MATCH($B35,Fondsen!$A$5:$A$30,0),J$8-$E35+1)))</f>
        <v/>
      </c>
      <c r="K35" s="31" t="str">
        <f t="array" ref="K35">IF(OR($B35="",$C35="",$E35=""),"",IF(OR(K$8&lt;$E35,K$8-$E35&gt;=12),0,$C35*INDEX(Fondsen!$F$5:$Q$30,MATCH($B35,Fondsen!$A$5:$A$30,0),K$8-$E35+1)))</f>
        <v/>
      </c>
      <c r="L35" s="30" t="str">
        <f t="array" ref="L35">IF(OR($B35="",$C35="",$E35=""),"",IF(OR(L$8&lt;$E35,L$8-$E35&gt;=12),0,$C35*INDEX(Fondsen!$F$5:$Q$30,MATCH($B35,Fondsen!$A$5:$A$30,0),L$8-$E35+1)))</f>
        <v/>
      </c>
      <c r="M35" s="31" t="str">
        <f t="array" ref="M35">IF(OR($B35="",$C35="",$E35=""),"",IF(OR(M$8&lt;$E35,M$8-$E35&gt;=12),0,$C35*INDEX(Fondsen!$F$5:$Q$30,MATCH($B35,Fondsen!$A$5:$A$30,0),M$8-$E35+1)))</f>
        <v/>
      </c>
      <c r="N35" s="30" t="str">
        <f t="array" ref="N35">IF(OR($B35="",$C35="",$E35=""),"",IF(OR(N$8&lt;$E35,N$8-$E35&gt;=12),0,$C35*INDEX(Fondsen!$F$5:$Q$30,MATCH($B35,Fondsen!$A$5:$A$30,0),N$8-$E35+1)))</f>
        <v/>
      </c>
      <c r="O35" s="31" t="str">
        <f t="array" ref="O35">IF(OR($B35="",$C35="",$E35=""),"",IF(OR(O$8&lt;$E35,O$8-$E35&gt;=12),0,$C35*INDEX(Fondsen!$F$5:$Q$30,MATCH($B35,Fondsen!$A$5:$A$30,0),O$8-$E35+1)))</f>
        <v/>
      </c>
      <c r="P35" s="30" t="str">
        <f t="array" ref="P35">IF(OR($B35="",$C35="",$E35=""),"",IF(OR(P$8&lt;$E35,P$8-$E35&gt;=12),0,$C35*INDEX(Fondsen!$F$5:$Q$30,MATCH($B35,Fondsen!$A$5:$A$30,0),P$8-$E35+1)))</f>
        <v/>
      </c>
      <c r="Q35" s="31" t="str">
        <f t="array" ref="Q35">IF(OR($B35="",$C35="",$E35=""),"",IF(OR(Q$8&lt;$E35,Q$8-$E35&gt;=12),0,$C35*INDEX(Fondsen!$F$5:$Q$30,MATCH($B35,Fondsen!$A$5:$A$30,0),Q$8-$E35+1)))</f>
        <v/>
      </c>
      <c r="R35" s="30" t="str">
        <f t="array" ref="R35">IF(OR($B35="",$C35="",$E35=""),"",IF(OR(R$8&lt;$E35,R$8-$E35&gt;=12),0,$C35*INDEX(Fondsen!$F$5:$Q$30,MATCH($B35,Fondsen!$A$5:$A$30,0),R$8-$E35+1)))</f>
        <v/>
      </c>
      <c r="S35" s="31" t="str">
        <f t="array" ref="S35">IF(OR($B35="",$C35="",$E35=""),"",IF(OR(S$8&lt;$E35,S$8-$E35&gt;=12),0,$C35*INDEX(Fondsen!$F$5:$Q$30,MATCH($B35,Fondsen!$A$5:$A$30,0),S$8-$E35+1)))</f>
        <v/>
      </c>
      <c r="T35" s="30" t="str">
        <f t="array" ref="T35">IF(OR($B35="",$C35="",$E35=""),"",IF(OR(T$8&lt;$E35,T$8-$E35&gt;=12),0,$C35*INDEX(Fondsen!$F$5:$Q$30,MATCH($B35,Fondsen!$A$5:$A$30,0),T$8-$E35+1)))</f>
        <v/>
      </c>
      <c r="U35" s="31" t="str">
        <f t="array" ref="U35">IF(OR($B35="",$C35="",$E35=""),"",IF(OR(U$8&lt;$E35,U$8-$E35&gt;=12),0,$C35*INDEX(Fondsen!$F$5:$Q$30,MATCH($B35,Fondsen!$A$5:$A$30,0),U$8-$E35+1)))</f>
        <v/>
      </c>
      <c r="V35" s="30" t="str">
        <f t="array" ref="V35">IF(OR($B35="",$C35="",$E35=""),"",IF(OR(V$8&lt;$E35,V$8-$E35&gt;=12),0,$C35*INDEX(Fondsen!$F$5:$Q$30,MATCH($B35,Fondsen!$A$5:$A$30,0),V$8-$E35+1)))</f>
        <v/>
      </c>
      <c r="W35" s="31" t="str">
        <f t="array" ref="W35">IF(OR($B35="",$C35="",$E35=""),"",IF(OR(W$8&lt;$E35,W$8-$E35&gt;=12),0,$C35*INDEX(Fondsen!$F$5:$Q$30,MATCH($B35,Fondsen!$A$5:$A$30,0),W$8-$E35+1)))</f>
        <v/>
      </c>
      <c r="X35" s="30" t="str">
        <f t="array" ref="X35">IF(OR($B35="",$C35="",$E35=""),"",IF(OR(X$8&lt;$E35,X$8-$E35&gt;=12),0,$C35*INDEX(Fondsen!$F$5:$Q$30,MATCH($B35,Fondsen!$A$5:$A$30,0),X$8-$E35+1)))</f>
        <v/>
      </c>
      <c r="Y35" s="31" t="str">
        <f t="array" ref="Y35">IF(OR($B35="",$C35="",$E35=""),"",IF(OR(Y$8&lt;$E35,Y$8-$E35&gt;=12),0,$C35*INDEX(Fondsen!$F$5:$Q$30,MATCH($B35,Fondsen!$A$5:$A$30,0),Y$8-$E35+1)))</f>
        <v/>
      </c>
      <c r="Z35" s="30" t="str">
        <f t="array" ref="Z35">IF(OR($B35="",$C35="",$E35=""),"",IF(OR(Z$8&lt;$E35,Z$8-$E35&gt;=12),0,$C35*INDEX(Fondsen!$F$5:$Q$30,MATCH($B35,Fondsen!$A$5:$A$30,0),Z$8-$E35+1)))</f>
        <v/>
      </c>
      <c r="AA35" s="31" t="str">
        <f t="array" ref="AA35">IF(OR($B35="",$C35="",$E35=""),"",IF(OR(AA$8&lt;$E35,AA$8-$E35&gt;=12),0,$C35*INDEX(Fondsen!$F$5:$Q$30,MATCH($B35,Fondsen!$A$5:$A$30,0),AA$8-$E35+1)))</f>
        <v/>
      </c>
      <c r="AB35" s="30" t="str">
        <f t="array" ref="AB35">IF(OR($B35="",$C35="",$E35=""),"",IF(OR(AB$8&lt;$E35,AB$8-$E35&gt;=12),0,$C35*INDEX(Fondsen!$F$5:$Q$30,MATCH($B35,Fondsen!$A$5:$A$30,0),AB$8-$E35+1)))</f>
        <v/>
      </c>
      <c r="AC35" s="31" t="str">
        <f t="array" ref="AC35">IF(OR($B35="",$C35="",$E35=""),"",IF(OR(AC$8&lt;$E35,AC$8-$E35&gt;=12),0,$C35*INDEX(Fondsen!$F$5:$Q$30,MATCH($B35,Fondsen!$A$5:$A$30,0),AC$8-$E35+1)))</f>
        <v/>
      </c>
      <c r="AD35" s="30" t="str">
        <f t="array" ref="AD35">IF(OR($B35="",$C35="",$E35=""),"",IF(OR(AD$8&lt;$E35,AD$8-$E35&gt;=12),0,$C35*INDEX(Fondsen!$F$5:$Q$30,MATCH($B35,Fondsen!$A$5:$A$30,0),AD$8-$E35+1)))</f>
        <v/>
      </c>
      <c r="AE35" s="31" t="str">
        <f t="array" ref="AE35">IF(OR($B35="",$C35="",$E35=""),"",IF(OR(AE$8&lt;$E35,AE$8-$E35&gt;=12),0,$C35*INDEX(Fondsen!$F$5:$Q$30,MATCH($B35,Fondsen!$A$5:$A$30,0),AE$8-$E35+1)))</f>
        <v/>
      </c>
      <c r="AF35" s="30" t="str">
        <f t="array" ref="AF35">IF(OR($B35="",$C35="",$E35=""),"",IF(OR(AF$8&lt;$E35,AF$8-$E35&gt;=12),0,$C35*INDEX(Fondsen!$F$5:$Q$30,MATCH($B35,Fondsen!$A$5:$A$30,0),AF$8-$E35+1)))</f>
        <v/>
      </c>
      <c r="AG35" s="31" t="str">
        <f t="array" ref="AG35">IF(OR($B35="",$C35="",$E35=""),"",IF(OR(AG$8&lt;$E35,AG$8-$E35&gt;=12),0,$C35*INDEX(Fondsen!$F$5:$Q$30,MATCH($B35,Fondsen!$A$5:$A$30,0),AG$8-$E35+1)))</f>
        <v/>
      </c>
      <c r="AH35" s="30" t="str">
        <f t="array" ref="AH35">IF(OR($B35="",$C35="",$E35=""),"",IF(OR(AH$8&lt;$E35,AH$8-$E35&gt;=12),0,$C35*INDEX(Fondsen!$F$5:$Q$30,MATCH($B35,Fondsen!$A$5:$A$30,0),AH$8-$E35+1)))</f>
        <v/>
      </c>
      <c r="AI35" s="31" t="str">
        <f t="array" ref="AI35">IF(OR($B35="",$C35="",$E35=""),"",IF(OR(AI$8&lt;$E35,AI$8-$E35&gt;=12),0,$C35*INDEX(Fondsen!$F$5:$Q$30,MATCH($B35,Fondsen!$A$5:$A$30,0),AI$8-$E35+1)))</f>
        <v/>
      </c>
      <c r="AJ35" s="30" t="str">
        <f t="array" ref="AJ35">IF(OR($B35="",$C35="",$E35=""),"",IF(OR(AJ$8&lt;$E35,AJ$8-$E35&gt;=12),0,$C35*INDEX(Fondsen!$F$5:$Q$30,MATCH($B35,Fondsen!$A$5:$A$30,0),AJ$8-$E35+1)))</f>
        <v/>
      </c>
      <c r="AK35" s="31" t="str">
        <f t="array" ref="AK35">IF(OR($B35="",$C35="",$E35=""),"",IF(OR(AK$8&lt;$E35,AK$8-$E35&gt;=12),0,$C35*INDEX(Fondsen!$F$5:$Q$30,MATCH($B35,Fondsen!$A$5:$A$30,0),AK$8-$E35+1)))</f>
        <v/>
      </c>
      <c r="AL35" s="30" t="str">
        <f t="array" ref="AL35">IF(OR($B35="",$C35="",$E35=""),"",IF(OR(AL$8&lt;$E35,AL$8-$E35&gt;=12),0,$C35*INDEX(Fondsen!$F$5:$Q$30,MATCH($B35,Fondsen!$A$5:$A$30,0),AL$8-$E35+1)))</f>
        <v/>
      </c>
      <c r="AM35" s="31" t="str">
        <f t="array" ref="AM35">IF(OR($B35="",$C35="",$E35=""),"",IF(OR(AM$8&lt;$E35,AM$8-$E35&gt;=12),0,$C35*INDEX(Fondsen!$F$5:$Q$30,MATCH($B35,Fondsen!$A$5:$A$30,0),AM$8-$E35+1)))</f>
        <v/>
      </c>
      <c r="AN35" s="30" t="str">
        <f t="array" ref="AN35">IF(OR($B35="",$C35="",$E35=""),"",IF(OR(AN$8&lt;$E35,AN$8-$E35&gt;=12),0,$C35*INDEX(Fondsen!$F$5:$Q$30,MATCH($B35,Fondsen!$A$5:$A$30,0),AN$8-$E35+1)))</f>
        <v/>
      </c>
      <c r="AO35" s="31" t="str">
        <f t="array" ref="AO35">IF(OR($B35="",$C35="",$E35=""),"",IF(OR(AO$8&lt;$E35,AO$8-$E35&gt;=12),0,$C35*INDEX(Fondsen!$F$5:$Q$30,MATCH($B35,Fondsen!$A$5:$A$30,0),AO$8-$E35+1)))</f>
        <v/>
      </c>
      <c r="AP35" s="30" t="str">
        <f t="array" ref="AP35">IF(OR($B35="",$C35="",$E35=""),"",IF(OR(AP$8&lt;$E35,AP$8-$E35&gt;=12),0,$C35*INDEX(Fondsen!$F$5:$Q$30,MATCH($B35,Fondsen!$A$5:$A$30,0),AP$8-$E35+1)))</f>
        <v/>
      </c>
      <c r="AQ35" s="31" t="str">
        <f t="array" ref="AQ35">IF(OR($B35="",$C35="",$E35=""),"",IF(OR(AQ$8&lt;$E35,AQ$8-$E35&gt;=12),0,$C35*INDEX(Fondsen!$F$5:$Q$30,MATCH($B35,Fondsen!$A$5:$A$30,0),AQ$8-$E35+1)))</f>
        <v/>
      </c>
      <c r="AR35" s="30" t="str">
        <f t="array" ref="AR35">IF(OR($B35="",$C35="",$E35=""),"",IF(OR(AR$8&lt;$E35,AR$8-$E35&gt;=12),0,$C35*INDEX(Fondsen!$F$5:$Q$30,MATCH($B35,Fondsen!$A$5:$A$30,0),AR$8-$E35+1)))</f>
        <v/>
      </c>
      <c r="AS35" s="31" t="str">
        <f t="array" ref="AS35">IF(OR($B35="",$C35="",$E35=""),"",IF(OR(AS$8&lt;$E35,AS$8-$E35&gt;=12),0,$C35*INDEX(Fondsen!$F$5:$Q$30,MATCH($B35,Fondsen!$A$5:$A$30,0),AS$8-$E35+1)))</f>
        <v/>
      </c>
      <c r="AT35" s="45"/>
    </row>
    <row r="36" ht="24.0" customHeight="1" outlineLevel="1">
      <c r="A36" s="33" t="str">
        <f>IF(B36="","",IFERROR(VLOOKUP(B36,Fondsen!$A$5:$B$30,2,FALSE()),""))</f>
        <v/>
      </c>
      <c r="B36" s="34"/>
      <c r="C36" s="35"/>
      <c r="D36" s="46" t="s">
        <v>11</v>
      </c>
      <c r="E36" s="37"/>
      <c r="F36" s="38" t="str">
        <f t="array" ref="F36">IF(OR($B36="",$C36="",$E36=""),"",IF(OR(F$8&lt;$E36,F$8-$E36&gt;=12),0,$C36*INDEX(Fondsen!$F$5:$Q$30,MATCH($B36,Fondsen!$A$5:$A$30,0),F$8-$E36+1)))</f>
        <v/>
      </c>
      <c r="G36" s="39" t="str">
        <f t="array" ref="G36">IF(OR($B36="",$C36="",$E36=""),"",IF(OR(G$8&lt;$E36,G$8-$E36&gt;=12),0,$C36*INDEX(Fondsen!$F$5:$Q$30,MATCH($B36,Fondsen!$A$5:$A$30,0),G$8-$E36+1)))</f>
        <v/>
      </c>
      <c r="H36" s="38" t="str">
        <f t="array" ref="H36">IF(OR($B36="",$C36="",$E36=""),"",IF(OR(H$8&lt;$E36,H$8-$E36&gt;=12),0,$C36*INDEX(Fondsen!$F$5:$Q$30,MATCH($B36,Fondsen!$A$5:$A$30,0),H$8-$E36+1)))</f>
        <v/>
      </c>
      <c r="I36" s="39" t="str">
        <f t="array" ref="I36">IF(OR($B36="",$C36="",$E36=""),"",IF(OR(I$8&lt;$E36,I$8-$E36&gt;=12),0,$C36*INDEX(Fondsen!$F$5:$Q$30,MATCH($B36,Fondsen!$A$5:$A$30,0),I$8-$E36+1)))</f>
        <v/>
      </c>
      <c r="J36" s="38" t="str">
        <f t="array" ref="J36">IF(OR($B36="",$C36="",$E36=""),"",IF(OR(J$8&lt;$E36,J$8-$E36&gt;=12),0,$C36*INDEX(Fondsen!$F$5:$Q$30,MATCH($B36,Fondsen!$A$5:$A$30,0),J$8-$E36+1)))</f>
        <v/>
      </c>
      <c r="K36" s="39" t="str">
        <f t="array" ref="K36">IF(OR($B36="",$C36="",$E36=""),"",IF(OR(K$8&lt;$E36,K$8-$E36&gt;=12),0,$C36*INDEX(Fondsen!$F$5:$Q$30,MATCH($B36,Fondsen!$A$5:$A$30,0),K$8-$E36+1)))</f>
        <v/>
      </c>
      <c r="L36" s="38" t="str">
        <f t="array" ref="L36">IF(OR($B36="",$C36="",$E36=""),"",IF(OR(L$8&lt;$E36,L$8-$E36&gt;=12),0,$C36*INDEX(Fondsen!$F$5:$Q$30,MATCH($B36,Fondsen!$A$5:$A$30,0),L$8-$E36+1)))</f>
        <v/>
      </c>
      <c r="M36" s="39" t="str">
        <f t="array" ref="M36">IF(OR($B36="",$C36="",$E36=""),"",IF(OR(M$8&lt;$E36,M$8-$E36&gt;=12),0,$C36*INDEX(Fondsen!$F$5:$Q$30,MATCH($B36,Fondsen!$A$5:$A$30,0),M$8-$E36+1)))</f>
        <v/>
      </c>
      <c r="N36" s="38" t="str">
        <f t="array" ref="N36">IF(OR($B36="",$C36="",$E36=""),"",IF(OR(N$8&lt;$E36,N$8-$E36&gt;=12),0,$C36*INDEX(Fondsen!$F$5:$Q$30,MATCH($B36,Fondsen!$A$5:$A$30,0),N$8-$E36+1)))</f>
        <v/>
      </c>
      <c r="O36" s="39" t="str">
        <f t="array" ref="O36">IF(OR($B36="",$C36="",$E36=""),"",IF(OR(O$8&lt;$E36,O$8-$E36&gt;=12),0,$C36*INDEX(Fondsen!$F$5:$Q$30,MATCH($B36,Fondsen!$A$5:$A$30,0),O$8-$E36+1)))</f>
        <v/>
      </c>
      <c r="P36" s="38" t="str">
        <f t="array" ref="P36">IF(OR($B36="",$C36="",$E36=""),"",IF(OR(P$8&lt;$E36,P$8-$E36&gt;=12),0,$C36*INDEX(Fondsen!$F$5:$Q$30,MATCH($B36,Fondsen!$A$5:$A$30,0),P$8-$E36+1)))</f>
        <v/>
      </c>
      <c r="Q36" s="39" t="str">
        <f t="array" ref="Q36">IF(OR($B36="",$C36="",$E36=""),"",IF(OR(Q$8&lt;$E36,Q$8-$E36&gt;=12),0,$C36*INDEX(Fondsen!$F$5:$Q$30,MATCH($B36,Fondsen!$A$5:$A$30,0),Q$8-$E36+1)))</f>
        <v/>
      </c>
      <c r="R36" s="38" t="str">
        <f t="array" ref="R36">IF(OR($B36="",$C36="",$E36=""),"",IF(OR(R$8&lt;$E36,R$8-$E36&gt;=12),0,$C36*INDEX(Fondsen!$F$5:$Q$30,MATCH($B36,Fondsen!$A$5:$A$30,0),R$8-$E36+1)))</f>
        <v/>
      </c>
      <c r="S36" s="39" t="str">
        <f t="array" ref="S36">IF(OR($B36="",$C36="",$E36=""),"",IF(OR(S$8&lt;$E36,S$8-$E36&gt;=12),0,$C36*INDEX(Fondsen!$F$5:$Q$30,MATCH($B36,Fondsen!$A$5:$A$30,0),S$8-$E36+1)))</f>
        <v/>
      </c>
      <c r="T36" s="38" t="str">
        <f t="array" ref="T36">IF(OR($B36="",$C36="",$E36=""),"",IF(OR(T$8&lt;$E36,T$8-$E36&gt;=12),0,$C36*INDEX(Fondsen!$F$5:$Q$30,MATCH($B36,Fondsen!$A$5:$A$30,0),T$8-$E36+1)))</f>
        <v/>
      </c>
      <c r="U36" s="39" t="str">
        <f t="array" ref="U36">IF(OR($B36="",$C36="",$E36=""),"",IF(OR(U$8&lt;$E36,U$8-$E36&gt;=12),0,$C36*INDEX(Fondsen!$F$5:$Q$30,MATCH($B36,Fondsen!$A$5:$A$30,0),U$8-$E36+1)))</f>
        <v/>
      </c>
      <c r="V36" s="38" t="str">
        <f t="array" ref="V36">IF(OR($B36="",$C36="",$E36=""),"",IF(OR(V$8&lt;$E36,V$8-$E36&gt;=12),0,$C36*INDEX(Fondsen!$F$5:$Q$30,MATCH($B36,Fondsen!$A$5:$A$30,0),V$8-$E36+1)))</f>
        <v/>
      </c>
      <c r="W36" s="39" t="str">
        <f t="array" ref="W36">IF(OR($B36="",$C36="",$E36=""),"",IF(OR(W$8&lt;$E36,W$8-$E36&gt;=12),0,$C36*INDEX(Fondsen!$F$5:$Q$30,MATCH($B36,Fondsen!$A$5:$A$30,0),W$8-$E36+1)))</f>
        <v/>
      </c>
      <c r="X36" s="38" t="str">
        <f t="array" ref="X36">IF(OR($B36="",$C36="",$E36=""),"",IF(OR(X$8&lt;$E36,X$8-$E36&gt;=12),0,$C36*INDEX(Fondsen!$F$5:$Q$30,MATCH($B36,Fondsen!$A$5:$A$30,0),X$8-$E36+1)))</f>
        <v/>
      </c>
      <c r="Y36" s="39" t="str">
        <f t="array" ref="Y36">IF(OR($B36="",$C36="",$E36=""),"",IF(OR(Y$8&lt;$E36,Y$8-$E36&gt;=12),0,$C36*INDEX(Fondsen!$F$5:$Q$30,MATCH($B36,Fondsen!$A$5:$A$30,0),Y$8-$E36+1)))</f>
        <v/>
      </c>
      <c r="Z36" s="38" t="str">
        <f t="array" ref="Z36">IF(OR($B36="",$C36="",$E36=""),"",IF(OR(Z$8&lt;$E36,Z$8-$E36&gt;=12),0,$C36*INDEX(Fondsen!$F$5:$Q$30,MATCH($B36,Fondsen!$A$5:$A$30,0),Z$8-$E36+1)))</f>
        <v/>
      </c>
      <c r="AA36" s="39" t="str">
        <f t="array" ref="AA36">IF(OR($B36="",$C36="",$E36=""),"",IF(OR(AA$8&lt;$E36,AA$8-$E36&gt;=12),0,$C36*INDEX(Fondsen!$F$5:$Q$30,MATCH($B36,Fondsen!$A$5:$A$30,0),AA$8-$E36+1)))</f>
        <v/>
      </c>
      <c r="AB36" s="38" t="str">
        <f t="array" ref="AB36">IF(OR($B36="",$C36="",$E36=""),"",IF(OR(AB$8&lt;$E36,AB$8-$E36&gt;=12),0,$C36*INDEX(Fondsen!$F$5:$Q$30,MATCH($B36,Fondsen!$A$5:$A$30,0),AB$8-$E36+1)))</f>
        <v/>
      </c>
      <c r="AC36" s="39" t="str">
        <f t="array" ref="AC36">IF(OR($B36="",$C36="",$E36=""),"",IF(OR(AC$8&lt;$E36,AC$8-$E36&gt;=12),0,$C36*INDEX(Fondsen!$F$5:$Q$30,MATCH($B36,Fondsen!$A$5:$A$30,0),AC$8-$E36+1)))</f>
        <v/>
      </c>
      <c r="AD36" s="38" t="str">
        <f t="array" ref="AD36">IF(OR($B36="",$C36="",$E36=""),"",IF(OR(AD$8&lt;$E36,AD$8-$E36&gt;=12),0,$C36*INDEX(Fondsen!$F$5:$Q$30,MATCH($B36,Fondsen!$A$5:$A$30,0),AD$8-$E36+1)))</f>
        <v/>
      </c>
      <c r="AE36" s="39" t="str">
        <f t="array" ref="AE36">IF(OR($B36="",$C36="",$E36=""),"",IF(OR(AE$8&lt;$E36,AE$8-$E36&gt;=12),0,$C36*INDEX(Fondsen!$F$5:$Q$30,MATCH($B36,Fondsen!$A$5:$A$30,0),AE$8-$E36+1)))</f>
        <v/>
      </c>
      <c r="AF36" s="38" t="str">
        <f t="array" ref="AF36">IF(OR($B36="",$C36="",$E36=""),"",IF(OR(AF$8&lt;$E36,AF$8-$E36&gt;=12),0,$C36*INDEX(Fondsen!$F$5:$Q$30,MATCH($B36,Fondsen!$A$5:$A$30,0),AF$8-$E36+1)))</f>
        <v/>
      </c>
      <c r="AG36" s="39" t="str">
        <f t="array" ref="AG36">IF(OR($B36="",$C36="",$E36=""),"",IF(OR(AG$8&lt;$E36,AG$8-$E36&gt;=12),0,$C36*INDEX(Fondsen!$F$5:$Q$30,MATCH($B36,Fondsen!$A$5:$A$30,0),AG$8-$E36+1)))</f>
        <v/>
      </c>
      <c r="AH36" s="38" t="str">
        <f t="array" ref="AH36">IF(OR($B36="",$C36="",$E36=""),"",IF(OR(AH$8&lt;$E36,AH$8-$E36&gt;=12),0,$C36*INDEX(Fondsen!$F$5:$Q$30,MATCH($B36,Fondsen!$A$5:$A$30,0),AH$8-$E36+1)))</f>
        <v/>
      </c>
      <c r="AI36" s="39" t="str">
        <f t="array" ref="AI36">IF(OR($B36="",$C36="",$E36=""),"",IF(OR(AI$8&lt;$E36,AI$8-$E36&gt;=12),0,$C36*INDEX(Fondsen!$F$5:$Q$30,MATCH($B36,Fondsen!$A$5:$A$30,0),AI$8-$E36+1)))</f>
        <v/>
      </c>
      <c r="AJ36" s="38" t="str">
        <f t="array" ref="AJ36">IF(OR($B36="",$C36="",$E36=""),"",IF(OR(AJ$8&lt;$E36,AJ$8-$E36&gt;=12),0,$C36*INDEX(Fondsen!$F$5:$Q$30,MATCH($B36,Fondsen!$A$5:$A$30,0),AJ$8-$E36+1)))</f>
        <v/>
      </c>
      <c r="AK36" s="39" t="str">
        <f t="array" ref="AK36">IF(OR($B36="",$C36="",$E36=""),"",IF(OR(AK$8&lt;$E36,AK$8-$E36&gt;=12),0,$C36*INDEX(Fondsen!$F$5:$Q$30,MATCH($B36,Fondsen!$A$5:$A$30,0),AK$8-$E36+1)))</f>
        <v/>
      </c>
      <c r="AL36" s="38" t="str">
        <f t="array" ref="AL36">IF(OR($B36="",$C36="",$E36=""),"",IF(OR(AL$8&lt;$E36,AL$8-$E36&gt;=12),0,$C36*INDEX(Fondsen!$F$5:$Q$30,MATCH($B36,Fondsen!$A$5:$A$30,0),AL$8-$E36+1)))</f>
        <v/>
      </c>
      <c r="AM36" s="39" t="str">
        <f t="array" ref="AM36">IF(OR($B36="",$C36="",$E36=""),"",IF(OR(AM$8&lt;$E36,AM$8-$E36&gt;=12),0,$C36*INDEX(Fondsen!$F$5:$Q$30,MATCH($B36,Fondsen!$A$5:$A$30,0),AM$8-$E36+1)))</f>
        <v/>
      </c>
      <c r="AN36" s="38" t="str">
        <f t="array" ref="AN36">IF(OR($B36="",$C36="",$E36=""),"",IF(OR(AN$8&lt;$E36,AN$8-$E36&gt;=12),0,$C36*INDEX(Fondsen!$F$5:$Q$30,MATCH($B36,Fondsen!$A$5:$A$30,0),AN$8-$E36+1)))</f>
        <v/>
      </c>
      <c r="AO36" s="39" t="str">
        <f t="array" ref="AO36">IF(OR($B36="",$C36="",$E36=""),"",IF(OR(AO$8&lt;$E36,AO$8-$E36&gt;=12),0,$C36*INDEX(Fondsen!$F$5:$Q$30,MATCH($B36,Fondsen!$A$5:$A$30,0),AO$8-$E36+1)))</f>
        <v/>
      </c>
      <c r="AP36" s="38" t="str">
        <f t="array" ref="AP36">IF(OR($B36="",$C36="",$E36=""),"",IF(OR(AP$8&lt;$E36,AP$8-$E36&gt;=12),0,$C36*INDEX(Fondsen!$F$5:$Q$30,MATCH($B36,Fondsen!$A$5:$A$30,0),AP$8-$E36+1)))</f>
        <v/>
      </c>
      <c r="AQ36" s="39" t="str">
        <f t="array" ref="AQ36">IF(OR($B36="",$C36="",$E36=""),"",IF(OR(AQ$8&lt;$E36,AQ$8-$E36&gt;=12),0,$C36*INDEX(Fondsen!$F$5:$Q$30,MATCH($B36,Fondsen!$A$5:$A$30,0),AQ$8-$E36+1)))</f>
        <v/>
      </c>
      <c r="AR36" s="38" t="str">
        <f t="array" ref="AR36">IF(OR($B36="",$C36="",$E36=""),"",IF(OR(AR$8&lt;$E36,AR$8-$E36&gt;=12),0,$C36*INDEX(Fondsen!$F$5:$Q$30,MATCH($B36,Fondsen!$A$5:$A$30,0),AR$8-$E36+1)))</f>
        <v/>
      </c>
      <c r="AS36" s="39" t="str">
        <f t="array" ref="AS36">IF(OR($B36="",$C36="",$E36=""),"",IF(OR(AS$8&lt;$E36,AS$8-$E36&gt;=12),0,$C36*INDEX(Fondsen!$F$5:$Q$30,MATCH($B36,Fondsen!$A$5:$A$30,0),AS$8-$E36+1)))</f>
        <v/>
      </c>
      <c r="AT36" s="45"/>
    </row>
    <row r="37" ht="24.0" customHeight="1" outlineLevel="1">
      <c r="A37" s="47" t="str">
        <f>IF(B37="","",IFERROR(VLOOKUP(B37,Fondsen!$A$5:$B$30,2,FALSE()),""))</f>
        <v/>
      </c>
      <c r="B37" s="26"/>
      <c r="C37" s="27"/>
      <c r="D37" s="44" t="s">
        <v>11</v>
      </c>
      <c r="E37" s="29"/>
      <c r="F37" s="30" t="str">
        <f t="array" ref="F37">IF(OR($B37="",$C37="",$E37=""),"",IF(OR(F$8&lt;$E37,F$8-$E37&gt;=12),0,$C37*INDEX(Fondsen!$F$5:$Q$30,MATCH($B37,Fondsen!$A$5:$A$30,0),F$8-$E37+1)))</f>
        <v/>
      </c>
      <c r="G37" s="31" t="str">
        <f t="array" ref="G37">IF(OR($B37="",$C37="",$E37=""),"",IF(OR(G$8&lt;$E37,G$8-$E37&gt;=12),0,$C37*INDEX(Fondsen!$F$5:$Q$30,MATCH($B37,Fondsen!$A$5:$A$30,0),G$8-$E37+1)))</f>
        <v/>
      </c>
      <c r="H37" s="30" t="str">
        <f t="array" ref="H37">IF(OR($B37="",$C37="",$E37=""),"",IF(OR(H$8&lt;$E37,H$8-$E37&gt;=12),0,$C37*INDEX(Fondsen!$F$5:$Q$30,MATCH($B37,Fondsen!$A$5:$A$30,0),H$8-$E37+1)))</f>
        <v/>
      </c>
      <c r="I37" s="31" t="str">
        <f t="array" ref="I37">IF(OR($B37="",$C37="",$E37=""),"",IF(OR(I$8&lt;$E37,I$8-$E37&gt;=12),0,$C37*INDEX(Fondsen!$F$5:$Q$30,MATCH($B37,Fondsen!$A$5:$A$30,0),I$8-$E37+1)))</f>
        <v/>
      </c>
      <c r="J37" s="30" t="str">
        <f t="array" ref="J37">IF(OR($B37="",$C37="",$E37=""),"",IF(OR(J$8&lt;$E37,J$8-$E37&gt;=12),0,$C37*INDEX(Fondsen!$F$5:$Q$30,MATCH($B37,Fondsen!$A$5:$A$30,0),J$8-$E37+1)))</f>
        <v/>
      </c>
      <c r="K37" s="31" t="str">
        <f t="array" ref="K37">IF(OR($B37="",$C37="",$E37=""),"",IF(OR(K$8&lt;$E37,K$8-$E37&gt;=12),0,$C37*INDEX(Fondsen!$F$5:$Q$30,MATCH($B37,Fondsen!$A$5:$A$30,0),K$8-$E37+1)))</f>
        <v/>
      </c>
      <c r="L37" s="30" t="str">
        <f t="array" ref="L37">IF(OR($B37="",$C37="",$E37=""),"",IF(OR(L$8&lt;$E37,L$8-$E37&gt;=12),0,$C37*INDEX(Fondsen!$F$5:$Q$30,MATCH($B37,Fondsen!$A$5:$A$30,0),L$8-$E37+1)))</f>
        <v/>
      </c>
      <c r="M37" s="31" t="str">
        <f t="array" ref="M37">IF(OR($B37="",$C37="",$E37=""),"",IF(OR(M$8&lt;$E37,M$8-$E37&gt;=12),0,$C37*INDEX(Fondsen!$F$5:$Q$30,MATCH($B37,Fondsen!$A$5:$A$30,0),M$8-$E37+1)))</f>
        <v/>
      </c>
      <c r="N37" s="30" t="str">
        <f t="array" ref="N37">IF(OR($B37="",$C37="",$E37=""),"",IF(OR(N$8&lt;$E37,N$8-$E37&gt;=12),0,$C37*INDEX(Fondsen!$F$5:$Q$30,MATCH($B37,Fondsen!$A$5:$A$30,0),N$8-$E37+1)))</f>
        <v/>
      </c>
      <c r="O37" s="31" t="str">
        <f t="array" ref="O37">IF(OR($B37="",$C37="",$E37=""),"",IF(OR(O$8&lt;$E37,O$8-$E37&gt;=12),0,$C37*INDEX(Fondsen!$F$5:$Q$30,MATCH($B37,Fondsen!$A$5:$A$30,0),O$8-$E37+1)))</f>
        <v/>
      </c>
      <c r="P37" s="30" t="str">
        <f t="array" ref="P37">IF(OR($B37="",$C37="",$E37=""),"",IF(OR(P$8&lt;$E37,P$8-$E37&gt;=12),0,$C37*INDEX(Fondsen!$F$5:$Q$30,MATCH($B37,Fondsen!$A$5:$A$30,0),P$8-$E37+1)))</f>
        <v/>
      </c>
      <c r="Q37" s="31" t="str">
        <f t="array" ref="Q37">IF(OR($B37="",$C37="",$E37=""),"",IF(OR(Q$8&lt;$E37,Q$8-$E37&gt;=12),0,$C37*INDEX(Fondsen!$F$5:$Q$30,MATCH($B37,Fondsen!$A$5:$A$30,0),Q$8-$E37+1)))</f>
        <v/>
      </c>
      <c r="R37" s="30" t="str">
        <f t="array" ref="R37">IF(OR($B37="",$C37="",$E37=""),"",IF(OR(R$8&lt;$E37,R$8-$E37&gt;=12),0,$C37*INDEX(Fondsen!$F$5:$Q$30,MATCH($B37,Fondsen!$A$5:$A$30,0),R$8-$E37+1)))</f>
        <v/>
      </c>
      <c r="S37" s="31" t="str">
        <f t="array" ref="S37">IF(OR($B37="",$C37="",$E37=""),"",IF(OR(S$8&lt;$E37,S$8-$E37&gt;=12),0,$C37*INDEX(Fondsen!$F$5:$Q$30,MATCH($B37,Fondsen!$A$5:$A$30,0),S$8-$E37+1)))</f>
        <v/>
      </c>
      <c r="T37" s="30" t="str">
        <f t="array" ref="T37">IF(OR($B37="",$C37="",$E37=""),"",IF(OR(T$8&lt;$E37,T$8-$E37&gt;=12),0,$C37*INDEX(Fondsen!$F$5:$Q$30,MATCH($B37,Fondsen!$A$5:$A$30,0),T$8-$E37+1)))</f>
        <v/>
      </c>
      <c r="U37" s="31" t="str">
        <f t="array" ref="U37">IF(OR($B37="",$C37="",$E37=""),"",IF(OR(U$8&lt;$E37,U$8-$E37&gt;=12),0,$C37*INDEX(Fondsen!$F$5:$Q$30,MATCH($B37,Fondsen!$A$5:$A$30,0),U$8-$E37+1)))</f>
        <v/>
      </c>
      <c r="V37" s="30" t="str">
        <f t="array" ref="V37">IF(OR($B37="",$C37="",$E37=""),"",IF(OR(V$8&lt;$E37,V$8-$E37&gt;=12),0,$C37*INDEX(Fondsen!$F$5:$Q$30,MATCH($B37,Fondsen!$A$5:$A$30,0),V$8-$E37+1)))</f>
        <v/>
      </c>
      <c r="W37" s="31" t="str">
        <f t="array" ref="W37">IF(OR($B37="",$C37="",$E37=""),"",IF(OR(W$8&lt;$E37,W$8-$E37&gt;=12),0,$C37*INDEX(Fondsen!$F$5:$Q$30,MATCH($B37,Fondsen!$A$5:$A$30,0),W$8-$E37+1)))</f>
        <v/>
      </c>
      <c r="X37" s="30" t="str">
        <f t="array" ref="X37">IF(OR($B37="",$C37="",$E37=""),"",IF(OR(X$8&lt;$E37,X$8-$E37&gt;=12),0,$C37*INDEX(Fondsen!$F$5:$Q$30,MATCH($B37,Fondsen!$A$5:$A$30,0),X$8-$E37+1)))</f>
        <v/>
      </c>
      <c r="Y37" s="31" t="str">
        <f t="array" ref="Y37">IF(OR($B37="",$C37="",$E37=""),"",IF(OR(Y$8&lt;$E37,Y$8-$E37&gt;=12),0,$C37*INDEX(Fondsen!$F$5:$Q$30,MATCH($B37,Fondsen!$A$5:$A$30,0),Y$8-$E37+1)))</f>
        <v/>
      </c>
      <c r="Z37" s="30" t="str">
        <f t="array" ref="Z37">IF(OR($B37="",$C37="",$E37=""),"",IF(OR(Z$8&lt;$E37,Z$8-$E37&gt;=12),0,$C37*INDEX(Fondsen!$F$5:$Q$30,MATCH($B37,Fondsen!$A$5:$A$30,0),Z$8-$E37+1)))</f>
        <v/>
      </c>
      <c r="AA37" s="31" t="str">
        <f t="array" ref="AA37">IF(OR($B37="",$C37="",$E37=""),"",IF(OR(AA$8&lt;$E37,AA$8-$E37&gt;=12),0,$C37*INDEX(Fondsen!$F$5:$Q$30,MATCH($B37,Fondsen!$A$5:$A$30,0),AA$8-$E37+1)))</f>
        <v/>
      </c>
      <c r="AB37" s="30" t="str">
        <f t="array" ref="AB37">IF(OR($B37="",$C37="",$E37=""),"",IF(OR(AB$8&lt;$E37,AB$8-$E37&gt;=12),0,$C37*INDEX(Fondsen!$F$5:$Q$30,MATCH($B37,Fondsen!$A$5:$A$30,0),AB$8-$E37+1)))</f>
        <v/>
      </c>
      <c r="AC37" s="31" t="str">
        <f t="array" ref="AC37">IF(OR($B37="",$C37="",$E37=""),"",IF(OR(AC$8&lt;$E37,AC$8-$E37&gt;=12),0,$C37*INDEX(Fondsen!$F$5:$Q$30,MATCH($B37,Fondsen!$A$5:$A$30,0),AC$8-$E37+1)))</f>
        <v/>
      </c>
      <c r="AD37" s="30" t="str">
        <f t="array" ref="AD37">IF(OR($B37="",$C37="",$E37=""),"",IF(OR(AD$8&lt;$E37,AD$8-$E37&gt;=12),0,$C37*INDEX(Fondsen!$F$5:$Q$30,MATCH($B37,Fondsen!$A$5:$A$30,0),AD$8-$E37+1)))</f>
        <v/>
      </c>
      <c r="AE37" s="31" t="str">
        <f t="array" ref="AE37">IF(OR($B37="",$C37="",$E37=""),"",IF(OR(AE$8&lt;$E37,AE$8-$E37&gt;=12),0,$C37*INDEX(Fondsen!$F$5:$Q$30,MATCH($B37,Fondsen!$A$5:$A$30,0),AE$8-$E37+1)))</f>
        <v/>
      </c>
      <c r="AF37" s="30" t="str">
        <f t="array" ref="AF37">IF(OR($B37="",$C37="",$E37=""),"",IF(OR(AF$8&lt;$E37,AF$8-$E37&gt;=12),0,$C37*INDEX(Fondsen!$F$5:$Q$30,MATCH($B37,Fondsen!$A$5:$A$30,0),AF$8-$E37+1)))</f>
        <v/>
      </c>
      <c r="AG37" s="31" t="str">
        <f t="array" ref="AG37">IF(OR($B37="",$C37="",$E37=""),"",IF(OR(AG$8&lt;$E37,AG$8-$E37&gt;=12),0,$C37*INDEX(Fondsen!$F$5:$Q$30,MATCH($B37,Fondsen!$A$5:$A$30,0),AG$8-$E37+1)))</f>
        <v/>
      </c>
      <c r="AH37" s="30" t="str">
        <f t="array" ref="AH37">IF(OR($B37="",$C37="",$E37=""),"",IF(OR(AH$8&lt;$E37,AH$8-$E37&gt;=12),0,$C37*INDEX(Fondsen!$F$5:$Q$30,MATCH($B37,Fondsen!$A$5:$A$30,0),AH$8-$E37+1)))</f>
        <v/>
      </c>
      <c r="AI37" s="31" t="str">
        <f t="array" ref="AI37">IF(OR($B37="",$C37="",$E37=""),"",IF(OR(AI$8&lt;$E37,AI$8-$E37&gt;=12),0,$C37*INDEX(Fondsen!$F$5:$Q$30,MATCH($B37,Fondsen!$A$5:$A$30,0),AI$8-$E37+1)))</f>
        <v/>
      </c>
      <c r="AJ37" s="30" t="str">
        <f t="array" ref="AJ37">IF(OR($B37="",$C37="",$E37=""),"",IF(OR(AJ$8&lt;$E37,AJ$8-$E37&gt;=12),0,$C37*INDEX(Fondsen!$F$5:$Q$30,MATCH($B37,Fondsen!$A$5:$A$30,0),AJ$8-$E37+1)))</f>
        <v/>
      </c>
      <c r="AK37" s="31" t="str">
        <f t="array" ref="AK37">IF(OR($B37="",$C37="",$E37=""),"",IF(OR(AK$8&lt;$E37,AK$8-$E37&gt;=12),0,$C37*INDEX(Fondsen!$F$5:$Q$30,MATCH($B37,Fondsen!$A$5:$A$30,0),AK$8-$E37+1)))</f>
        <v/>
      </c>
      <c r="AL37" s="30" t="str">
        <f t="array" ref="AL37">IF(OR($B37="",$C37="",$E37=""),"",IF(OR(AL$8&lt;$E37,AL$8-$E37&gt;=12),0,$C37*INDEX(Fondsen!$F$5:$Q$30,MATCH($B37,Fondsen!$A$5:$A$30,0),AL$8-$E37+1)))</f>
        <v/>
      </c>
      <c r="AM37" s="31" t="str">
        <f t="array" ref="AM37">IF(OR($B37="",$C37="",$E37=""),"",IF(OR(AM$8&lt;$E37,AM$8-$E37&gt;=12),0,$C37*INDEX(Fondsen!$F$5:$Q$30,MATCH($B37,Fondsen!$A$5:$A$30,0),AM$8-$E37+1)))</f>
        <v/>
      </c>
      <c r="AN37" s="30" t="str">
        <f t="array" ref="AN37">IF(OR($B37="",$C37="",$E37=""),"",IF(OR(AN$8&lt;$E37,AN$8-$E37&gt;=12),0,$C37*INDEX(Fondsen!$F$5:$Q$30,MATCH($B37,Fondsen!$A$5:$A$30,0),AN$8-$E37+1)))</f>
        <v/>
      </c>
      <c r="AO37" s="31" t="str">
        <f t="array" ref="AO37">IF(OR($B37="",$C37="",$E37=""),"",IF(OR(AO$8&lt;$E37,AO$8-$E37&gt;=12),0,$C37*INDEX(Fondsen!$F$5:$Q$30,MATCH($B37,Fondsen!$A$5:$A$30,0),AO$8-$E37+1)))</f>
        <v/>
      </c>
      <c r="AP37" s="30" t="str">
        <f t="array" ref="AP37">IF(OR($B37="",$C37="",$E37=""),"",IF(OR(AP$8&lt;$E37,AP$8-$E37&gt;=12),0,$C37*INDEX(Fondsen!$F$5:$Q$30,MATCH($B37,Fondsen!$A$5:$A$30,0),AP$8-$E37+1)))</f>
        <v/>
      </c>
      <c r="AQ37" s="31" t="str">
        <f t="array" ref="AQ37">IF(OR($B37="",$C37="",$E37=""),"",IF(OR(AQ$8&lt;$E37,AQ$8-$E37&gt;=12),0,$C37*INDEX(Fondsen!$F$5:$Q$30,MATCH($B37,Fondsen!$A$5:$A$30,0),AQ$8-$E37+1)))</f>
        <v/>
      </c>
      <c r="AR37" s="30" t="str">
        <f t="array" ref="AR37">IF(OR($B37="",$C37="",$E37=""),"",IF(OR(AR$8&lt;$E37,AR$8-$E37&gt;=12),0,$C37*INDEX(Fondsen!$F$5:$Q$30,MATCH($B37,Fondsen!$A$5:$A$30,0),AR$8-$E37+1)))</f>
        <v/>
      </c>
      <c r="AS37" s="31" t="str">
        <f t="array" ref="AS37">IF(OR($B37="",$C37="",$E37=""),"",IF(OR(AS$8&lt;$E37,AS$8-$E37&gt;=12),0,$C37*INDEX(Fondsen!$F$5:$Q$30,MATCH($B37,Fondsen!$A$5:$A$30,0),AS$8-$E37+1)))</f>
        <v/>
      </c>
      <c r="AT37" s="45"/>
    </row>
    <row r="38" ht="24.0" customHeight="1" outlineLevel="1">
      <c r="A38" s="33" t="str">
        <f>IF(B38="","",IFERROR(VLOOKUP(B38,Fondsen!$A$5:$B$30,2,FALSE()),""))</f>
        <v/>
      </c>
      <c r="B38" s="34"/>
      <c r="C38" s="35"/>
      <c r="D38" s="46" t="s">
        <v>11</v>
      </c>
      <c r="E38" s="37"/>
      <c r="F38" s="38" t="str">
        <f t="array" ref="F38">IF(OR($B38="",$C38="",$E38=""),"",IF(OR(F$8&lt;$E38,F$8-$E38&gt;=12),0,$C38*INDEX(Fondsen!$F$5:$Q$30,MATCH($B38,Fondsen!$A$5:$A$30,0),F$8-$E38+1)))</f>
        <v/>
      </c>
      <c r="G38" s="39" t="str">
        <f t="array" ref="G38">IF(OR($B38="",$C38="",$E38=""),"",IF(OR(G$8&lt;$E38,G$8-$E38&gt;=12),0,$C38*INDEX(Fondsen!$F$5:$Q$30,MATCH($B38,Fondsen!$A$5:$A$30,0),G$8-$E38+1)))</f>
        <v/>
      </c>
      <c r="H38" s="38" t="str">
        <f t="array" ref="H38">IF(OR($B38="",$C38="",$E38=""),"",IF(OR(H$8&lt;$E38,H$8-$E38&gt;=12),0,$C38*INDEX(Fondsen!$F$5:$Q$30,MATCH($B38,Fondsen!$A$5:$A$30,0),H$8-$E38+1)))</f>
        <v/>
      </c>
      <c r="I38" s="39" t="str">
        <f t="array" ref="I38">IF(OR($B38="",$C38="",$E38=""),"",IF(OR(I$8&lt;$E38,I$8-$E38&gt;=12),0,$C38*INDEX(Fondsen!$F$5:$Q$30,MATCH($B38,Fondsen!$A$5:$A$30,0),I$8-$E38+1)))</f>
        <v/>
      </c>
      <c r="J38" s="38" t="str">
        <f t="array" ref="J38">IF(OR($B38="",$C38="",$E38=""),"",IF(OR(J$8&lt;$E38,J$8-$E38&gt;=12),0,$C38*INDEX(Fondsen!$F$5:$Q$30,MATCH($B38,Fondsen!$A$5:$A$30,0),J$8-$E38+1)))</f>
        <v/>
      </c>
      <c r="K38" s="39" t="str">
        <f t="array" ref="K38">IF(OR($B38="",$C38="",$E38=""),"",IF(OR(K$8&lt;$E38,K$8-$E38&gt;=12),0,$C38*INDEX(Fondsen!$F$5:$Q$30,MATCH($B38,Fondsen!$A$5:$A$30,0),K$8-$E38+1)))</f>
        <v/>
      </c>
      <c r="L38" s="38" t="str">
        <f t="array" ref="L38">IF(OR($B38="",$C38="",$E38=""),"",IF(OR(L$8&lt;$E38,L$8-$E38&gt;=12),0,$C38*INDEX(Fondsen!$F$5:$Q$30,MATCH($B38,Fondsen!$A$5:$A$30,0),L$8-$E38+1)))</f>
        <v/>
      </c>
      <c r="M38" s="39" t="str">
        <f t="array" ref="M38">IF(OR($B38="",$C38="",$E38=""),"",IF(OR(M$8&lt;$E38,M$8-$E38&gt;=12),0,$C38*INDEX(Fondsen!$F$5:$Q$30,MATCH($B38,Fondsen!$A$5:$A$30,0),M$8-$E38+1)))</f>
        <v/>
      </c>
      <c r="N38" s="38" t="str">
        <f t="array" ref="N38">IF(OR($B38="",$C38="",$E38=""),"",IF(OR(N$8&lt;$E38,N$8-$E38&gt;=12),0,$C38*INDEX(Fondsen!$F$5:$Q$30,MATCH($B38,Fondsen!$A$5:$A$30,0),N$8-$E38+1)))</f>
        <v/>
      </c>
      <c r="O38" s="39" t="str">
        <f t="array" ref="O38">IF(OR($B38="",$C38="",$E38=""),"",IF(OR(O$8&lt;$E38,O$8-$E38&gt;=12),0,$C38*INDEX(Fondsen!$F$5:$Q$30,MATCH($B38,Fondsen!$A$5:$A$30,0),O$8-$E38+1)))</f>
        <v/>
      </c>
      <c r="P38" s="38" t="str">
        <f t="array" ref="P38">IF(OR($B38="",$C38="",$E38=""),"",IF(OR(P$8&lt;$E38,P$8-$E38&gt;=12),0,$C38*INDEX(Fondsen!$F$5:$Q$30,MATCH($B38,Fondsen!$A$5:$A$30,0),P$8-$E38+1)))</f>
        <v/>
      </c>
      <c r="Q38" s="39" t="str">
        <f t="array" ref="Q38">IF(OR($B38="",$C38="",$E38=""),"",IF(OR(Q$8&lt;$E38,Q$8-$E38&gt;=12),0,$C38*INDEX(Fondsen!$F$5:$Q$30,MATCH($B38,Fondsen!$A$5:$A$30,0),Q$8-$E38+1)))</f>
        <v/>
      </c>
      <c r="R38" s="38" t="str">
        <f t="array" ref="R38">IF(OR($B38="",$C38="",$E38=""),"",IF(OR(R$8&lt;$E38,R$8-$E38&gt;=12),0,$C38*INDEX(Fondsen!$F$5:$Q$30,MATCH($B38,Fondsen!$A$5:$A$30,0),R$8-$E38+1)))</f>
        <v/>
      </c>
      <c r="S38" s="39" t="str">
        <f t="array" ref="S38">IF(OR($B38="",$C38="",$E38=""),"",IF(OR(S$8&lt;$E38,S$8-$E38&gt;=12),0,$C38*INDEX(Fondsen!$F$5:$Q$30,MATCH($B38,Fondsen!$A$5:$A$30,0),S$8-$E38+1)))</f>
        <v/>
      </c>
      <c r="T38" s="38" t="str">
        <f t="array" ref="T38">IF(OR($B38="",$C38="",$E38=""),"",IF(OR(T$8&lt;$E38,T$8-$E38&gt;=12),0,$C38*INDEX(Fondsen!$F$5:$Q$30,MATCH($B38,Fondsen!$A$5:$A$30,0),T$8-$E38+1)))</f>
        <v/>
      </c>
      <c r="U38" s="39" t="str">
        <f t="array" ref="U38">IF(OR($B38="",$C38="",$E38=""),"",IF(OR(U$8&lt;$E38,U$8-$E38&gt;=12),0,$C38*INDEX(Fondsen!$F$5:$Q$30,MATCH($B38,Fondsen!$A$5:$A$30,0),U$8-$E38+1)))</f>
        <v/>
      </c>
      <c r="V38" s="38" t="str">
        <f t="array" ref="V38">IF(OR($B38="",$C38="",$E38=""),"",IF(OR(V$8&lt;$E38,V$8-$E38&gt;=12),0,$C38*INDEX(Fondsen!$F$5:$Q$30,MATCH($B38,Fondsen!$A$5:$A$30,0),V$8-$E38+1)))</f>
        <v/>
      </c>
      <c r="W38" s="39" t="str">
        <f t="array" ref="W38">IF(OR($B38="",$C38="",$E38=""),"",IF(OR(W$8&lt;$E38,W$8-$E38&gt;=12),0,$C38*INDEX(Fondsen!$F$5:$Q$30,MATCH($B38,Fondsen!$A$5:$A$30,0),W$8-$E38+1)))</f>
        <v/>
      </c>
      <c r="X38" s="38" t="str">
        <f t="array" ref="X38">IF(OR($B38="",$C38="",$E38=""),"",IF(OR(X$8&lt;$E38,X$8-$E38&gt;=12),0,$C38*INDEX(Fondsen!$F$5:$Q$30,MATCH($B38,Fondsen!$A$5:$A$30,0),X$8-$E38+1)))</f>
        <v/>
      </c>
      <c r="Y38" s="39" t="str">
        <f t="array" ref="Y38">IF(OR($B38="",$C38="",$E38=""),"",IF(OR(Y$8&lt;$E38,Y$8-$E38&gt;=12),0,$C38*INDEX(Fondsen!$F$5:$Q$30,MATCH($B38,Fondsen!$A$5:$A$30,0),Y$8-$E38+1)))</f>
        <v/>
      </c>
      <c r="Z38" s="38" t="str">
        <f t="array" ref="Z38">IF(OR($B38="",$C38="",$E38=""),"",IF(OR(Z$8&lt;$E38,Z$8-$E38&gt;=12),0,$C38*INDEX(Fondsen!$F$5:$Q$30,MATCH($B38,Fondsen!$A$5:$A$30,0),Z$8-$E38+1)))</f>
        <v/>
      </c>
      <c r="AA38" s="39" t="str">
        <f t="array" ref="AA38">IF(OR($B38="",$C38="",$E38=""),"",IF(OR(AA$8&lt;$E38,AA$8-$E38&gt;=12),0,$C38*INDEX(Fondsen!$F$5:$Q$30,MATCH($B38,Fondsen!$A$5:$A$30,0),AA$8-$E38+1)))</f>
        <v/>
      </c>
      <c r="AB38" s="38" t="str">
        <f t="array" ref="AB38">IF(OR($B38="",$C38="",$E38=""),"",IF(OR(AB$8&lt;$E38,AB$8-$E38&gt;=12),0,$C38*INDEX(Fondsen!$F$5:$Q$30,MATCH($B38,Fondsen!$A$5:$A$30,0),AB$8-$E38+1)))</f>
        <v/>
      </c>
      <c r="AC38" s="39" t="str">
        <f t="array" ref="AC38">IF(OR($B38="",$C38="",$E38=""),"",IF(OR(AC$8&lt;$E38,AC$8-$E38&gt;=12),0,$C38*INDEX(Fondsen!$F$5:$Q$30,MATCH($B38,Fondsen!$A$5:$A$30,0),AC$8-$E38+1)))</f>
        <v/>
      </c>
      <c r="AD38" s="38" t="str">
        <f t="array" ref="AD38">IF(OR($B38="",$C38="",$E38=""),"",IF(OR(AD$8&lt;$E38,AD$8-$E38&gt;=12),0,$C38*INDEX(Fondsen!$F$5:$Q$30,MATCH($B38,Fondsen!$A$5:$A$30,0),AD$8-$E38+1)))</f>
        <v/>
      </c>
      <c r="AE38" s="39" t="str">
        <f t="array" ref="AE38">IF(OR($B38="",$C38="",$E38=""),"",IF(OR(AE$8&lt;$E38,AE$8-$E38&gt;=12),0,$C38*INDEX(Fondsen!$F$5:$Q$30,MATCH($B38,Fondsen!$A$5:$A$30,0),AE$8-$E38+1)))</f>
        <v/>
      </c>
      <c r="AF38" s="38" t="str">
        <f t="array" ref="AF38">IF(OR($B38="",$C38="",$E38=""),"",IF(OR(AF$8&lt;$E38,AF$8-$E38&gt;=12),0,$C38*INDEX(Fondsen!$F$5:$Q$30,MATCH($B38,Fondsen!$A$5:$A$30,0),AF$8-$E38+1)))</f>
        <v/>
      </c>
      <c r="AG38" s="39" t="str">
        <f t="array" ref="AG38">IF(OR($B38="",$C38="",$E38=""),"",IF(OR(AG$8&lt;$E38,AG$8-$E38&gt;=12),0,$C38*INDEX(Fondsen!$F$5:$Q$30,MATCH($B38,Fondsen!$A$5:$A$30,0),AG$8-$E38+1)))</f>
        <v/>
      </c>
      <c r="AH38" s="38" t="str">
        <f t="array" ref="AH38">IF(OR($B38="",$C38="",$E38=""),"",IF(OR(AH$8&lt;$E38,AH$8-$E38&gt;=12),0,$C38*INDEX(Fondsen!$F$5:$Q$30,MATCH($B38,Fondsen!$A$5:$A$30,0),AH$8-$E38+1)))</f>
        <v/>
      </c>
      <c r="AI38" s="39" t="str">
        <f t="array" ref="AI38">IF(OR($B38="",$C38="",$E38=""),"",IF(OR(AI$8&lt;$E38,AI$8-$E38&gt;=12),0,$C38*INDEX(Fondsen!$F$5:$Q$30,MATCH($B38,Fondsen!$A$5:$A$30,0),AI$8-$E38+1)))</f>
        <v/>
      </c>
      <c r="AJ38" s="38" t="str">
        <f t="array" ref="AJ38">IF(OR($B38="",$C38="",$E38=""),"",IF(OR(AJ$8&lt;$E38,AJ$8-$E38&gt;=12),0,$C38*INDEX(Fondsen!$F$5:$Q$30,MATCH($B38,Fondsen!$A$5:$A$30,0),AJ$8-$E38+1)))</f>
        <v/>
      </c>
      <c r="AK38" s="39" t="str">
        <f t="array" ref="AK38">IF(OR($B38="",$C38="",$E38=""),"",IF(OR(AK$8&lt;$E38,AK$8-$E38&gt;=12),0,$C38*INDEX(Fondsen!$F$5:$Q$30,MATCH($B38,Fondsen!$A$5:$A$30,0),AK$8-$E38+1)))</f>
        <v/>
      </c>
      <c r="AL38" s="38" t="str">
        <f t="array" ref="AL38">IF(OR($B38="",$C38="",$E38=""),"",IF(OR(AL$8&lt;$E38,AL$8-$E38&gt;=12),0,$C38*INDEX(Fondsen!$F$5:$Q$30,MATCH($B38,Fondsen!$A$5:$A$30,0),AL$8-$E38+1)))</f>
        <v/>
      </c>
      <c r="AM38" s="39" t="str">
        <f t="array" ref="AM38">IF(OR($B38="",$C38="",$E38=""),"",IF(OR(AM$8&lt;$E38,AM$8-$E38&gt;=12),0,$C38*INDEX(Fondsen!$F$5:$Q$30,MATCH($B38,Fondsen!$A$5:$A$30,0),AM$8-$E38+1)))</f>
        <v/>
      </c>
      <c r="AN38" s="38" t="str">
        <f t="array" ref="AN38">IF(OR($B38="",$C38="",$E38=""),"",IF(OR(AN$8&lt;$E38,AN$8-$E38&gt;=12),0,$C38*INDEX(Fondsen!$F$5:$Q$30,MATCH($B38,Fondsen!$A$5:$A$30,0),AN$8-$E38+1)))</f>
        <v/>
      </c>
      <c r="AO38" s="39" t="str">
        <f t="array" ref="AO38">IF(OR($B38="",$C38="",$E38=""),"",IF(OR(AO$8&lt;$E38,AO$8-$E38&gt;=12),0,$C38*INDEX(Fondsen!$F$5:$Q$30,MATCH($B38,Fondsen!$A$5:$A$30,0),AO$8-$E38+1)))</f>
        <v/>
      </c>
      <c r="AP38" s="38" t="str">
        <f t="array" ref="AP38">IF(OR($B38="",$C38="",$E38=""),"",IF(OR(AP$8&lt;$E38,AP$8-$E38&gt;=12),0,$C38*INDEX(Fondsen!$F$5:$Q$30,MATCH($B38,Fondsen!$A$5:$A$30,0),AP$8-$E38+1)))</f>
        <v/>
      </c>
      <c r="AQ38" s="39" t="str">
        <f t="array" ref="AQ38">IF(OR($B38="",$C38="",$E38=""),"",IF(OR(AQ$8&lt;$E38,AQ$8-$E38&gt;=12),0,$C38*INDEX(Fondsen!$F$5:$Q$30,MATCH($B38,Fondsen!$A$5:$A$30,0),AQ$8-$E38+1)))</f>
        <v/>
      </c>
      <c r="AR38" s="38" t="str">
        <f t="array" ref="AR38">IF(OR($B38="",$C38="",$E38=""),"",IF(OR(AR$8&lt;$E38,AR$8-$E38&gt;=12),0,$C38*INDEX(Fondsen!$F$5:$Q$30,MATCH($B38,Fondsen!$A$5:$A$30,0),AR$8-$E38+1)))</f>
        <v/>
      </c>
      <c r="AS38" s="39" t="str">
        <f t="array" ref="AS38">IF(OR($B38="",$C38="",$E38=""),"",IF(OR(AS$8&lt;$E38,AS$8-$E38&gt;=12),0,$C38*INDEX(Fondsen!$F$5:$Q$30,MATCH($B38,Fondsen!$A$5:$A$30,0),AS$8-$E38+1)))</f>
        <v/>
      </c>
      <c r="AT38" s="45"/>
    </row>
    <row r="39" ht="24.0" customHeight="1" outlineLevel="1">
      <c r="A39" s="47" t="str">
        <f>IF(B39="","",IFERROR(VLOOKUP(B39,Fondsen!$A$5:$B$30,2,FALSE()),""))</f>
        <v/>
      </c>
      <c r="B39" s="26"/>
      <c r="C39" s="27"/>
      <c r="D39" s="44" t="s">
        <v>11</v>
      </c>
      <c r="E39" s="29"/>
      <c r="F39" s="30" t="str">
        <f t="array" ref="F39">IF(OR($B39="",$C39="",$E39=""),"",IF(OR(F$8&lt;$E39,F$8-$E39&gt;=12),0,$C39*INDEX(Fondsen!$F$5:$Q$30,MATCH($B39,Fondsen!$A$5:$A$30,0),F$8-$E39+1)))</f>
        <v/>
      </c>
      <c r="G39" s="31" t="str">
        <f t="array" ref="G39">IF(OR($B39="",$C39="",$E39=""),"",IF(OR(G$8&lt;$E39,G$8-$E39&gt;=12),0,$C39*INDEX(Fondsen!$F$5:$Q$30,MATCH($B39,Fondsen!$A$5:$A$30,0),G$8-$E39+1)))</f>
        <v/>
      </c>
      <c r="H39" s="30" t="str">
        <f t="array" ref="H39">IF(OR($B39="",$C39="",$E39=""),"",IF(OR(H$8&lt;$E39,H$8-$E39&gt;=12),0,$C39*INDEX(Fondsen!$F$5:$Q$30,MATCH($B39,Fondsen!$A$5:$A$30,0),H$8-$E39+1)))</f>
        <v/>
      </c>
      <c r="I39" s="31" t="str">
        <f t="array" ref="I39">IF(OR($B39="",$C39="",$E39=""),"",IF(OR(I$8&lt;$E39,I$8-$E39&gt;=12),0,$C39*INDEX(Fondsen!$F$5:$Q$30,MATCH($B39,Fondsen!$A$5:$A$30,0),I$8-$E39+1)))</f>
        <v/>
      </c>
      <c r="J39" s="30" t="str">
        <f t="array" ref="J39">IF(OR($B39="",$C39="",$E39=""),"",IF(OR(J$8&lt;$E39,J$8-$E39&gt;=12),0,$C39*INDEX(Fondsen!$F$5:$Q$30,MATCH($B39,Fondsen!$A$5:$A$30,0),J$8-$E39+1)))</f>
        <v/>
      </c>
      <c r="K39" s="31" t="str">
        <f t="array" ref="K39">IF(OR($B39="",$C39="",$E39=""),"",IF(OR(K$8&lt;$E39,K$8-$E39&gt;=12),0,$C39*INDEX(Fondsen!$F$5:$Q$30,MATCH($B39,Fondsen!$A$5:$A$30,0),K$8-$E39+1)))</f>
        <v/>
      </c>
      <c r="L39" s="30" t="str">
        <f t="array" ref="L39">IF(OR($B39="",$C39="",$E39=""),"",IF(OR(L$8&lt;$E39,L$8-$E39&gt;=12),0,$C39*INDEX(Fondsen!$F$5:$Q$30,MATCH($B39,Fondsen!$A$5:$A$30,0),L$8-$E39+1)))</f>
        <v/>
      </c>
      <c r="M39" s="31" t="str">
        <f t="array" ref="M39">IF(OR($B39="",$C39="",$E39=""),"",IF(OR(M$8&lt;$E39,M$8-$E39&gt;=12),0,$C39*INDEX(Fondsen!$F$5:$Q$30,MATCH($B39,Fondsen!$A$5:$A$30,0),M$8-$E39+1)))</f>
        <v/>
      </c>
      <c r="N39" s="30" t="str">
        <f t="array" ref="N39">IF(OR($B39="",$C39="",$E39=""),"",IF(OR(N$8&lt;$E39,N$8-$E39&gt;=12),0,$C39*INDEX(Fondsen!$F$5:$Q$30,MATCH($B39,Fondsen!$A$5:$A$30,0),N$8-$E39+1)))</f>
        <v/>
      </c>
      <c r="O39" s="31" t="str">
        <f t="array" ref="O39">IF(OR($B39="",$C39="",$E39=""),"",IF(OR(O$8&lt;$E39,O$8-$E39&gt;=12),0,$C39*INDEX(Fondsen!$F$5:$Q$30,MATCH($B39,Fondsen!$A$5:$A$30,0),O$8-$E39+1)))</f>
        <v/>
      </c>
      <c r="P39" s="30" t="str">
        <f t="array" ref="P39">IF(OR($B39="",$C39="",$E39=""),"",IF(OR(P$8&lt;$E39,P$8-$E39&gt;=12),0,$C39*INDEX(Fondsen!$F$5:$Q$30,MATCH($B39,Fondsen!$A$5:$A$30,0),P$8-$E39+1)))</f>
        <v/>
      </c>
      <c r="Q39" s="31" t="str">
        <f t="array" ref="Q39">IF(OR($B39="",$C39="",$E39=""),"",IF(OR(Q$8&lt;$E39,Q$8-$E39&gt;=12),0,$C39*INDEX(Fondsen!$F$5:$Q$30,MATCH($B39,Fondsen!$A$5:$A$30,0),Q$8-$E39+1)))</f>
        <v/>
      </c>
      <c r="R39" s="30" t="str">
        <f t="array" ref="R39">IF(OR($B39="",$C39="",$E39=""),"",IF(OR(R$8&lt;$E39,R$8-$E39&gt;=12),0,$C39*INDEX(Fondsen!$F$5:$Q$30,MATCH($B39,Fondsen!$A$5:$A$30,0),R$8-$E39+1)))</f>
        <v/>
      </c>
      <c r="S39" s="31" t="str">
        <f t="array" ref="S39">IF(OR($B39="",$C39="",$E39=""),"",IF(OR(S$8&lt;$E39,S$8-$E39&gt;=12),0,$C39*INDEX(Fondsen!$F$5:$Q$30,MATCH($B39,Fondsen!$A$5:$A$30,0),S$8-$E39+1)))</f>
        <v/>
      </c>
      <c r="T39" s="30" t="str">
        <f t="array" ref="T39">IF(OR($B39="",$C39="",$E39=""),"",IF(OR(T$8&lt;$E39,T$8-$E39&gt;=12),0,$C39*INDEX(Fondsen!$F$5:$Q$30,MATCH($B39,Fondsen!$A$5:$A$30,0),T$8-$E39+1)))</f>
        <v/>
      </c>
      <c r="U39" s="31" t="str">
        <f t="array" ref="U39">IF(OR($B39="",$C39="",$E39=""),"",IF(OR(U$8&lt;$E39,U$8-$E39&gt;=12),0,$C39*INDEX(Fondsen!$F$5:$Q$30,MATCH($B39,Fondsen!$A$5:$A$30,0),U$8-$E39+1)))</f>
        <v/>
      </c>
      <c r="V39" s="30" t="str">
        <f t="array" ref="V39">IF(OR($B39="",$C39="",$E39=""),"",IF(OR(V$8&lt;$E39,V$8-$E39&gt;=12),0,$C39*INDEX(Fondsen!$F$5:$Q$30,MATCH($B39,Fondsen!$A$5:$A$30,0),V$8-$E39+1)))</f>
        <v/>
      </c>
      <c r="W39" s="31" t="str">
        <f t="array" ref="W39">IF(OR($B39="",$C39="",$E39=""),"",IF(OR(W$8&lt;$E39,W$8-$E39&gt;=12),0,$C39*INDEX(Fondsen!$F$5:$Q$30,MATCH($B39,Fondsen!$A$5:$A$30,0),W$8-$E39+1)))</f>
        <v/>
      </c>
      <c r="X39" s="30" t="str">
        <f t="array" ref="X39">IF(OR($B39="",$C39="",$E39=""),"",IF(OR(X$8&lt;$E39,X$8-$E39&gt;=12),0,$C39*INDEX(Fondsen!$F$5:$Q$30,MATCH($B39,Fondsen!$A$5:$A$30,0),X$8-$E39+1)))</f>
        <v/>
      </c>
      <c r="Y39" s="31" t="str">
        <f t="array" ref="Y39">IF(OR($B39="",$C39="",$E39=""),"",IF(OR(Y$8&lt;$E39,Y$8-$E39&gt;=12),0,$C39*INDEX(Fondsen!$F$5:$Q$30,MATCH($B39,Fondsen!$A$5:$A$30,0),Y$8-$E39+1)))</f>
        <v/>
      </c>
      <c r="Z39" s="30" t="str">
        <f t="array" ref="Z39">IF(OR($B39="",$C39="",$E39=""),"",IF(OR(Z$8&lt;$E39,Z$8-$E39&gt;=12),0,$C39*INDEX(Fondsen!$F$5:$Q$30,MATCH($B39,Fondsen!$A$5:$A$30,0),Z$8-$E39+1)))</f>
        <v/>
      </c>
      <c r="AA39" s="31" t="str">
        <f t="array" ref="AA39">IF(OR($B39="",$C39="",$E39=""),"",IF(OR(AA$8&lt;$E39,AA$8-$E39&gt;=12),0,$C39*INDEX(Fondsen!$F$5:$Q$30,MATCH($B39,Fondsen!$A$5:$A$30,0),AA$8-$E39+1)))</f>
        <v/>
      </c>
      <c r="AB39" s="30" t="str">
        <f t="array" ref="AB39">IF(OR($B39="",$C39="",$E39=""),"",IF(OR(AB$8&lt;$E39,AB$8-$E39&gt;=12),0,$C39*INDEX(Fondsen!$F$5:$Q$30,MATCH($B39,Fondsen!$A$5:$A$30,0),AB$8-$E39+1)))</f>
        <v/>
      </c>
      <c r="AC39" s="31" t="str">
        <f t="array" ref="AC39">IF(OR($B39="",$C39="",$E39=""),"",IF(OR(AC$8&lt;$E39,AC$8-$E39&gt;=12),0,$C39*INDEX(Fondsen!$F$5:$Q$30,MATCH($B39,Fondsen!$A$5:$A$30,0),AC$8-$E39+1)))</f>
        <v/>
      </c>
      <c r="AD39" s="30" t="str">
        <f t="array" ref="AD39">IF(OR($B39="",$C39="",$E39=""),"",IF(OR(AD$8&lt;$E39,AD$8-$E39&gt;=12),0,$C39*INDEX(Fondsen!$F$5:$Q$30,MATCH($B39,Fondsen!$A$5:$A$30,0),AD$8-$E39+1)))</f>
        <v/>
      </c>
      <c r="AE39" s="31" t="str">
        <f t="array" ref="AE39">IF(OR($B39="",$C39="",$E39=""),"",IF(OR(AE$8&lt;$E39,AE$8-$E39&gt;=12),0,$C39*INDEX(Fondsen!$F$5:$Q$30,MATCH($B39,Fondsen!$A$5:$A$30,0),AE$8-$E39+1)))</f>
        <v/>
      </c>
      <c r="AF39" s="30" t="str">
        <f t="array" ref="AF39">IF(OR($B39="",$C39="",$E39=""),"",IF(OR(AF$8&lt;$E39,AF$8-$E39&gt;=12),0,$C39*INDEX(Fondsen!$F$5:$Q$30,MATCH($B39,Fondsen!$A$5:$A$30,0),AF$8-$E39+1)))</f>
        <v/>
      </c>
      <c r="AG39" s="31" t="str">
        <f t="array" ref="AG39">IF(OR($B39="",$C39="",$E39=""),"",IF(OR(AG$8&lt;$E39,AG$8-$E39&gt;=12),0,$C39*INDEX(Fondsen!$F$5:$Q$30,MATCH($B39,Fondsen!$A$5:$A$30,0),AG$8-$E39+1)))</f>
        <v/>
      </c>
      <c r="AH39" s="30" t="str">
        <f t="array" ref="AH39">IF(OR($B39="",$C39="",$E39=""),"",IF(OR(AH$8&lt;$E39,AH$8-$E39&gt;=12),0,$C39*INDEX(Fondsen!$F$5:$Q$30,MATCH($B39,Fondsen!$A$5:$A$30,0),AH$8-$E39+1)))</f>
        <v/>
      </c>
      <c r="AI39" s="31" t="str">
        <f t="array" ref="AI39">IF(OR($B39="",$C39="",$E39=""),"",IF(OR(AI$8&lt;$E39,AI$8-$E39&gt;=12),0,$C39*INDEX(Fondsen!$F$5:$Q$30,MATCH($B39,Fondsen!$A$5:$A$30,0),AI$8-$E39+1)))</f>
        <v/>
      </c>
      <c r="AJ39" s="30" t="str">
        <f t="array" ref="AJ39">IF(OR($B39="",$C39="",$E39=""),"",IF(OR(AJ$8&lt;$E39,AJ$8-$E39&gt;=12),0,$C39*INDEX(Fondsen!$F$5:$Q$30,MATCH($B39,Fondsen!$A$5:$A$30,0),AJ$8-$E39+1)))</f>
        <v/>
      </c>
      <c r="AK39" s="31" t="str">
        <f t="array" ref="AK39">IF(OR($B39="",$C39="",$E39=""),"",IF(OR(AK$8&lt;$E39,AK$8-$E39&gt;=12),0,$C39*INDEX(Fondsen!$F$5:$Q$30,MATCH($B39,Fondsen!$A$5:$A$30,0),AK$8-$E39+1)))</f>
        <v/>
      </c>
      <c r="AL39" s="30" t="str">
        <f t="array" ref="AL39">IF(OR($B39="",$C39="",$E39=""),"",IF(OR(AL$8&lt;$E39,AL$8-$E39&gt;=12),0,$C39*INDEX(Fondsen!$F$5:$Q$30,MATCH($B39,Fondsen!$A$5:$A$30,0),AL$8-$E39+1)))</f>
        <v/>
      </c>
      <c r="AM39" s="31" t="str">
        <f t="array" ref="AM39">IF(OR($B39="",$C39="",$E39=""),"",IF(OR(AM$8&lt;$E39,AM$8-$E39&gt;=12),0,$C39*INDEX(Fondsen!$F$5:$Q$30,MATCH($B39,Fondsen!$A$5:$A$30,0),AM$8-$E39+1)))</f>
        <v/>
      </c>
      <c r="AN39" s="30" t="str">
        <f t="array" ref="AN39">IF(OR($B39="",$C39="",$E39=""),"",IF(OR(AN$8&lt;$E39,AN$8-$E39&gt;=12),0,$C39*INDEX(Fondsen!$F$5:$Q$30,MATCH($B39,Fondsen!$A$5:$A$30,0),AN$8-$E39+1)))</f>
        <v/>
      </c>
      <c r="AO39" s="31" t="str">
        <f t="array" ref="AO39">IF(OR($B39="",$C39="",$E39=""),"",IF(OR(AO$8&lt;$E39,AO$8-$E39&gt;=12),0,$C39*INDEX(Fondsen!$F$5:$Q$30,MATCH($B39,Fondsen!$A$5:$A$30,0),AO$8-$E39+1)))</f>
        <v/>
      </c>
      <c r="AP39" s="30" t="str">
        <f t="array" ref="AP39">IF(OR($B39="",$C39="",$E39=""),"",IF(OR(AP$8&lt;$E39,AP$8-$E39&gt;=12),0,$C39*INDEX(Fondsen!$F$5:$Q$30,MATCH($B39,Fondsen!$A$5:$A$30,0),AP$8-$E39+1)))</f>
        <v/>
      </c>
      <c r="AQ39" s="31" t="str">
        <f t="array" ref="AQ39">IF(OR($B39="",$C39="",$E39=""),"",IF(OR(AQ$8&lt;$E39,AQ$8-$E39&gt;=12),0,$C39*INDEX(Fondsen!$F$5:$Q$30,MATCH($B39,Fondsen!$A$5:$A$30,0),AQ$8-$E39+1)))</f>
        <v/>
      </c>
      <c r="AR39" s="30" t="str">
        <f t="array" ref="AR39">IF(OR($B39="",$C39="",$E39=""),"",IF(OR(AR$8&lt;$E39,AR$8-$E39&gt;=12),0,$C39*INDEX(Fondsen!$F$5:$Q$30,MATCH($B39,Fondsen!$A$5:$A$30,0),AR$8-$E39+1)))</f>
        <v/>
      </c>
      <c r="AS39" s="31" t="str">
        <f t="array" ref="AS39">IF(OR($B39="",$C39="",$E39=""),"",IF(OR(AS$8&lt;$E39,AS$8-$E39&gt;=12),0,$C39*INDEX(Fondsen!$F$5:$Q$30,MATCH($B39,Fondsen!$A$5:$A$30,0),AS$8-$E39+1)))</f>
        <v/>
      </c>
      <c r="AT39" s="45"/>
    </row>
    <row r="40" ht="24.0" customHeight="1" outlineLevel="1">
      <c r="A40" s="33" t="str">
        <f>IF(B40="","",IFERROR(VLOOKUP(B40,Fondsen!$A$5:$B$30,2,FALSE()),""))</f>
        <v/>
      </c>
      <c r="B40" s="34"/>
      <c r="C40" s="35"/>
      <c r="D40" s="46" t="s">
        <v>11</v>
      </c>
      <c r="E40" s="37"/>
      <c r="F40" s="38" t="str">
        <f t="array" ref="F40">IF(OR($B40="",$C40="",$E40=""),"",IF(OR(F$8&lt;$E40,F$8-$E40&gt;=12),0,$C40*INDEX(Fondsen!$F$5:$Q$30,MATCH($B40,Fondsen!$A$5:$A$30,0),F$8-$E40+1)))</f>
        <v/>
      </c>
      <c r="G40" s="39" t="str">
        <f t="array" ref="G40">IF(OR($B40="",$C40="",$E40=""),"",IF(OR(G$8&lt;$E40,G$8-$E40&gt;=12),0,$C40*INDEX(Fondsen!$F$5:$Q$30,MATCH($B40,Fondsen!$A$5:$A$30,0),G$8-$E40+1)))</f>
        <v/>
      </c>
      <c r="H40" s="38" t="str">
        <f t="array" ref="H40">IF(OR($B40="",$C40="",$E40=""),"",IF(OR(H$8&lt;$E40,H$8-$E40&gt;=12),0,$C40*INDEX(Fondsen!$F$5:$Q$30,MATCH($B40,Fondsen!$A$5:$A$30,0),H$8-$E40+1)))</f>
        <v/>
      </c>
      <c r="I40" s="39" t="str">
        <f t="array" ref="I40">IF(OR($B40="",$C40="",$E40=""),"",IF(OR(I$8&lt;$E40,I$8-$E40&gt;=12),0,$C40*INDEX(Fondsen!$F$5:$Q$30,MATCH($B40,Fondsen!$A$5:$A$30,0),I$8-$E40+1)))</f>
        <v/>
      </c>
      <c r="J40" s="38" t="str">
        <f t="array" ref="J40">IF(OR($B40="",$C40="",$E40=""),"",IF(OR(J$8&lt;$E40,J$8-$E40&gt;=12),0,$C40*INDEX(Fondsen!$F$5:$Q$30,MATCH($B40,Fondsen!$A$5:$A$30,0),J$8-$E40+1)))</f>
        <v/>
      </c>
      <c r="K40" s="39" t="str">
        <f t="array" ref="K40">IF(OR($B40="",$C40="",$E40=""),"",IF(OR(K$8&lt;$E40,K$8-$E40&gt;=12),0,$C40*INDEX(Fondsen!$F$5:$Q$30,MATCH($B40,Fondsen!$A$5:$A$30,0),K$8-$E40+1)))</f>
        <v/>
      </c>
      <c r="L40" s="38" t="str">
        <f t="array" ref="L40">IF(OR($B40="",$C40="",$E40=""),"",IF(OR(L$8&lt;$E40,L$8-$E40&gt;=12),0,$C40*INDEX(Fondsen!$F$5:$Q$30,MATCH($B40,Fondsen!$A$5:$A$30,0),L$8-$E40+1)))</f>
        <v/>
      </c>
      <c r="M40" s="39" t="str">
        <f t="array" ref="M40">IF(OR($B40="",$C40="",$E40=""),"",IF(OR(M$8&lt;$E40,M$8-$E40&gt;=12),0,$C40*INDEX(Fondsen!$F$5:$Q$30,MATCH($B40,Fondsen!$A$5:$A$30,0),M$8-$E40+1)))</f>
        <v/>
      </c>
      <c r="N40" s="38" t="str">
        <f t="array" ref="N40">IF(OR($B40="",$C40="",$E40=""),"",IF(OR(N$8&lt;$E40,N$8-$E40&gt;=12),0,$C40*INDEX(Fondsen!$F$5:$Q$30,MATCH($B40,Fondsen!$A$5:$A$30,0),N$8-$E40+1)))</f>
        <v/>
      </c>
      <c r="O40" s="39" t="str">
        <f t="array" ref="O40">IF(OR($B40="",$C40="",$E40=""),"",IF(OR(O$8&lt;$E40,O$8-$E40&gt;=12),0,$C40*INDEX(Fondsen!$F$5:$Q$30,MATCH($B40,Fondsen!$A$5:$A$30,0),O$8-$E40+1)))</f>
        <v/>
      </c>
      <c r="P40" s="38" t="str">
        <f t="array" ref="P40">IF(OR($B40="",$C40="",$E40=""),"",IF(OR(P$8&lt;$E40,P$8-$E40&gt;=12),0,$C40*INDEX(Fondsen!$F$5:$Q$30,MATCH($B40,Fondsen!$A$5:$A$30,0),P$8-$E40+1)))</f>
        <v/>
      </c>
      <c r="Q40" s="39" t="str">
        <f t="array" ref="Q40">IF(OR($B40="",$C40="",$E40=""),"",IF(OR(Q$8&lt;$E40,Q$8-$E40&gt;=12),0,$C40*INDEX(Fondsen!$F$5:$Q$30,MATCH($B40,Fondsen!$A$5:$A$30,0),Q$8-$E40+1)))</f>
        <v/>
      </c>
      <c r="R40" s="38" t="str">
        <f t="array" ref="R40">IF(OR($B40="",$C40="",$E40=""),"",IF(OR(R$8&lt;$E40,R$8-$E40&gt;=12),0,$C40*INDEX(Fondsen!$F$5:$Q$30,MATCH($B40,Fondsen!$A$5:$A$30,0),R$8-$E40+1)))</f>
        <v/>
      </c>
      <c r="S40" s="39" t="str">
        <f t="array" ref="S40">IF(OR($B40="",$C40="",$E40=""),"",IF(OR(S$8&lt;$E40,S$8-$E40&gt;=12),0,$C40*INDEX(Fondsen!$F$5:$Q$30,MATCH($B40,Fondsen!$A$5:$A$30,0),S$8-$E40+1)))</f>
        <v/>
      </c>
      <c r="T40" s="38" t="str">
        <f t="array" ref="T40">IF(OR($B40="",$C40="",$E40=""),"",IF(OR(T$8&lt;$E40,T$8-$E40&gt;=12),0,$C40*INDEX(Fondsen!$F$5:$Q$30,MATCH($B40,Fondsen!$A$5:$A$30,0),T$8-$E40+1)))</f>
        <v/>
      </c>
      <c r="U40" s="39" t="str">
        <f t="array" ref="U40">IF(OR($B40="",$C40="",$E40=""),"",IF(OR(U$8&lt;$E40,U$8-$E40&gt;=12),0,$C40*INDEX(Fondsen!$F$5:$Q$30,MATCH($B40,Fondsen!$A$5:$A$30,0),U$8-$E40+1)))</f>
        <v/>
      </c>
      <c r="V40" s="38" t="str">
        <f t="array" ref="V40">IF(OR($B40="",$C40="",$E40=""),"",IF(OR(V$8&lt;$E40,V$8-$E40&gt;=12),0,$C40*INDEX(Fondsen!$F$5:$Q$30,MATCH($B40,Fondsen!$A$5:$A$30,0),V$8-$E40+1)))</f>
        <v/>
      </c>
      <c r="W40" s="39" t="str">
        <f t="array" ref="W40">IF(OR($B40="",$C40="",$E40=""),"",IF(OR(W$8&lt;$E40,W$8-$E40&gt;=12),0,$C40*INDEX(Fondsen!$F$5:$Q$30,MATCH($B40,Fondsen!$A$5:$A$30,0),W$8-$E40+1)))</f>
        <v/>
      </c>
      <c r="X40" s="38" t="str">
        <f t="array" ref="X40">IF(OR($B40="",$C40="",$E40=""),"",IF(OR(X$8&lt;$E40,X$8-$E40&gt;=12),0,$C40*INDEX(Fondsen!$F$5:$Q$30,MATCH($B40,Fondsen!$A$5:$A$30,0),X$8-$E40+1)))</f>
        <v/>
      </c>
      <c r="Y40" s="39" t="str">
        <f t="array" ref="Y40">IF(OR($B40="",$C40="",$E40=""),"",IF(OR(Y$8&lt;$E40,Y$8-$E40&gt;=12),0,$C40*INDEX(Fondsen!$F$5:$Q$30,MATCH($B40,Fondsen!$A$5:$A$30,0),Y$8-$E40+1)))</f>
        <v/>
      </c>
      <c r="Z40" s="38" t="str">
        <f t="array" ref="Z40">IF(OR($B40="",$C40="",$E40=""),"",IF(OR(Z$8&lt;$E40,Z$8-$E40&gt;=12),0,$C40*INDEX(Fondsen!$F$5:$Q$30,MATCH($B40,Fondsen!$A$5:$A$30,0),Z$8-$E40+1)))</f>
        <v/>
      </c>
      <c r="AA40" s="39" t="str">
        <f t="array" ref="AA40">IF(OR($B40="",$C40="",$E40=""),"",IF(OR(AA$8&lt;$E40,AA$8-$E40&gt;=12),0,$C40*INDEX(Fondsen!$F$5:$Q$30,MATCH($B40,Fondsen!$A$5:$A$30,0),AA$8-$E40+1)))</f>
        <v/>
      </c>
      <c r="AB40" s="38" t="str">
        <f t="array" ref="AB40">IF(OR($B40="",$C40="",$E40=""),"",IF(OR(AB$8&lt;$E40,AB$8-$E40&gt;=12),0,$C40*INDEX(Fondsen!$F$5:$Q$30,MATCH($B40,Fondsen!$A$5:$A$30,0),AB$8-$E40+1)))</f>
        <v/>
      </c>
      <c r="AC40" s="39" t="str">
        <f t="array" ref="AC40">IF(OR($B40="",$C40="",$E40=""),"",IF(OR(AC$8&lt;$E40,AC$8-$E40&gt;=12),0,$C40*INDEX(Fondsen!$F$5:$Q$30,MATCH($B40,Fondsen!$A$5:$A$30,0),AC$8-$E40+1)))</f>
        <v/>
      </c>
      <c r="AD40" s="38" t="str">
        <f t="array" ref="AD40">IF(OR($B40="",$C40="",$E40=""),"",IF(OR(AD$8&lt;$E40,AD$8-$E40&gt;=12),0,$C40*INDEX(Fondsen!$F$5:$Q$30,MATCH($B40,Fondsen!$A$5:$A$30,0),AD$8-$E40+1)))</f>
        <v/>
      </c>
      <c r="AE40" s="39" t="str">
        <f t="array" ref="AE40">IF(OR($B40="",$C40="",$E40=""),"",IF(OR(AE$8&lt;$E40,AE$8-$E40&gt;=12),0,$C40*INDEX(Fondsen!$F$5:$Q$30,MATCH($B40,Fondsen!$A$5:$A$30,0),AE$8-$E40+1)))</f>
        <v/>
      </c>
      <c r="AF40" s="38" t="str">
        <f t="array" ref="AF40">IF(OR($B40="",$C40="",$E40=""),"",IF(OR(AF$8&lt;$E40,AF$8-$E40&gt;=12),0,$C40*INDEX(Fondsen!$F$5:$Q$30,MATCH($B40,Fondsen!$A$5:$A$30,0),AF$8-$E40+1)))</f>
        <v/>
      </c>
      <c r="AG40" s="39" t="str">
        <f t="array" ref="AG40">IF(OR($B40="",$C40="",$E40=""),"",IF(OR(AG$8&lt;$E40,AG$8-$E40&gt;=12),0,$C40*INDEX(Fondsen!$F$5:$Q$30,MATCH($B40,Fondsen!$A$5:$A$30,0),AG$8-$E40+1)))</f>
        <v/>
      </c>
      <c r="AH40" s="38" t="str">
        <f t="array" ref="AH40">IF(OR($B40="",$C40="",$E40=""),"",IF(OR(AH$8&lt;$E40,AH$8-$E40&gt;=12),0,$C40*INDEX(Fondsen!$F$5:$Q$30,MATCH($B40,Fondsen!$A$5:$A$30,0),AH$8-$E40+1)))</f>
        <v/>
      </c>
      <c r="AI40" s="39" t="str">
        <f t="array" ref="AI40">IF(OR($B40="",$C40="",$E40=""),"",IF(OR(AI$8&lt;$E40,AI$8-$E40&gt;=12),0,$C40*INDEX(Fondsen!$F$5:$Q$30,MATCH($B40,Fondsen!$A$5:$A$30,0),AI$8-$E40+1)))</f>
        <v/>
      </c>
      <c r="AJ40" s="38" t="str">
        <f t="array" ref="AJ40">IF(OR($B40="",$C40="",$E40=""),"",IF(OR(AJ$8&lt;$E40,AJ$8-$E40&gt;=12),0,$C40*INDEX(Fondsen!$F$5:$Q$30,MATCH($B40,Fondsen!$A$5:$A$30,0),AJ$8-$E40+1)))</f>
        <v/>
      </c>
      <c r="AK40" s="39" t="str">
        <f t="array" ref="AK40">IF(OR($B40="",$C40="",$E40=""),"",IF(OR(AK$8&lt;$E40,AK$8-$E40&gt;=12),0,$C40*INDEX(Fondsen!$F$5:$Q$30,MATCH($B40,Fondsen!$A$5:$A$30,0),AK$8-$E40+1)))</f>
        <v/>
      </c>
      <c r="AL40" s="38" t="str">
        <f t="array" ref="AL40">IF(OR($B40="",$C40="",$E40=""),"",IF(OR(AL$8&lt;$E40,AL$8-$E40&gt;=12),0,$C40*INDEX(Fondsen!$F$5:$Q$30,MATCH($B40,Fondsen!$A$5:$A$30,0),AL$8-$E40+1)))</f>
        <v/>
      </c>
      <c r="AM40" s="39" t="str">
        <f t="array" ref="AM40">IF(OR($B40="",$C40="",$E40=""),"",IF(OR(AM$8&lt;$E40,AM$8-$E40&gt;=12),0,$C40*INDEX(Fondsen!$F$5:$Q$30,MATCH($B40,Fondsen!$A$5:$A$30,0),AM$8-$E40+1)))</f>
        <v/>
      </c>
      <c r="AN40" s="38" t="str">
        <f t="array" ref="AN40">IF(OR($B40="",$C40="",$E40=""),"",IF(OR(AN$8&lt;$E40,AN$8-$E40&gt;=12),0,$C40*INDEX(Fondsen!$F$5:$Q$30,MATCH($B40,Fondsen!$A$5:$A$30,0),AN$8-$E40+1)))</f>
        <v/>
      </c>
      <c r="AO40" s="39" t="str">
        <f t="array" ref="AO40">IF(OR($B40="",$C40="",$E40=""),"",IF(OR(AO$8&lt;$E40,AO$8-$E40&gt;=12),0,$C40*INDEX(Fondsen!$F$5:$Q$30,MATCH($B40,Fondsen!$A$5:$A$30,0),AO$8-$E40+1)))</f>
        <v/>
      </c>
      <c r="AP40" s="38" t="str">
        <f t="array" ref="AP40">IF(OR($B40="",$C40="",$E40=""),"",IF(OR(AP$8&lt;$E40,AP$8-$E40&gt;=12),0,$C40*INDEX(Fondsen!$F$5:$Q$30,MATCH($B40,Fondsen!$A$5:$A$30,0),AP$8-$E40+1)))</f>
        <v/>
      </c>
      <c r="AQ40" s="39" t="str">
        <f t="array" ref="AQ40">IF(OR($B40="",$C40="",$E40=""),"",IF(OR(AQ$8&lt;$E40,AQ$8-$E40&gt;=12),0,$C40*INDEX(Fondsen!$F$5:$Q$30,MATCH($B40,Fondsen!$A$5:$A$30,0),AQ$8-$E40+1)))</f>
        <v/>
      </c>
      <c r="AR40" s="38" t="str">
        <f t="array" ref="AR40">IF(OR($B40="",$C40="",$E40=""),"",IF(OR(AR$8&lt;$E40,AR$8-$E40&gt;=12),0,$C40*INDEX(Fondsen!$F$5:$Q$30,MATCH($B40,Fondsen!$A$5:$A$30,0),AR$8-$E40+1)))</f>
        <v/>
      </c>
      <c r="AS40" s="39" t="str">
        <f t="array" ref="AS40">IF(OR($B40="",$C40="",$E40=""),"",IF(OR(AS$8&lt;$E40,AS$8-$E40&gt;=12),0,$C40*INDEX(Fondsen!$F$5:$Q$30,MATCH($B40,Fondsen!$A$5:$A$30,0),AS$8-$E40+1)))</f>
        <v/>
      </c>
      <c r="AT40" s="45"/>
    </row>
    <row r="41" ht="24.0" customHeight="1" outlineLevel="1">
      <c r="A41" s="47" t="str">
        <f>IF(B41="","",IFERROR(VLOOKUP(B41,Fondsen!$A$5:$B$30,2,FALSE()),""))</f>
        <v/>
      </c>
      <c r="B41" s="26"/>
      <c r="C41" s="27"/>
      <c r="D41" s="44" t="s">
        <v>11</v>
      </c>
      <c r="E41" s="29"/>
      <c r="F41" s="30" t="str">
        <f t="array" ref="F41">IF(OR($B41="",$C41="",$E41=""),"",IF(OR(F$8&lt;$E41,F$8-$E41&gt;=12),0,$C41*INDEX(Fondsen!$F$5:$Q$30,MATCH($B41,Fondsen!$A$5:$A$30,0),F$8-$E41+1)))</f>
        <v/>
      </c>
      <c r="G41" s="31" t="str">
        <f t="array" ref="G41">IF(OR($B41="",$C41="",$E41=""),"",IF(OR(G$8&lt;$E41,G$8-$E41&gt;=12),0,$C41*INDEX(Fondsen!$F$5:$Q$30,MATCH($B41,Fondsen!$A$5:$A$30,0),G$8-$E41+1)))</f>
        <v/>
      </c>
      <c r="H41" s="30" t="str">
        <f t="array" ref="H41">IF(OR($B41="",$C41="",$E41=""),"",IF(OR(H$8&lt;$E41,H$8-$E41&gt;=12),0,$C41*INDEX(Fondsen!$F$5:$Q$30,MATCH($B41,Fondsen!$A$5:$A$30,0),H$8-$E41+1)))</f>
        <v/>
      </c>
      <c r="I41" s="31" t="str">
        <f t="array" ref="I41">IF(OR($B41="",$C41="",$E41=""),"",IF(OR(I$8&lt;$E41,I$8-$E41&gt;=12),0,$C41*INDEX(Fondsen!$F$5:$Q$30,MATCH($B41,Fondsen!$A$5:$A$30,0),I$8-$E41+1)))</f>
        <v/>
      </c>
      <c r="J41" s="30" t="str">
        <f t="array" ref="J41">IF(OR($B41="",$C41="",$E41=""),"",IF(OR(J$8&lt;$E41,J$8-$E41&gt;=12),0,$C41*INDEX(Fondsen!$F$5:$Q$30,MATCH($B41,Fondsen!$A$5:$A$30,0),J$8-$E41+1)))</f>
        <v/>
      </c>
      <c r="K41" s="31" t="str">
        <f t="array" ref="K41">IF(OR($B41="",$C41="",$E41=""),"",IF(OR(K$8&lt;$E41,K$8-$E41&gt;=12),0,$C41*INDEX(Fondsen!$F$5:$Q$30,MATCH($B41,Fondsen!$A$5:$A$30,0),K$8-$E41+1)))</f>
        <v/>
      </c>
      <c r="L41" s="30" t="str">
        <f t="array" ref="L41">IF(OR($B41="",$C41="",$E41=""),"",IF(OR(L$8&lt;$E41,L$8-$E41&gt;=12),0,$C41*INDEX(Fondsen!$F$5:$Q$30,MATCH($B41,Fondsen!$A$5:$A$30,0),L$8-$E41+1)))</f>
        <v/>
      </c>
      <c r="M41" s="31" t="str">
        <f t="array" ref="M41">IF(OR($B41="",$C41="",$E41=""),"",IF(OR(M$8&lt;$E41,M$8-$E41&gt;=12),0,$C41*INDEX(Fondsen!$F$5:$Q$30,MATCH($B41,Fondsen!$A$5:$A$30,0),M$8-$E41+1)))</f>
        <v/>
      </c>
      <c r="N41" s="30" t="str">
        <f t="array" ref="N41">IF(OR($B41="",$C41="",$E41=""),"",IF(OR(N$8&lt;$E41,N$8-$E41&gt;=12),0,$C41*INDEX(Fondsen!$F$5:$Q$30,MATCH($B41,Fondsen!$A$5:$A$30,0),N$8-$E41+1)))</f>
        <v/>
      </c>
      <c r="O41" s="31" t="str">
        <f t="array" ref="O41">IF(OR($B41="",$C41="",$E41=""),"",IF(OR(O$8&lt;$E41,O$8-$E41&gt;=12),0,$C41*INDEX(Fondsen!$F$5:$Q$30,MATCH($B41,Fondsen!$A$5:$A$30,0),O$8-$E41+1)))</f>
        <v/>
      </c>
      <c r="P41" s="30" t="str">
        <f t="array" ref="P41">IF(OR($B41="",$C41="",$E41=""),"",IF(OR(P$8&lt;$E41,P$8-$E41&gt;=12),0,$C41*INDEX(Fondsen!$F$5:$Q$30,MATCH($B41,Fondsen!$A$5:$A$30,0),P$8-$E41+1)))</f>
        <v/>
      </c>
      <c r="Q41" s="31" t="str">
        <f t="array" ref="Q41">IF(OR($B41="",$C41="",$E41=""),"",IF(OR(Q$8&lt;$E41,Q$8-$E41&gt;=12),0,$C41*INDEX(Fondsen!$F$5:$Q$30,MATCH($B41,Fondsen!$A$5:$A$30,0),Q$8-$E41+1)))</f>
        <v/>
      </c>
      <c r="R41" s="30" t="str">
        <f t="array" ref="R41">IF(OR($B41="",$C41="",$E41=""),"",IF(OR(R$8&lt;$E41,R$8-$E41&gt;=12),0,$C41*INDEX(Fondsen!$F$5:$Q$30,MATCH($B41,Fondsen!$A$5:$A$30,0),R$8-$E41+1)))</f>
        <v/>
      </c>
      <c r="S41" s="31" t="str">
        <f t="array" ref="S41">IF(OR($B41="",$C41="",$E41=""),"",IF(OR(S$8&lt;$E41,S$8-$E41&gt;=12),0,$C41*INDEX(Fondsen!$F$5:$Q$30,MATCH($B41,Fondsen!$A$5:$A$30,0),S$8-$E41+1)))</f>
        <v/>
      </c>
      <c r="T41" s="30" t="str">
        <f t="array" ref="T41">IF(OR($B41="",$C41="",$E41=""),"",IF(OR(T$8&lt;$E41,T$8-$E41&gt;=12),0,$C41*INDEX(Fondsen!$F$5:$Q$30,MATCH($B41,Fondsen!$A$5:$A$30,0),T$8-$E41+1)))</f>
        <v/>
      </c>
      <c r="U41" s="31" t="str">
        <f t="array" ref="U41">IF(OR($B41="",$C41="",$E41=""),"",IF(OR(U$8&lt;$E41,U$8-$E41&gt;=12),0,$C41*INDEX(Fondsen!$F$5:$Q$30,MATCH($B41,Fondsen!$A$5:$A$30,0),U$8-$E41+1)))</f>
        <v/>
      </c>
      <c r="V41" s="30" t="str">
        <f t="array" ref="V41">IF(OR($B41="",$C41="",$E41=""),"",IF(OR(V$8&lt;$E41,V$8-$E41&gt;=12),0,$C41*INDEX(Fondsen!$F$5:$Q$30,MATCH($B41,Fondsen!$A$5:$A$30,0),V$8-$E41+1)))</f>
        <v/>
      </c>
      <c r="W41" s="31" t="str">
        <f t="array" ref="W41">IF(OR($B41="",$C41="",$E41=""),"",IF(OR(W$8&lt;$E41,W$8-$E41&gt;=12),0,$C41*INDEX(Fondsen!$F$5:$Q$30,MATCH($B41,Fondsen!$A$5:$A$30,0),W$8-$E41+1)))</f>
        <v/>
      </c>
      <c r="X41" s="30" t="str">
        <f t="array" ref="X41">IF(OR($B41="",$C41="",$E41=""),"",IF(OR(X$8&lt;$E41,X$8-$E41&gt;=12),0,$C41*INDEX(Fondsen!$F$5:$Q$30,MATCH($B41,Fondsen!$A$5:$A$30,0),X$8-$E41+1)))</f>
        <v/>
      </c>
      <c r="Y41" s="31" t="str">
        <f t="array" ref="Y41">IF(OR($B41="",$C41="",$E41=""),"",IF(OR(Y$8&lt;$E41,Y$8-$E41&gt;=12),0,$C41*INDEX(Fondsen!$F$5:$Q$30,MATCH($B41,Fondsen!$A$5:$A$30,0),Y$8-$E41+1)))</f>
        <v/>
      </c>
      <c r="Z41" s="30" t="str">
        <f t="array" ref="Z41">IF(OR($B41="",$C41="",$E41=""),"",IF(OR(Z$8&lt;$E41,Z$8-$E41&gt;=12),0,$C41*INDEX(Fondsen!$F$5:$Q$30,MATCH($B41,Fondsen!$A$5:$A$30,0),Z$8-$E41+1)))</f>
        <v/>
      </c>
      <c r="AA41" s="31" t="str">
        <f t="array" ref="AA41">IF(OR($B41="",$C41="",$E41=""),"",IF(OR(AA$8&lt;$E41,AA$8-$E41&gt;=12),0,$C41*INDEX(Fondsen!$F$5:$Q$30,MATCH($B41,Fondsen!$A$5:$A$30,0),AA$8-$E41+1)))</f>
        <v/>
      </c>
      <c r="AB41" s="30" t="str">
        <f t="array" ref="AB41">IF(OR($B41="",$C41="",$E41=""),"",IF(OR(AB$8&lt;$E41,AB$8-$E41&gt;=12),0,$C41*INDEX(Fondsen!$F$5:$Q$30,MATCH($B41,Fondsen!$A$5:$A$30,0),AB$8-$E41+1)))</f>
        <v/>
      </c>
      <c r="AC41" s="31" t="str">
        <f t="array" ref="AC41">IF(OR($B41="",$C41="",$E41=""),"",IF(OR(AC$8&lt;$E41,AC$8-$E41&gt;=12),0,$C41*INDEX(Fondsen!$F$5:$Q$30,MATCH($B41,Fondsen!$A$5:$A$30,0),AC$8-$E41+1)))</f>
        <v/>
      </c>
      <c r="AD41" s="30" t="str">
        <f t="array" ref="AD41">IF(OR($B41="",$C41="",$E41=""),"",IF(OR(AD$8&lt;$E41,AD$8-$E41&gt;=12),0,$C41*INDEX(Fondsen!$F$5:$Q$30,MATCH($B41,Fondsen!$A$5:$A$30,0),AD$8-$E41+1)))</f>
        <v/>
      </c>
      <c r="AE41" s="31" t="str">
        <f t="array" ref="AE41">IF(OR($B41="",$C41="",$E41=""),"",IF(OR(AE$8&lt;$E41,AE$8-$E41&gt;=12),0,$C41*INDEX(Fondsen!$F$5:$Q$30,MATCH($B41,Fondsen!$A$5:$A$30,0),AE$8-$E41+1)))</f>
        <v/>
      </c>
      <c r="AF41" s="30" t="str">
        <f t="array" ref="AF41">IF(OR($B41="",$C41="",$E41=""),"",IF(OR(AF$8&lt;$E41,AF$8-$E41&gt;=12),0,$C41*INDEX(Fondsen!$F$5:$Q$30,MATCH($B41,Fondsen!$A$5:$A$30,0),AF$8-$E41+1)))</f>
        <v/>
      </c>
      <c r="AG41" s="31" t="str">
        <f t="array" ref="AG41">IF(OR($B41="",$C41="",$E41=""),"",IF(OR(AG$8&lt;$E41,AG$8-$E41&gt;=12),0,$C41*INDEX(Fondsen!$F$5:$Q$30,MATCH($B41,Fondsen!$A$5:$A$30,0),AG$8-$E41+1)))</f>
        <v/>
      </c>
      <c r="AH41" s="30" t="str">
        <f t="array" ref="AH41">IF(OR($B41="",$C41="",$E41=""),"",IF(OR(AH$8&lt;$E41,AH$8-$E41&gt;=12),0,$C41*INDEX(Fondsen!$F$5:$Q$30,MATCH($B41,Fondsen!$A$5:$A$30,0),AH$8-$E41+1)))</f>
        <v/>
      </c>
      <c r="AI41" s="31" t="str">
        <f t="array" ref="AI41">IF(OR($B41="",$C41="",$E41=""),"",IF(OR(AI$8&lt;$E41,AI$8-$E41&gt;=12),0,$C41*INDEX(Fondsen!$F$5:$Q$30,MATCH($B41,Fondsen!$A$5:$A$30,0),AI$8-$E41+1)))</f>
        <v/>
      </c>
      <c r="AJ41" s="30" t="str">
        <f t="array" ref="AJ41">IF(OR($B41="",$C41="",$E41=""),"",IF(OR(AJ$8&lt;$E41,AJ$8-$E41&gt;=12),0,$C41*INDEX(Fondsen!$F$5:$Q$30,MATCH($B41,Fondsen!$A$5:$A$30,0),AJ$8-$E41+1)))</f>
        <v/>
      </c>
      <c r="AK41" s="31" t="str">
        <f t="array" ref="AK41">IF(OR($B41="",$C41="",$E41=""),"",IF(OR(AK$8&lt;$E41,AK$8-$E41&gt;=12),0,$C41*INDEX(Fondsen!$F$5:$Q$30,MATCH($B41,Fondsen!$A$5:$A$30,0),AK$8-$E41+1)))</f>
        <v/>
      </c>
      <c r="AL41" s="30" t="str">
        <f t="array" ref="AL41">IF(OR($B41="",$C41="",$E41=""),"",IF(OR(AL$8&lt;$E41,AL$8-$E41&gt;=12),0,$C41*INDEX(Fondsen!$F$5:$Q$30,MATCH($B41,Fondsen!$A$5:$A$30,0),AL$8-$E41+1)))</f>
        <v/>
      </c>
      <c r="AM41" s="31" t="str">
        <f t="array" ref="AM41">IF(OR($B41="",$C41="",$E41=""),"",IF(OR(AM$8&lt;$E41,AM$8-$E41&gt;=12),0,$C41*INDEX(Fondsen!$F$5:$Q$30,MATCH($B41,Fondsen!$A$5:$A$30,0),AM$8-$E41+1)))</f>
        <v/>
      </c>
      <c r="AN41" s="30" t="str">
        <f t="array" ref="AN41">IF(OR($B41="",$C41="",$E41=""),"",IF(OR(AN$8&lt;$E41,AN$8-$E41&gt;=12),0,$C41*INDEX(Fondsen!$F$5:$Q$30,MATCH($B41,Fondsen!$A$5:$A$30,0),AN$8-$E41+1)))</f>
        <v/>
      </c>
      <c r="AO41" s="31" t="str">
        <f t="array" ref="AO41">IF(OR($B41="",$C41="",$E41=""),"",IF(OR(AO$8&lt;$E41,AO$8-$E41&gt;=12),0,$C41*INDEX(Fondsen!$F$5:$Q$30,MATCH($B41,Fondsen!$A$5:$A$30,0),AO$8-$E41+1)))</f>
        <v/>
      </c>
      <c r="AP41" s="30" t="str">
        <f t="array" ref="AP41">IF(OR($B41="",$C41="",$E41=""),"",IF(OR(AP$8&lt;$E41,AP$8-$E41&gt;=12),0,$C41*INDEX(Fondsen!$F$5:$Q$30,MATCH($B41,Fondsen!$A$5:$A$30,0),AP$8-$E41+1)))</f>
        <v/>
      </c>
      <c r="AQ41" s="31" t="str">
        <f t="array" ref="AQ41">IF(OR($B41="",$C41="",$E41=""),"",IF(OR(AQ$8&lt;$E41,AQ$8-$E41&gt;=12),0,$C41*INDEX(Fondsen!$F$5:$Q$30,MATCH($B41,Fondsen!$A$5:$A$30,0),AQ$8-$E41+1)))</f>
        <v/>
      </c>
      <c r="AR41" s="30" t="str">
        <f t="array" ref="AR41">IF(OR($B41="",$C41="",$E41=""),"",IF(OR(AR$8&lt;$E41,AR$8-$E41&gt;=12),0,$C41*INDEX(Fondsen!$F$5:$Q$30,MATCH($B41,Fondsen!$A$5:$A$30,0),AR$8-$E41+1)))</f>
        <v/>
      </c>
      <c r="AS41" s="31" t="str">
        <f t="array" ref="AS41">IF(OR($B41="",$C41="",$E41=""),"",IF(OR(AS$8&lt;$E41,AS$8-$E41&gt;=12),0,$C41*INDEX(Fondsen!$F$5:$Q$30,MATCH($B41,Fondsen!$A$5:$A$30,0),AS$8-$E41+1)))</f>
        <v/>
      </c>
      <c r="AT41" s="45"/>
    </row>
    <row r="42" ht="24.0" customHeight="1" outlineLevel="1">
      <c r="A42" s="33" t="str">
        <f>IF(B42="","",IFERROR(VLOOKUP(B42,Fondsen!$A$5:$B$30,2,FALSE()),""))</f>
        <v/>
      </c>
      <c r="B42" s="34"/>
      <c r="C42" s="35"/>
      <c r="D42" s="46" t="s">
        <v>11</v>
      </c>
      <c r="E42" s="37"/>
      <c r="F42" s="38" t="str">
        <f t="array" ref="F42">IF(OR($B42="",$C42="",$E42=""),"",IF(OR(F$8&lt;$E42,F$8-$E42&gt;=12),0,$C42*INDEX(Fondsen!$F$5:$Q$30,MATCH($B42,Fondsen!$A$5:$A$30,0),F$8-$E42+1)))</f>
        <v/>
      </c>
      <c r="G42" s="39" t="str">
        <f t="array" ref="G42">IF(OR($B42="",$C42="",$E42=""),"",IF(OR(G$8&lt;$E42,G$8-$E42&gt;=12),0,$C42*INDEX(Fondsen!$F$5:$Q$30,MATCH($B42,Fondsen!$A$5:$A$30,0),G$8-$E42+1)))</f>
        <v/>
      </c>
      <c r="H42" s="38" t="str">
        <f t="array" ref="H42">IF(OR($B42="",$C42="",$E42=""),"",IF(OR(H$8&lt;$E42,H$8-$E42&gt;=12),0,$C42*INDEX(Fondsen!$F$5:$Q$30,MATCH($B42,Fondsen!$A$5:$A$30,0),H$8-$E42+1)))</f>
        <v/>
      </c>
      <c r="I42" s="39" t="str">
        <f t="array" ref="I42">IF(OR($B42="",$C42="",$E42=""),"",IF(OR(I$8&lt;$E42,I$8-$E42&gt;=12),0,$C42*INDEX(Fondsen!$F$5:$Q$30,MATCH($B42,Fondsen!$A$5:$A$30,0),I$8-$E42+1)))</f>
        <v/>
      </c>
      <c r="J42" s="38" t="str">
        <f t="array" ref="J42">IF(OR($B42="",$C42="",$E42=""),"",IF(OR(J$8&lt;$E42,J$8-$E42&gt;=12),0,$C42*INDEX(Fondsen!$F$5:$Q$30,MATCH($B42,Fondsen!$A$5:$A$30,0),J$8-$E42+1)))</f>
        <v/>
      </c>
      <c r="K42" s="39" t="str">
        <f t="array" ref="K42">IF(OR($B42="",$C42="",$E42=""),"",IF(OR(K$8&lt;$E42,K$8-$E42&gt;=12),0,$C42*INDEX(Fondsen!$F$5:$Q$30,MATCH($B42,Fondsen!$A$5:$A$30,0),K$8-$E42+1)))</f>
        <v/>
      </c>
      <c r="L42" s="38" t="str">
        <f t="array" ref="L42">IF(OR($B42="",$C42="",$E42=""),"",IF(OR(L$8&lt;$E42,L$8-$E42&gt;=12),0,$C42*INDEX(Fondsen!$F$5:$Q$30,MATCH($B42,Fondsen!$A$5:$A$30,0),L$8-$E42+1)))</f>
        <v/>
      </c>
      <c r="M42" s="39" t="str">
        <f t="array" ref="M42">IF(OR($B42="",$C42="",$E42=""),"",IF(OR(M$8&lt;$E42,M$8-$E42&gt;=12),0,$C42*INDEX(Fondsen!$F$5:$Q$30,MATCH($B42,Fondsen!$A$5:$A$30,0),M$8-$E42+1)))</f>
        <v/>
      </c>
      <c r="N42" s="38" t="str">
        <f t="array" ref="N42">IF(OR($B42="",$C42="",$E42=""),"",IF(OR(N$8&lt;$E42,N$8-$E42&gt;=12),0,$C42*INDEX(Fondsen!$F$5:$Q$30,MATCH($B42,Fondsen!$A$5:$A$30,0),N$8-$E42+1)))</f>
        <v/>
      </c>
      <c r="O42" s="39" t="str">
        <f t="array" ref="O42">IF(OR($B42="",$C42="",$E42=""),"",IF(OR(O$8&lt;$E42,O$8-$E42&gt;=12),0,$C42*INDEX(Fondsen!$F$5:$Q$30,MATCH($B42,Fondsen!$A$5:$A$30,0),O$8-$E42+1)))</f>
        <v/>
      </c>
      <c r="P42" s="38" t="str">
        <f t="array" ref="P42">IF(OR($B42="",$C42="",$E42=""),"",IF(OR(P$8&lt;$E42,P$8-$E42&gt;=12),0,$C42*INDEX(Fondsen!$F$5:$Q$30,MATCH($B42,Fondsen!$A$5:$A$30,0),P$8-$E42+1)))</f>
        <v/>
      </c>
      <c r="Q42" s="39" t="str">
        <f t="array" ref="Q42">IF(OR($B42="",$C42="",$E42=""),"",IF(OR(Q$8&lt;$E42,Q$8-$E42&gt;=12),0,$C42*INDEX(Fondsen!$F$5:$Q$30,MATCH($B42,Fondsen!$A$5:$A$30,0),Q$8-$E42+1)))</f>
        <v/>
      </c>
      <c r="R42" s="38" t="str">
        <f t="array" ref="R42">IF(OR($B42="",$C42="",$E42=""),"",IF(OR(R$8&lt;$E42,R$8-$E42&gt;=12),0,$C42*INDEX(Fondsen!$F$5:$Q$30,MATCH($B42,Fondsen!$A$5:$A$30,0),R$8-$E42+1)))</f>
        <v/>
      </c>
      <c r="S42" s="39" t="str">
        <f t="array" ref="S42">IF(OR($B42="",$C42="",$E42=""),"",IF(OR(S$8&lt;$E42,S$8-$E42&gt;=12),0,$C42*INDEX(Fondsen!$F$5:$Q$30,MATCH($B42,Fondsen!$A$5:$A$30,0),S$8-$E42+1)))</f>
        <v/>
      </c>
      <c r="T42" s="38" t="str">
        <f t="array" ref="T42">IF(OR($B42="",$C42="",$E42=""),"",IF(OR(T$8&lt;$E42,T$8-$E42&gt;=12),0,$C42*INDEX(Fondsen!$F$5:$Q$30,MATCH($B42,Fondsen!$A$5:$A$30,0),T$8-$E42+1)))</f>
        <v/>
      </c>
      <c r="U42" s="39" t="str">
        <f t="array" ref="U42">IF(OR($B42="",$C42="",$E42=""),"",IF(OR(U$8&lt;$E42,U$8-$E42&gt;=12),0,$C42*INDEX(Fondsen!$F$5:$Q$30,MATCH($B42,Fondsen!$A$5:$A$30,0),U$8-$E42+1)))</f>
        <v/>
      </c>
      <c r="V42" s="38" t="str">
        <f t="array" ref="V42">IF(OR($B42="",$C42="",$E42=""),"",IF(OR(V$8&lt;$E42,V$8-$E42&gt;=12),0,$C42*INDEX(Fondsen!$F$5:$Q$30,MATCH($B42,Fondsen!$A$5:$A$30,0),V$8-$E42+1)))</f>
        <v/>
      </c>
      <c r="W42" s="39" t="str">
        <f t="array" ref="W42">IF(OR($B42="",$C42="",$E42=""),"",IF(OR(W$8&lt;$E42,W$8-$E42&gt;=12),0,$C42*INDEX(Fondsen!$F$5:$Q$30,MATCH($B42,Fondsen!$A$5:$A$30,0),W$8-$E42+1)))</f>
        <v/>
      </c>
      <c r="X42" s="38" t="str">
        <f t="array" ref="X42">IF(OR($B42="",$C42="",$E42=""),"",IF(OR(X$8&lt;$E42,X$8-$E42&gt;=12),0,$C42*INDEX(Fondsen!$F$5:$Q$30,MATCH($B42,Fondsen!$A$5:$A$30,0),X$8-$E42+1)))</f>
        <v/>
      </c>
      <c r="Y42" s="39" t="str">
        <f t="array" ref="Y42">IF(OR($B42="",$C42="",$E42=""),"",IF(OR(Y$8&lt;$E42,Y$8-$E42&gt;=12),0,$C42*INDEX(Fondsen!$F$5:$Q$30,MATCH($B42,Fondsen!$A$5:$A$30,0),Y$8-$E42+1)))</f>
        <v/>
      </c>
      <c r="Z42" s="38" t="str">
        <f t="array" ref="Z42">IF(OR($B42="",$C42="",$E42=""),"",IF(OR(Z$8&lt;$E42,Z$8-$E42&gt;=12),0,$C42*INDEX(Fondsen!$F$5:$Q$30,MATCH($B42,Fondsen!$A$5:$A$30,0),Z$8-$E42+1)))</f>
        <v/>
      </c>
      <c r="AA42" s="39" t="str">
        <f t="array" ref="AA42">IF(OR($B42="",$C42="",$E42=""),"",IF(OR(AA$8&lt;$E42,AA$8-$E42&gt;=12),0,$C42*INDEX(Fondsen!$F$5:$Q$30,MATCH($B42,Fondsen!$A$5:$A$30,0),AA$8-$E42+1)))</f>
        <v/>
      </c>
      <c r="AB42" s="38" t="str">
        <f t="array" ref="AB42">IF(OR($B42="",$C42="",$E42=""),"",IF(OR(AB$8&lt;$E42,AB$8-$E42&gt;=12),0,$C42*INDEX(Fondsen!$F$5:$Q$30,MATCH($B42,Fondsen!$A$5:$A$30,0),AB$8-$E42+1)))</f>
        <v/>
      </c>
      <c r="AC42" s="39" t="str">
        <f t="array" ref="AC42">IF(OR($B42="",$C42="",$E42=""),"",IF(OR(AC$8&lt;$E42,AC$8-$E42&gt;=12),0,$C42*INDEX(Fondsen!$F$5:$Q$30,MATCH($B42,Fondsen!$A$5:$A$30,0),AC$8-$E42+1)))</f>
        <v/>
      </c>
      <c r="AD42" s="38" t="str">
        <f t="array" ref="AD42">IF(OR($B42="",$C42="",$E42=""),"",IF(OR(AD$8&lt;$E42,AD$8-$E42&gt;=12),0,$C42*INDEX(Fondsen!$F$5:$Q$30,MATCH($B42,Fondsen!$A$5:$A$30,0),AD$8-$E42+1)))</f>
        <v/>
      </c>
      <c r="AE42" s="39" t="str">
        <f t="array" ref="AE42">IF(OR($B42="",$C42="",$E42=""),"",IF(OR(AE$8&lt;$E42,AE$8-$E42&gt;=12),0,$C42*INDEX(Fondsen!$F$5:$Q$30,MATCH($B42,Fondsen!$A$5:$A$30,0),AE$8-$E42+1)))</f>
        <v/>
      </c>
      <c r="AF42" s="38" t="str">
        <f t="array" ref="AF42">IF(OR($B42="",$C42="",$E42=""),"",IF(OR(AF$8&lt;$E42,AF$8-$E42&gt;=12),0,$C42*INDEX(Fondsen!$F$5:$Q$30,MATCH($B42,Fondsen!$A$5:$A$30,0),AF$8-$E42+1)))</f>
        <v/>
      </c>
      <c r="AG42" s="39" t="str">
        <f t="array" ref="AG42">IF(OR($B42="",$C42="",$E42=""),"",IF(OR(AG$8&lt;$E42,AG$8-$E42&gt;=12),0,$C42*INDEX(Fondsen!$F$5:$Q$30,MATCH($B42,Fondsen!$A$5:$A$30,0),AG$8-$E42+1)))</f>
        <v/>
      </c>
      <c r="AH42" s="38" t="str">
        <f t="array" ref="AH42">IF(OR($B42="",$C42="",$E42=""),"",IF(OR(AH$8&lt;$E42,AH$8-$E42&gt;=12),0,$C42*INDEX(Fondsen!$F$5:$Q$30,MATCH($B42,Fondsen!$A$5:$A$30,0),AH$8-$E42+1)))</f>
        <v/>
      </c>
      <c r="AI42" s="39" t="str">
        <f t="array" ref="AI42">IF(OR($B42="",$C42="",$E42=""),"",IF(OR(AI$8&lt;$E42,AI$8-$E42&gt;=12),0,$C42*INDEX(Fondsen!$F$5:$Q$30,MATCH($B42,Fondsen!$A$5:$A$30,0),AI$8-$E42+1)))</f>
        <v/>
      </c>
      <c r="AJ42" s="38" t="str">
        <f t="array" ref="AJ42">IF(OR($B42="",$C42="",$E42=""),"",IF(OR(AJ$8&lt;$E42,AJ$8-$E42&gt;=12),0,$C42*INDEX(Fondsen!$F$5:$Q$30,MATCH($B42,Fondsen!$A$5:$A$30,0),AJ$8-$E42+1)))</f>
        <v/>
      </c>
      <c r="AK42" s="39" t="str">
        <f t="array" ref="AK42">IF(OR($B42="",$C42="",$E42=""),"",IF(OR(AK$8&lt;$E42,AK$8-$E42&gt;=12),0,$C42*INDEX(Fondsen!$F$5:$Q$30,MATCH($B42,Fondsen!$A$5:$A$30,0),AK$8-$E42+1)))</f>
        <v/>
      </c>
      <c r="AL42" s="38" t="str">
        <f t="array" ref="AL42">IF(OR($B42="",$C42="",$E42=""),"",IF(OR(AL$8&lt;$E42,AL$8-$E42&gt;=12),0,$C42*INDEX(Fondsen!$F$5:$Q$30,MATCH($B42,Fondsen!$A$5:$A$30,0),AL$8-$E42+1)))</f>
        <v/>
      </c>
      <c r="AM42" s="39" t="str">
        <f t="array" ref="AM42">IF(OR($B42="",$C42="",$E42=""),"",IF(OR(AM$8&lt;$E42,AM$8-$E42&gt;=12),0,$C42*INDEX(Fondsen!$F$5:$Q$30,MATCH($B42,Fondsen!$A$5:$A$30,0),AM$8-$E42+1)))</f>
        <v/>
      </c>
      <c r="AN42" s="38" t="str">
        <f t="array" ref="AN42">IF(OR($B42="",$C42="",$E42=""),"",IF(OR(AN$8&lt;$E42,AN$8-$E42&gt;=12),0,$C42*INDEX(Fondsen!$F$5:$Q$30,MATCH($B42,Fondsen!$A$5:$A$30,0),AN$8-$E42+1)))</f>
        <v/>
      </c>
      <c r="AO42" s="39" t="str">
        <f t="array" ref="AO42">IF(OR($B42="",$C42="",$E42=""),"",IF(OR(AO$8&lt;$E42,AO$8-$E42&gt;=12),0,$C42*INDEX(Fondsen!$F$5:$Q$30,MATCH($B42,Fondsen!$A$5:$A$30,0),AO$8-$E42+1)))</f>
        <v/>
      </c>
      <c r="AP42" s="38" t="str">
        <f t="array" ref="AP42">IF(OR($B42="",$C42="",$E42=""),"",IF(OR(AP$8&lt;$E42,AP$8-$E42&gt;=12),0,$C42*INDEX(Fondsen!$F$5:$Q$30,MATCH($B42,Fondsen!$A$5:$A$30,0),AP$8-$E42+1)))</f>
        <v/>
      </c>
      <c r="AQ42" s="39" t="str">
        <f t="array" ref="AQ42">IF(OR($B42="",$C42="",$E42=""),"",IF(OR(AQ$8&lt;$E42,AQ$8-$E42&gt;=12),0,$C42*INDEX(Fondsen!$F$5:$Q$30,MATCH($B42,Fondsen!$A$5:$A$30,0),AQ$8-$E42+1)))</f>
        <v/>
      </c>
      <c r="AR42" s="38" t="str">
        <f t="array" ref="AR42">IF(OR($B42="",$C42="",$E42=""),"",IF(OR(AR$8&lt;$E42,AR$8-$E42&gt;=12),0,$C42*INDEX(Fondsen!$F$5:$Q$30,MATCH($B42,Fondsen!$A$5:$A$30,0),AR$8-$E42+1)))</f>
        <v/>
      </c>
      <c r="AS42" s="39" t="str">
        <f t="array" ref="AS42">IF(OR($B42="",$C42="",$E42=""),"",IF(OR(AS$8&lt;$E42,AS$8-$E42&gt;=12),0,$C42*INDEX(Fondsen!$F$5:$Q$30,MATCH($B42,Fondsen!$A$5:$A$30,0),AS$8-$E42+1)))</f>
        <v/>
      </c>
      <c r="AT42" s="45"/>
    </row>
    <row r="43" ht="24.0" customHeight="1" outlineLevel="1">
      <c r="A43" s="47" t="str">
        <f>IF(B43="","",IFERROR(VLOOKUP(B43,Fondsen!$A$5:$B$30,2,FALSE()),""))</f>
        <v/>
      </c>
      <c r="B43" s="26"/>
      <c r="C43" s="27"/>
      <c r="D43" s="44" t="s">
        <v>11</v>
      </c>
      <c r="E43" s="29"/>
      <c r="F43" s="30" t="str">
        <f t="array" ref="F43">IF(OR($B43="",$C43="",$E43=""),"",IF(OR(F$8&lt;$E43,F$8-$E43&gt;=12),0,$C43*INDEX(Fondsen!$F$5:$Q$30,MATCH($B43,Fondsen!$A$5:$A$30,0),F$8-$E43+1)))</f>
        <v/>
      </c>
      <c r="G43" s="31" t="str">
        <f t="array" ref="G43">IF(OR($B43="",$C43="",$E43=""),"",IF(OR(G$8&lt;$E43,G$8-$E43&gt;=12),0,$C43*INDEX(Fondsen!$F$5:$Q$30,MATCH($B43,Fondsen!$A$5:$A$30,0),G$8-$E43+1)))</f>
        <v/>
      </c>
      <c r="H43" s="30" t="str">
        <f t="array" ref="H43">IF(OR($B43="",$C43="",$E43=""),"",IF(OR(H$8&lt;$E43,H$8-$E43&gt;=12),0,$C43*INDEX(Fondsen!$F$5:$Q$30,MATCH($B43,Fondsen!$A$5:$A$30,0),H$8-$E43+1)))</f>
        <v/>
      </c>
      <c r="I43" s="31" t="str">
        <f t="array" ref="I43">IF(OR($B43="",$C43="",$E43=""),"",IF(OR(I$8&lt;$E43,I$8-$E43&gt;=12),0,$C43*INDEX(Fondsen!$F$5:$Q$30,MATCH($B43,Fondsen!$A$5:$A$30,0),I$8-$E43+1)))</f>
        <v/>
      </c>
      <c r="J43" s="30" t="str">
        <f t="array" ref="J43">IF(OR($B43="",$C43="",$E43=""),"",IF(OR(J$8&lt;$E43,J$8-$E43&gt;=12),0,$C43*INDEX(Fondsen!$F$5:$Q$30,MATCH($B43,Fondsen!$A$5:$A$30,0),J$8-$E43+1)))</f>
        <v/>
      </c>
      <c r="K43" s="31" t="str">
        <f t="array" ref="K43">IF(OR($B43="",$C43="",$E43=""),"",IF(OR(K$8&lt;$E43,K$8-$E43&gt;=12),0,$C43*INDEX(Fondsen!$F$5:$Q$30,MATCH($B43,Fondsen!$A$5:$A$30,0),K$8-$E43+1)))</f>
        <v/>
      </c>
      <c r="L43" s="30" t="str">
        <f t="array" ref="L43">IF(OR($B43="",$C43="",$E43=""),"",IF(OR(L$8&lt;$E43,L$8-$E43&gt;=12),0,$C43*INDEX(Fondsen!$F$5:$Q$30,MATCH($B43,Fondsen!$A$5:$A$30,0),L$8-$E43+1)))</f>
        <v/>
      </c>
      <c r="M43" s="31" t="str">
        <f t="array" ref="M43">IF(OR($B43="",$C43="",$E43=""),"",IF(OR(M$8&lt;$E43,M$8-$E43&gt;=12),0,$C43*INDEX(Fondsen!$F$5:$Q$30,MATCH($B43,Fondsen!$A$5:$A$30,0),M$8-$E43+1)))</f>
        <v/>
      </c>
      <c r="N43" s="30" t="str">
        <f t="array" ref="N43">IF(OR($B43="",$C43="",$E43=""),"",IF(OR(N$8&lt;$E43,N$8-$E43&gt;=12),0,$C43*INDEX(Fondsen!$F$5:$Q$30,MATCH($B43,Fondsen!$A$5:$A$30,0),N$8-$E43+1)))</f>
        <v/>
      </c>
      <c r="O43" s="31" t="str">
        <f t="array" ref="O43">IF(OR($B43="",$C43="",$E43=""),"",IF(OR(O$8&lt;$E43,O$8-$E43&gt;=12),0,$C43*INDEX(Fondsen!$F$5:$Q$30,MATCH($B43,Fondsen!$A$5:$A$30,0),O$8-$E43+1)))</f>
        <v/>
      </c>
      <c r="P43" s="30" t="str">
        <f t="array" ref="P43">IF(OR($B43="",$C43="",$E43=""),"",IF(OR(P$8&lt;$E43,P$8-$E43&gt;=12),0,$C43*INDEX(Fondsen!$F$5:$Q$30,MATCH($B43,Fondsen!$A$5:$A$30,0),P$8-$E43+1)))</f>
        <v/>
      </c>
      <c r="Q43" s="31" t="str">
        <f t="array" ref="Q43">IF(OR($B43="",$C43="",$E43=""),"",IF(OR(Q$8&lt;$E43,Q$8-$E43&gt;=12),0,$C43*INDEX(Fondsen!$F$5:$Q$30,MATCH($B43,Fondsen!$A$5:$A$30,0),Q$8-$E43+1)))</f>
        <v/>
      </c>
      <c r="R43" s="30" t="str">
        <f t="array" ref="R43">IF(OR($B43="",$C43="",$E43=""),"",IF(OR(R$8&lt;$E43,R$8-$E43&gt;=12),0,$C43*INDEX(Fondsen!$F$5:$Q$30,MATCH($B43,Fondsen!$A$5:$A$30,0),R$8-$E43+1)))</f>
        <v/>
      </c>
      <c r="S43" s="31" t="str">
        <f t="array" ref="S43">IF(OR($B43="",$C43="",$E43=""),"",IF(OR(S$8&lt;$E43,S$8-$E43&gt;=12),0,$C43*INDEX(Fondsen!$F$5:$Q$30,MATCH($B43,Fondsen!$A$5:$A$30,0),S$8-$E43+1)))</f>
        <v/>
      </c>
      <c r="T43" s="30" t="str">
        <f t="array" ref="T43">IF(OR($B43="",$C43="",$E43=""),"",IF(OR(T$8&lt;$E43,T$8-$E43&gt;=12),0,$C43*INDEX(Fondsen!$F$5:$Q$30,MATCH($B43,Fondsen!$A$5:$A$30,0),T$8-$E43+1)))</f>
        <v/>
      </c>
      <c r="U43" s="31" t="str">
        <f t="array" ref="U43">IF(OR($B43="",$C43="",$E43=""),"",IF(OR(U$8&lt;$E43,U$8-$E43&gt;=12),0,$C43*INDEX(Fondsen!$F$5:$Q$30,MATCH($B43,Fondsen!$A$5:$A$30,0),U$8-$E43+1)))</f>
        <v/>
      </c>
      <c r="V43" s="30" t="str">
        <f t="array" ref="V43">IF(OR($B43="",$C43="",$E43=""),"",IF(OR(V$8&lt;$E43,V$8-$E43&gt;=12),0,$C43*INDEX(Fondsen!$F$5:$Q$30,MATCH($B43,Fondsen!$A$5:$A$30,0),V$8-$E43+1)))</f>
        <v/>
      </c>
      <c r="W43" s="31" t="str">
        <f t="array" ref="W43">IF(OR($B43="",$C43="",$E43=""),"",IF(OR(W$8&lt;$E43,W$8-$E43&gt;=12),0,$C43*INDEX(Fondsen!$F$5:$Q$30,MATCH($B43,Fondsen!$A$5:$A$30,0),W$8-$E43+1)))</f>
        <v/>
      </c>
      <c r="X43" s="30" t="str">
        <f t="array" ref="X43">IF(OR($B43="",$C43="",$E43=""),"",IF(OR(X$8&lt;$E43,X$8-$E43&gt;=12),0,$C43*INDEX(Fondsen!$F$5:$Q$30,MATCH($B43,Fondsen!$A$5:$A$30,0),X$8-$E43+1)))</f>
        <v/>
      </c>
      <c r="Y43" s="31" t="str">
        <f t="array" ref="Y43">IF(OR($B43="",$C43="",$E43=""),"",IF(OR(Y$8&lt;$E43,Y$8-$E43&gt;=12),0,$C43*INDEX(Fondsen!$F$5:$Q$30,MATCH($B43,Fondsen!$A$5:$A$30,0),Y$8-$E43+1)))</f>
        <v/>
      </c>
      <c r="Z43" s="30" t="str">
        <f t="array" ref="Z43">IF(OR($B43="",$C43="",$E43=""),"",IF(OR(Z$8&lt;$E43,Z$8-$E43&gt;=12),0,$C43*INDEX(Fondsen!$F$5:$Q$30,MATCH($B43,Fondsen!$A$5:$A$30,0),Z$8-$E43+1)))</f>
        <v/>
      </c>
      <c r="AA43" s="31" t="str">
        <f t="array" ref="AA43">IF(OR($B43="",$C43="",$E43=""),"",IF(OR(AA$8&lt;$E43,AA$8-$E43&gt;=12),0,$C43*INDEX(Fondsen!$F$5:$Q$30,MATCH($B43,Fondsen!$A$5:$A$30,0),AA$8-$E43+1)))</f>
        <v/>
      </c>
      <c r="AB43" s="30" t="str">
        <f t="array" ref="AB43">IF(OR($B43="",$C43="",$E43=""),"",IF(OR(AB$8&lt;$E43,AB$8-$E43&gt;=12),0,$C43*INDEX(Fondsen!$F$5:$Q$30,MATCH($B43,Fondsen!$A$5:$A$30,0),AB$8-$E43+1)))</f>
        <v/>
      </c>
      <c r="AC43" s="31" t="str">
        <f t="array" ref="AC43">IF(OR($B43="",$C43="",$E43=""),"",IF(OR(AC$8&lt;$E43,AC$8-$E43&gt;=12),0,$C43*INDEX(Fondsen!$F$5:$Q$30,MATCH($B43,Fondsen!$A$5:$A$30,0),AC$8-$E43+1)))</f>
        <v/>
      </c>
      <c r="AD43" s="30" t="str">
        <f t="array" ref="AD43">IF(OR($B43="",$C43="",$E43=""),"",IF(OR(AD$8&lt;$E43,AD$8-$E43&gt;=12),0,$C43*INDEX(Fondsen!$F$5:$Q$30,MATCH($B43,Fondsen!$A$5:$A$30,0),AD$8-$E43+1)))</f>
        <v/>
      </c>
      <c r="AE43" s="31" t="str">
        <f t="array" ref="AE43">IF(OR($B43="",$C43="",$E43=""),"",IF(OR(AE$8&lt;$E43,AE$8-$E43&gt;=12),0,$C43*INDEX(Fondsen!$F$5:$Q$30,MATCH($B43,Fondsen!$A$5:$A$30,0),AE$8-$E43+1)))</f>
        <v/>
      </c>
      <c r="AF43" s="30" t="str">
        <f t="array" ref="AF43">IF(OR($B43="",$C43="",$E43=""),"",IF(OR(AF$8&lt;$E43,AF$8-$E43&gt;=12),0,$C43*INDEX(Fondsen!$F$5:$Q$30,MATCH($B43,Fondsen!$A$5:$A$30,0),AF$8-$E43+1)))</f>
        <v/>
      </c>
      <c r="AG43" s="31" t="str">
        <f t="array" ref="AG43">IF(OR($B43="",$C43="",$E43=""),"",IF(OR(AG$8&lt;$E43,AG$8-$E43&gt;=12),0,$C43*INDEX(Fondsen!$F$5:$Q$30,MATCH($B43,Fondsen!$A$5:$A$30,0),AG$8-$E43+1)))</f>
        <v/>
      </c>
      <c r="AH43" s="30" t="str">
        <f t="array" ref="AH43">IF(OR($B43="",$C43="",$E43=""),"",IF(OR(AH$8&lt;$E43,AH$8-$E43&gt;=12),0,$C43*INDEX(Fondsen!$F$5:$Q$30,MATCH($B43,Fondsen!$A$5:$A$30,0),AH$8-$E43+1)))</f>
        <v/>
      </c>
      <c r="AI43" s="31" t="str">
        <f t="array" ref="AI43">IF(OR($B43="",$C43="",$E43=""),"",IF(OR(AI$8&lt;$E43,AI$8-$E43&gt;=12),0,$C43*INDEX(Fondsen!$F$5:$Q$30,MATCH($B43,Fondsen!$A$5:$A$30,0),AI$8-$E43+1)))</f>
        <v/>
      </c>
      <c r="AJ43" s="30" t="str">
        <f t="array" ref="AJ43">IF(OR($B43="",$C43="",$E43=""),"",IF(OR(AJ$8&lt;$E43,AJ$8-$E43&gt;=12),0,$C43*INDEX(Fondsen!$F$5:$Q$30,MATCH($B43,Fondsen!$A$5:$A$30,0),AJ$8-$E43+1)))</f>
        <v/>
      </c>
      <c r="AK43" s="31" t="str">
        <f t="array" ref="AK43">IF(OR($B43="",$C43="",$E43=""),"",IF(OR(AK$8&lt;$E43,AK$8-$E43&gt;=12),0,$C43*INDEX(Fondsen!$F$5:$Q$30,MATCH($B43,Fondsen!$A$5:$A$30,0),AK$8-$E43+1)))</f>
        <v/>
      </c>
      <c r="AL43" s="30" t="str">
        <f t="array" ref="AL43">IF(OR($B43="",$C43="",$E43=""),"",IF(OR(AL$8&lt;$E43,AL$8-$E43&gt;=12),0,$C43*INDEX(Fondsen!$F$5:$Q$30,MATCH($B43,Fondsen!$A$5:$A$30,0),AL$8-$E43+1)))</f>
        <v/>
      </c>
      <c r="AM43" s="31" t="str">
        <f t="array" ref="AM43">IF(OR($B43="",$C43="",$E43=""),"",IF(OR(AM$8&lt;$E43,AM$8-$E43&gt;=12),0,$C43*INDEX(Fondsen!$F$5:$Q$30,MATCH($B43,Fondsen!$A$5:$A$30,0),AM$8-$E43+1)))</f>
        <v/>
      </c>
      <c r="AN43" s="30" t="str">
        <f t="array" ref="AN43">IF(OR($B43="",$C43="",$E43=""),"",IF(OR(AN$8&lt;$E43,AN$8-$E43&gt;=12),0,$C43*INDEX(Fondsen!$F$5:$Q$30,MATCH($B43,Fondsen!$A$5:$A$30,0),AN$8-$E43+1)))</f>
        <v/>
      </c>
      <c r="AO43" s="31" t="str">
        <f t="array" ref="AO43">IF(OR($B43="",$C43="",$E43=""),"",IF(OR(AO$8&lt;$E43,AO$8-$E43&gt;=12),0,$C43*INDEX(Fondsen!$F$5:$Q$30,MATCH($B43,Fondsen!$A$5:$A$30,0),AO$8-$E43+1)))</f>
        <v/>
      </c>
      <c r="AP43" s="30" t="str">
        <f t="array" ref="AP43">IF(OR($B43="",$C43="",$E43=""),"",IF(OR(AP$8&lt;$E43,AP$8-$E43&gt;=12),0,$C43*INDEX(Fondsen!$F$5:$Q$30,MATCH($B43,Fondsen!$A$5:$A$30,0),AP$8-$E43+1)))</f>
        <v/>
      </c>
      <c r="AQ43" s="31" t="str">
        <f t="array" ref="AQ43">IF(OR($B43="",$C43="",$E43=""),"",IF(OR(AQ$8&lt;$E43,AQ$8-$E43&gt;=12),0,$C43*INDEX(Fondsen!$F$5:$Q$30,MATCH($B43,Fondsen!$A$5:$A$30,0),AQ$8-$E43+1)))</f>
        <v/>
      </c>
      <c r="AR43" s="30" t="str">
        <f t="array" ref="AR43">IF(OR($B43="",$C43="",$E43=""),"",IF(OR(AR$8&lt;$E43,AR$8-$E43&gt;=12),0,$C43*INDEX(Fondsen!$F$5:$Q$30,MATCH($B43,Fondsen!$A$5:$A$30,0),AR$8-$E43+1)))</f>
        <v/>
      </c>
      <c r="AS43" s="31" t="str">
        <f t="array" ref="AS43">IF(OR($B43="",$C43="",$E43=""),"",IF(OR(AS$8&lt;$E43,AS$8-$E43&gt;=12),0,$C43*INDEX(Fondsen!$F$5:$Q$30,MATCH($B43,Fondsen!$A$5:$A$30,0),AS$8-$E43+1)))</f>
        <v/>
      </c>
      <c r="AT43" s="45"/>
    </row>
    <row r="44" ht="24.0" customHeight="1" outlineLevel="1">
      <c r="A44" s="33" t="str">
        <f>IF(B44="","",IFERROR(VLOOKUP(B44,Fondsen!$A$5:$B$30,2,FALSE()),""))</f>
        <v/>
      </c>
      <c r="B44" s="34"/>
      <c r="C44" s="35"/>
      <c r="D44" s="46" t="s">
        <v>11</v>
      </c>
      <c r="E44" s="37"/>
      <c r="F44" s="38" t="str">
        <f t="array" ref="F44">IF(OR($B44="",$C44="",$E44=""),"",IF(OR(F$8&lt;$E44,F$8-$E44&gt;=12),0,$C44*INDEX(Fondsen!$F$5:$Q$30,MATCH($B44,Fondsen!$A$5:$A$30,0),F$8-$E44+1)))</f>
        <v/>
      </c>
      <c r="G44" s="39" t="str">
        <f t="array" ref="G44">IF(OR($B44="",$C44="",$E44=""),"",IF(OR(G$8&lt;$E44,G$8-$E44&gt;=12),0,$C44*INDEX(Fondsen!$F$5:$Q$30,MATCH($B44,Fondsen!$A$5:$A$30,0),G$8-$E44+1)))</f>
        <v/>
      </c>
      <c r="H44" s="38" t="str">
        <f t="array" ref="H44">IF(OR($B44="",$C44="",$E44=""),"",IF(OR(H$8&lt;$E44,H$8-$E44&gt;=12),0,$C44*INDEX(Fondsen!$F$5:$Q$30,MATCH($B44,Fondsen!$A$5:$A$30,0),H$8-$E44+1)))</f>
        <v/>
      </c>
      <c r="I44" s="39" t="str">
        <f t="array" ref="I44">IF(OR($B44="",$C44="",$E44=""),"",IF(OR(I$8&lt;$E44,I$8-$E44&gt;=12),0,$C44*INDEX(Fondsen!$F$5:$Q$30,MATCH($B44,Fondsen!$A$5:$A$30,0),I$8-$E44+1)))</f>
        <v/>
      </c>
      <c r="J44" s="38" t="str">
        <f t="array" ref="J44">IF(OR($B44="",$C44="",$E44=""),"",IF(OR(J$8&lt;$E44,J$8-$E44&gt;=12),0,$C44*INDEX(Fondsen!$F$5:$Q$30,MATCH($B44,Fondsen!$A$5:$A$30,0),J$8-$E44+1)))</f>
        <v/>
      </c>
      <c r="K44" s="39" t="str">
        <f t="array" ref="K44">IF(OR($B44="",$C44="",$E44=""),"",IF(OR(K$8&lt;$E44,K$8-$E44&gt;=12),0,$C44*INDEX(Fondsen!$F$5:$Q$30,MATCH($B44,Fondsen!$A$5:$A$30,0),K$8-$E44+1)))</f>
        <v/>
      </c>
      <c r="L44" s="38" t="str">
        <f t="array" ref="L44">IF(OR($B44="",$C44="",$E44=""),"",IF(OR(L$8&lt;$E44,L$8-$E44&gt;=12),0,$C44*INDEX(Fondsen!$F$5:$Q$30,MATCH($B44,Fondsen!$A$5:$A$30,0),L$8-$E44+1)))</f>
        <v/>
      </c>
      <c r="M44" s="39" t="str">
        <f t="array" ref="M44">IF(OR($B44="",$C44="",$E44=""),"",IF(OR(M$8&lt;$E44,M$8-$E44&gt;=12),0,$C44*INDEX(Fondsen!$F$5:$Q$30,MATCH($B44,Fondsen!$A$5:$A$30,0),M$8-$E44+1)))</f>
        <v/>
      </c>
      <c r="N44" s="38" t="str">
        <f t="array" ref="N44">IF(OR($B44="",$C44="",$E44=""),"",IF(OR(N$8&lt;$E44,N$8-$E44&gt;=12),0,$C44*INDEX(Fondsen!$F$5:$Q$30,MATCH($B44,Fondsen!$A$5:$A$30,0),N$8-$E44+1)))</f>
        <v/>
      </c>
      <c r="O44" s="39" t="str">
        <f t="array" ref="O44">IF(OR($B44="",$C44="",$E44=""),"",IF(OR(O$8&lt;$E44,O$8-$E44&gt;=12),0,$C44*INDEX(Fondsen!$F$5:$Q$30,MATCH($B44,Fondsen!$A$5:$A$30,0),O$8-$E44+1)))</f>
        <v/>
      </c>
      <c r="P44" s="38" t="str">
        <f t="array" ref="P44">IF(OR($B44="",$C44="",$E44=""),"",IF(OR(P$8&lt;$E44,P$8-$E44&gt;=12),0,$C44*INDEX(Fondsen!$F$5:$Q$30,MATCH($B44,Fondsen!$A$5:$A$30,0),P$8-$E44+1)))</f>
        <v/>
      </c>
      <c r="Q44" s="39" t="str">
        <f t="array" ref="Q44">IF(OR($B44="",$C44="",$E44=""),"",IF(OR(Q$8&lt;$E44,Q$8-$E44&gt;=12),0,$C44*INDEX(Fondsen!$F$5:$Q$30,MATCH($B44,Fondsen!$A$5:$A$30,0),Q$8-$E44+1)))</f>
        <v/>
      </c>
      <c r="R44" s="38" t="str">
        <f t="array" ref="R44">IF(OR($B44="",$C44="",$E44=""),"",IF(OR(R$8&lt;$E44,R$8-$E44&gt;=12),0,$C44*INDEX(Fondsen!$F$5:$Q$30,MATCH($B44,Fondsen!$A$5:$A$30,0),R$8-$E44+1)))</f>
        <v/>
      </c>
      <c r="S44" s="39" t="str">
        <f t="array" ref="S44">IF(OR($B44="",$C44="",$E44=""),"",IF(OR(S$8&lt;$E44,S$8-$E44&gt;=12),0,$C44*INDEX(Fondsen!$F$5:$Q$30,MATCH($B44,Fondsen!$A$5:$A$30,0),S$8-$E44+1)))</f>
        <v/>
      </c>
      <c r="T44" s="38" t="str">
        <f t="array" ref="T44">IF(OR($B44="",$C44="",$E44=""),"",IF(OR(T$8&lt;$E44,T$8-$E44&gt;=12),0,$C44*INDEX(Fondsen!$F$5:$Q$30,MATCH($B44,Fondsen!$A$5:$A$30,0),T$8-$E44+1)))</f>
        <v/>
      </c>
      <c r="U44" s="39" t="str">
        <f t="array" ref="U44">IF(OR($B44="",$C44="",$E44=""),"",IF(OR(U$8&lt;$E44,U$8-$E44&gt;=12),0,$C44*INDEX(Fondsen!$F$5:$Q$30,MATCH($B44,Fondsen!$A$5:$A$30,0),U$8-$E44+1)))</f>
        <v/>
      </c>
      <c r="V44" s="38" t="str">
        <f t="array" ref="V44">IF(OR($B44="",$C44="",$E44=""),"",IF(OR(V$8&lt;$E44,V$8-$E44&gt;=12),0,$C44*INDEX(Fondsen!$F$5:$Q$30,MATCH($B44,Fondsen!$A$5:$A$30,0),V$8-$E44+1)))</f>
        <v/>
      </c>
      <c r="W44" s="39" t="str">
        <f t="array" ref="W44">IF(OR($B44="",$C44="",$E44=""),"",IF(OR(W$8&lt;$E44,W$8-$E44&gt;=12),0,$C44*INDEX(Fondsen!$F$5:$Q$30,MATCH($B44,Fondsen!$A$5:$A$30,0),W$8-$E44+1)))</f>
        <v/>
      </c>
      <c r="X44" s="38" t="str">
        <f t="array" ref="X44">IF(OR($B44="",$C44="",$E44=""),"",IF(OR(X$8&lt;$E44,X$8-$E44&gt;=12),0,$C44*INDEX(Fondsen!$F$5:$Q$30,MATCH($B44,Fondsen!$A$5:$A$30,0),X$8-$E44+1)))</f>
        <v/>
      </c>
      <c r="Y44" s="39" t="str">
        <f t="array" ref="Y44">IF(OR($B44="",$C44="",$E44=""),"",IF(OR(Y$8&lt;$E44,Y$8-$E44&gt;=12),0,$C44*INDEX(Fondsen!$F$5:$Q$30,MATCH($B44,Fondsen!$A$5:$A$30,0),Y$8-$E44+1)))</f>
        <v/>
      </c>
      <c r="Z44" s="38" t="str">
        <f t="array" ref="Z44">IF(OR($B44="",$C44="",$E44=""),"",IF(OR(Z$8&lt;$E44,Z$8-$E44&gt;=12),0,$C44*INDEX(Fondsen!$F$5:$Q$30,MATCH($B44,Fondsen!$A$5:$A$30,0),Z$8-$E44+1)))</f>
        <v/>
      </c>
      <c r="AA44" s="39" t="str">
        <f t="array" ref="AA44">IF(OR($B44="",$C44="",$E44=""),"",IF(OR(AA$8&lt;$E44,AA$8-$E44&gt;=12),0,$C44*INDEX(Fondsen!$F$5:$Q$30,MATCH($B44,Fondsen!$A$5:$A$30,0),AA$8-$E44+1)))</f>
        <v/>
      </c>
      <c r="AB44" s="38" t="str">
        <f t="array" ref="AB44">IF(OR($B44="",$C44="",$E44=""),"",IF(OR(AB$8&lt;$E44,AB$8-$E44&gt;=12),0,$C44*INDEX(Fondsen!$F$5:$Q$30,MATCH($B44,Fondsen!$A$5:$A$30,0),AB$8-$E44+1)))</f>
        <v/>
      </c>
      <c r="AC44" s="39" t="str">
        <f t="array" ref="AC44">IF(OR($B44="",$C44="",$E44=""),"",IF(OR(AC$8&lt;$E44,AC$8-$E44&gt;=12),0,$C44*INDEX(Fondsen!$F$5:$Q$30,MATCH($B44,Fondsen!$A$5:$A$30,0),AC$8-$E44+1)))</f>
        <v/>
      </c>
      <c r="AD44" s="38" t="str">
        <f t="array" ref="AD44">IF(OR($B44="",$C44="",$E44=""),"",IF(OR(AD$8&lt;$E44,AD$8-$E44&gt;=12),0,$C44*INDEX(Fondsen!$F$5:$Q$30,MATCH($B44,Fondsen!$A$5:$A$30,0),AD$8-$E44+1)))</f>
        <v/>
      </c>
      <c r="AE44" s="39" t="str">
        <f t="array" ref="AE44">IF(OR($B44="",$C44="",$E44=""),"",IF(OR(AE$8&lt;$E44,AE$8-$E44&gt;=12),0,$C44*INDEX(Fondsen!$F$5:$Q$30,MATCH($B44,Fondsen!$A$5:$A$30,0),AE$8-$E44+1)))</f>
        <v/>
      </c>
      <c r="AF44" s="38" t="str">
        <f t="array" ref="AF44">IF(OR($B44="",$C44="",$E44=""),"",IF(OR(AF$8&lt;$E44,AF$8-$E44&gt;=12),0,$C44*INDEX(Fondsen!$F$5:$Q$30,MATCH($B44,Fondsen!$A$5:$A$30,0),AF$8-$E44+1)))</f>
        <v/>
      </c>
      <c r="AG44" s="39" t="str">
        <f t="array" ref="AG44">IF(OR($B44="",$C44="",$E44=""),"",IF(OR(AG$8&lt;$E44,AG$8-$E44&gt;=12),0,$C44*INDEX(Fondsen!$F$5:$Q$30,MATCH($B44,Fondsen!$A$5:$A$30,0),AG$8-$E44+1)))</f>
        <v/>
      </c>
      <c r="AH44" s="38" t="str">
        <f t="array" ref="AH44">IF(OR($B44="",$C44="",$E44=""),"",IF(OR(AH$8&lt;$E44,AH$8-$E44&gt;=12),0,$C44*INDEX(Fondsen!$F$5:$Q$30,MATCH($B44,Fondsen!$A$5:$A$30,0),AH$8-$E44+1)))</f>
        <v/>
      </c>
      <c r="AI44" s="39" t="str">
        <f t="array" ref="AI44">IF(OR($B44="",$C44="",$E44=""),"",IF(OR(AI$8&lt;$E44,AI$8-$E44&gt;=12),0,$C44*INDEX(Fondsen!$F$5:$Q$30,MATCH($B44,Fondsen!$A$5:$A$30,0),AI$8-$E44+1)))</f>
        <v/>
      </c>
      <c r="AJ44" s="38" t="str">
        <f t="array" ref="AJ44">IF(OR($B44="",$C44="",$E44=""),"",IF(OR(AJ$8&lt;$E44,AJ$8-$E44&gt;=12),0,$C44*INDEX(Fondsen!$F$5:$Q$30,MATCH($B44,Fondsen!$A$5:$A$30,0),AJ$8-$E44+1)))</f>
        <v/>
      </c>
      <c r="AK44" s="39" t="str">
        <f t="array" ref="AK44">IF(OR($B44="",$C44="",$E44=""),"",IF(OR(AK$8&lt;$E44,AK$8-$E44&gt;=12),0,$C44*INDEX(Fondsen!$F$5:$Q$30,MATCH($B44,Fondsen!$A$5:$A$30,0),AK$8-$E44+1)))</f>
        <v/>
      </c>
      <c r="AL44" s="38" t="str">
        <f t="array" ref="AL44">IF(OR($B44="",$C44="",$E44=""),"",IF(OR(AL$8&lt;$E44,AL$8-$E44&gt;=12),0,$C44*INDEX(Fondsen!$F$5:$Q$30,MATCH($B44,Fondsen!$A$5:$A$30,0),AL$8-$E44+1)))</f>
        <v/>
      </c>
      <c r="AM44" s="39" t="str">
        <f t="array" ref="AM44">IF(OR($B44="",$C44="",$E44=""),"",IF(OR(AM$8&lt;$E44,AM$8-$E44&gt;=12),0,$C44*INDEX(Fondsen!$F$5:$Q$30,MATCH($B44,Fondsen!$A$5:$A$30,0),AM$8-$E44+1)))</f>
        <v/>
      </c>
      <c r="AN44" s="38" t="str">
        <f t="array" ref="AN44">IF(OR($B44="",$C44="",$E44=""),"",IF(OR(AN$8&lt;$E44,AN$8-$E44&gt;=12),0,$C44*INDEX(Fondsen!$F$5:$Q$30,MATCH($B44,Fondsen!$A$5:$A$30,0),AN$8-$E44+1)))</f>
        <v/>
      </c>
      <c r="AO44" s="39" t="str">
        <f t="array" ref="AO44">IF(OR($B44="",$C44="",$E44=""),"",IF(OR(AO$8&lt;$E44,AO$8-$E44&gt;=12),0,$C44*INDEX(Fondsen!$F$5:$Q$30,MATCH($B44,Fondsen!$A$5:$A$30,0),AO$8-$E44+1)))</f>
        <v/>
      </c>
      <c r="AP44" s="38" t="str">
        <f t="array" ref="AP44">IF(OR($B44="",$C44="",$E44=""),"",IF(OR(AP$8&lt;$E44,AP$8-$E44&gt;=12),0,$C44*INDEX(Fondsen!$F$5:$Q$30,MATCH($B44,Fondsen!$A$5:$A$30,0),AP$8-$E44+1)))</f>
        <v/>
      </c>
      <c r="AQ44" s="39" t="str">
        <f t="array" ref="AQ44">IF(OR($B44="",$C44="",$E44=""),"",IF(OR(AQ$8&lt;$E44,AQ$8-$E44&gt;=12),0,$C44*INDEX(Fondsen!$F$5:$Q$30,MATCH($B44,Fondsen!$A$5:$A$30,0),AQ$8-$E44+1)))</f>
        <v/>
      </c>
      <c r="AR44" s="38" t="str">
        <f t="array" ref="AR44">IF(OR($B44="",$C44="",$E44=""),"",IF(OR(AR$8&lt;$E44,AR$8-$E44&gt;=12),0,$C44*INDEX(Fondsen!$F$5:$Q$30,MATCH($B44,Fondsen!$A$5:$A$30,0),AR$8-$E44+1)))</f>
        <v/>
      </c>
      <c r="AS44" s="39" t="str">
        <f t="array" ref="AS44">IF(OR($B44="",$C44="",$E44=""),"",IF(OR(AS$8&lt;$E44,AS$8-$E44&gt;=12),0,$C44*INDEX(Fondsen!$F$5:$Q$30,MATCH($B44,Fondsen!$A$5:$A$30,0),AS$8-$E44+1)))</f>
        <v/>
      </c>
      <c r="AT44" s="45"/>
    </row>
    <row r="45" ht="24.0" customHeight="1" outlineLevel="1">
      <c r="A45" s="47" t="str">
        <f>IF(B45="","",IFERROR(VLOOKUP(B45,Fondsen!$A$5:$B$30,2,FALSE()),""))</f>
        <v/>
      </c>
      <c r="B45" s="26"/>
      <c r="C45" s="27"/>
      <c r="D45" s="44" t="s">
        <v>11</v>
      </c>
      <c r="E45" s="29"/>
      <c r="F45" s="30" t="str">
        <f t="array" ref="F45">IF(OR($B45="",$C45="",$E45=""),"",IF(OR(F$8&lt;$E45,F$8-$E45&gt;=12),0,$C45*INDEX(Fondsen!$F$5:$Q$30,MATCH($B45,Fondsen!$A$5:$A$30,0),F$8-$E45+1)))</f>
        <v/>
      </c>
      <c r="G45" s="31" t="str">
        <f t="array" ref="G45">IF(OR($B45="",$C45="",$E45=""),"",IF(OR(G$8&lt;$E45,G$8-$E45&gt;=12),0,$C45*INDEX(Fondsen!$F$5:$Q$30,MATCH($B45,Fondsen!$A$5:$A$30,0),G$8-$E45+1)))</f>
        <v/>
      </c>
      <c r="H45" s="30" t="str">
        <f t="array" ref="H45">IF(OR($B45="",$C45="",$E45=""),"",IF(OR(H$8&lt;$E45,H$8-$E45&gt;=12),0,$C45*INDEX(Fondsen!$F$5:$Q$30,MATCH($B45,Fondsen!$A$5:$A$30,0),H$8-$E45+1)))</f>
        <v/>
      </c>
      <c r="I45" s="31" t="str">
        <f t="array" ref="I45">IF(OR($B45="",$C45="",$E45=""),"",IF(OR(I$8&lt;$E45,I$8-$E45&gt;=12),0,$C45*INDEX(Fondsen!$F$5:$Q$30,MATCH($B45,Fondsen!$A$5:$A$30,0),I$8-$E45+1)))</f>
        <v/>
      </c>
      <c r="J45" s="30" t="str">
        <f t="array" ref="J45">IF(OR($B45="",$C45="",$E45=""),"",IF(OR(J$8&lt;$E45,J$8-$E45&gt;=12),0,$C45*INDEX(Fondsen!$F$5:$Q$30,MATCH($B45,Fondsen!$A$5:$A$30,0),J$8-$E45+1)))</f>
        <v/>
      </c>
      <c r="K45" s="31" t="str">
        <f t="array" ref="K45">IF(OR($B45="",$C45="",$E45=""),"",IF(OR(K$8&lt;$E45,K$8-$E45&gt;=12),0,$C45*INDEX(Fondsen!$F$5:$Q$30,MATCH($B45,Fondsen!$A$5:$A$30,0),K$8-$E45+1)))</f>
        <v/>
      </c>
      <c r="L45" s="30" t="str">
        <f t="array" ref="L45">IF(OR($B45="",$C45="",$E45=""),"",IF(OR(L$8&lt;$E45,L$8-$E45&gt;=12),0,$C45*INDEX(Fondsen!$F$5:$Q$30,MATCH($B45,Fondsen!$A$5:$A$30,0),L$8-$E45+1)))</f>
        <v/>
      </c>
      <c r="M45" s="31" t="str">
        <f t="array" ref="M45">IF(OR($B45="",$C45="",$E45=""),"",IF(OR(M$8&lt;$E45,M$8-$E45&gt;=12),0,$C45*INDEX(Fondsen!$F$5:$Q$30,MATCH($B45,Fondsen!$A$5:$A$30,0),M$8-$E45+1)))</f>
        <v/>
      </c>
      <c r="N45" s="30" t="str">
        <f t="array" ref="N45">IF(OR($B45="",$C45="",$E45=""),"",IF(OR(N$8&lt;$E45,N$8-$E45&gt;=12),0,$C45*INDEX(Fondsen!$F$5:$Q$30,MATCH($B45,Fondsen!$A$5:$A$30,0),N$8-$E45+1)))</f>
        <v/>
      </c>
      <c r="O45" s="31" t="str">
        <f t="array" ref="O45">IF(OR($B45="",$C45="",$E45=""),"",IF(OR(O$8&lt;$E45,O$8-$E45&gt;=12),0,$C45*INDEX(Fondsen!$F$5:$Q$30,MATCH($B45,Fondsen!$A$5:$A$30,0),O$8-$E45+1)))</f>
        <v/>
      </c>
      <c r="P45" s="30" t="str">
        <f t="array" ref="P45">IF(OR($B45="",$C45="",$E45=""),"",IF(OR(P$8&lt;$E45,P$8-$E45&gt;=12),0,$C45*INDEX(Fondsen!$F$5:$Q$30,MATCH($B45,Fondsen!$A$5:$A$30,0),P$8-$E45+1)))</f>
        <v/>
      </c>
      <c r="Q45" s="31" t="str">
        <f t="array" ref="Q45">IF(OR($B45="",$C45="",$E45=""),"",IF(OR(Q$8&lt;$E45,Q$8-$E45&gt;=12),0,$C45*INDEX(Fondsen!$F$5:$Q$30,MATCH($B45,Fondsen!$A$5:$A$30,0),Q$8-$E45+1)))</f>
        <v/>
      </c>
      <c r="R45" s="30" t="str">
        <f t="array" ref="R45">IF(OR($B45="",$C45="",$E45=""),"",IF(OR(R$8&lt;$E45,R$8-$E45&gt;=12),0,$C45*INDEX(Fondsen!$F$5:$Q$30,MATCH($B45,Fondsen!$A$5:$A$30,0),R$8-$E45+1)))</f>
        <v/>
      </c>
      <c r="S45" s="31" t="str">
        <f t="array" ref="S45">IF(OR($B45="",$C45="",$E45=""),"",IF(OR(S$8&lt;$E45,S$8-$E45&gt;=12),0,$C45*INDEX(Fondsen!$F$5:$Q$30,MATCH($B45,Fondsen!$A$5:$A$30,0),S$8-$E45+1)))</f>
        <v/>
      </c>
      <c r="T45" s="30" t="str">
        <f t="array" ref="T45">IF(OR($B45="",$C45="",$E45=""),"",IF(OR(T$8&lt;$E45,T$8-$E45&gt;=12),0,$C45*INDEX(Fondsen!$F$5:$Q$30,MATCH($B45,Fondsen!$A$5:$A$30,0),T$8-$E45+1)))</f>
        <v/>
      </c>
      <c r="U45" s="31" t="str">
        <f t="array" ref="U45">IF(OR($B45="",$C45="",$E45=""),"",IF(OR(U$8&lt;$E45,U$8-$E45&gt;=12),0,$C45*INDEX(Fondsen!$F$5:$Q$30,MATCH($B45,Fondsen!$A$5:$A$30,0),U$8-$E45+1)))</f>
        <v/>
      </c>
      <c r="V45" s="30" t="str">
        <f t="array" ref="V45">IF(OR($B45="",$C45="",$E45=""),"",IF(OR(V$8&lt;$E45,V$8-$E45&gt;=12),0,$C45*INDEX(Fondsen!$F$5:$Q$30,MATCH($B45,Fondsen!$A$5:$A$30,0),V$8-$E45+1)))</f>
        <v/>
      </c>
      <c r="W45" s="31" t="str">
        <f t="array" ref="W45">IF(OR($B45="",$C45="",$E45=""),"",IF(OR(W$8&lt;$E45,W$8-$E45&gt;=12),0,$C45*INDEX(Fondsen!$F$5:$Q$30,MATCH($B45,Fondsen!$A$5:$A$30,0),W$8-$E45+1)))</f>
        <v/>
      </c>
      <c r="X45" s="30" t="str">
        <f t="array" ref="X45">IF(OR($B45="",$C45="",$E45=""),"",IF(OR(X$8&lt;$E45,X$8-$E45&gt;=12),0,$C45*INDEX(Fondsen!$F$5:$Q$30,MATCH($B45,Fondsen!$A$5:$A$30,0),X$8-$E45+1)))</f>
        <v/>
      </c>
      <c r="Y45" s="31" t="str">
        <f t="array" ref="Y45">IF(OR($B45="",$C45="",$E45=""),"",IF(OR(Y$8&lt;$E45,Y$8-$E45&gt;=12),0,$C45*INDEX(Fondsen!$F$5:$Q$30,MATCH($B45,Fondsen!$A$5:$A$30,0),Y$8-$E45+1)))</f>
        <v/>
      </c>
      <c r="Z45" s="30" t="str">
        <f t="array" ref="Z45">IF(OR($B45="",$C45="",$E45=""),"",IF(OR(Z$8&lt;$E45,Z$8-$E45&gt;=12),0,$C45*INDEX(Fondsen!$F$5:$Q$30,MATCH($B45,Fondsen!$A$5:$A$30,0),Z$8-$E45+1)))</f>
        <v/>
      </c>
      <c r="AA45" s="31" t="str">
        <f t="array" ref="AA45">IF(OR($B45="",$C45="",$E45=""),"",IF(OR(AA$8&lt;$E45,AA$8-$E45&gt;=12),0,$C45*INDEX(Fondsen!$F$5:$Q$30,MATCH($B45,Fondsen!$A$5:$A$30,0),AA$8-$E45+1)))</f>
        <v/>
      </c>
      <c r="AB45" s="30" t="str">
        <f t="array" ref="AB45">IF(OR($B45="",$C45="",$E45=""),"",IF(OR(AB$8&lt;$E45,AB$8-$E45&gt;=12),0,$C45*INDEX(Fondsen!$F$5:$Q$30,MATCH($B45,Fondsen!$A$5:$A$30,0),AB$8-$E45+1)))</f>
        <v/>
      </c>
      <c r="AC45" s="31" t="str">
        <f t="array" ref="AC45">IF(OR($B45="",$C45="",$E45=""),"",IF(OR(AC$8&lt;$E45,AC$8-$E45&gt;=12),0,$C45*INDEX(Fondsen!$F$5:$Q$30,MATCH($B45,Fondsen!$A$5:$A$30,0),AC$8-$E45+1)))</f>
        <v/>
      </c>
      <c r="AD45" s="30" t="str">
        <f t="array" ref="AD45">IF(OR($B45="",$C45="",$E45=""),"",IF(OR(AD$8&lt;$E45,AD$8-$E45&gt;=12),0,$C45*INDEX(Fondsen!$F$5:$Q$30,MATCH($B45,Fondsen!$A$5:$A$30,0),AD$8-$E45+1)))</f>
        <v/>
      </c>
      <c r="AE45" s="31" t="str">
        <f t="array" ref="AE45">IF(OR($B45="",$C45="",$E45=""),"",IF(OR(AE$8&lt;$E45,AE$8-$E45&gt;=12),0,$C45*INDEX(Fondsen!$F$5:$Q$30,MATCH($B45,Fondsen!$A$5:$A$30,0),AE$8-$E45+1)))</f>
        <v/>
      </c>
      <c r="AF45" s="30" t="str">
        <f t="array" ref="AF45">IF(OR($B45="",$C45="",$E45=""),"",IF(OR(AF$8&lt;$E45,AF$8-$E45&gt;=12),0,$C45*INDEX(Fondsen!$F$5:$Q$30,MATCH($B45,Fondsen!$A$5:$A$30,0),AF$8-$E45+1)))</f>
        <v/>
      </c>
      <c r="AG45" s="31" t="str">
        <f t="array" ref="AG45">IF(OR($B45="",$C45="",$E45=""),"",IF(OR(AG$8&lt;$E45,AG$8-$E45&gt;=12),0,$C45*INDEX(Fondsen!$F$5:$Q$30,MATCH($B45,Fondsen!$A$5:$A$30,0),AG$8-$E45+1)))</f>
        <v/>
      </c>
      <c r="AH45" s="30" t="str">
        <f t="array" ref="AH45">IF(OR($B45="",$C45="",$E45=""),"",IF(OR(AH$8&lt;$E45,AH$8-$E45&gt;=12),0,$C45*INDEX(Fondsen!$F$5:$Q$30,MATCH($B45,Fondsen!$A$5:$A$30,0),AH$8-$E45+1)))</f>
        <v/>
      </c>
      <c r="AI45" s="31" t="str">
        <f t="array" ref="AI45">IF(OR($B45="",$C45="",$E45=""),"",IF(OR(AI$8&lt;$E45,AI$8-$E45&gt;=12),0,$C45*INDEX(Fondsen!$F$5:$Q$30,MATCH($B45,Fondsen!$A$5:$A$30,0),AI$8-$E45+1)))</f>
        <v/>
      </c>
      <c r="AJ45" s="30" t="str">
        <f t="array" ref="AJ45">IF(OR($B45="",$C45="",$E45=""),"",IF(OR(AJ$8&lt;$E45,AJ$8-$E45&gt;=12),0,$C45*INDEX(Fondsen!$F$5:$Q$30,MATCH($B45,Fondsen!$A$5:$A$30,0),AJ$8-$E45+1)))</f>
        <v/>
      </c>
      <c r="AK45" s="31" t="str">
        <f t="array" ref="AK45">IF(OR($B45="",$C45="",$E45=""),"",IF(OR(AK$8&lt;$E45,AK$8-$E45&gt;=12),0,$C45*INDEX(Fondsen!$F$5:$Q$30,MATCH($B45,Fondsen!$A$5:$A$30,0),AK$8-$E45+1)))</f>
        <v/>
      </c>
      <c r="AL45" s="30" t="str">
        <f t="array" ref="AL45">IF(OR($B45="",$C45="",$E45=""),"",IF(OR(AL$8&lt;$E45,AL$8-$E45&gt;=12),0,$C45*INDEX(Fondsen!$F$5:$Q$30,MATCH($B45,Fondsen!$A$5:$A$30,0),AL$8-$E45+1)))</f>
        <v/>
      </c>
      <c r="AM45" s="31" t="str">
        <f t="array" ref="AM45">IF(OR($B45="",$C45="",$E45=""),"",IF(OR(AM$8&lt;$E45,AM$8-$E45&gt;=12),0,$C45*INDEX(Fondsen!$F$5:$Q$30,MATCH($B45,Fondsen!$A$5:$A$30,0),AM$8-$E45+1)))</f>
        <v/>
      </c>
      <c r="AN45" s="30" t="str">
        <f t="array" ref="AN45">IF(OR($B45="",$C45="",$E45=""),"",IF(OR(AN$8&lt;$E45,AN$8-$E45&gt;=12),0,$C45*INDEX(Fondsen!$F$5:$Q$30,MATCH($B45,Fondsen!$A$5:$A$30,0),AN$8-$E45+1)))</f>
        <v/>
      </c>
      <c r="AO45" s="31" t="str">
        <f t="array" ref="AO45">IF(OR($B45="",$C45="",$E45=""),"",IF(OR(AO$8&lt;$E45,AO$8-$E45&gt;=12),0,$C45*INDEX(Fondsen!$F$5:$Q$30,MATCH($B45,Fondsen!$A$5:$A$30,0),AO$8-$E45+1)))</f>
        <v/>
      </c>
      <c r="AP45" s="30" t="str">
        <f t="array" ref="AP45">IF(OR($B45="",$C45="",$E45=""),"",IF(OR(AP$8&lt;$E45,AP$8-$E45&gt;=12),0,$C45*INDEX(Fondsen!$F$5:$Q$30,MATCH($B45,Fondsen!$A$5:$A$30,0),AP$8-$E45+1)))</f>
        <v/>
      </c>
      <c r="AQ45" s="31" t="str">
        <f t="array" ref="AQ45">IF(OR($B45="",$C45="",$E45=""),"",IF(OR(AQ$8&lt;$E45,AQ$8-$E45&gt;=12),0,$C45*INDEX(Fondsen!$F$5:$Q$30,MATCH($B45,Fondsen!$A$5:$A$30,0),AQ$8-$E45+1)))</f>
        <v/>
      </c>
      <c r="AR45" s="30" t="str">
        <f t="array" ref="AR45">IF(OR($B45="",$C45="",$E45=""),"",IF(OR(AR$8&lt;$E45,AR$8-$E45&gt;=12),0,$C45*INDEX(Fondsen!$F$5:$Q$30,MATCH($B45,Fondsen!$A$5:$A$30,0),AR$8-$E45+1)))</f>
        <v/>
      </c>
      <c r="AS45" s="31" t="str">
        <f t="array" ref="AS45">IF(OR($B45="",$C45="",$E45=""),"",IF(OR(AS$8&lt;$E45,AS$8-$E45&gt;=12),0,$C45*INDEX(Fondsen!$F$5:$Q$30,MATCH($B45,Fondsen!$A$5:$A$30,0),AS$8-$E45+1)))</f>
        <v/>
      </c>
      <c r="AT45" s="45"/>
    </row>
    <row r="46" ht="24.0" customHeight="1" outlineLevel="1">
      <c r="A46" s="33" t="str">
        <f>IF(B46="","",IFERROR(VLOOKUP(B46,Fondsen!$A$5:$B$30,2,FALSE()),""))</f>
        <v/>
      </c>
      <c r="B46" s="34"/>
      <c r="C46" s="35"/>
      <c r="D46" s="46" t="s">
        <v>11</v>
      </c>
      <c r="E46" s="37"/>
      <c r="F46" s="38" t="str">
        <f t="array" ref="F46">IF(OR($B46="",$C46="",$E46=""),"",IF(OR(F$8&lt;$E46,F$8-$E46&gt;=12),0,$C46*INDEX(Fondsen!$F$5:$Q$30,MATCH($B46,Fondsen!$A$5:$A$30,0),F$8-$E46+1)))</f>
        <v/>
      </c>
      <c r="G46" s="39" t="str">
        <f t="array" ref="G46">IF(OR($B46="",$C46="",$E46=""),"",IF(OR(G$8&lt;$E46,G$8-$E46&gt;=12),0,$C46*INDEX(Fondsen!$F$5:$Q$30,MATCH($B46,Fondsen!$A$5:$A$30,0),G$8-$E46+1)))</f>
        <v/>
      </c>
      <c r="H46" s="38" t="str">
        <f t="array" ref="H46">IF(OR($B46="",$C46="",$E46=""),"",IF(OR(H$8&lt;$E46,H$8-$E46&gt;=12),0,$C46*INDEX(Fondsen!$F$5:$Q$30,MATCH($B46,Fondsen!$A$5:$A$30,0),H$8-$E46+1)))</f>
        <v/>
      </c>
      <c r="I46" s="39" t="str">
        <f t="array" ref="I46">IF(OR($B46="",$C46="",$E46=""),"",IF(OR(I$8&lt;$E46,I$8-$E46&gt;=12),0,$C46*INDEX(Fondsen!$F$5:$Q$30,MATCH($B46,Fondsen!$A$5:$A$30,0),I$8-$E46+1)))</f>
        <v/>
      </c>
      <c r="J46" s="38" t="str">
        <f t="array" ref="J46">IF(OR($B46="",$C46="",$E46=""),"",IF(OR(J$8&lt;$E46,J$8-$E46&gt;=12),0,$C46*INDEX(Fondsen!$F$5:$Q$30,MATCH($B46,Fondsen!$A$5:$A$30,0),J$8-$E46+1)))</f>
        <v/>
      </c>
      <c r="K46" s="39" t="str">
        <f t="array" ref="K46">IF(OR($B46="",$C46="",$E46=""),"",IF(OR(K$8&lt;$E46,K$8-$E46&gt;=12),0,$C46*INDEX(Fondsen!$F$5:$Q$30,MATCH($B46,Fondsen!$A$5:$A$30,0),K$8-$E46+1)))</f>
        <v/>
      </c>
      <c r="L46" s="38" t="str">
        <f t="array" ref="L46">IF(OR($B46="",$C46="",$E46=""),"",IF(OR(L$8&lt;$E46,L$8-$E46&gt;=12),0,$C46*INDEX(Fondsen!$F$5:$Q$30,MATCH($B46,Fondsen!$A$5:$A$30,0),L$8-$E46+1)))</f>
        <v/>
      </c>
      <c r="M46" s="39" t="str">
        <f t="array" ref="M46">IF(OR($B46="",$C46="",$E46=""),"",IF(OR(M$8&lt;$E46,M$8-$E46&gt;=12),0,$C46*INDEX(Fondsen!$F$5:$Q$30,MATCH($B46,Fondsen!$A$5:$A$30,0),M$8-$E46+1)))</f>
        <v/>
      </c>
      <c r="N46" s="38" t="str">
        <f t="array" ref="N46">IF(OR($B46="",$C46="",$E46=""),"",IF(OR(N$8&lt;$E46,N$8-$E46&gt;=12),0,$C46*INDEX(Fondsen!$F$5:$Q$30,MATCH($B46,Fondsen!$A$5:$A$30,0),N$8-$E46+1)))</f>
        <v/>
      </c>
      <c r="O46" s="39" t="str">
        <f t="array" ref="O46">IF(OR($B46="",$C46="",$E46=""),"",IF(OR(O$8&lt;$E46,O$8-$E46&gt;=12),0,$C46*INDEX(Fondsen!$F$5:$Q$30,MATCH($B46,Fondsen!$A$5:$A$30,0),O$8-$E46+1)))</f>
        <v/>
      </c>
      <c r="P46" s="38" t="str">
        <f t="array" ref="P46">IF(OR($B46="",$C46="",$E46=""),"",IF(OR(P$8&lt;$E46,P$8-$E46&gt;=12),0,$C46*INDEX(Fondsen!$F$5:$Q$30,MATCH($B46,Fondsen!$A$5:$A$30,0),P$8-$E46+1)))</f>
        <v/>
      </c>
      <c r="Q46" s="39" t="str">
        <f t="array" ref="Q46">IF(OR($B46="",$C46="",$E46=""),"",IF(OR(Q$8&lt;$E46,Q$8-$E46&gt;=12),0,$C46*INDEX(Fondsen!$F$5:$Q$30,MATCH($B46,Fondsen!$A$5:$A$30,0),Q$8-$E46+1)))</f>
        <v/>
      </c>
      <c r="R46" s="38" t="str">
        <f t="array" ref="R46">IF(OR($B46="",$C46="",$E46=""),"",IF(OR(R$8&lt;$E46,R$8-$E46&gt;=12),0,$C46*INDEX(Fondsen!$F$5:$Q$30,MATCH($B46,Fondsen!$A$5:$A$30,0),R$8-$E46+1)))</f>
        <v/>
      </c>
      <c r="S46" s="39" t="str">
        <f t="array" ref="S46">IF(OR($B46="",$C46="",$E46=""),"",IF(OR(S$8&lt;$E46,S$8-$E46&gt;=12),0,$C46*INDEX(Fondsen!$F$5:$Q$30,MATCH($B46,Fondsen!$A$5:$A$30,0),S$8-$E46+1)))</f>
        <v/>
      </c>
      <c r="T46" s="38" t="str">
        <f t="array" ref="T46">IF(OR($B46="",$C46="",$E46=""),"",IF(OR(T$8&lt;$E46,T$8-$E46&gt;=12),0,$C46*INDEX(Fondsen!$F$5:$Q$30,MATCH($B46,Fondsen!$A$5:$A$30,0),T$8-$E46+1)))</f>
        <v/>
      </c>
      <c r="U46" s="39" t="str">
        <f t="array" ref="U46">IF(OR($B46="",$C46="",$E46=""),"",IF(OR(U$8&lt;$E46,U$8-$E46&gt;=12),0,$C46*INDEX(Fondsen!$F$5:$Q$30,MATCH($B46,Fondsen!$A$5:$A$30,0),U$8-$E46+1)))</f>
        <v/>
      </c>
      <c r="V46" s="38" t="str">
        <f t="array" ref="V46">IF(OR($B46="",$C46="",$E46=""),"",IF(OR(V$8&lt;$E46,V$8-$E46&gt;=12),0,$C46*INDEX(Fondsen!$F$5:$Q$30,MATCH($B46,Fondsen!$A$5:$A$30,0),V$8-$E46+1)))</f>
        <v/>
      </c>
      <c r="W46" s="39" t="str">
        <f t="array" ref="W46">IF(OR($B46="",$C46="",$E46=""),"",IF(OR(W$8&lt;$E46,W$8-$E46&gt;=12),0,$C46*INDEX(Fondsen!$F$5:$Q$30,MATCH($B46,Fondsen!$A$5:$A$30,0),W$8-$E46+1)))</f>
        <v/>
      </c>
      <c r="X46" s="38" t="str">
        <f t="array" ref="X46">IF(OR($B46="",$C46="",$E46=""),"",IF(OR(X$8&lt;$E46,X$8-$E46&gt;=12),0,$C46*INDEX(Fondsen!$F$5:$Q$30,MATCH($B46,Fondsen!$A$5:$A$30,0),X$8-$E46+1)))</f>
        <v/>
      </c>
      <c r="Y46" s="39" t="str">
        <f t="array" ref="Y46">IF(OR($B46="",$C46="",$E46=""),"",IF(OR(Y$8&lt;$E46,Y$8-$E46&gt;=12),0,$C46*INDEX(Fondsen!$F$5:$Q$30,MATCH($B46,Fondsen!$A$5:$A$30,0),Y$8-$E46+1)))</f>
        <v/>
      </c>
      <c r="Z46" s="38" t="str">
        <f t="array" ref="Z46">IF(OR($B46="",$C46="",$E46=""),"",IF(OR(Z$8&lt;$E46,Z$8-$E46&gt;=12),0,$C46*INDEX(Fondsen!$F$5:$Q$30,MATCH($B46,Fondsen!$A$5:$A$30,0),Z$8-$E46+1)))</f>
        <v/>
      </c>
      <c r="AA46" s="39" t="str">
        <f t="array" ref="AA46">IF(OR($B46="",$C46="",$E46=""),"",IF(OR(AA$8&lt;$E46,AA$8-$E46&gt;=12),0,$C46*INDEX(Fondsen!$F$5:$Q$30,MATCH($B46,Fondsen!$A$5:$A$30,0),AA$8-$E46+1)))</f>
        <v/>
      </c>
      <c r="AB46" s="38" t="str">
        <f t="array" ref="AB46">IF(OR($B46="",$C46="",$E46=""),"",IF(OR(AB$8&lt;$E46,AB$8-$E46&gt;=12),0,$C46*INDEX(Fondsen!$F$5:$Q$30,MATCH($B46,Fondsen!$A$5:$A$30,0),AB$8-$E46+1)))</f>
        <v/>
      </c>
      <c r="AC46" s="39" t="str">
        <f t="array" ref="AC46">IF(OR($B46="",$C46="",$E46=""),"",IF(OR(AC$8&lt;$E46,AC$8-$E46&gt;=12),0,$C46*INDEX(Fondsen!$F$5:$Q$30,MATCH($B46,Fondsen!$A$5:$A$30,0),AC$8-$E46+1)))</f>
        <v/>
      </c>
      <c r="AD46" s="38" t="str">
        <f t="array" ref="AD46">IF(OR($B46="",$C46="",$E46=""),"",IF(OR(AD$8&lt;$E46,AD$8-$E46&gt;=12),0,$C46*INDEX(Fondsen!$F$5:$Q$30,MATCH($B46,Fondsen!$A$5:$A$30,0),AD$8-$E46+1)))</f>
        <v/>
      </c>
      <c r="AE46" s="39" t="str">
        <f t="array" ref="AE46">IF(OR($B46="",$C46="",$E46=""),"",IF(OR(AE$8&lt;$E46,AE$8-$E46&gt;=12),0,$C46*INDEX(Fondsen!$F$5:$Q$30,MATCH($B46,Fondsen!$A$5:$A$30,0),AE$8-$E46+1)))</f>
        <v/>
      </c>
      <c r="AF46" s="38" t="str">
        <f t="array" ref="AF46">IF(OR($B46="",$C46="",$E46=""),"",IF(OR(AF$8&lt;$E46,AF$8-$E46&gt;=12),0,$C46*INDEX(Fondsen!$F$5:$Q$30,MATCH($B46,Fondsen!$A$5:$A$30,0),AF$8-$E46+1)))</f>
        <v/>
      </c>
      <c r="AG46" s="39" t="str">
        <f t="array" ref="AG46">IF(OR($B46="",$C46="",$E46=""),"",IF(OR(AG$8&lt;$E46,AG$8-$E46&gt;=12),0,$C46*INDEX(Fondsen!$F$5:$Q$30,MATCH($B46,Fondsen!$A$5:$A$30,0),AG$8-$E46+1)))</f>
        <v/>
      </c>
      <c r="AH46" s="38" t="str">
        <f t="array" ref="AH46">IF(OR($B46="",$C46="",$E46=""),"",IF(OR(AH$8&lt;$E46,AH$8-$E46&gt;=12),0,$C46*INDEX(Fondsen!$F$5:$Q$30,MATCH($B46,Fondsen!$A$5:$A$30,0),AH$8-$E46+1)))</f>
        <v/>
      </c>
      <c r="AI46" s="39" t="str">
        <f t="array" ref="AI46">IF(OR($B46="",$C46="",$E46=""),"",IF(OR(AI$8&lt;$E46,AI$8-$E46&gt;=12),0,$C46*INDEX(Fondsen!$F$5:$Q$30,MATCH($B46,Fondsen!$A$5:$A$30,0),AI$8-$E46+1)))</f>
        <v/>
      </c>
      <c r="AJ46" s="38" t="str">
        <f t="array" ref="AJ46">IF(OR($B46="",$C46="",$E46=""),"",IF(OR(AJ$8&lt;$E46,AJ$8-$E46&gt;=12),0,$C46*INDEX(Fondsen!$F$5:$Q$30,MATCH($B46,Fondsen!$A$5:$A$30,0),AJ$8-$E46+1)))</f>
        <v/>
      </c>
      <c r="AK46" s="39" t="str">
        <f t="array" ref="AK46">IF(OR($B46="",$C46="",$E46=""),"",IF(OR(AK$8&lt;$E46,AK$8-$E46&gt;=12),0,$C46*INDEX(Fondsen!$F$5:$Q$30,MATCH($B46,Fondsen!$A$5:$A$30,0),AK$8-$E46+1)))</f>
        <v/>
      </c>
      <c r="AL46" s="38" t="str">
        <f t="array" ref="AL46">IF(OR($B46="",$C46="",$E46=""),"",IF(OR(AL$8&lt;$E46,AL$8-$E46&gt;=12),0,$C46*INDEX(Fondsen!$F$5:$Q$30,MATCH($B46,Fondsen!$A$5:$A$30,0),AL$8-$E46+1)))</f>
        <v/>
      </c>
      <c r="AM46" s="39" t="str">
        <f t="array" ref="AM46">IF(OR($B46="",$C46="",$E46=""),"",IF(OR(AM$8&lt;$E46,AM$8-$E46&gt;=12),0,$C46*INDEX(Fondsen!$F$5:$Q$30,MATCH($B46,Fondsen!$A$5:$A$30,0),AM$8-$E46+1)))</f>
        <v/>
      </c>
      <c r="AN46" s="38" t="str">
        <f t="array" ref="AN46">IF(OR($B46="",$C46="",$E46=""),"",IF(OR(AN$8&lt;$E46,AN$8-$E46&gt;=12),0,$C46*INDEX(Fondsen!$F$5:$Q$30,MATCH($B46,Fondsen!$A$5:$A$30,0),AN$8-$E46+1)))</f>
        <v/>
      </c>
      <c r="AO46" s="39" t="str">
        <f t="array" ref="AO46">IF(OR($B46="",$C46="",$E46=""),"",IF(OR(AO$8&lt;$E46,AO$8-$E46&gt;=12),0,$C46*INDEX(Fondsen!$F$5:$Q$30,MATCH($B46,Fondsen!$A$5:$A$30,0),AO$8-$E46+1)))</f>
        <v/>
      </c>
      <c r="AP46" s="38" t="str">
        <f t="array" ref="AP46">IF(OR($B46="",$C46="",$E46=""),"",IF(OR(AP$8&lt;$E46,AP$8-$E46&gt;=12),0,$C46*INDEX(Fondsen!$F$5:$Q$30,MATCH($B46,Fondsen!$A$5:$A$30,0),AP$8-$E46+1)))</f>
        <v/>
      </c>
      <c r="AQ46" s="39" t="str">
        <f t="array" ref="AQ46">IF(OR($B46="",$C46="",$E46=""),"",IF(OR(AQ$8&lt;$E46,AQ$8-$E46&gt;=12),0,$C46*INDEX(Fondsen!$F$5:$Q$30,MATCH($B46,Fondsen!$A$5:$A$30,0),AQ$8-$E46+1)))</f>
        <v/>
      </c>
      <c r="AR46" s="38" t="str">
        <f t="array" ref="AR46">IF(OR($B46="",$C46="",$E46=""),"",IF(OR(AR$8&lt;$E46,AR$8-$E46&gt;=12),0,$C46*INDEX(Fondsen!$F$5:$Q$30,MATCH($B46,Fondsen!$A$5:$A$30,0),AR$8-$E46+1)))</f>
        <v/>
      </c>
      <c r="AS46" s="39" t="str">
        <f t="array" ref="AS46">IF(OR($B46="",$C46="",$E46=""),"",IF(OR(AS$8&lt;$E46,AS$8-$E46&gt;=12),0,$C46*INDEX(Fondsen!$F$5:$Q$30,MATCH($B46,Fondsen!$A$5:$A$30,0),AS$8-$E46+1)))</f>
        <v/>
      </c>
      <c r="AT46" s="45"/>
    </row>
    <row r="47" ht="24.0" customHeight="1" outlineLevel="1">
      <c r="A47" s="47" t="str">
        <f>IF(B47="","",IFERROR(VLOOKUP(B47,Fondsen!$A$5:$B$30,2,FALSE()),""))</f>
        <v/>
      </c>
      <c r="B47" s="26"/>
      <c r="C47" s="27"/>
      <c r="D47" s="44" t="s">
        <v>11</v>
      </c>
      <c r="E47" s="29"/>
      <c r="F47" s="30" t="str">
        <f t="array" ref="F47">IF(OR($B47="",$C47="",$E47=""),"",IF(OR(F$8&lt;$E47,F$8-$E47&gt;=12),0,$C47*INDEX(Fondsen!$F$5:$Q$30,MATCH($B47,Fondsen!$A$5:$A$30,0),F$8-$E47+1)))</f>
        <v/>
      </c>
      <c r="G47" s="31" t="str">
        <f t="array" ref="G47">IF(OR($B47="",$C47="",$E47=""),"",IF(OR(G$8&lt;$E47,G$8-$E47&gt;=12),0,$C47*INDEX(Fondsen!$F$5:$Q$30,MATCH($B47,Fondsen!$A$5:$A$30,0),G$8-$E47+1)))</f>
        <v/>
      </c>
      <c r="H47" s="30" t="str">
        <f t="array" ref="H47">IF(OR($B47="",$C47="",$E47=""),"",IF(OR(H$8&lt;$E47,H$8-$E47&gt;=12),0,$C47*INDEX(Fondsen!$F$5:$Q$30,MATCH($B47,Fondsen!$A$5:$A$30,0),H$8-$E47+1)))</f>
        <v/>
      </c>
      <c r="I47" s="31" t="str">
        <f t="array" ref="I47">IF(OR($B47="",$C47="",$E47=""),"",IF(OR(I$8&lt;$E47,I$8-$E47&gt;=12),0,$C47*INDEX(Fondsen!$F$5:$Q$30,MATCH($B47,Fondsen!$A$5:$A$30,0),I$8-$E47+1)))</f>
        <v/>
      </c>
      <c r="J47" s="30" t="str">
        <f t="array" ref="J47">IF(OR($B47="",$C47="",$E47=""),"",IF(OR(J$8&lt;$E47,J$8-$E47&gt;=12),0,$C47*INDEX(Fondsen!$F$5:$Q$30,MATCH($B47,Fondsen!$A$5:$A$30,0),J$8-$E47+1)))</f>
        <v/>
      </c>
      <c r="K47" s="31" t="str">
        <f t="array" ref="K47">IF(OR($B47="",$C47="",$E47=""),"",IF(OR(K$8&lt;$E47,K$8-$E47&gt;=12),0,$C47*INDEX(Fondsen!$F$5:$Q$30,MATCH($B47,Fondsen!$A$5:$A$30,0),K$8-$E47+1)))</f>
        <v/>
      </c>
      <c r="L47" s="30" t="str">
        <f t="array" ref="L47">IF(OR($B47="",$C47="",$E47=""),"",IF(OR(L$8&lt;$E47,L$8-$E47&gt;=12),0,$C47*INDEX(Fondsen!$F$5:$Q$30,MATCH($B47,Fondsen!$A$5:$A$30,0),L$8-$E47+1)))</f>
        <v/>
      </c>
      <c r="M47" s="31" t="str">
        <f t="array" ref="M47">IF(OR($B47="",$C47="",$E47=""),"",IF(OR(M$8&lt;$E47,M$8-$E47&gt;=12),0,$C47*INDEX(Fondsen!$F$5:$Q$30,MATCH($B47,Fondsen!$A$5:$A$30,0),M$8-$E47+1)))</f>
        <v/>
      </c>
      <c r="N47" s="30" t="str">
        <f t="array" ref="N47">IF(OR($B47="",$C47="",$E47=""),"",IF(OR(N$8&lt;$E47,N$8-$E47&gt;=12),0,$C47*INDEX(Fondsen!$F$5:$Q$30,MATCH($B47,Fondsen!$A$5:$A$30,0),N$8-$E47+1)))</f>
        <v/>
      </c>
      <c r="O47" s="31" t="str">
        <f t="array" ref="O47">IF(OR($B47="",$C47="",$E47=""),"",IF(OR(O$8&lt;$E47,O$8-$E47&gt;=12),0,$C47*INDEX(Fondsen!$F$5:$Q$30,MATCH($B47,Fondsen!$A$5:$A$30,0),O$8-$E47+1)))</f>
        <v/>
      </c>
      <c r="P47" s="30" t="str">
        <f t="array" ref="P47">IF(OR($B47="",$C47="",$E47=""),"",IF(OR(P$8&lt;$E47,P$8-$E47&gt;=12),0,$C47*INDEX(Fondsen!$F$5:$Q$30,MATCH($B47,Fondsen!$A$5:$A$30,0),P$8-$E47+1)))</f>
        <v/>
      </c>
      <c r="Q47" s="31" t="str">
        <f t="array" ref="Q47">IF(OR($B47="",$C47="",$E47=""),"",IF(OR(Q$8&lt;$E47,Q$8-$E47&gt;=12),0,$C47*INDEX(Fondsen!$F$5:$Q$30,MATCH($B47,Fondsen!$A$5:$A$30,0),Q$8-$E47+1)))</f>
        <v/>
      </c>
      <c r="R47" s="30" t="str">
        <f t="array" ref="R47">IF(OR($B47="",$C47="",$E47=""),"",IF(OR(R$8&lt;$E47,R$8-$E47&gt;=12),0,$C47*INDEX(Fondsen!$F$5:$Q$30,MATCH($B47,Fondsen!$A$5:$A$30,0),R$8-$E47+1)))</f>
        <v/>
      </c>
      <c r="S47" s="31" t="str">
        <f t="array" ref="S47">IF(OR($B47="",$C47="",$E47=""),"",IF(OR(S$8&lt;$E47,S$8-$E47&gt;=12),0,$C47*INDEX(Fondsen!$F$5:$Q$30,MATCH($B47,Fondsen!$A$5:$A$30,0),S$8-$E47+1)))</f>
        <v/>
      </c>
      <c r="T47" s="30" t="str">
        <f t="array" ref="T47">IF(OR($B47="",$C47="",$E47=""),"",IF(OR(T$8&lt;$E47,T$8-$E47&gt;=12),0,$C47*INDEX(Fondsen!$F$5:$Q$30,MATCH($B47,Fondsen!$A$5:$A$30,0),T$8-$E47+1)))</f>
        <v/>
      </c>
      <c r="U47" s="31" t="str">
        <f t="array" ref="U47">IF(OR($B47="",$C47="",$E47=""),"",IF(OR(U$8&lt;$E47,U$8-$E47&gt;=12),0,$C47*INDEX(Fondsen!$F$5:$Q$30,MATCH($B47,Fondsen!$A$5:$A$30,0),U$8-$E47+1)))</f>
        <v/>
      </c>
      <c r="V47" s="30" t="str">
        <f t="array" ref="V47">IF(OR($B47="",$C47="",$E47=""),"",IF(OR(V$8&lt;$E47,V$8-$E47&gt;=12),0,$C47*INDEX(Fondsen!$F$5:$Q$30,MATCH($B47,Fondsen!$A$5:$A$30,0),V$8-$E47+1)))</f>
        <v/>
      </c>
      <c r="W47" s="31" t="str">
        <f t="array" ref="W47">IF(OR($B47="",$C47="",$E47=""),"",IF(OR(W$8&lt;$E47,W$8-$E47&gt;=12),0,$C47*INDEX(Fondsen!$F$5:$Q$30,MATCH($B47,Fondsen!$A$5:$A$30,0),W$8-$E47+1)))</f>
        <v/>
      </c>
      <c r="X47" s="30" t="str">
        <f t="array" ref="X47">IF(OR($B47="",$C47="",$E47=""),"",IF(OR(X$8&lt;$E47,X$8-$E47&gt;=12),0,$C47*INDEX(Fondsen!$F$5:$Q$30,MATCH($B47,Fondsen!$A$5:$A$30,0),X$8-$E47+1)))</f>
        <v/>
      </c>
      <c r="Y47" s="31" t="str">
        <f t="array" ref="Y47">IF(OR($B47="",$C47="",$E47=""),"",IF(OR(Y$8&lt;$E47,Y$8-$E47&gt;=12),0,$C47*INDEX(Fondsen!$F$5:$Q$30,MATCH($B47,Fondsen!$A$5:$A$30,0),Y$8-$E47+1)))</f>
        <v/>
      </c>
      <c r="Z47" s="30" t="str">
        <f t="array" ref="Z47">IF(OR($B47="",$C47="",$E47=""),"",IF(OR(Z$8&lt;$E47,Z$8-$E47&gt;=12),0,$C47*INDEX(Fondsen!$F$5:$Q$30,MATCH($B47,Fondsen!$A$5:$A$30,0),Z$8-$E47+1)))</f>
        <v/>
      </c>
      <c r="AA47" s="31" t="str">
        <f t="array" ref="AA47">IF(OR($B47="",$C47="",$E47=""),"",IF(OR(AA$8&lt;$E47,AA$8-$E47&gt;=12),0,$C47*INDEX(Fondsen!$F$5:$Q$30,MATCH($B47,Fondsen!$A$5:$A$30,0),AA$8-$E47+1)))</f>
        <v/>
      </c>
      <c r="AB47" s="30" t="str">
        <f t="array" ref="AB47">IF(OR($B47="",$C47="",$E47=""),"",IF(OR(AB$8&lt;$E47,AB$8-$E47&gt;=12),0,$C47*INDEX(Fondsen!$F$5:$Q$30,MATCH($B47,Fondsen!$A$5:$A$30,0),AB$8-$E47+1)))</f>
        <v/>
      </c>
      <c r="AC47" s="31" t="str">
        <f t="array" ref="AC47">IF(OR($B47="",$C47="",$E47=""),"",IF(OR(AC$8&lt;$E47,AC$8-$E47&gt;=12),0,$C47*INDEX(Fondsen!$F$5:$Q$30,MATCH($B47,Fondsen!$A$5:$A$30,0),AC$8-$E47+1)))</f>
        <v/>
      </c>
      <c r="AD47" s="30" t="str">
        <f t="array" ref="AD47">IF(OR($B47="",$C47="",$E47=""),"",IF(OR(AD$8&lt;$E47,AD$8-$E47&gt;=12),0,$C47*INDEX(Fondsen!$F$5:$Q$30,MATCH($B47,Fondsen!$A$5:$A$30,0),AD$8-$E47+1)))</f>
        <v/>
      </c>
      <c r="AE47" s="31" t="str">
        <f t="array" ref="AE47">IF(OR($B47="",$C47="",$E47=""),"",IF(OR(AE$8&lt;$E47,AE$8-$E47&gt;=12),0,$C47*INDEX(Fondsen!$F$5:$Q$30,MATCH($B47,Fondsen!$A$5:$A$30,0),AE$8-$E47+1)))</f>
        <v/>
      </c>
      <c r="AF47" s="30" t="str">
        <f t="array" ref="AF47">IF(OR($B47="",$C47="",$E47=""),"",IF(OR(AF$8&lt;$E47,AF$8-$E47&gt;=12),0,$C47*INDEX(Fondsen!$F$5:$Q$30,MATCH($B47,Fondsen!$A$5:$A$30,0),AF$8-$E47+1)))</f>
        <v/>
      </c>
      <c r="AG47" s="31" t="str">
        <f t="array" ref="AG47">IF(OR($B47="",$C47="",$E47=""),"",IF(OR(AG$8&lt;$E47,AG$8-$E47&gt;=12),0,$C47*INDEX(Fondsen!$F$5:$Q$30,MATCH($B47,Fondsen!$A$5:$A$30,0),AG$8-$E47+1)))</f>
        <v/>
      </c>
      <c r="AH47" s="30" t="str">
        <f t="array" ref="AH47">IF(OR($B47="",$C47="",$E47=""),"",IF(OR(AH$8&lt;$E47,AH$8-$E47&gt;=12),0,$C47*INDEX(Fondsen!$F$5:$Q$30,MATCH($B47,Fondsen!$A$5:$A$30,0),AH$8-$E47+1)))</f>
        <v/>
      </c>
      <c r="AI47" s="31" t="str">
        <f t="array" ref="AI47">IF(OR($B47="",$C47="",$E47=""),"",IF(OR(AI$8&lt;$E47,AI$8-$E47&gt;=12),0,$C47*INDEX(Fondsen!$F$5:$Q$30,MATCH($B47,Fondsen!$A$5:$A$30,0),AI$8-$E47+1)))</f>
        <v/>
      </c>
      <c r="AJ47" s="30" t="str">
        <f t="array" ref="AJ47">IF(OR($B47="",$C47="",$E47=""),"",IF(OR(AJ$8&lt;$E47,AJ$8-$E47&gt;=12),0,$C47*INDEX(Fondsen!$F$5:$Q$30,MATCH($B47,Fondsen!$A$5:$A$30,0),AJ$8-$E47+1)))</f>
        <v/>
      </c>
      <c r="AK47" s="31" t="str">
        <f t="array" ref="AK47">IF(OR($B47="",$C47="",$E47=""),"",IF(OR(AK$8&lt;$E47,AK$8-$E47&gt;=12),0,$C47*INDEX(Fondsen!$F$5:$Q$30,MATCH($B47,Fondsen!$A$5:$A$30,0),AK$8-$E47+1)))</f>
        <v/>
      </c>
      <c r="AL47" s="30" t="str">
        <f t="array" ref="AL47">IF(OR($B47="",$C47="",$E47=""),"",IF(OR(AL$8&lt;$E47,AL$8-$E47&gt;=12),0,$C47*INDEX(Fondsen!$F$5:$Q$30,MATCH($B47,Fondsen!$A$5:$A$30,0),AL$8-$E47+1)))</f>
        <v/>
      </c>
      <c r="AM47" s="31" t="str">
        <f t="array" ref="AM47">IF(OR($B47="",$C47="",$E47=""),"",IF(OR(AM$8&lt;$E47,AM$8-$E47&gt;=12),0,$C47*INDEX(Fondsen!$F$5:$Q$30,MATCH($B47,Fondsen!$A$5:$A$30,0),AM$8-$E47+1)))</f>
        <v/>
      </c>
      <c r="AN47" s="30" t="str">
        <f t="array" ref="AN47">IF(OR($B47="",$C47="",$E47=""),"",IF(OR(AN$8&lt;$E47,AN$8-$E47&gt;=12),0,$C47*INDEX(Fondsen!$F$5:$Q$30,MATCH($B47,Fondsen!$A$5:$A$30,0),AN$8-$E47+1)))</f>
        <v/>
      </c>
      <c r="AO47" s="31" t="str">
        <f t="array" ref="AO47">IF(OR($B47="",$C47="",$E47=""),"",IF(OR(AO$8&lt;$E47,AO$8-$E47&gt;=12),0,$C47*INDEX(Fondsen!$F$5:$Q$30,MATCH($B47,Fondsen!$A$5:$A$30,0),AO$8-$E47+1)))</f>
        <v/>
      </c>
      <c r="AP47" s="30" t="str">
        <f t="array" ref="AP47">IF(OR($B47="",$C47="",$E47=""),"",IF(OR(AP$8&lt;$E47,AP$8-$E47&gt;=12),0,$C47*INDEX(Fondsen!$F$5:$Q$30,MATCH($B47,Fondsen!$A$5:$A$30,0),AP$8-$E47+1)))</f>
        <v/>
      </c>
      <c r="AQ47" s="31" t="str">
        <f t="array" ref="AQ47">IF(OR($B47="",$C47="",$E47=""),"",IF(OR(AQ$8&lt;$E47,AQ$8-$E47&gt;=12),0,$C47*INDEX(Fondsen!$F$5:$Q$30,MATCH($B47,Fondsen!$A$5:$A$30,0),AQ$8-$E47+1)))</f>
        <v/>
      </c>
      <c r="AR47" s="30" t="str">
        <f t="array" ref="AR47">IF(OR($B47="",$C47="",$E47=""),"",IF(OR(AR$8&lt;$E47,AR$8-$E47&gt;=12),0,$C47*INDEX(Fondsen!$F$5:$Q$30,MATCH($B47,Fondsen!$A$5:$A$30,0),AR$8-$E47+1)))</f>
        <v/>
      </c>
      <c r="AS47" s="31" t="str">
        <f t="array" ref="AS47">IF(OR($B47="",$C47="",$E47=""),"",IF(OR(AS$8&lt;$E47,AS$8-$E47&gt;=12),0,$C47*INDEX(Fondsen!$F$5:$Q$30,MATCH($B47,Fondsen!$A$5:$A$30,0),AS$8-$E47+1)))</f>
        <v/>
      </c>
      <c r="AT47" s="45"/>
    </row>
    <row r="48" ht="24.0" customHeight="1" outlineLevel="1">
      <c r="A48" s="33" t="str">
        <f>IF(B48="","",IFERROR(VLOOKUP(B48,Fondsen!$A$5:$B$30,2,FALSE()),""))</f>
        <v/>
      </c>
      <c r="B48" s="34"/>
      <c r="C48" s="35"/>
      <c r="D48" s="46" t="s">
        <v>11</v>
      </c>
      <c r="E48" s="37"/>
      <c r="F48" s="38" t="str">
        <f t="array" ref="F48">IF(OR($B48="",$C48="",$E48=""),"",IF(OR(F$8&lt;$E48,F$8-$E48&gt;=12),0,$C48*INDEX(Fondsen!$F$5:$Q$30,MATCH($B48,Fondsen!$A$5:$A$30,0),F$8-$E48+1)))</f>
        <v/>
      </c>
      <c r="G48" s="39" t="str">
        <f t="array" ref="G48">IF(OR($B48="",$C48="",$E48=""),"",IF(OR(G$8&lt;$E48,G$8-$E48&gt;=12),0,$C48*INDEX(Fondsen!$F$5:$Q$30,MATCH($B48,Fondsen!$A$5:$A$30,0),G$8-$E48+1)))</f>
        <v/>
      </c>
      <c r="H48" s="38" t="str">
        <f t="array" ref="H48">IF(OR($B48="",$C48="",$E48=""),"",IF(OR(H$8&lt;$E48,H$8-$E48&gt;=12),0,$C48*INDEX(Fondsen!$F$5:$Q$30,MATCH($B48,Fondsen!$A$5:$A$30,0),H$8-$E48+1)))</f>
        <v/>
      </c>
      <c r="I48" s="39" t="str">
        <f t="array" ref="I48">IF(OR($B48="",$C48="",$E48=""),"",IF(OR(I$8&lt;$E48,I$8-$E48&gt;=12),0,$C48*INDEX(Fondsen!$F$5:$Q$30,MATCH($B48,Fondsen!$A$5:$A$30,0),I$8-$E48+1)))</f>
        <v/>
      </c>
      <c r="J48" s="38" t="str">
        <f t="array" ref="J48">IF(OR($B48="",$C48="",$E48=""),"",IF(OR(J$8&lt;$E48,J$8-$E48&gt;=12),0,$C48*INDEX(Fondsen!$F$5:$Q$30,MATCH($B48,Fondsen!$A$5:$A$30,0),J$8-$E48+1)))</f>
        <v/>
      </c>
      <c r="K48" s="39" t="str">
        <f t="array" ref="K48">IF(OR($B48="",$C48="",$E48=""),"",IF(OR(K$8&lt;$E48,K$8-$E48&gt;=12),0,$C48*INDEX(Fondsen!$F$5:$Q$30,MATCH($B48,Fondsen!$A$5:$A$30,0),K$8-$E48+1)))</f>
        <v/>
      </c>
      <c r="L48" s="38" t="str">
        <f t="array" ref="L48">IF(OR($B48="",$C48="",$E48=""),"",IF(OR(L$8&lt;$E48,L$8-$E48&gt;=12),0,$C48*INDEX(Fondsen!$F$5:$Q$30,MATCH($B48,Fondsen!$A$5:$A$30,0),L$8-$E48+1)))</f>
        <v/>
      </c>
      <c r="M48" s="39" t="str">
        <f t="array" ref="M48">IF(OR($B48="",$C48="",$E48=""),"",IF(OR(M$8&lt;$E48,M$8-$E48&gt;=12),0,$C48*INDEX(Fondsen!$F$5:$Q$30,MATCH($B48,Fondsen!$A$5:$A$30,0),M$8-$E48+1)))</f>
        <v/>
      </c>
      <c r="N48" s="38" t="str">
        <f t="array" ref="N48">IF(OR($B48="",$C48="",$E48=""),"",IF(OR(N$8&lt;$E48,N$8-$E48&gt;=12),0,$C48*INDEX(Fondsen!$F$5:$Q$30,MATCH($B48,Fondsen!$A$5:$A$30,0),N$8-$E48+1)))</f>
        <v/>
      </c>
      <c r="O48" s="39" t="str">
        <f t="array" ref="O48">IF(OR($B48="",$C48="",$E48=""),"",IF(OR(O$8&lt;$E48,O$8-$E48&gt;=12),0,$C48*INDEX(Fondsen!$F$5:$Q$30,MATCH($B48,Fondsen!$A$5:$A$30,0),O$8-$E48+1)))</f>
        <v/>
      </c>
      <c r="P48" s="38" t="str">
        <f t="array" ref="P48">IF(OR($B48="",$C48="",$E48=""),"",IF(OR(P$8&lt;$E48,P$8-$E48&gt;=12),0,$C48*INDEX(Fondsen!$F$5:$Q$30,MATCH($B48,Fondsen!$A$5:$A$30,0),P$8-$E48+1)))</f>
        <v/>
      </c>
      <c r="Q48" s="39" t="str">
        <f t="array" ref="Q48">IF(OR($B48="",$C48="",$E48=""),"",IF(OR(Q$8&lt;$E48,Q$8-$E48&gt;=12),0,$C48*INDEX(Fondsen!$F$5:$Q$30,MATCH($B48,Fondsen!$A$5:$A$30,0),Q$8-$E48+1)))</f>
        <v/>
      </c>
      <c r="R48" s="38" t="str">
        <f t="array" ref="R48">IF(OR($B48="",$C48="",$E48=""),"",IF(OR(R$8&lt;$E48,R$8-$E48&gt;=12),0,$C48*INDEX(Fondsen!$F$5:$Q$30,MATCH($B48,Fondsen!$A$5:$A$30,0),R$8-$E48+1)))</f>
        <v/>
      </c>
      <c r="S48" s="39" t="str">
        <f t="array" ref="S48">IF(OR($B48="",$C48="",$E48=""),"",IF(OR(S$8&lt;$E48,S$8-$E48&gt;=12),0,$C48*INDEX(Fondsen!$F$5:$Q$30,MATCH($B48,Fondsen!$A$5:$A$30,0),S$8-$E48+1)))</f>
        <v/>
      </c>
      <c r="T48" s="38" t="str">
        <f t="array" ref="T48">IF(OR($B48="",$C48="",$E48=""),"",IF(OR(T$8&lt;$E48,T$8-$E48&gt;=12),0,$C48*INDEX(Fondsen!$F$5:$Q$30,MATCH($B48,Fondsen!$A$5:$A$30,0),T$8-$E48+1)))</f>
        <v/>
      </c>
      <c r="U48" s="39" t="str">
        <f t="array" ref="U48">IF(OR($B48="",$C48="",$E48=""),"",IF(OR(U$8&lt;$E48,U$8-$E48&gt;=12),0,$C48*INDEX(Fondsen!$F$5:$Q$30,MATCH($B48,Fondsen!$A$5:$A$30,0),U$8-$E48+1)))</f>
        <v/>
      </c>
      <c r="V48" s="38" t="str">
        <f t="array" ref="V48">IF(OR($B48="",$C48="",$E48=""),"",IF(OR(V$8&lt;$E48,V$8-$E48&gt;=12),0,$C48*INDEX(Fondsen!$F$5:$Q$30,MATCH($B48,Fondsen!$A$5:$A$30,0),V$8-$E48+1)))</f>
        <v/>
      </c>
      <c r="W48" s="39" t="str">
        <f t="array" ref="W48">IF(OR($B48="",$C48="",$E48=""),"",IF(OR(W$8&lt;$E48,W$8-$E48&gt;=12),0,$C48*INDEX(Fondsen!$F$5:$Q$30,MATCH($B48,Fondsen!$A$5:$A$30,0),W$8-$E48+1)))</f>
        <v/>
      </c>
      <c r="X48" s="38" t="str">
        <f t="array" ref="X48">IF(OR($B48="",$C48="",$E48=""),"",IF(OR(X$8&lt;$E48,X$8-$E48&gt;=12),0,$C48*INDEX(Fondsen!$F$5:$Q$30,MATCH($B48,Fondsen!$A$5:$A$30,0),X$8-$E48+1)))</f>
        <v/>
      </c>
      <c r="Y48" s="39" t="str">
        <f t="array" ref="Y48">IF(OR($B48="",$C48="",$E48=""),"",IF(OR(Y$8&lt;$E48,Y$8-$E48&gt;=12),0,$C48*INDEX(Fondsen!$F$5:$Q$30,MATCH($B48,Fondsen!$A$5:$A$30,0),Y$8-$E48+1)))</f>
        <v/>
      </c>
      <c r="Z48" s="38" t="str">
        <f t="array" ref="Z48">IF(OR($B48="",$C48="",$E48=""),"",IF(OR(Z$8&lt;$E48,Z$8-$E48&gt;=12),0,$C48*INDEX(Fondsen!$F$5:$Q$30,MATCH($B48,Fondsen!$A$5:$A$30,0),Z$8-$E48+1)))</f>
        <v/>
      </c>
      <c r="AA48" s="39" t="str">
        <f t="array" ref="AA48">IF(OR($B48="",$C48="",$E48=""),"",IF(OR(AA$8&lt;$E48,AA$8-$E48&gt;=12),0,$C48*INDEX(Fondsen!$F$5:$Q$30,MATCH($B48,Fondsen!$A$5:$A$30,0),AA$8-$E48+1)))</f>
        <v/>
      </c>
      <c r="AB48" s="38" t="str">
        <f t="array" ref="AB48">IF(OR($B48="",$C48="",$E48=""),"",IF(OR(AB$8&lt;$E48,AB$8-$E48&gt;=12),0,$C48*INDEX(Fondsen!$F$5:$Q$30,MATCH($B48,Fondsen!$A$5:$A$30,0),AB$8-$E48+1)))</f>
        <v/>
      </c>
      <c r="AC48" s="39" t="str">
        <f t="array" ref="AC48">IF(OR($B48="",$C48="",$E48=""),"",IF(OR(AC$8&lt;$E48,AC$8-$E48&gt;=12),0,$C48*INDEX(Fondsen!$F$5:$Q$30,MATCH($B48,Fondsen!$A$5:$A$30,0),AC$8-$E48+1)))</f>
        <v/>
      </c>
      <c r="AD48" s="38" t="str">
        <f t="array" ref="AD48">IF(OR($B48="",$C48="",$E48=""),"",IF(OR(AD$8&lt;$E48,AD$8-$E48&gt;=12),0,$C48*INDEX(Fondsen!$F$5:$Q$30,MATCH($B48,Fondsen!$A$5:$A$30,0),AD$8-$E48+1)))</f>
        <v/>
      </c>
      <c r="AE48" s="39" t="str">
        <f t="array" ref="AE48">IF(OR($B48="",$C48="",$E48=""),"",IF(OR(AE$8&lt;$E48,AE$8-$E48&gt;=12),0,$C48*INDEX(Fondsen!$F$5:$Q$30,MATCH($B48,Fondsen!$A$5:$A$30,0),AE$8-$E48+1)))</f>
        <v/>
      </c>
      <c r="AF48" s="38" t="str">
        <f t="array" ref="AF48">IF(OR($B48="",$C48="",$E48=""),"",IF(OR(AF$8&lt;$E48,AF$8-$E48&gt;=12),0,$C48*INDEX(Fondsen!$F$5:$Q$30,MATCH($B48,Fondsen!$A$5:$A$30,0),AF$8-$E48+1)))</f>
        <v/>
      </c>
      <c r="AG48" s="39" t="str">
        <f t="array" ref="AG48">IF(OR($B48="",$C48="",$E48=""),"",IF(OR(AG$8&lt;$E48,AG$8-$E48&gt;=12),0,$C48*INDEX(Fondsen!$F$5:$Q$30,MATCH($B48,Fondsen!$A$5:$A$30,0),AG$8-$E48+1)))</f>
        <v/>
      </c>
      <c r="AH48" s="38" t="str">
        <f t="array" ref="AH48">IF(OR($B48="",$C48="",$E48=""),"",IF(OR(AH$8&lt;$E48,AH$8-$E48&gt;=12),0,$C48*INDEX(Fondsen!$F$5:$Q$30,MATCH($B48,Fondsen!$A$5:$A$30,0),AH$8-$E48+1)))</f>
        <v/>
      </c>
      <c r="AI48" s="39" t="str">
        <f t="array" ref="AI48">IF(OR($B48="",$C48="",$E48=""),"",IF(OR(AI$8&lt;$E48,AI$8-$E48&gt;=12),0,$C48*INDEX(Fondsen!$F$5:$Q$30,MATCH($B48,Fondsen!$A$5:$A$30,0),AI$8-$E48+1)))</f>
        <v/>
      </c>
      <c r="AJ48" s="38" t="str">
        <f t="array" ref="AJ48">IF(OR($B48="",$C48="",$E48=""),"",IF(OR(AJ$8&lt;$E48,AJ$8-$E48&gt;=12),0,$C48*INDEX(Fondsen!$F$5:$Q$30,MATCH($B48,Fondsen!$A$5:$A$30,0),AJ$8-$E48+1)))</f>
        <v/>
      </c>
      <c r="AK48" s="39" t="str">
        <f t="array" ref="AK48">IF(OR($B48="",$C48="",$E48=""),"",IF(OR(AK$8&lt;$E48,AK$8-$E48&gt;=12),0,$C48*INDEX(Fondsen!$F$5:$Q$30,MATCH($B48,Fondsen!$A$5:$A$30,0),AK$8-$E48+1)))</f>
        <v/>
      </c>
      <c r="AL48" s="38" t="str">
        <f t="array" ref="AL48">IF(OR($B48="",$C48="",$E48=""),"",IF(OR(AL$8&lt;$E48,AL$8-$E48&gt;=12),0,$C48*INDEX(Fondsen!$F$5:$Q$30,MATCH($B48,Fondsen!$A$5:$A$30,0),AL$8-$E48+1)))</f>
        <v/>
      </c>
      <c r="AM48" s="39" t="str">
        <f t="array" ref="AM48">IF(OR($B48="",$C48="",$E48=""),"",IF(OR(AM$8&lt;$E48,AM$8-$E48&gt;=12),0,$C48*INDEX(Fondsen!$F$5:$Q$30,MATCH($B48,Fondsen!$A$5:$A$30,0),AM$8-$E48+1)))</f>
        <v/>
      </c>
      <c r="AN48" s="38" t="str">
        <f t="array" ref="AN48">IF(OR($B48="",$C48="",$E48=""),"",IF(OR(AN$8&lt;$E48,AN$8-$E48&gt;=12),0,$C48*INDEX(Fondsen!$F$5:$Q$30,MATCH($B48,Fondsen!$A$5:$A$30,0),AN$8-$E48+1)))</f>
        <v/>
      </c>
      <c r="AO48" s="39" t="str">
        <f t="array" ref="AO48">IF(OR($B48="",$C48="",$E48=""),"",IF(OR(AO$8&lt;$E48,AO$8-$E48&gt;=12),0,$C48*INDEX(Fondsen!$F$5:$Q$30,MATCH($B48,Fondsen!$A$5:$A$30,0),AO$8-$E48+1)))</f>
        <v/>
      </c>
      <c r="AP48" s="38" t="str">
        <f t="array" ref="AP48">IF(OR($B48="",$C48="",$E48=""),"",IF(OR(AP$8&lt;$E48,AP$8-$E48&gt;=12),0,$C48*INDEX(Fondsen!$F$5:$Q$30,MATCH($B48,Fondsen!$A$5:$A$30,0),AP$8-$E48+1)))</f>
        <v/>
      </c>
      <c r="AQ48" s="39" t="str">
        <f t="array" ref="AQ48">IF(OR($B48="",$C48="",$E48=""),"",IF(OR(AQ$8&lt;$E48,AQ$8-$E48&gt;=12),0,$C48*INDEX(Fondsen!$F$5:$Q$30,MATCH($B48,Fondsen!$A$5:$A$30,0),AQ$8-$E48+1)))</f>
        <v/>
      </c>
      <c r="AR48" s="38" t="str">
        <f t="array" ref="AR48">IF(OR($B48="",$C48="",$E48=""),"",IF(OR(AR$8&lt;$E48,AR$8-$E48&gt;=12),0,$C48*INDEX(Fondsen!$F$5:$Q$30,MATCH($B48,Fondsen!$A$5:$A$30,0),AR$8-$E48+1)))</f>
        <v/>
      </c>
      <c r="AS48" s="39" t="str">
        <f t="array" ref="AS48">IF(OR($B48="",$C48="",$E48=""),"",IF(OR(AS$8&lt;$E48,AS$8-$E48&gt;=12),0,$C48*INDEX(Fondsen!$F$5:$Q$30,MATCH($B48,Fondsen!$A$5:$A$30,0),AS$8-$E48+1)))</f>
        <v/>
      </c>
      <c r="AT48" s="45"/>
    </row>
    <row r="49" ht="24.0" customHeight="1" outlineLevel="1">
      <c r="A49" s="47" t="str">
        <f>IF(B49="","",IFERROR(VLOOKUP(B49,Fondsen!$A$5:$B$30,2,FALSE()),""))</f>
        <v/>
      </c>
      <c r="B49" s="26"/>
      <c r="C49" s="27"/>
      <c r="D49" s="44" t="s">
        <v>11</v>
      </c>
      <c r="E49" s="29"/>
      <c r="F49" s="30" t="str">
        <f t="array" ref="F49">IF(OR($B49="",$C49="",$E49=""),"",IF(OR(F$8&lt;$E49,F$8-$E49&gt;=12),0,$C49*INDEX(Fondsen!$F$5:$Q$30,MATCH($B49,Fondsen!$A$5:$A$30,0),F$8-$E49+1)))</f>
        <v/>
      </c>
      <c r="G49" s="31" t="str">
        <f t="array" ref="G49">IF(OR($B49="",$C49="",$E49=""),"",IF(OR(G$8&lt;$E49,G$8-$E49&gt;=12),0,$C49*INDEX(Fondsen!$F$5:$Q$30,MATCH($B49,Fondsen!$A$5:$A$30,0),G$8-$E49+1)))</f>
        <v/>
      </c>
      <c r="H49" s="30" t="str">
        <f t="array" ref="H49">IF(OR($B49="",$C49="",$E49=""),"",IF(OR(H$8&lt;$E49,H$8-$E49&gt;=12),0,$C49*INDEX(Fondsen!$F$5:$Q$30,MATCH($B49,Fondsen!$A$5:$A$30,0),H$8-$E49+1)))</f>
        <v/>
      </c>
      <c r="I49" s="31" t="str">
        <f t="array" ref="I49">IF(OR($B49="",$C49="",$E49=""),"",IF(OR(I$8&lt;$E49,I$8-$E49&gt;=12),0,$C49*INDEX(Fondsen!$F$5:$Q$30,MATCH($B49,Fondsen!$A$5:$A$30,0),I$8-$E49+1)))</f>
        <v/>
      </c>
      <c r="J49" s="30" t="str">
        <f t="array" ref="J49">IF(OR($B49="",$C49="",$E49=""),"",IF(OR(J$8&lt;$E49,J$8-$E49&gt;=12),0,$C49*INDEX(Fondsen!$F$5:$Q$30,MATCH($B49,Fondsen!$A$5:$A$30,0),J$8-$E49+1)))</f>
        <v/>
      </c>
      <c r="K49" s="31" t="str">
        <f t="array" ref="K49">IF(OR($B49="",$C49="",$E49=""),"",IF(OR(K$8&lt;$E49,K$8-$E49&gt;=12),0,$C49*INDEX(Fondsen!$F$5:$Q$30,MATCH($B49,Fondsen!$A$5:$A$30,0),K$8-$E49+1)))</f>
        <v/>
      </c>
      <c r="L49" s="30" t="str">
        <f t="array" ref="L49">IF(OR($B49="",$C49="",$E49=""),"",IF(OR(L$8&lt;$E49,L$8-$E49&gt;=12),0,$C49*INDEX(Fondsen!$F$5:$Q$30,MATCH($B49,Fondsen!$A$5:$A$30,0),L$8-$E49+1)))</f>
        <v/>
      </c>
      <c r="M49" s="31" t="str">
        <f t="array" ref="M49">IF(OR($B49="",$C49="",$E49=""),"",IF(OR(M$8&lt;$E49,M$8-$E49&gt;=12),0,$C49*INDEX(Fondsen!$F$5:$Q$30,MATCH($B49,Fondsen!$A$5:$A$30,0),M$8-$E49+1)))</f>
        <v/>
      </c>
      <c r="N49" s="30" t="str">
        <f t="array" ref="N49">IF(OR($B49="",$C49="",$E49=""),"",IF(OR(N$8&lt;$E49,N$8-$E49&gt;=12),0,$C49*INDEX(Fondsen!$F$5:$Q$30,MATCH($B49,Fondsen!$A$5:$A$30,0),N$8-$E49+1)))</f>
        <v/>
      </c>
      <c r="O49" s="31" t="str">
        <f t="array" ref="O49">IF(OR($B49="",$C49="",$E49=""),"",IF(OR(O$8&lt;$E49,O$8-$E49&gt;=12),0,$C49*INDEX(Fondsen!$F$5:$Q$30,MATCH($B49,Fondsen!$A$5:$A$30,0),O$8-$E49+1)))</f>
        <v/>
      </c>
      <c r="P49" s="30" t="str">
        <f t="array" ref="P49">IF(OR($B49="",$C49="",$E49=""),"",IF(OR(P$8&lt;$E49,P$8-$E49&gt;=12),0,$C49*INDEX(Fondsen!$F$5:$Q$30,MATCH($B49,Fondsen!$A$5:$A$30,0),P$8-$E49+1)))</f>
        <v/>
      </c>
      <c r="Q49" s="31" t="str">
        <f t="array" ref="Q49">IF(OR($B49="",$C49="",$E49=""),"",IF(OR(Q$8&lt;$E49,Q$8-$E49&gt;=12),0,$C49*INDEX(Fondsen!$F$5:$Q$30,MATCH($B49,Fondsen!$A$5:$A$30,0),Q$8-$E49+1)))</f>
        <v/>
      </c>
      <c r="R49" s="30" t="str">
        <f t="array" ref="R49">IF(OR($B49="",$C49="",$E49=""),"",IF(OR(R$8&lt;$E49,R$8-$E49&gt;=12),0,$C49*INDEX(Fondsen!$F$5:$Q$30,MATCH($B49,Fondsen!$A$5:$A$30,0),R$8-$E49+1)))</f>
        <v/>
      </c>
      <c r="S49" s="31" t="str">
        <f t="array" ref="S49">IF(OR($B49="",$C49="",$E49=""),"",IF(OR(S$8&lt;$E49,S$8-$E49&gt;=12),0,$C49*INDEX(Fondsen!$F$5:$Q$30,MATCH($B49,Fondsen!$A$5:$A$30,0),S$8-$E49+1)))</f>
        <v/>
      </c>
      <c r="T49" s="30" t="str">
        <f t="array" ref="T49">IF(OR($B49="",$C49="",$E49=""),"",IF(OR(T$8&lt;$E49,T$8-$E49&gt;=12),0,$C49*INDEX(Fondsen!$F$5:$Q$30,MATCH($B49,Fondsen!$A$5:$A$30,0),T$8-$E49+1)))</f>
        <v/>
      </c>
      <c r="U49" s="31" t="str">
        <f t="array" ref="U49">IF(OR($B49="",$C49="",$E49=""),"",IF(OR(U$8&lt;$E49,U$8-$E49&gt;=12),0,$C49*INDEX(Fondsen!$F$5:$Q$30,MATCH($B49,Fondsen!$A$5:$A$30,0),U$8-$E49+1)))</f>
        <v/>
      </c>
      <c r="V49" s="30" t="str">
        <f t="array" ref="V49">IF(OR($B49="",$C49="",$E49=""),"",IF(OR(V$8&lt;$E49,V$8-$E49&gt;=12),0,$C49*INDEX(Fondsen!$F$5:$Q$30,MATCH($B49,Fondsen!$A$5:$A$30,0),V$8-$E49+1)))</f>
        <v/>
      </c>
      <c r="W49" s="31" t="str">
        <f t="array" ref="W49">IF(OR($B49="",$C49="",$E49=""),"",IF(OR(W$8&lt;$E49,W$8-$E49&gt;=12),0,$C49*INDEX(Fondsen!$F$5:$Q$30,MATCH($B49,Fondsen!$A$5:$A$30,0),W$8-$E49+1)))</f>
        <v/>
      </c>
      <c r="X49" s="30" t="str">
        <f t="array" ref="X49">IF(OR($B49="",$C49="",$E49=""),"",IF(OR(X$8&lt;$E49,X$8-$E49&gt;=12),0,$C49*INDEX(Fondsen!$F$5:$Q$30,MATCH($B49,Fondsen!$A$5:$A$30,0),X$8-$E49+1)))</f>
        <v/>
      </c>
      <c r="Y49" s="31" t="str">
        <f t="array" ref="Y49">IF(OR($B49="",$C49="",$E49=""),"",IF(OR(Y$8&lt;$E49,Y$8-$E49&gt;=12),0,$C49*INDEX(Fondsen!$F$5:$Q$30,MATCH($B49,Fondsen!$A$5:$A$30,0),Y$8-$E49+1)))</f>
        <v/>
      </c>
      <c r="Z49" s="30" t="str">
        <f t="array" ref="Z49">IF(OR($B49="",$C49="",$E49=""),"",IF(OR(Z$8&lt;$E49,Z$8-$E49&gt;=12),0,$C49*INDEX(Fondsen!$F$5:$Q$30,MATCH($B49,Fondsen!$A$5:$A$30,0),Z$8-$E49+1)))</f>
        <v/>
      </c>
      <c r="AA49" s="31" t="str">
        <f t="array" ref="AA49">IF(OR($B49="",$C49="",$E49=""),"",IF(OR(AA$8&lt;$E49,AA$8-$E49&gt;=12),0,$C49*INDEX(Fondsen!$F$5:$Q$30,MATCH($B49,Fondsen!$A$5:$A$30,0),AA$8-$E49+1)))</f>
        <v/>
      </c>
      <c r="AB49" s="30" t="str">
        <f t="array" ref="AB49">IF(OR($B49="",$C49="",$E49=""),"",IF(OR(AB$8&lt;$E49,AB$8-$E49&gt;=12),0,$C49*INDEX(Fondsen!$F$5:$Q$30,MATCH($B49,Fondsen!$A$5:$A$30,0),AB$8-$E49+1)))</f>
        <v/>
      </c>
      <c r="AC49" s="31" t="str">
        <f t="array" ref="AC49">IF(OR($B49="",$C49="",$E49=""),"",IF(OR(AC$8&lt;$E49,AC$8-$E49&gt;=12),0,$C49*INDEX(Fondsen!$F$5:$Q$30,MATCH($B49,Fondsen!$A$5:$A$30,0),AC$8-$E49+1)))</f>
        <v/>
      </c>
      <c r="AD49" s="30" t="str">
        <f t="array" ref="AD49">IF(OR($B49="",$C49="",$E49=""),"",IF(OR(AD$8&lt;$E49,AD$8-$E49&gt;=12),0,$C49*INDEX(Fondsen!$F$5:$Q$30,MATCH($B49,Fondsen!$A$5:$A$30,0),AD$8-$E49+1)))</f>
        <v/>
      </c>
      <c r="AE49" s="31" t="str">
        <f t="array" ref="AE49">IF(OR($B49="",$C49="",$E49=""),"",IF(OR(AE$8&lt;$E49,AE$8-$E49&gt;=12),0,$C49*INDEX(Fondsen!$F$5:$Q$30,MATCH($B49,Fondsen!$A$5:$A$30,0),AE$8-$E49+1)))</f>
        <v/>
      </c>
      <c r="AF49" s="30" t="str">
        <f t="array" ref="AF49">IF(OR($B49="",$C49="",$E49=""),"",IF(OR(AF$8&lt;$E49,AF$8-$E49&gt;=12),0,$C49*INDEX(Fondsen!$F$5:$Q$30,MATCH($B49,Fondsen!$A$5:$A$30,0),AF$8-$E49+1)))</f>
        <v/>
      </c>
      <c r="AG49" s="31" t="str">
        <f t="array" ref="AG49">IF(OR($B49="",$C49="",$E49=""),"",IF(OR(AG$8&lt;$E49,AG$8-$E49&gt;=12),0,$C49*INDEX(Fondsen!$F$5:$Q$30,MATCH($B49,Fondsen!$A$5:$A$30,0),AG$8-$E49+1)))</f>
        <v/>
      </c>
      <c r="AH49" s="30" t="str">
        <f t="array" ref="AH49">IF(OR($B49="",$C49="",$E49=""),"",IF(OR(AH$8&lt;$E49,AH$8-$E49&gt;=12),0,$C49*INDEX(Fondsen!$F$5:$Q$30,MATCH($B49,Fondsen!$A$5:$A$30,0),AH$8-$E49+1)))</f>
        <v/>
      </c>
      <c r="AI49" s="31" t="str">
        <f t="array" ref="AI49">IF(OR($B49="",$C49="",$E49=""),"",IF(OR(AI$8&lt;$E49,AI$8-$E49&gt;=12),0,$C49*INDEX(Fondsen!$F$5:$Q$30,MATCH($B49,Fondsen!$A$5:$A$30,0),AI$8-$E49+1)))</f>
        <v/>
      </c>
      <c r="AJ49" s="30" t="str">
        <f t="array" ref="AJ49">IF(OR($B49="",$C49="",$E49=""),"",IF(OR(AJ$8&lt;$E49,AJ$8-$E49&gt;=12),0,$C49*INDEX(Fondsen!$F$5:$Q$30,MATCH($B49,Fondsen!$A$5:$A$30,0),AJ$8-$E49+1)))</f>
        <v/>
      </c>
      <c r="AK49" s="31" t="str">
        <f t="array" ref="AK49">IF(OR($B49="",$C49="",$E49=""),"",IF(OR(AK$8&lt;$E49,AK$8-$E49&gt;=12),0,$C49*INDEX(Fondsen!$F$5:$Q$30,MATCH($B49,Fondsen!$A$5:$A$30,0),AK$8-$E49+1)))</f>
        <v/>
      </c>
      <c r="AL49" s="30" t="str">
        <f t="array" ref="AL49">IF(OR($B49="",$C49="",$E49=""),"",IF(OR(AL$8&lt;$E49,AL$8-$E49&gt;=12),0,$C49*INDEX(Fondsen!$F$5:$Q$30,MATCH($B49,Fondsen!$A$5:$A$30,0),AL$8-$E49+1)))</f>
        <v/>
      </c>
      <c r="AM49" s="31" t="str">
        <f t="array" ref="AM49">IF(OR($B49="",$C49="",$E49=""),"",IF(OR(AM$8&lt;$E49,AM$8-$E49&gt;=12),0,$C49*INDEX(Fondsen!$F$5:$Q$30,MATCH($B49,Fondsen!$A$5:$A$30,0),AM$8-$E49+1)))</f>
        <v/>
      </c>
      <c r="AN49" s="30" t="str">
        <f t="array" ref="AN49">IF(OR($B49="",$C49="",$E49=""),"",IF(OR(AN$8&lt;$E49,AN$8-$E49&gt;=12),0,$C49*INDEX(Fondsen!$F$5:$Q$30,MATCH($B49,Fondsen!$A$5:$A$30,0),AN$8-$E49+1)))</f>
        <v/>
      </c>
      <c r="AO49" s="31" t="str">
        <f t="array" ref="AO49">IF(OR($B49="",$C49="",$E49=""),"",IF(OR(AO$8&lt;$E49,AO$8-$E49&gt;=12),0,$C49*INDEX(Fondsen!$F$5:$Q$30,MATCH($B49,Fondsen!$A$5:$A$30,0),AO$8-$E49+1)))</f>
        <v/>
      </c>
      <c r="AP49" s="30" t="str">
        <f t="array" ref="AP49">IF(OR($B49="",$C49="",$E49=""),"",IF(OR(AP$8&lt;$E49,AP$8-$E49&gt;=12),0,$C49*INDEX(Fondsen!$F$5:$Q$30,MATCH($B49,Fondsen!$A$5:$A$30,0),AP$8-$E49+1)))</f>
        <v/>
      </c>
      <c r="AQ49" s="31" t="str">
        <f t="array" ref="AQ49">IF(OR($B49="",$C49="",$E49=""),"",IF(OR(AQ$8&lt;$E49,AQ$8-$E49&gt;=12),0,$C49*INDEX(Fondsen!$F$5:$Q$30,MATCH($B49,Fondsen!$A$5:$A$30,0),AQ$8-$E49+1)))</f>
        <v/>
      </c>
      <c r="AR49" s="30" t="str">
        <f t="array" ref="AR49">IF(OR($B49="",$C49="",$E49=""),"",IF(OR(AR$8&lt;$E49,AR$8-$E49&gt;=12),0,$C49*INDEX(Fondsen!$F$5:$Q$30,MATCH($B49,Fondsen!$A$5:$A$30,0),AR$8-$E49+1)))</f>
        <v/>
      </c>
      <c r="AS49" s="31" t="str">
        <f t="array" ref="AS49">IF(OR($B49="",$C49="",$E49=""),"",IF(OR(AS$8&lt;$E49,AS$8-$E49&gt;=12),0,$C49*INDEX(Fondsen!$F$5:$Q$30,MATCH($B49,Fondsen!$A$5:$A$30,0),AS$8-$E49+1)))</f>
        <v/>
      </c>
      <c r="AT49" s="45"/>
    </row>
    <row r="50" ht="24.0" customHeight="1" outlineLevel="1">
      <c r="A50" s="33" t="str">
        <f>IF(B50="","",IFERROR(VLOOKUP(B50,Fondsen!$A$5:$B$30,2,FALSE()),""))</f>
        <v/>
      </c>
      <c r="B50" s="34"/>
      <c r="C50" s="35"/>
      <c r="D50" s="46" t="s">
        <v>11</v>
      </c>
      <c r="E50" s="37"/>
      <c r="F50" s="38" t="str">
        <f t="array" ref="F50">IF(OR($B50="",$C50="",$E50=""),"",IF(OR(F$8&lt;$E50,F$8-$E50&gt;=12),0,$C50*INDEX(Fondsen!$F$5:$Q$30,MATCH($B50,Fondsen!$A$5:$A$30,0),F$8-$E50+1)))</f>
        <v/>
      </c>
      <c r="G50" s="39" t="str">
        <f t="array" ref="G50">IF(OR($B50="",$C50="",$E50=""),"",IF(OR(G$8&lt;$E50,G$8-$E50&gt;=12),0,$C50*INDEX(Fondsen!$F$5:$Q$30,MATCH($B50,Fondsen!$A$5:$A$30,0),G$8-$E50+1)))</f>
        <v/>
      </c>
      <c r="H50" s="38" t="str">
        <f t="array" ref="H50">IF(OR($B50="",$C50="",$E50=""),"",IF(OR(H$8&lt;$E50,H$8-$E50&gt;=12),0,$C50*INDEX(Fondsen!$F$5:$Q$30,MATCH($B50,Fondsen!$A$5:$A$30,0),H$8-$E50+1)))</f>
        <v/>
      </c>
      <c r="I50" s="39" t="str">
        <f t="array" ref="I50">IF(OR($B50="",$C50="",$E50=""),"",IF(OR(I$8&lt;$E50,I$8-$E50&gt;=12),0,$C50*INDEX(Fondsen!$F$5:$Q$30,MATCH($B50,Fondsen!$A$5:$A$30,0),I$8-$E50+1)))</f>
        <v/>
      </c>
      <c r="J50" s="38" t="str">
        <f t="array" ref="J50">IF(OR($B50="",$C50="",$E50=""),"",IF(OR(J$8&lt;$E50,J$8-$E50&gt;=12),0,$C50*INDEX(Fondsen!$F$5:$Q$30,MATCH($B50,Fondsen!$A$5:$A$30,0),J$8-$E50+1)))</f>
        <v/>
      </c>
      <c r="K50" s="39" t="str">
        <f t="array" ref="K50">IF(OR($B50="",$C50="",$E50=""),"",IF(OR(K$8&lt;$E50,K$8-$E50&gt;=12),0,$C50*INDEX(Fondsen!$F$5:$Q$30,MATCH($B50,Fondsen!$A$5:$A$30,0),K$8-$E50+1)))</f>
        <v/>
      </c>
      <c r="L50" s="38" t="str">
        <f t="array" ref="L50">IF(OR($B50="",$C50="",$E50=""),"",IF(OR(L$8&lt;$E50,L$8-$E50&gt;=12),0,$C50*INDEX(Fondsen!$F$5:$Q$30,MATCH($B50,Fondsen!$A$5:$A$30,0),L$8-$E50+1)))</f>
        <v/>
      </c>
      <c r="M50" s="39" t="str">
        <f t="array" ref="M50">IF(OR($B50="",$C50="",$E50=""),"",IF(OR(M$8&lt;$E50,M$8-$E50&gt;=12),0,$C50*INDEX(Fondsen!$F$5:$Q$30,MATCH($B50,Fondsen!$A$5:$A$30,0),M$8-$E50+1)))</f>
        <v/>
      </c>
      <c r="N50" s="38" t="str">
        <f t="array" ref="N50">IF(OR($B50="",$C50="",$E50=""),"",IF(OR(N$8&lt;$E50,N$8-$E50&gt;=12),0,$C50*INDEX(Fondsen!$F$5:$Q$30,MATCH($B50,Fondsen!$A$5:$A$30,0),N$8-$E50+1)))</f>
        <v/>
      </c>
      <c r="O50" s="39" t="str">
        <f t="array" ref="O50">IF(OR($B50="",$C50="",$E50=""),"",IF(OR(O$8&lt;$E50,O$8-$E50&gt;=12),0,$C50*INDEX(Fondsen!$F$5:$Q$30,MATCH($B50,Fondsen!$A$5:$A$30,0),O$8-$E50+1)))</f>
        <v/>
      </c>
      <c r="P50" s="38" t="str">
        <f t="array" ref="P50">IF(OR($B50="",$C50="",$E50=""),"",IF(OR(P$8&lt;$E50,P$8-$E50&gt;=12),0,$C50*INDEX(Fondsen!$F$5:$Q$30,MATCH($B50,Fondsen!$A$5:$A$30,0),P$8-$E50+1)))</f>
        <v/>
      </c>
      <c r="Q50" s="39" t="str">
        <f t="array" ref="Q50">IF(OR($B50="",$C50="",$E50=""),"",IF(OR(Q$8&lt;$E50,Q$8-$E50&gt;=12),0,$C50*INDEX(Fondsen!$F$5:$Q$30,MATCH($B50,Fondsen!$A$5:$A$30,0),Q$8-$E50+1)))</f>
        <v/>
      </c>
      <c r="R50" s="38" t="str">
        <f t="array" ref="R50">IF(OR($B50="",$C50="",$E50=""),"",IF(OR(R$8&lt;$E50,R$8-$E50&gt;=12),0,$C50*INDEX(Fondsen!$F$5:$Q$30,MATCH($B50,Fondsen!$A$5:$A$30,0),R$8-$E50+1)))</f>
        <v/>
      </c>
      <c r="S50" s="39" t="str">
        <f t="array" ref="S50">IF(OR($B50="",$C50="",$E50=""),"",IF(OR(S$8&lt;$E50,S$8-$E50&gt;=12),0,$C50*INDEX(Fondsen!$F$5:$Q$30,MATCH($B50,Fondsen!$A$5:$A$30,0),S$8-$E50+1)))</f>
        <v/>
      </c>
      <c r="T50" s="38" t="str">
        <f t="array" ref="T50">IF(OR($B50="",$C50="",$E50=""),"",IF(OR(T$8&lt;$E50,T$8-$E50&gt;=12),0,$C50*INDEX(Fondsen!$F$5:$Q$30,MATCH($B50,Fondsen!$A$5:$A$30,0),T$8-$E50+1)))</f>
        <v/>
      </c>
      <c r="U50" s="39" t="str">
        <f t="array" ref="U50">IF(OR($B50="",$C50="",$E50=""),"",IF(OR(U$8&lt;$E50,U$8-$E50&gt;=12),0,$C50*INDEX(Fondsen!$F$5:$Q$30,MATCH($B50,Fondsen!$A$5:$A$30,0),U$8-$E50+1)))</f>
        <v/>
      </c>
      <c r="V50" s="38" t="str">
        <f t="array" ref="V50">IF(OR($B50="",$C50="",$E50=""),"",IF(OR(V$8&lt;$E50,V$8-$E50&gt;=12),0,$C50*INDEX(Fondsen!$F$5:$Q$30,MATCH($B50,Fondsen!$A$5:$A$30,0),V$8-$E50+1)))</f>
        <v/>
      </c>
      <c r="W50" s="39" t="str">
        <f t="array" ref="W50">IF(OR($B50="",$C50="",$E50=""),"",IF(OR(W$8&lt;$E50,W$8-$E50&gt;=12),0,$C50*INDEX(Fondsen!$F$5:$Q$30,MATCH($B50,Fondsen!$A$5:$A$30,0),W$8-$E50+1)))</f>
        <v/>
      </c>
      <c r="X50" s="38" t="str">
        <f t="array" ref="X50">IF(OR($B50="",$C50="",$E50=""),"",IF(OR(X$8&lt;$E50,X$8-$E50&gt;=12),0,$C50*INDEX(Fondsen!$F$5:$Q$30,MATCH($B50,Fondsen!$A$5:$A$30,0),X$8-$E50+1)))</f>
        <v/>
      </c>
      <c r="Y50" s="39" t="str">
        <f t="array" ref="Y50">IF(OR($B50="",$C50="",$E50=""),"",IF(OR(Y$8&lt;$E50,Y$8-$E50&gt;=12),0,$C50*INDEX(Fondsen!$F$5:$Q$30,MATCH($B50,Fondsen!$A$5:$A$30,0),Y$8-$E50+1)))</f>
        <v/>
      </c>
      <c r="Z50" s="38" t="str">
        <f t="array" ref="Z50">IF(OR($B50="",$C50="",$E50=""),"",IF(OR(Z$8&lt;$E50,Z$8-$E50&gt;=12),0,$C50*INDEX(Fondsen!$F$5:$Q$30,MATCH($B50,Fondsen!$A$5:$A$30,0),Z$8-$E50+1)))</f>
        <v/>
      </c>
      <c r="AA50" s="39" t="str">
        <f t="array" ref="AA50">IF(OR($B50="",$C50="",$E50=""),"",IF(OR(AA$8&lt;$E50,AA$8-$E50&gt;=12),0,$C50*INDEX(Fondsen!$F$5:$Q$30,MATCH($B50,Fondsen!$A$5:$A$30,0),AA$8-$E50+1)))</f>
        <v/>
      </c>
      <c r="AB50" s="38" t="str">
        <f t="array" ref="AB50">IF(OR($B50="",$C50="",$E50=""),"",IF(OR(AB$8&lt;$E50,AB$8-$E50&gt;=12),0,$C50*INDEX(Fondsen!$F$5:$Q$30,MATCH($B50,Fondsen!$A$5:$A$30,0),AB$8-$E50+1)))</f>
        <v/>
      </c>
      <c r="AC50" s="39" t="str">
        <f t="array" ref="AC50">IF(OR($B50="",$C50="",$E50=""),"",IF(OR(AC$8&lt;$E50,AC$8-$E50&gt;=12),0,$C50*INDEX(Fondsen!$F$5:$Q$30,MATCH($B50,Fondsen!$A$5:$A$30,0),AC$8-$E50+1)))</f>
        <v/>
      </c>
      <c r="AD50" s="38" t="str">
        <f t="array" ref="AD50">IF(OR($B50="",$C50="",$E50=""),"",IF(OR(AD$8&lt;$E50,AD$8-$E50&gt;=12),0,$C50*INDEX(Fondsen!$F$5:$Q$30,MATCH($B50,Fondsen!$A$5:$A$30,0),AD$8-$E50+1)))</f>
        <v/>
      </c>
      <c r="AE50" s="39" t="str">
        <f t="array" ref="AE50">IF(OR($B50="",$C50="",$E50=""),"",IF(OR(AE$8&lt;$E50,AE$8-$E50&gt;=12),0,$C50*INDEX(Fondsen!$F$5:$Q$30,MATCH($B50,Fondsen!$A$5:$A$30,0),AE$8-$E50+1)))</f>
        <v/>
      </c>
      <c r="AF50" s="38" t="str">
        <f t="array" ref="AF50">IF(OR($B50="",$C50="",$E50=""),"",IF(OR(AF$8&lt;$E50,AF$8-$E50&gt;=12),0,$C50*INDEX(Fondsen!$F$5:$Q$30,MATCH($B50,Fondsen!$A$5:$A$30,0),AF$8-$E50+1)))</f>
        <v/>
      </c>
      <c r="AG50" s="39" t="str">
        <f t="array" ref="AG50">IF(OR($B50="",$C50="",$E50=""),"",IF(OR(AG$8&lt;$E50,AG$8-$E50&gt;=12),0,$C50*INDEX(Fondsen!$F$5:$Q$30,MATCH($B50,Fondsen!$A$5:$A$30,0),AG$8-$E50+1)))</f>
        <v/>
      </c>
      <c r="AH50" s="38" t="str">
        <f t="array" ref="AH50">IF(OR($B50="",$C50="",$E50=""),"",IF(OR(AH$8&lt;$E50,AH$8-$E50&gt;=12),0,$C50*INDEX(Fondsen!$F$5:$Q$30,MATCH($B50,Fondsen!$A$5:$A$30,0),AH$8-$E50+1)))</f>
        <v/>
      </c>
      <c r="AI50" s="39" t="str">
        <f t="array" ref="AI50">IF(OR($B50="",$C50="",$E50=""),"",IF(OR(AI$8&lt;$E50,AI$8-$E50&gt;=12),0,$C50*INDEX(Fondsen!$F$5:$Q$30,MATCH($B50,Fondsen!$A$5:$A$30,0),AI$8-$E50+1)))</f>
        <v/>
      </c>
      <c r="AJ50" s="38" t="str">
        <f t="array" ref="AJ50">IF(OR($B50="",$C50="",$E50=""),"",IF(OR(AJ$8&lt;$E50,AJ$8-$E50&gt;=12),0,$C50*INDEX(Fondsen!$F$5:$Q$30,MATCH($B50,Fondsen!$A$5:$A$30,0),AJ$8-$E50+1)))</f>
        <v/>
      </c>
      <c r="AK50" s="39" t="str">
        <f t="array" ref="AK50">IF(OR($B50="",$C50="",$E50=""),"",IF(OR(AK$8&lt;$E50,AK$8-$E50&gt;=12),0,$C50*INDEX(Fondsen!$F$5:$Q$30,MATCH($B50,Fondsen!$A$5:$A$30,0),AK$8-$E50+1)))</f>
        <v/>
      </c>
      <c r="AL50" s="38" t="str">
        <f t="array" ref="AL50">IF(OR($B50="",$C50="",$E50=""),"",IF(OR(AL$8&lt;$E50,AL$8-$E50&gt;=12),0,$C50*INDEX(Fondsen!$F$5:$Q$30,MATCH($B50,Fondsen!$A$5:$A$30,0),AL$8-$E50+1)))</f>
        <v/>
      </c>
      <c r="AM50" s="39" t="str">
        <f t="array" ref="AM50">IF(OR($B50="",$C50="",$E50=""),"",IF(OR(AM$8&lt;$E50,AM$8-$E50&gt;=12),0,$C50*INDEX(Fondsen!$F$5:$Q$30,MATCH($B50,Fondsen!$A$5:$A$30,0),AM$8-$E50+1)))</f>
        <v/>
      </c>
      <c r="AN50" s="38" t="str">
        <f t="array" ref="AN50">IF(OR($B50="",$C50="",$E50=""),"",IF(OR(AN$8&lt;$E50,AN$8-$E50&gt;=12),0,$C50*INDEX(Fondsen!$F$5:$Q$30,MATCH($B50,Fondsen!$A$5:$A$30,0),AN$8-$E50+1)))</f>
        <v/>
      </c>
      <c r="AO50" s="39" t="str">
        <f t="array" ref="AO50">IF(OR($B50="",$C50="",$E50=""),"",IF(OR(AO$8&lt;$E50,AO$8-$E50&gt;=12),0,$C50*INDEX(Fondsen!$F$5:$Q$30,MATCH($B50,Fondsen!$A$5:$A$30,0),AO$8-$E50+1)))</f>
        <v/>
      </c>
      <c r="AP50" s="38" t="str">
        <f t="array" ref="AP50">IF(OR($B50="",$C50="",$E50=""),"",IF(OR(AP$8&lt;$E50,AP$8-$E50&gt;=12),0,$C50*INDEX(Fondsen!$F$5:$Q$30,MATCH($B50,Fondsen!$A$5:$A$30,0),AP$8-$E50+1)))</f>
        <v/>
      </c>
      <c r="AQ50" s="39" t="str">
        <f t="array" ref="AQ50">IF(OR($B50="",$C50="",$E50=""),"",IF(OR(AQ$8&lt;$E50,AQ$8-$E50&gt;=12),0,$C50*INDEX(Fondsen!$F$5:$Q$30,MATCH($B50,Fondsen!$A$5:$A$30,0),AQ$8-$E50+1)))</f>
        <v/>
      </c>
      <c r="AR50" s="38" t="str">
        <f t="array" ref="AR50">IF(OR($B50="",$C50="",$E50=""),"",IF(OR(AR$8&lt;$E50,AR$8-$E50&gt;=12),0,$C50*INDEX(Fondsen!$F$5:$Q$30,MATCH($B50,Fondsen!$A$5:$A$30,0),AR$8-$E50+1)))</f>
        <v/>
      </c>
      <c r="AS50" s="39" t="str">
        <f t="array" ref="AS50">IF(OR($B50="",$C50="",$E50=""),"",IF(OR(AS$8&lt;$E50,AS$8-$E50&gt;=12),0,$C50*INDEX(Fondsen!$F$5:$Q$30,MATCH($B50,Fondsen!$A$5:$A$30,0),AS$8-$E50+1)))</f>
        <v/>
      </c>
      <c r="AT50" s="45"/>
    </row>
    <row r="51" ht="24.0" customHeight="1" outlineLevel="1">
      <c r="A51" s="47" t="str">
        <f>IF(B51="","",IFERROR(VLOOKUP(B51,Fondsen!$A$5:$B$30,2,FALSE()),""))</f>
        <v/>
      </c>
      <c r="B51" s="26"/>
      <c r="C51" s="27"/>
      <c r="D51" s="44" t="s">
        <v>11</v>
      </c>
      <c r="E51" s="29"/>
      <c r="F51" s="30" t="str">
        <f t="array" ref="F51">IF(OR($B51="",$C51="",$E51=""),"",IF(OR(F$8&lt;$E51,F$8-$E51&gt;=12),0,$C51*INDEX(Fondsen!$F$5:$Q$30,MATCH($B51,Fondsen!$A$5:$A$30,0),F$8-$E51+1)))</f>
        <v/>
      </c>
      <c r="G51" s="31" t="str">
        <f t="array" ref="G51">IF(OR($B51="",$C51="",$E51=""),"",IF(OR(G$8&lt;$E51,G$8-$E51&gt;=12),0,$C51*INDEX(Fondsen!$F$5:$Q$30,MATCH($B51,Fondsen!$A$5:$A$30,0),G$8-$E51+1)))</f>
        <v/>
      </c>
      <c r="H51" s="30" t="str">
        <f t="array" ref="H51">IF(OR($B51="",$C51="",$E51=""),"",IF(OR(H$8&lt;$E51,H$8-$E51&gt;=12),0,$C51*INDEX(Fondsen!$F$5:$Q$30,MATCH($B51,Fondsen!$A$5:$A$30,0),H$8-$E51+1)))</f>
        <v/>
      </c>
      <c r="I51" s="31" t="str">
        <f t="array" ref="I51">IF(OR($B51="",$C51="",$E51=""),"",IF(OR(I$8&lt;$E51,I$8-$E51&gt;=12),0,$C51*INDEX(Fondsen!$F$5:$Q$30,MATCH($B51,Fondsen!$A$5:$A$30,0),I$8-$E51+1)))</f>
        <v/>
      </c>
      <c r="J51" s="30" t="str">
        <f t="array" ref="J51">IF(OR($B51="",$C51="",$E51=""),"",IF(OR(J$8&lt;$E51,J$8-$E51&gt;=12),0,$C51*INDEX(Fondsen!$F$5:$Q$30,MATCH($B51,Fondsen!$A$5:$A$30,0),J$8-$E51+1)))</f>
        <v/>
      </c>
      <c r="K51" s="31" t="str">
        <f t="array" ref="K51">IF(OR($B51="",$C51="",$E51=""),"",IF(OR(K$8&lt;$E51,K$8-$E51&gt;=12),0,$C51*INDEX(Fondsen!$F$5:$Q$30,MATCH($B51,Fondsen!$A$5:$A$30,0),K$8-$E51+1)))</f>
        <v/>
      </c>
      <c r="L51" s="30" t="str">
        <f t="array" ref="L51">IF(OR($B51="",$C51="",$E51=""),"",IF(OR(L$8&lt;$E51,L$8-$E51&gt;=12),0,$C51*INDEX(Fondsen!$F$5:$Q$30,MATCH($B51,Fondsen!$A$5:$A$30,0),L$8-$E51+1)))</f>
        <v/>
      </c>
      <c r="M51" s="31" t="str">
        <f t="array" ref="M51">IF(OR($B51="",$C51="",$E51=""),"",IF(OR(M$8&lt;$E51,M$8-$E51&gt;=12),0,$C51*INDEX(Fondsen!$F$5:$Q$30,MATCH($B51,Fondsen!$A$5:$A$30,0),M$8-$E51+1)))</f>
        <v/>
      </c>
      <c r="N51" s="30" t="str">
        <f t="array" ref="N51">IF(OR($B51="",$C51="",$E51=""),"",IF(OR(N$8&lt;$E51,N$8-$E51&gt;=12),0,$C51*INDEX(Fondsen!$F$5:$Q$30,MATCH($B51,Fondsen!$A$5:$A$30,0),N$8-$E51+1)))</f>
        <v/>
      </c>
      <c r="O51" s="31" t="str">
        <f t="array" ref="O51">IF(OR($B51="",$C51="",$E51=""),"",IF(OR(O$8&lt;$E51,O$8-$E51&gt;=12),0,$C51*INDEX(Fondsen!$F$5:$Q$30,MATCH($B51,Fondsen!$A$5:$A$30,0),O$8-$E51+1)))</f>
        <v/>
      </c>
      <c r="P51" s="30" t="str">
        <f t="array" ref="P51">IF(OR($B51="",$C51="",$E51=""),"",IF(OR(P$8&lt;$E51,P$8-$E51&gt;=12),0,$C51*INDEX(Fondsen!$F$5:$Q$30,MATCH($B51,Fondsen!$A$5:$A$30,0),P$8-$E51+1)))</f>
        <v/>
      </c>
      <c r="Q51" s="31" t="str">
        <f t="array" ref="Q51">IF(OR($B51="",$C51="",$E51=""),"",IF(OR(Q$8&lt;$E51,Q$8-$E51&gt;=12),0,$C51*INDEX(Fondsen!$F$5:$Q$30,MATCH($B51,Fondsen!$A$5:$A$30,0),Q$8-$E51+1)))</f>
        <v/>
      </c>
      <c r="R51" s="30" t="str">
        <f t="array" ref="R51">IF(OR($B51="",$C51="",$E51=""),"",IF(OR(R$8&lt;$E51,R$8-$E51&gt;=12),0,$C51*INDEX(Fondsen!$F$5:$Q$30,MATCH($B51,Fondsen!$A$5:$A$30,0),R$8-$E51+1)))</f>
        <v/>
      </c>
      <c r="S51" s="31" t="str">
        <f t="array" ref="S51">IF(OR($B51="",$C51="",$E51=""),"",IF(OR(S$8&lt;$E51,S$8-$E51&gt;=12),0,$C51*INDEX(Fondsen!$F$5:$Q$30,MATCH($B51,Fondsen!$A$5:$A$30,0),S$8-$E51+1)))</f>
        <v/>
      </c>
      <c r="T51" s="30" t="str">
        <f t="array" ref="T51">IF(OR($B51="",$C51="",$E51=""),"",IF(OR(T$8&lt;$E51,T$8-$E51&gt;=12),0,$C51*INDEX(Fondsen!$F$5:$Q$30,MATCH($B51,Fondsen!$A$5:$A$30,0),T$8-$E51+1)))</f>
        <v/>
      </c>
      <c r="U51" s="31" t="str">
        <f t="array" ref="U51">IF(OR($B51="",$C51="",$E51=""),"",IF(OR(U$8&lt;$E51,U$8-$E51&gt;=12),0,$C51*INDEX(Fondsen!$F$5:$Q$30,MATCH($B51,Fondsen!$A$5:$A$30,0),U$8-$E51+1)))</f>
        <v/>
      </c>
      <c r="V51" s="30" t="str">
        <f t="array" ref="V51">IF(OR($B51="",$C51="",$E51=""),"",IF(OR(V$8&lt;$E51,V$8-$E51&gt;=12),0,$C51*INDEX(Fondsen!$F$5:$Q$30,MATCH($B51,Fondsen!$A$5:$A$30,0),V$8-$E51+1)))</f>
        <v/>
      </c>
      <c r="W51" s="31" t="str">
        <f t="array" ref="W51">IF(OR($B51="",$C51="",$E51=""),"",IF(OR(W$8&lt;$E51,W$8-$E51&gt;=12),0,$C51*INDEX(Fondsen!$F$5:$Q$30,MATCH($B51,Fondsen!$A$5:$A$30,0),W$8-$E51+1)))</f>
        <v/>
      </c>
      <c r="X51" s="30" t="str">
        <f t="array" ref="X51">IF(OR($B51="",$C51="",$E51=""),"",IF(OR(X$8&lt;$E51,X$8-$E51&gt;=12),0,$C51*INDEX(Fondsen!$F$5:$Q$30,MATCH($B51,Fondsen!$A$5:$A$30,0),X$8-$E51+1)))</f>
        <v/>
      </c>
      <c r="Y51" s="31" t="str">
        <f t="array" ref="Y51">IF(OR($B51="",$C51="",$E51=""),"",IF(OR(Y$8&lt;$E51,Y$8-$E51&gt;=12),0,$C51*INDEX(Fondsen!$F$5:$Q$30,MATCH($B51,Fondsen!$A$5:$A$30,0),Y$8-$E51+1)))</f>
        <v/>
      </c>
      <c r="Z51" s="30" t="str">
        <f t="array" ref="Z51">IF(OR($B51="",$C51="",$E51=""),"",IF(OR(Z$8&lt;$E51,Z$8-$E51&gt;=12),0,$C51*INDEX(Fondsen!$F$5:$Q$30,MATCH($B51,Fondsen!$A$5:$A$30,0),Z$8-$E51+1)))</f>
        <v/>
      </c>
      <c r="AA51" s="31" t="str">
        <f t="array" ref="AA51">IF(OR($B51="",$C51="",$E51=""),"",IF(OR(AA$8&lt;$E51,AA$8-$E51&gt;=12),0,$C51*INDEX(Fondsen!$F$5:$Q$30,MATCH($B51,Fondsen!$A$5:$A$30,0),AA$8-$E51+1)))</f>
        <v/>
      </c>
      <c r="AB51" s="30" t="str">
        <f t="array" ref="AB51">IF(OR($B51="",$C51="",$E51=""),"",IF(OR(AB$8&lt;$E51,AB$8-$E51&gt;=12),0,$C51*INDEX(Fondsen!$F$5:$Q$30,MATCH($B51,Fondsen!$A$5:$A$30,0),AB$8-$E51+1)))</f>
        <v/>
      </c>
      <c r="AC51" s="31" t="str">
        <f t="array" ref="AC51">IF(OR($B51="",$C51="",$E51=""),"",IF(OR(AC$8&lt;$E51,AC$8-$E51&gt;=12),0,$C51*INDEX(Fondsen!$F$5:$Q$30,MATCH($B51,Fondsen!$A$5:$A$30,0),AC$8-$E51+1)))</f>
        <v/>
      </c>
      <c r="AD51" s="30" t="str">
        <f t="array" ref="AD51">IF(OR($B51="",$C51="",$E51=""),"",IF(OR(AD$8&lt;$E51,AD$8-$E51&gt;=12),0,$C51*INDEX(Fondsen!$F$5:$Q$30,MATCH($B51,Fondsen!$A$5:$A$30,0),AD$8-$E51+1)))</f>
        <v/>
      </c>
      <c r="AE51" s="31" t="str">
        <f t="array" ref="AE51">IF(OR($B51="",$C51="",$E51=""),"",IF(OR(AE$8&lt;$E51,AE$8-$E51&gt;=12),0,$C51*INDEX(Fondsen!$F$5:$Q$30,MATCH($B51,Fondsen!$A$5:$A$30,0),AE$8-$E51+1)))</f>
        <v/>
      </c>
      <c r="AF51" s="30" t="str">
        <f t="array" ref="AF51">IF(OR($B51="",$C51="",$E51=""),"",IF(OR(AF$8&lt;$E51,AF$8-$E51&gt;=12),0,$C51*INDEX(Fondsen!$F$5:$Q$30,MATCH($B51,Fondsen!$A$5:$A$30,0),AF$8-$E51+1)))</f>
        <v/>
      </c>
      <c r="AG51" s="31" t="str">
        <f t="array" ref="AG51">IF(OR($B51="",$C51="",$E51=""),"",IF(OR(AG$8&lt;$E51,AG$8-$E51&gt;=12),0,$C51*INDEX(Fondsen!$F$5:$Q$30,MATCH($B51,Fondsen!$A$5:$A$30,0),AG$8-$E51+1)))</f>
        <v/>
      </c>
      <c r="AH51" s="30" t="str">
        <f t="array" ref="AH51">IF(OR($B51="",$C51="",$E51=""),"",IF(OR(AH$8&lt;$E51,AH$8-$E51&gt;=12),0,$C51*INDEX(Fondsen!$F$5:$Q$30,MATCH($B51,Fondsen!$A$5:$A$30,0),AH$8-$E51+1)))</f>
        <v/>
      </c>
      <c r="AI51" s="31" t="str">
        <f t="array" ref="AI51">IF(OR($B51="",$C51="",$E51=""),"",IF(OR(AI$8&lt;$E51,AI$8-$E51&gt;=12),0,$C51*INDEX(Fondsen!$F$5:$Q$30,MATCH($B51,Fondsen!$A$5:$A$30,0),AI$8-$E51+1)))</f>
        <v/>
      </c>
      <c r="AJ51" s="30" t="str">
        <f t="array" ref="AJ51">IF(OR($B51="",$C51="",$E51=""),"",IF(OR(AJ$8&lt;$E51,AJ$8-$E51&gt;=12),0,$C51*INDEX(Fondsen!$F$5:$Q$30,MATCH($B51,Fondsen!$A$5:$A$30,0),AJ$8-$E51+1)))</f>
        <v/>
      </c>
      <c r="AK51" s="31" t="str">
        <f t="array" ref="AK51">IF(OR($B51="",$C51="",$E51=""),"",IF(OR(AK$8&lt;$E51,AK$8-$E51&gt;=12),0,$C51*INDEX(Fondsen!$F$5:$Q$30,MATCH($B51,Fondsen!$A$5:$A$30,0),AK$8-$E51+1)))</f>
        <v/>
      </c>
      <c r="AL51" s="30" t="str">
        <f t="array" ref="AL51">IF(OR($B51="",$C51="",$E51=""),"",IF(OR(AL$8&lt;$E51,AL$8-$E51&gt;=12),0,$C51*INDEX(Fondsen!$F$5:$Q$30,MATCH($B51,Fondsen!$A$5:$A$30,0),AL$8-$E51+1)))</f>
        <v/>
      </c>
      <c r="AM51" s="31" t="str">
        <f t="array" ref="AM51">IF(OR($B51="",$C51="",$E51=""),"",IF(OR(AM$8&lt;$E51,AM$8-$E51&gt;=12),0,$C51*INDEX(Fondsen!$F$5:$Q$30,MATCH($B51,Fondsen!$A$5:$A$30,0),AM$8-$E51+1)))</f>
        <v/>
      </c>
      <c r="AN51" s="30" t="str">
        <f t="array" ref="AN51">IF(OR($B51="",$C51="",$E51=""),"",IF(OR(AN$8&lt;$E51,AN$8-$E51&gt;=12),0,$C51*INDEX(Fondsen!$F$5:$Q$30,MATCH($B51,Fondsen!$A$5:$A$30,0),AN$8-$E51+1)))</f>
        <v/>
      </c>
      <c r="AO51" s="31" t="str">
        <f t="array" ref="AO51">IF(OR($B51="",$C51="",$E51=""),"",IF(OR(AO$8&lt;$E51,AO$8-$E51&gt;=12),0,$C51*INDEX(Fondsen!$F$5:$Q$30,MATCH($B51,Fondsen!$A$5:$A$30,0),AO$8-$E51+1)))</f>
        <v/>
      </c>
      <c r="AP51" s="30" t="str">
        <f t="array" ref="AP51">IF(OR($B51="",$C51="",$E51=""),"",IF(OR(AP$8&lt;$E51,AP$8-$E51&gt;=12),0,$C51*INDEX(Fondsen!$F$5:$Q$30,MATCH($B51,Fondsen!$A$5:$A$30,0),AP$8-$E51+1)))</f>
        <v/>
      </c>
      <c r="AQ51" s="31" t="str">
        <f t="array" ref="AQ51">IF(OR($B51="",$C51="",$E51=""),"",IF(OR(AQ$8&lt;$E51,AQ$8-$E51&gt;=12),0,$C51*INDEX(Fondsen!$F$5:$Q$30,MATCH($B51,Fondsen!$A$5:$A$30,0),AQ$8-$E51+1)))</f>
        <v/>
      </c>
      <c r="AR51" s="30" t="str">
        <f t="array" ref="AR51">IF(OR($B51="",$C51="",$E51=""),"",IF(OR(AR$8&lt;$E51,AR$8-$E51&gt;=12),0,$C51*INDEX(Fondsen!$F$5:$Q$30,MATCH($B51,Fondsen!$A$5:$A$30,0),AR$8-$E51+1)))</f>
        <v/>
      </c>
      <c r="AS51" s="31" t="str">
        <f t="array" ref="AS51">IF(OR($B51="",$C51="",$E51=""),"",IF(OR(AS$8&lt;$E51,AS$8-$E51&gt;=12),0,$C51*INDEX(Fondsen!$F$5:$Q$30,MATCH($B51,Fondsen!$A$5:$A$30,0),AS$8-$E51+1)))</f>
        <v/>
      </c>
      <c r="AT51" s="45"/>
    </row>
    <row r="52" ht="24.0" customHeight="1" outlineLevel="1">
      <c r="A52" s="33" t="str">
        <f>IF(B52="","",IFERROR(VLOOKUP(B52,Fondsen!$A$5:$B$30,2,FALSE()),""))</f>
        <v/>
      </c>
      <c r="B52" s="34"/>
      <c r="C52" s="35"/>
      <c r="D52" s="46" t="s">
        <v>11</v>
      </c>
      <c r="E52" s="37"/>
      <c r="F52" s="38" t="str">
        <f t="array" ref="F52">IF(OR($B52="",$C52="",$E52=""),"",IF(OR(F$8&lt;$E52,F$8-$E52&gt;=12),0,$C52*INDEX(Fondsen!$F$5:$Q$30,MATCH($B52,Fondsen!$A$5:$A$30,0),F$8-$E52+1)))</f>
        <v/>
      </c>
      <c r="G52" s="39" t="str">
        <f t="array" ref="G52">IF(OR($B52="",$C52="",$E52=""),"",IF(OR(G$8&lt;$E52,G$8-$E52&gt;=12),0,$C52*INDEX(Fondsen!$F$5:$Q$30,MATCH($B52,Fondsen!$A$5:$A$30,0),G$8-$E52+1)))</f>
        <v/>
      </c>
      <c r="H52" s="38" t="str">
        <f t="array" ref="H52">IF(OR($B52="",$C52="",$E52=""),"",IF(OR(H$8&lt;$E52,H$8-$E52&gt;=12),0,$C52*INDEX(Fondsen!$F$5:$Q$30,MATCH($B52,Fondsen!$A$5:$A$30,0),H$8-$E52+1)))</f>
        <v/>
      </c>
      <c r="I52" s="39" t="str">
        <f t="array" ref="I52">IF(OR($B52="",$C52="",$E52=""),"",IF(OR(I$8&lt;$E52,I$8-$E52&gt;=12),0,$C52*INDEX(Fondsen!$F$5:$Q$30,MATCH($B52,Fondsen!$A$5:$A$30,0),I$8-$E52+1)))</f>
        <v/>
      </c>
      <c r="J52" s="38" t="str">
        <f t="array" ref="J52">IF(OR($B52="",$C52="",$E52=""),"",IF(OR(J$8&lt;$E52,J$8-$E52&gt;=12),0,$C52*INDEX(Fondsen!$F$5:$Q$30,MATCH($B52,Fondsen!$A$5:$A$30,0),J$8-$E52+1)))</f>
        <v/>
      </c>
      <c r="K52" s="39" t="str">
        <f t="array" ref="K52">IF(OR($B52="",$C52="",$E52=""),"",IF(OR(K$8&lt;$E52,K$8-$E52&gt;=12),0,$C52*INDEX(Fondsen!$F$5:$Q$30,MATCH($B52,Fondsen!$A$5:$A$30,0),K$8-$E52+1)))</f>
        <v/>
      </c>
      <c r="L52" s="38" t="str">
        <f t="array" ref="L52">IF(OR($B52="",$C52="",$E52=""),"",IF(OR(L$8&lt;$E52,L$8-$E52&gt;=12),0,$C52*INDEX(Fondsen!$F$5:$Q$30,MATCH($B52,Fondsen!$A$5:$A$30,0),L$8-$E52+1)))</f>
        <v/>
      </c>
      <c r="M52" s="39" t="str">
        <f t="array" ref="M52">IF(OR($B52="",$C52="",$E52=""),"",IF(OR(M$8&lt;$E52,M$8-$E52&gt;=12),0,$C52*INDEX(Fondsen!$F$5:$Q$30,MATCH($B52,Fondsen!$A$5:$A$30,0),M$8-$E52+1)))</f>
        <v/>
      </c>
      <c r="N52" s="38" t="str">
        <f t="array" ref="N52">IF(OR($B52="",$C52="",$E52=""),"",IF(OR(N$8&lt;$E52,N$8-$E52&gt;=12),0,$C52*INDEX(Fondsen!$F$5:$Q$30,MATCH($B52,Fondsen!$A$5:$A$30,0),N$8-$E52+1)))</f>
        <v/>
      </c>
      <c r="O52" s="39" t="str">
        <f t="array" ref="O52">IF(OR($B52="",$C52="",$E52=""),"",IF(OR(O$8&lt;$E52,O$8-$E52&gt;=12),0,$C52*INDEX(Fondsen!$F$5:$Q$30,MATCH($B52,Fondsen!$A$5:$A$30,0),O$8-$E52+1)))</f>
        <v/>
      </c>
      <c r="P52" s="38" t="str">
        <f t="array" ref="P52">IF(OR($B52="",$C52="",$E52=""),"",IF(OR(P$8&lt;$E52,P$8-$E52&gt;=12),0,$C52*INDEX(Fondsen!$F$5:$Q$30,MATCH($B52,Fondsen!$A$5:$A$30,0),P$8-$E52+1)))</f>
        <v/>
      </c>
      <c r="Q52" s="39" t="str">
        <f t="array" ref="Q52">IF(OR($B52="",$C52="",$E52=""),"",IF(OR(Q$8&lt;$E52,Q$8-$E52&gt;=12),0,$C52*INDEX(Fondsen!$F$5:$Q$30,MATCH($B52,Fondsen!$A$5:$A$30,0),Q$8-$E52+1)))</f>
        <v/>
      </c>
      <c r="R52" s="38" t="str">
        <f t="array" ref="R52">IF(OR($B52="",$C52="",$E52=""),"",IF(OR(R$8&lt;$E52,R$8-$E52&gt;=12),0,$C52*INDEX(Fondsen!$F$5:$Q$30,MATCH($B52,Fondsen!$A$5:$A$30,0),R$8-$E52+1)))</f>
        <v/>
      </c>
      <c r="S52" s="39" t="str">
        <f t="array" ref="S52">IF(OR($B52="",$C52="",$E52=""),"",IF(OR(S$8&lt;$E52,S$8-$E52&gt;=12),0,$C52*INDEX(Fondsen!$F$5:$Q$30,MATCH($B52,Fondsen!$A$5:$A$30,0),S$8-$E52+1)))</f>
        <v/>
      </c>
      <c r="T52" s="38" t="str">
        <f t="array" ref="T52">IF(OR($B52="",$C52="",$E52=""),"",IF(OR(T$8&lt;$E52,T$8-$E52&gt;=12),0,$C52*INDEX(Fondsen!$F$5:$Q$30,MATCH($B52,Fondsen!$A$5:$A$30,0),T$8-$E52+1)))</f>
        <v/>
      </c>
      <c r="U52" s="39" t="str">
        <f t="array" ref="U52">IF(OR($B52="",$C52="",$E52=""),"",IF(OR(U$8&lt;$E52,U$8-$E52&gt;=12),0,$C52*INDEX(Fondsen!$F$5:$Q$30,MATCH($B52,Fondsen!$A$5:$A$30,0),U$8-$E52+1)))</f>
        <v/>
      </c>
      <c r="V52" s="38" t="str">
        <f t="array" ref="V52">IF(OR($B52="",$C52="",$E52=""),"",IF(OR(V$8&lt;$E52,V$8-$E52&gt;=12),0,$C52*INDEX(Fondsen!$F$5:$Q$30,MATCH($B52,Fondsen!$A$5:$A$30,0),V$8-$E52+1)))</f>
        <v/>
      </c>
      <c r="W52" s="39" t="str">
        <f t="array" ref="W52">IF(OR($B52="",$C52="",$E52=""),"",IF(OR(W$8&lt;$E52,W$8-$E52&gt;=12),0,$C52*INDEX(Fondsen!$F$5:$Q$30,MATCH($B52,Fondsen!$A$5:$A$30,0),W$8-$E52+1)))</f>
        <v/>
      </c>
      <c r="X52" s="38" t="str">
        <f t="array" ref="X52">IF(OR($B52="",$C52="",$E52=""),"",IF(OR(X$8&lt;$E52,X$8-$E52&gt;=12),0,$C52*INDEX(Fondsen!$F$5:$Q$30,MATCH($B52,Fondsen!$A$5:$A$30,0),X$8-$E52+1)))</f>
        <v/>
      </c>
      <c r="Y52" s="39" t="str">
        <f t="array" ref="Y52">IF(OR($B52="",$C52="",$E52=""),"",IF(OR(Y$8&lt;$E52,Y$8-$E52&gt;=12),0,$C52*INDEX(Fondsen!$F$5:$Q$30,MATCH($B52,Fondsen!$A$5:$A$30,0),Y$8-$E52+1)))</f>
        <v/>
      </c>
      <c r="Z52" s="38" t="str">
        <f t="array" ref="Z52">IF(OR($B52="",$C52="",$E52=""),"",IF(OR(Z$8&lt;$E52,Z$8-$E52&gt;=12),0,$C52*INDEX(Fondsen!$F$5:$Q$30,MATCH($B52,Fondsen!$A$5:$A$30,0),Z$8-$E52+1)))</f>
        <v/>
      </c>
      <c r="AA52" s="39" t="str">
        <f t="array" ref="AA52">IF(OR($B52="",$C52="",$E52=""),"",IF(OR(AA$8&lt;$E52,AA$8-$E52&gt;=12),0,$C52*INDEX(Fondsen!$F$5:$Q$30,MATCH($B52,Fondsen!$A$5:$A$30,0),AA$8-$E52+1)))</f>
        <v/>
      </c>
      <c r="AB52" s="38" t="str">
        <f t="array" ref="AB52">IF(OR($B52="",$C52="",$E52=""),"",IF(OR(AB$8&lt;$E52,AB$8-$E52&gt;=12),0,$C52*INDEX(Fondsen!$F$5:$Q$30,MATCH($B52,Fondsen!$A$5:$A$30,0),AB$8-$E52+1)))</f>
        <v/>
      </c>
      <c r="AC52" s="39" t="str">
        <f t="array" ref="AC52">IF(OR($B52="",$C52="",$E52=""),"",IF(OR(AC$8&lt;$E52,AC$8-$E52&gt;=12),0,$C52*INDEX(Fondsen!$F$5:$Q$30,MATCH($B52,Fondsen!$A$5:$A$30,0),AC$8-$E52+1)))</f>
        <v/>
      </c>
      <c r="AD52" s="38" t="str">
        <f t="array" ref="AD52">IF(OR($B52="",$C52="",$E52=""),"",IF(OR(AD$8&lt;$E52,AD$8-$E52&gt;=12),0,$C52*INDEX(Fondsen!$F$5:$Q$30,MATCH($B52,Fondsen!$A$5:$A$30,0),AD$8-$E52+1)))</f>
        <v/>
      </c>
      <c r="AE52" s="39" t="str">
        <f t="array" ref="AE52">IF(OR($B52="",$C52="",$E52=""),"",IF(OR(AE$8&lt;$E52,AE$8-$E52&gt;=12),0,$C52*INDEX(Fondsen!$F$5:$Q$30,MATCH($B52,Fondsen!$A$5:$A$30,0),AE$8-$E52+1)))</f>
        <v/>
      </c>
      <c r="AF52" s="38" t="str">
        <f t="array" ref="AF52">IF(OR($B52="",$C52="",$E52=""),"",IF(OR(AF$8&lt;$E52,AF$8-$E52&gt;=12),0,$C52*INDEX(Fondsen!$F$5:$Q$30,MATCH($B52,Fondsen!$A$5:$A$30,0),AF$8-$E52+1)))</f>
        <v/>
      </c>
      <c r="AG52" s="39" t="str">
        <f t="array" ref="AG52">IF(OR($B52="",$C52="",$E52=""),"",IF(OR(AG$8&lt;$E52,AG$8-$E52&gt;=12),0,$C52*INDEX(Fondsen!$F$5:$Q$30,MATCH($B52,Fondsen!$A$5:$A$30,0),AG$8-$E52+1)))</f>
        <v/>
      </c>
      <c r="AH52" s="38" t="str">
        <f t="array" ref="AH52">IF(OR($B52="",$C52="",$E52=""),"",IF(OR(AH$8&lt;$E52,AH$8-$E52&gt;=12),0,$C52*INDEX(Fondsen!$F$5:$Q$30,MATCH($B52,Fondsen!$A$5:$A$30,0),AH$8-$E52+1)))</f>
        <v/>
      </c>
      <c r="AI52" s="39" t="str">
        <f t="array" ref="AI52">IF(OR($B52="",$C52="",$E52=""),"",IF(OR(AI$8&lt;$E52,AI$8-$E52&gt;=12),0,$C52*INDEX(Fondsen!$F$5:$Q$30,MATCH($B52,Fondsen!$A$5:$A$30,0),AI$8-$E52+1)))</f>
        <v/>
      </c>
      <c r="AJ52" s="38" t="str">
        <f t="array" ref="AJ52">IF(OR($B52="",$C52="",$E52=""),"",IF(OR(AJ$8&lt;$E52,AJ$8-$E52&gt;=12),0,$C52*INDEX(Fondsen!$F$5:$Q$30,MATCH($B52,Fondsen!$A$5:$A$30,0),AJ$8-$E52+1)))</f>
        <v/>
      </c>
      <c r="AK52" s="39" t="str">
        <f t="array" ref="AK52">IF(OR($B52="",$C52="",$E52=""),"",IF(OR(AK$8&lt;$E52,AK$8-$E52&gt;=12),0,$C52*INDEX(Fondsen!$F$5:$Q$30,MATCH($B52,Fondsen!$A$5:$A$30,0),AK$8-$E52+1)))</f>
        <v/>
      </c>
      <c r="AL52" s="38" t="str">
        <f t="array" ref="AL52">IF(OR($B52="",$C52="",$E52=""),"",IF(OR(AL$8&lt;$E52,AL$8-$E52&gt;=12),0,$C52*INDEX(Fondsen!$F$5:$Q$30,MATCH($B52,Fondsen!$A$5:$A$30,0),AL$8-$E52+1)))</f>
        <v/>
      </c>
      <c r="AM52" s="39" t="str">
        <f t="array" ref="AM52">IF(OR($B52="",$C52="",$E52=""),"",IF(OR(AM$8&lt;$E52,AM$8-$E52&gt;=12),0,$C52*INDEX(Fondsen!$F$5:$Q$30,MATCH($B52,Fondsen!$A$5:$A$30,0),AM$8-$E52+1)))</f>
        <v/>
      </c>
      <c r="AN52" s="38" t="str">
        <f t="array" ref="AN52">IF(OR($B52="",$C52="",$E52=""),"",IF(OR(AN$8&lt;$E52,AN$8-$E52&gt;=12),0,$C52*INDEX(Fondsen!$F$5:$Q$30,MATCH($B52,Fondsen!$A$5:$A$30,0),AN$8-$E52+1)))</f>
        <v/>
      </c>
      <c r="AO52" s="39" t="str">
        <f t="array" ref="AO52">IF(OR($B52="",$C52="",$E52=""),"",IF(OR(AO$8&lt;$E52,AO$8-$E52&gt;=12),0,$C52*INDEX(Fondsen!$F$5:$Q$30,MATCH($B52,Fondsen!$A$5:$A$30,0),AO$8-$E52+1)))</f>
        <v/>
      </c>
      <c r="AP52" s="38" t="str">
        <f t="array" ref="AP52">IF(OR($B52="",$C52="",$E52=""),"",IF(OR(AP$8&lt;$E52,AP$8-$E52&gt;=12),0,$C52*INDEX(Fondsen!$F$5:$Q$30,MATCH($B52,Fondsen!$A$5:$A$30,0),AP$8-$E52+1)))</f>
        <v/>
      </c>
      <c r="AQ52" s="39" t="str">
        <f t="array" ref="AQ52">IF(OR($B52="",$C52="",$E52=""),"",IF(OR(AQ$8&lt;$E52,AQ$8-$E52&gt;=12),0,$C52*INDEX(Fondsen!$F$5:$Q$30,MATCH($B52,Fondsen!$A$5:$A$30,0),AQ$8-$E52+1)))</f>
        <v/>
      </c>
      <c r="AR52" s="38" t="str">
        <f t="array" ref="AR52">IF(OR($B52="",$C52="",$E52=""),"",IF(OR(AR$8&lt;$E52,AR$8-$E52&gt;=12),0,$C52*INDEX(Fondsen!$F$5:$Q$30,MATCH($B52,Fondsen!$A$5:$A$30,0),AR$8-$E52+1)))</f>
        <v/>
      </c>
      <c r="AS52" s="39" t="str">
        <f t="array" ref="AS52">IF(OR($B52="",$C52="",$E52=""),"",IF(OR(AS$8&lt;$E52,AS$8-$E52&gt;=12),0,$C52*INDEX(Fondsen!$F$5:$Q$30,MATCH($B52,Fondsen!$A$5:$A$30,0),AS$8-$E52+1)))</f>
        <v/>
      </c>
      <c r="AT52" s="45"/>
    </row>
    <row r="53" ht="24.0" customHeight="1" outlineLevel="1">
      <c r="A53" s="47" t="str">
        <f>IF(B53="","",IFERROR(VLOOKUP(B53,Fondsen!$A$5:$B$30,2,FALSE()),""))</f>
        <v/>
      </c>
      <c r="B53" s="26"/>
      <c r="C53" s="27"/>
      <c r="D53" s="44" t="s">
        <v>11</v>
      </c>
      <c r="E53" s="29"/>
      <c r="F53" s="30" t="str">
        <f t="array" ref="F53">IF(OR($B53="",$C53="",$E53=""),"",IF(OR(F$8&lt;$E53,F$8-$E53&gt;=12),0,$C53*INDEX(Fondsen!$F$5:$Q$30,MATCH($B53,Fondsen!$A$5:$A$30,0),F$8-$E53+1)))</f>
        <v/>
      </c>
      <c r="G53" s="31" t="str">
        <f t="array" ref="G53">IF(OR($B53="",$C53="",$E53=""),"",IF(OR(G$8&lt;$E53,G$8-$E53&gt;=12),0,$C53*INDEX(Fondsen!$F$5:$Q$30,MATCH($B53,Fondsen!$A$5:$A$30,0),G$8-$E53+1)))</f>
        <v/>
      </c>
      <c r="H53" s="30" t="str">
        <f t="array" ref="H53">IF(OR($B53="",$C53="",$E53=""),"",IF(OR(H$8&lt;$E53,H$8-$E53&gt;=12),0,$C53*INDEX(Fondsen!$F$5:$Q$30,MATCH($B53,Fondsen!$A$5:$A$30,0),H$8-$E53+1)))</f>
        <v/>
      </c>
      <c r="I53" s="31" t="str">
        <f t="array" ref="I53">IF(OR($B53="",$C53="",$E53=""),"",IF(OR(I$8&lt;$E53,I$8-$E53&gt;=12),0,$C53*INDEX(Fondsen!$F$5:$Q$30,MATCH($B53,Fondsen!$A$5:$A$30,0),I$8-$E53+1)))</f>
        <v/>
      </c>
      <c r="J53" s="30" t="str">
        <f t="array" ref="J53">IF(OR($B53="",$C53="",$E53=""),"",IF(OR(J$8&lt;$E53,J$8-$E53&gt;=12),0,$C53*INDEX(Fondsen!$F$5:$Q$30,MATCH($B53,Fondsen!$A$5:$A$30,0),J$8-$E53+1)))</f>
        <v/>
      </c>
      <c r="K53" s="31" t="str">
        <f t="array" ref="K53">IF(OR($B53="",$C53="",$E53=""),"",IF(OR(K$8&lt;$E53,K$8-$E53&gt;=12),0,$C53*INDEX(Fondsen!$F$5:$Q$30,MATCH($B53,Fondsen!$A$5:$A$30,0),K$8-$E53+1)))</f>
        <v/>
      </c>
      <c r="L53" s="30" t="str">
        <f t="array" ref="L53">IF(OR($B53="",$C53="",$E53=""),"",IF(OR(L$8&lt;$E53,L$8-$E53&gt;=12),0,$C53*INDEX(Fondsen!$F$5:$Q$30,MATCH($B53,Fondsen!$A$5:$A$30,0),L$8-$E53+1)))</f>
        <v/>
      </c>
      <c r="M53" s="31" t="str">
        <f t="array" ref="M53">IF(OR($B53="",$C53="",$E53=""),"",IF(OR(M$8&lt;$E53,M$8-$E53&gt;=12),0,$C53*INDEX(Fondsen!$F$5:$Q$30,MATCH($B53,Fondsen!$A$5:$A$30,0),M$8-$E53+1)))</f>
        <v/>
      </c>
      <c r="N53" s="30" t="str">
        <f t="array" ref="N53">IF(OR($B53="",$C53="",$E53=""),"",IF(OR(N$8&lt;$E53,N$8-$E53&gt;=12),0,$C53*INDEX(Fondsen!$F$5:$Q$30,MATCH($B53,Fondsen!$A$5:$A$30,0),N$8-$E53+1)))</f>
        <v/>
      </c>
      <c r="O53" s="31" t="str">
        <f t="array" ref="O53">IF(OR($B53="",$C53="",$E53=""),"",IF(OR(O$8&lt;$E53,O$8-$E53&gt;=12),0,$C53*INDEX(Fondsen!$F$5:$Q$30,MATCH($B53,Fondsen!$A$5:$A$30,0),O$8-$E53+1)))</f>
        <v/>
      </c>
      <c r="P53" s="30" t="str">
        <f t="array" ref="P53">IF(OR($B53="",$C53="",$E53=""),"",IF(OR(P$8&lt;$E53,P$8-$E53&gt;=12),0,$C53*INDEX(Fondsen!$F$5:$Q$30,MATCH($B53,Fondsen!$A$5:$A$30,0),P$8-$E53+1)))</f>
        <v/>
      </c>
      <c r="Q53" s="31" t="str">
        <f t="array" ref="Q53">IF(OR($B53="",$C53="",$E53=""),"",IF(OR(Q$8&lt;$E53,Q$8-$E53&gt;=12),0,$C53*INDEX(Fondsen!$F$5:$Q$30,MATCH($B53,Fondsen!$A$5:$A$30,0),Q$8-$E53+1)))</f>
        <v/>
      </c>
      <c r="R53" s="30" t="str">
        <f t="array" ref="R53">IF(OR($B53="",$C53="",$E53=""),"",IF(OR(R$8&lt;$E53,R$8-$E53&gt;=12),0,$C53*INDEX(Fondsen!$F$5:$Q$30,MATCH($B53,Fondsen!$A$5:$A$30,0),R$8-$E53+1)))</f>
        <v/>
      </c>
      <c r="S53" s="31" t="str">
        <f t="array" ref="S53">IF(OR($B53="",$C53="",$E53=""),"",IF(OR(S$8&lt;$E53,S$8-$E53&gt;=12),0,$C53*INDEX(Fondsen!$F$5:$Q$30,MATCH($B53,Fondsen!$A$5:$A$30,0),S$8-$E53+1)))</f>
        <v/>
      </c>
      <c r="T53" s="30" t="str">
        <f t="array" ref="T53">IF(OR($B53="",$C53="",$E53=""),"",IF(OR(T$8&lt;$E53,T$8-$E53&gt;=12),0,$C53*INDEX(Fondsen!$F$5:$Q$30,MATCH($B53,Fondsen!$A$5:$A$30,0),T$8-$E53+1)))</f>
        <v/>
      </c>
      <c r="U53" s="31" t="str">
        <f t="array" ref="U53">IF(OR($B53="",$C53="",$E53=""),"",IF(OR(U$8&lt;$E53,U$8-$E53&gt;=12),0,$C53*INDEX(Fondsen!$F$5:$Q$30,MATCH($B53,Fondsen!$A$5:$A$30,0),U$8-$E53+1)))</f>
        <v/>
      </c>
      <c r="V53" s="30" t="str">
        <f t="array" ref="V53">IF(OR($B53="",$C53="",$E53=""),"",IF(OR(V$8&lt;$E53,V$8-$E53&gt;=12),0,$C53*INDEX(Fondsen!$F$5:$Q$30,MATCH($B53,Fondsen!$A$5:$A$30,0),V$8-$E53+1)))</f>
        <v/>
      </c>
      <c r="W53" s="31" t="str">
        <f t="array" ref="W53">IF(OR($B53="",$C53="",$E53=""),"",IF(OR(W$8&lt;$E53,W$8-$E53&gt;=12),0,$C53*INDEX(Fondsen!$F$5:$Q$30,MATCH($B53,Fondsen!$A$5:$A$30,0),W$8-$E53+1)))</f>
        <v/>
      </c>
      <c r="X53" s="30" t="str">
        <f t="array" ref="X53">IF(OR($B53="",$C53="",$E53=""),"",IF(OR(X$8&lt;$E53,X$8-$E53&gt;=12),0,$C53*INDEX(Fondsen!$F$5:$Q$30,MATCH($B53,Fondsen!$A$5:$A$30,0),X$8-$E53+1)))</f>
        <v/>
      </c>
      <c r="Y53" s="31" t="str">
        <f t="array" ref="Y53">IF(OR($B53="",$C53="",$E53=""),"",IF(OR(Y$8&lt;$E53,Y$8-$E53&gt;=12),0,$C53*INDEX(Fondsen!$F$5:$Q$30,MATCH($B53,Fondsen!$A$5:$A$30,0),Y$8-$E53+1)))</f>
        <v/>
      </c>
      <c r="Z53" s="30" t="str">
        <f t="array" ref="Z53">IF(OR($B53="",$C53="",$E53=""),"",IF(OR(Z$8&lt;$E53,Z$8-$E53&gt;=12),0,$C53*INDEX(Fondsen!$F$5:$Q$30,MATCH($B53,Fondsen!$A$5:$A$30,0),Z$8-$E53+1)))</f>
        <v/>
      </c>
      <c r="AA53" s="31" t="str">
        <f t="array" ref="AA53">IF(OR($B53="",$C53="",$E53=""),"",IF(OR(AA$8&lt;$E53,AA$8-$E53&gt;=12),0,$C53*INDEX(Fondsen!$F$5:$Q$30,MATCH($B53,Fondsen!$A$5:$A$30,0),AA$8-$E53+1)))</f>
        <v/>
      </c>
      <c r="AB53" s="30" t="str">
        <f t="array" ref="AB53">IF(OR($B53="",$C53="",$E53=""),"",IF(OR(AB$8&lt;$E53,AB$8-$E53&gt;=12),0,$C53*INDEX(Fondsen!$F$5:$Q$30,MATCH($B53,Fondsen!$A$5:$A$30,0),AB$8-$E53+1)))</f>
        <v/>
      </c>
      <c r="AC53" s="31" t="str">
        <f t="array" ref="AC53">IF(OR($B53="",$C53="",$E53=""),"",IF(OR(AC$8&lt;$E53,AC$8-$E53&gt;=12),0,$C53*INDEX(Fondsen!$F$5:$Q$30,MATCH($B53,Fondsen!$A$5:$A$30,0),AC$8-$E53+1)))</f>
        <v/>
      </c>
      <c r="AD53" s="30" t="str">
        <f t="array" ref="AD53">IF(OR($B53="",$C53="",$E53=""),"",IF(OR(AD$8&lt;$E53,AD$8-$E53&gt;=12),0,$C53*INDEX(Fondsen!$F$5:$Q$30,MATCH($B53,Fondsen!$A$5:$A$30,0),AD$8-$E53+1)))</f>
        <v/>
      </c>
      <c r="AE53" s="31" t="str">
        <f t="array" ref="AE53">IF(OR($B53="",$C53="",$E53=""),"",IF(OR(AE$8&lt;$E53,AE$8-$E53&gt;=12),0,$C53*INDEX(Fondsen!$F$5:$Q$30,MATCH($B53,Fondsen!$A$5:$A$30,0),AE$8-$E53+1)))</f>
        <v/>
      </c>
      <c r="AF53" s="30" t="str">
        <f t="array" ref="AF53">IF(OR($B53="",$C53="",$E53=""),"",IF(OR(AF$8&lt;$E53,AF$8-$E53&gt;=12),0,$C53*INDEX(Fondsen!$F$5:$Q$30,MATCH($B53,Fondsen!$A$5:$A$30,0),AF$8-$E53+1)))</f>
        <v/>
      </c>
      <c r="AG53" s="31" t="str">
        <f t="array" ref="AG53">IF(OR($B53="",$C53="",$E53=""),"",IF(OR(AG$8&lt;$E53,AG$8-$E53&gt;=12),0,$C53*INDEX(Fondsen!$F$5:$Q$30,MATCH($B53,Fondsen!$A$5:$A$30,0),AG$8-$E53+1)))</f>
        <v/>
      </c>
      <c r="AH53" s="30" t="str">
        <f t="array" ref="AH53">IF(OR($B53="",$C53="",$E53=""),"",IF(OR(AH$8&lt;$E53,AH$8-$E53&gt;=12),0,$C53*INDEX(Fondsen!$F$5:$Q$30,MATCH($B53,Fondsen!$A$5:$A$30,0),AH$8-$E53+1)))</f>
        <v/>
      </c>
      <c r="AI53" s="31" t="str">
        <f t="array" ref="AI53">IF(OR($B53="",$C53="",$E53=""),"",IF(OR(AI$8&lt;$E53,AI$8-$E53&gt;=12),0,$C53*INDEX(Fondsen!$F$5:$Q$30,MATCH($B53,Fondsen!$A$5:$A$30,0),AI$8-$E53+1)))</f>
        <v/>
      </c>
      <c r="AJ53" s="30" t="str">
        <f t="array" ref="AJ53">IF(OR($B53="",$C53="",$E53=""),"",IF(OR(AJ$8&lt;$E53,AJ$8-$E53&gt;=12),0,$C53*INDEX(Fondsen!$F$5:$Q$30,MATCH($B53,Fondsen!$A$5:$A$30,0),AJ$8-$E53+1)))</f>
        <v/>
      </c>
      <c r="AK53" s="31" t="str">
        <f t="array" ref="AK53">IF(OR($B53="",$C53="",$E53=""),"",IF(OR(AK$8&lt;$E53,AK$8-$E53&gt;=12),0,$C53*INDEX(Fondsen!$F$5:$Q$30,MATCH($B53,Fondsen!$A$5:$A$30,0),AK$8-$E53+1)))</f>
        <v/>
      </c>
      <c r="AL53" s="30" t="str">
        <f t="array" ref="AL53">IF(OR($B53="",$C53="",$E53=""),"",IF(OR(AL$8&lt;$E53,AL$8-$E53&gt;=12),0,$C53*INDEX(Fondsen!$F$5:$Q$30,MATCH($B53,Fondsen!$A$5:$A$30,0),AL$8-$E53+1)))</f>
        <v/>
      </c>
      <c r="AM53" s="31" t="str">
        <f t="array" ref="AM53">IF(OR($B53="",$C53="",$E53=""),"",IF(OR(AM$8&lt;$E53,AM$8-$E53&gt;=12),0,$C53*INDEX(Fondsen!$F$5:$Q$30,MATCH($B53,Fondsen!$A$5:$A$30,0),AM$8-$E53+1)))</f>
        <v/>
      </c>
      <c r="AN53" s="30" t="str">
        <f t="array" ref="AN53">IF(OR($B53="",$C53="",$E53=""),"",IF(OR(AN$8&lt;$E53,AN$8-$E53&gt;=12),0,$C53*INDEX(Fondsen!$F$5:$Q$30,MATCH($B53,Fondsen!$A$5:$A$30,0),AN$8-$E53+1)))</f>
        <v/>
      </c>
      <c r="AO53" s="31" t="str">
        <f t="array" ref="AO53">IF(OR($B53="",$C53="",$E53=""),"",IF(OR(AO$8&lt;$E53,AO$8-$E53&gt;=12),0,$C53*INDEX(Fondsen!$F$5:$Q$30,MATCH($B53,Fondsen!$A$5:$A$30,0),AO$8-$E53+1)))</f>
        <v/>
      </c>
      <c r="AP53" s="30" t="str">
        <f t="array" ref="AP53">IF(OR($B53="",$C53="",$E53=""),"",IF(OR(AP$8&lt;$E53,AP$8-$E53&gt;=12),0,$C53*INDEX(Fondsen!$F$5:$Q$30,MATCH($B53,Fondsen!$A$5:$A$30,0),AP$8-$E53+1)))</f>
        <v/>
      </c>
      <c r="AQ53" s="31" t="str">
        <f t="array" ref="AQ53">IF(OR($B53="",$C53="",$E53=""),"",IF(OR(AQ$8&lt;$E53,AQ$8-$E53&gt;=12),0,$C53*INDEX(Fondsen!$F$5:$Q$30,MATCH($B53,Fondsen!$A$5:$A$30,0),AQ$8-$E53+1)))</f>
        <v/>
      </c>
      <c r="AR53" s="30" t="str">
        <f t="array" ref="AR53">IF(OR($B53="",$C53="",$E53=""),"",IF(OR(AR$8&lt;$E53,AR$8-$E53&gt;=12),0,$C53*INDEX(Fondsen!$F$5:$Q$30,MATCH($B53,Fondsen!$A$5:$A$30,0),AR$8-$E53+1)))</f>
        <v/>
      </c>
      <c r="AS53" s="31" t="str">
        <f t="array" ref="AS53">IF(OR($B53="",$C53="",$E53=""),"",IF(OR(AS$8&lt;$E53,AS$8-$E53&gt;=12),0,$C53*INDEX(Fondsen!$F$5:$Q$30,MATCH($B53,Fondsen!$A$5:$A$30,0),AS$8-$E53+1)))</f>
        <v/>
      </c>
      <c r="AT53" s="45"/>
    </row>
    <row r="54" ht="24.0" customHeight="1" outlineLevel="1">
      <c r="A54" s="33" t="str">
        <f>IF(B54="","",IFERROR(VLOOKUP(B54,Fondsen!$A$5:$B$30,2,FALSE()),""))</f>
        <v/>
      </c>
      <c r="B54" s="34"/>
      <c r="C54" s="35"/>
      <c r="D54" s="46" t="s">
        <v>11</v>
      </c>
      <c r="E54" s="37"/>
      <c r="F54" s="38" t="str">
        <f t="array" ref="F54">IF(OR($B54="",$C54="",$E54=""),"",IF(OR(F$8&lt;$E54,F$8-$E54&gt;=12),0,$C54*INDEX(Fondsen!$F$5:$Q$30,MATCH($B54,Fondsen!$A$5:$A$30,0),F$8-$E54+1)))</f>
        <v/>
      </c>
      <c r="G54" s="39" t="str">
        <f t="array" ref="G54">IF(OR($B54="",$C54="",$E54=""),"",IF(OR(G$8&lt;$E54,G$8-$E54&gt;=12),0,$C54*INDEX(Fondsen!$F$5:$Q$30,MATCH($B54,Fondsen!$A$5:$A$30,0),G$8-$E54+1)))</f>
        <v/>
      </c>
      <c r="H54" s="38" t="str">
        <f t="array" ref="H54">IF(OR($B54="",$C54="",$E54=""),"",IF(OR(H$8&lt;$E54,H$8-$E54&gt;=12),0,$C54*INDEX(Fondsen!$F$5:$Q$30,MATCH($B54,Fondsen!$A$5:$A$30,0),H$8-$E54+1)))</f>
        <v/>
      </c>
      <c r="I54" s="39" t="str">
        <f t="array" ref="I54">IF(OR($B54="",$C54="",$E54=""),"",IF(OR(I$8&lt;$E54,I$8-$E54&gt;=12),0,$C54*INDEX(Fondsen!$F$5:$Q$30,MATCH($B54,Fondsen!$A$5:$A$30,0),I$8-$E54+1)))</f>
        <v/>
      </c>
      <c r="J54" s="38" t="str">
        <f t="array" ref="J54">IF(OR($B54="",$C54="",$E54=""),"",IF(OR(J$8&lt;$E54,J$8-$E54&gt;=12),0,$C54*INDEX(Fondsen!$F$5:$Q$30,MATCH($B54,Fondsen!$A$5:$A$30,0),J$8-$E54+1)))</f>
        <v/>
      </c>
      <c r="K54" s="39" t="str">
        <f t="array" ref="K54">IF(OR($B54="",$C54="",$E54=""),"",IF(OR(K$8&lt;$E54,K$8-$E54&gt;=12),0,$C54*INDEX(Fondsen!$F$5:$Q$30,MATCH($B54,Fondsen!$A$5:$A$30,0),K$8-$E54+1)))</f>
        <v/>
      </c>
      <c r="L54" s="38" t="str">
        <f t="array" ref="L54">IF(OR($B54="",$C54="",$E54=""),"",IF(OR(L$8&lt;$E54,L$8-$E54&gt;=12),0,$C54*INDEX(Fondsen!$F$5:$Q$30,MATCH($B54,Fondsen!$A$5:$A$30,0),L$8-$E54+1)))</f>
        <v/>
      </c>
      <c r="M54" s="39" t="str">
        <f t="array" ref="M54">IF(OR($B54="",$C54="",$E54=""),"",IF(OR(M$8&lt;$E54,M$8-$E54&gt;=12),0,$C54*INDEX(Fondsen!$F$5:$Q$30,MATCH($B54,Fondsen!$A$5:$A$30,0),M$8-$E54+1)))</f>
        <v/>
      </c>
      <c r="N54" s="38" t="str">
        <f t="array" ref="N54">IF(OR($B54="",$C54="",$E54=""),"",IF(OR(N$8&lt;$E54,N$8-$E54&gt;=12),0,$C54*INDEX(Fondsen!$F$5:$Q$30,MATCH($B54,Fondsen!$A$5:$A$30,0),N$8-$E54+1)))</f>
        <v/>
      </c>
      <c r="O54" s="39" t="str">
        <f t="array" ref="O54">IF(OR($B54="",$C54="",$E54=""),"",IF(OR(O$8&lt;$E54,O$8-$E54&gt;=12),0,$C54*INDEX(Fondsen!$F$5:$Q$30,MATCH($B54,Fondsen!$A$5:$A$30,0),O$8-$E54+1)))</f>
        <v/>
      </c>
      <c r="P54" s="38" t="str">
        <f t="array" ref="P54">IF(OR($B54="",$C54="",$E54=""),"",IF(OR(P$8&lt;$E54,P$8-$E54&gt;=12),0,$C54*INDEX(Fondsen!$F$5:$Q$30,MATCH($B54,Fondsen!$A$5:$A$30,0),P$8-$E54+1)))</f>
        <v/>
      </c>
      <c r="Q54" s="39" t="str">
        <f t="array" ref="Q54">IF(OR($B54="",$C54="",$E54=""),"",IF(OR(Q$8&lt;$E54,Q$8-$E54&gt;=12),0,$C54*INDEX(Fondsen!$F$5:$Q$30,MATCH($B54,Fondsen!$A$5:$A$30,0),Q$8-$E54+1)))</f>
        <v/>
      </c>
      <c r="R54" s="38" t="str">
        <f t="array" ref="R54">IF(OR($B54="",$C54="",$E54=""),"",IF(OR(R$8&lt;$E54,R$8-$E54&gt;=12),0,$C54*INDEX(Fondsen!$F$5:$Q$30,MATCH($B54,Fondsen!$A$5:$A$30,0),R$8-$E54+1)))</f>
        <v/>
      </c>
      <c r="S54" s="39" t="str">
        <f t="array" ref="S54">IF(OR($B54="",$C54="",$E54=""),"",IF(OR(S$8&lt;$E54,S$8-$E54&gt;=12),0,$C54*INDEX(Fondsen!$F$5:$Q$30,MATCH($B54,Fondsen!$A$5:$A$30,0),S$8-$E54+1)))</f>
        <v/>
      </c>
      <c r="T54" s="38" t="str">
        <f t="array" ref="T54">IF(OR($B54="",$C54="",$E54=""),"",IF(OR(T$8&lt;$E54,T$8-$E54&gt;=12),0,$C54*INDEX(Fondsen!$F$5:$Q$30,MATCH($B54,Fondsen!$A$5:$A$30,0),T$8-$E54+1)))</f>
        <v/>
      </c>
      <c r="U54" s="39" t="str">
        <f t="array" ref="U54">IF(OR($B54="",$C54="",$E54=""),"",IF(OR(U$8&lt;$E54,U$8-$E54&gt;=12),0,$C54*INDEX(Fondsen!$F$5:$Q$30,MATCH($B54,Fondsen!$A$5:$A$30,0),U$8-$E54+1)))</f>
        <v/>
      </c>
      <c r="V54" s="38" t="str">
        <f t="array" ref="V54">IF(OR($B54="",$C54="",$E54=""),"",IF(OR(V$8&lt;$E54,V$8-$E54&gt;=12),0,$C54*INDEX(Fondsen!$F$5:$Q$30,MATCH($B54,Fondsen!$A$5:$A$30,0),V$8-$E54+1)))</f>
        <v/>
      </c>
      <c r="W54" s="39" t="str">
        <f t="array" ref="W54">IF(OR($B54="",$C54="",$E54=""),"",IF(OR(W$8&lt;$E54,W$8-$E54&gt;=12),0,$C54*INDEX(Fondsen!$F$5:$Q$30,MATCH($B54,Fondsen!$A$5:$A$30,0),W$8-$E54+1)))</f>
        <v/>
      </c>
      <c r="X54" s="38" t="str">
        <f t="array" ref="X54">IF(OR($B54="",$C54="",$E54=""),"",IF(OR(X$8&lt;$E54,X$8-$E54&gt;=12),0,$C54*INDEX(Fondsen!$F$5:$Q$30,MATCH($B54,Fondsen!$A$5:$A$30,0),X$8-$E54+1)))</f>
        <v/>
      </c>
      <c r="Y54" s="39" t="str">
        <f t="array" ref="Y54">IF(OR($B54="",$C54="",$E54=""),"",IF(OR(Y$8&lt;$E54,Y$8-$E54&gt;=12),0,$C54*INDEX(Fondsen!$F$5:$Q$30,MATCH($B54,Fondsen!$A$5:$A$30,0),Y$8-$E54+1)))</f>
        <v/>
      </c>
      <c r="Z54" s="38" t="str">
        <f t="array" ref="Z54">IF(OR($B54="",$C54="",$E54=""),"",IF(OR(Z$8&lt;$E54,Z$8-$E54&gt;=12),0,$C54*INDEX(Fondsen!$F$5:$Q$30,MATCH($B54,Fondsen!$A$5:$A$30,0),Z$8-$E54+1)))</f>
        <v/>
      </c>
      <c r="AA54" s="39" t="str">
        <f t="array" ref="AA54">IF(OR($B54="",$C54="",$E54=""),"",IF(OR(AA$8&lt;$E54,AA$8-$E54&gt;=12),0,$C54*INDEX(Fondsen!$F$5:$Q$30,MATCH($B54,Fondsen!$A$5:$A$30,0),AA$8-$E54+1)))</f>
        <v/>
      </c>
      <c r="AB54" s="38" t="str">
        <f t="array" ref="AB54">IF(OR($B54="",$C54="",$E54=""),"",IF(OR(AB$8&lt;$E54,AB$8-$E54&gt;=12),0,$C54*INDEX(Fondsen!$F$5:$Q$30,MATCH($B54,Fondsen!$A$5:$A$30,0),AB$8-$E54+1)))</f>
        <v/>
      </c>
      <c r="AC54" s="39" t="str">
        <f t="array" ref="AC54">IF(OR($B54="",$C54="",$E54=""),"",IF(OR(AC$8&lt;$E54,AC$8-$E54&gt;=12),0,$C54*INDEX(Fondsen!$F$5:$Q$30,MATCH($B54,Fondsen!$A$5:$A$30,0),AC$8-$E54+1)))</f>
        <v/>
      </c>
      <c r="AD54" s="38" t="str">
        <f t="array" ref="AD54">IF(OR($B54="",$C54="",$E54=""),"",IF(OR(AD$8&lt;$E54,AD$8-$E54&gt;=12),0,$C54*INDEX(Fondsen!$F$5:$Q$30,MATCH($B54,Fondsen!$A$5:$A$30,0),AD$8-$E54+1)))</f>
        <v/>
      </c>
      <c r="AE54" s="39" t="str">
        <f t="array" ref="AE54">IF(OR($B54="",$C54="",$E54=""),"",IF(OR(AE$8&lt;$E54,AE$8-$E54&gt;=12),0,$C54*INDEX(Fondsen!$F$5:$Q$30,MATCH($B54,Fondsen!$A$5:$A$30,0),AE$8-$E54+1)))</f>
        <v/>
      </c>
      <c r="AF54" s="38" t="str">
        <f t="array" ref="AF54">IF(OR($B54="",$C54="",$E54=""),"",IF(OR(AF$8&lt;$E54,AF$8-$E54&gt;=12),0,$C54*INDEX(Fondsen!$F$5:$Q$30,MATCH($B54,Fondsen!$A$5:$A$30,0),AF$8-$E54+1)))</f>
        <v/>
      </c>
      <c r="AG54" s="39" t="str">
        <f t="array" ref="AG54">IF(OR($B54="",$C54="",$E54=""),"",IF(OR(AG$8&lt;$E54,AG$8-$E54&gt;=12),0,$C54*INDEX(Fondsen!$F$5:$Q$30,MATCH($B54,Fondsen!$A$5:$A$30,0),AG$8-$E54+1)))</f>
        <v/>
      </c>
      <c r="AH54" s="38" t="str">
        <f t="array" ref="AH54">IF(OR($B54="",$C54="",$E54=""),"",IF(OR(AH$8&lt;$E54,AH$8-$E54&gt;=12),0,$C54*INDEX(Fondsen!$F$5:$Q$30,MATCH($B54,Fondsen!$A$5:$A$30,0),AH$8-$E54+1)))</f>
        <v/>
      </c>
      <c r="AI54" s="39" t="str">
        <f t="array" ref="AI54">IF(OR($B54="",$C54="",$E54=""),"",IF(OR(AI$8&lt;$E54,AI$8-$E54&gt;=12),0,$C54*INDEX(Fondsen!$F$5:$Q$30,MATCH($B54,Fondsen!$A$5:$A$30,0),AI$8-$E54+1)))</f>
        <v/>
      </c>
      <c r="AJ54" s="38" t="str">
        <f t="array" ref="AJ54">IF(OR($B54="",$C54="",$E54=""),"",IF(OR(AJ$8&lt;$E54,AJ$8-$E54&gt;=12),0,$C54*INDEX(Fondsen!$F$5:$Q$30,MATCH($B54,Fondsen!$A$5:$A$30,0),AJ$8-$E54+1)))</f>
        <v/>
      </c>
      <c r="AK54" s="39" t="str">
        <f t="array" ref="AK54">IF(OR($B54="",$C54="",$E54=""),"",IF(OR(AK$8&lt;$E54,AK$8-$E54&gt;=12),0,$C54*INDEX(Fondsen!$F$5:$Q$30,MATCH($B54,Fondsen!$A$5:$A$30,0),AK$8-$E54+1)))</f>
        <v/>
      </c>
      <c r="AL54" s="38" t="str">
        <f t="array" ref="AL54">IF(OR($B54="",$C54="",$E54=""),"",IF(OR(AL$8&lt;$E54,AL$8-$E54&gt;=12),0,$C54*INDEX(Fondsen!$F$5:$Q$30,MATCH($B54,Fondsen!$A$5:$A$30,0),AL$8-$E54+1)))</f>
        <v/>
      </c>
      <c r="AM54" s="39" t="str">
        <f t="array" ref="AM54">IF(OR($B54="",$C54="",$E54=""),"",IF(OR(AM$8&lt;$E54,AM$8-$E54&gt;=12),0,$C54*INDEX(Fondsen!$F$5:$Q$30,MATCH($B54,Fondsen!$A$5:$A$30,0),AM$8-$E54+1)))</f>
        <v/>
      </c>
      <c r="AN54" s="38" t="str">
        <f t="array" ref="AN54">IF(OR($B54="",$C54="",$E54=""),"",IF(OR(AN$8&lt;$E54,AN$8-$E54&gt;=12),0,$C54*INDEX(Fondsen!$F$5:$Q$30,MATCH($B54,Fondsen!$A$5:$A$30,0),AN$8-$E54+1)))</f>
        <v/>
      </c>
      <c r="AO54" s="39" t="str">
        <f t="array" ref="AO54">IF(OR($B54="",$C54="",$E54=""),"",IF(OR(AO$8&lt;$E54,AO$8-$E54&gt;=12),0,$C54*INDEX(Fondsen!$F$5:$Q$30,MATCH($B54,Fondsen!$A$5:$A$30,0),AO$8-$E54+1)))</f>
        <v/>
      </c>
      <c r="AP54" s="38" t="str">
        <f t="array" ref="AP54">IF(OR($B54="",$C54="",$E54=""),"",IF(OR(AP$8&lt;$E54,AP$8-$E54&gt;=12),0,$C54*INDEX(Fondsen!$F$5:$Q$30,MATCH($B54,Fondsen!$A$5:$A$30,0),AP$8-$E54+1)))</f>
        <v/>
      </c>
      <c r="AQ54" s="39" t="str">
        <f t="array" ref="AQ54">IF(OR($B54="",$C54="",$E54=""),"",IF(OR(AQ$8&lt;$E54,AQ$8-$E54&gt;=12),0,$C54*INDEX(Fondsen!$F$5:$Q$30,MATCH($B54,Fondsen!$A$5:$A$30,0),AQ$8-$E54+1)))</f>
        <v/>
      </c>
      <c r="AR54" s="38" t="str">
        <f t="array" ref="AR54">IF(OR($B54="",$C54="",$E54=""),"",IF(OR(AR$8&lt;$E54,AR$8-$E54&gt;=12),0,$C54*INDEX(Fondsen!$F$5:$Q$30,MATCH($B54,Fondsen!$A$5:$A$30,0),AR$8-$E54+1)))</f>
        <v/>
      </c>
      <c r="AS54" s="39" t="str">
        <f t="array" ref="AS54">IF(OR($B54="",$C54="",$E54=""),"",IF(OR(AS$8&lt;$E54,AS$8-$E54&gt;=12),0,$C54*INDEX(Fondsen!$F$5:$Q$30,MATCH($B54,Fondsen!$A$5:$A$30,0),AS$8-$E54+1)))</f>
        <v/>
      </c>
      <c r="AT54" s="45"/>
    </row>
    <row r="55" ht="24.0" customHeight="1" outlineLevel="1">
      <c r="A55" s="47" t="str">
        <f>IF(B55="","",IFERROR(VLOOKUP(B55,Fondsen!$A$5:$B$30,2,FALSE()),""))</f>
        <v/>
      </c>
      <c r="B55" s="26"/>
      <c r="C55" s="27"/>
      <c r="D55" s="44" t="s">
        <v>11</v>
      </c>
      <c r="E55" s="29"/>
      <c r="F55" s="30" t="str">
        <f t="array" ref="F55">IF(OR($B55="",$C55="",$E55=""),"",IF(OR(F$8&lt;$E55,F$8-$E55&gt;=12),0,$C55*INDEX(Fondsen!$F$5:$Q$30,MATCH($B55,Fondsen!$A$5:$A$30,0),F$8-$E55+1)))</f>
        <v/>
      </c>
      <c r="G55" s="31" t="str">
        <f t="array" ref="G55">IF(OR($B55="",$C55="",$E55=""),"",IF(OR(G$8&lt;$E55,G$8-$E55&gt;=12),0,$C55*INDEX(Fondsen!$F$5:$Q$30,MATCH($B55,Fondsen!$A$5:$A$30,0),G$8-$E55+1)))</f>
        <v/>
      </c>
      <c r="H55" s="30" t="str">
        <f t="array" ref="H55">IF(OR($B55="",$C55="",$E55=""),"",IF(OR(H$8&lt;$E55,H$8-$E55&gt;=12),0,$C55*INDEX(Fondsen!$F$5:$Q$30,MATCH($B55,Fondsen!$A$5:$A$30,0),H$8-$E55+1)))</f>
        <v/>
      </c>
      <c r="I55" s="31" t="str">
        <f t="array" ref="I55">IF(OR($B55="",$C55="",$E55=""),"",IF(OR(I$8&lt;$E55,I$8-$E55&gt;=12),0,$C55*INDEX(Fondsen!$F$5:$Q$30,MATCH($B55,Fondsen!$A$5:$A$30,0),I$8-$E55+1)))</f>
        <v/>
      </c>
      <c r="J55" s="30" t="str">
        <f t="array" ref="J55">IF(OR($B55="",$C55="",$E55=""),"",IF(OR(J$8&lt;$E55,J$8-$E55&gt;=12),0,$C55*INDEX(Fondsen!$F$5:$Q$30,MATCH($B55,Fondsen!$A$5:$A$30,0),J$8-$E55+1)))</f>
        <v/>
      </c>
      <c r="K55" s="31" t="str">
        <f t="array" ref="K55">IF(OR($B55="",$C55="",$E55=""),"",IF(OR(K$8&lt;$E55,K$8-$E55&gt;=12),0,$C55*INDEX(Fondsen!$F$5:$Q$30,MATCH($B55,Fondsen!$A$5:$A$30,0),K$8-$E55+1)))</f>
        <v/>
      </c>
      <c r="L55" s="30" t="str">
        <f t="array" ref="L55">IF(OR($B55="",$C55="",$E55=""),"",IF(OR(L$8&lt;$E55,L$8-$E55&gt;=12),0,$C55*INDEX(Fondsen!$F$5:$Q$30,MATCH($B55,Fondsen!$A$5:$A$30,0),L$8-$E55+1)))</f>
        <v/>
      </c>
      <c r="M55" s="31" t="str">
        <f t="array" ref="M55">IF(OR($B55="",$C55="",$E55=""),"",IF(OR(M$8&lt;$E55,M$8-$E55&gt;=12),0,$C55*INDEX(Fondsen!$F$5:$Q$30,MATCH($B55,Fondsen!$A$5:$A$30,0),M$8-$E55+1)))</f>
        <v/>
      </c>
      <c r="N55" s="30" t="str">
        <f t="array" ref="N55">IF(OR($B55="",$C55="",$E55=""),"",IF(OR(N$8&lt;$E55,N$8-$E55&gt;=12),0,$C55*INDEX(Fondsen!$F$5:$Q$30,MATCH($B55,Fondsen!$A$5:$A$30,0),N$8-$E55+1)))</f>
        <v/>
      </c>
      <c r="O55" s="31" t="str">
        <f t="array" ref="O55">IF(OR($B55="",$C55="",$E55=""),"",IF(OR(O$8&lt;$E55,O$8-$E55&gt;=12),0,$C55*INDEX(Fondsen!$F$5:$Q$30,MATCH($B55,Fondsen!$A$5:$A$30,0),O$8-$E55+1)))</f>
        <v/>
      </c>
      <c r="P55" s="30" t="str">
        <f t="array" ref="P55">IF(OR($B55="",$C55="",$E55=""),"",IF(OR(P$8&lt;$E55,P$8-$E55&gt;=12),0,$C55*INDEX(Fondsen!$F$5:$Q$30,MATCH($B55,Fondsen!$A$5:$A$30,0),P$8-$E55+1)))</f>
        <v/>
      </c>
      <c r="Q55" s="31" t="str">
        <f t="array" ref="Q55">IF(OR($B55="",$C55="",$E55=""),"",IF(OR(Q$8&lt;$E55,Q$8-$E55&gt;=12),0,$C55*INDEX(Fondsen!$F$5:$Q$30,MATCH($B55,Fondsen!$A$5:$A$30,0),Q$8-$E55+1)))</f>
        <v/>
      </c>
      <c r="R55" s="30" t="str">
        <f t="array" ref="R55">IF(OR($B55="",$C55="",$E55=""),"",IF(OR(R$8&lt;$E55,R$8-$E55&gt;=12),0,$C55*INDEX(Fondsen!$F$5:$Q$30,MATCH($B55,Fondsen!$A$5:$A$30,0),R$8-$E55+1)))</f>
        <v/>
      </c>
      <c r="S55" s="31" t="str">
        <f t="array" ref="S55">IF(OR($B55="",$C55="",$E55=""),"",IF(OR(S$8&lt;$E55,S$8-$E55&gt;=12),0,$C55*INDEX(Fondsen!$F$5:$Q$30,MATCH($B55,Fondsen!$A$5:$A$30,0),S$8-$E55+1)))</f>
        <v/>
      </c>
      <c r="T55" s="30" t="str">
        <f t="array" ref="T55">IF(OR($B55="",$C55="",$E55=""),"",IF(OR(T$8&lt;$E55,T$8-$E55&gt;=12),0,$C55*INDEX(Fondsen!$F$5:$Q$30,MATCH($B55,Fondsen!$A$5:$A$30,0),T$8-$E55+1)))</f>
        <v/>
      </c>
      <c r="U55" s="31" t="str">
        <f t="array" ref="U55">IF(OR($B55="",$C55="",$E55=""),"",IF(OR(U$8&lt;$E55,U$8-$E55&gt;=12),0,$C55*INDEX(Fondsen!$F$5:$Q$30,MATCH($B55,Fondsen!$A$5:$A$30,0),U$8-$E55+1)))</f>
        <v/>
      </c>
      <c r="V55" s="30" t="str">
        <f t="array" ref="V55">IF(OR($B55="",$C55="",$E55=""),"",IF(OR(V$8&lt;$E55,V$8-$E55&gt;=12),0,$C55*INDEX(Fondsen!$F$5:$Q$30,MATCH($B55,Fondsen!$A$5:$A$30,0),V$8-$E55+1)))</f>
        <v/>
      </c>
      <c r="W55" s="31" t="str">
        <f t="array" ref="W55">IF(OR($B55="",$C55="",$E55=""),"",IF(OR(W$8&lt;$E55,W$8-$E55&gt;=12),0,$C55*INDEX(Fondsen!$F$5:$Q$30,MATCH($B55,Fondsen!$A$5:$A$30,0),W$8-$E55+1)))</f>
        <v/>
      </c>
      <c r="X55" s="30" t="str">
        <f t="array" ref="X55">IF(OR($B55="",$C55="",$E55=""),"",IF(OR(X$8&lt;$E55,X$8-$E55&gt;=12),0,$C55*INDEX(Fondsen!$F$5:$Q$30,MATCH($B55,Fondsen!$A$5:$A$30,0),X$8-$E55+1)))</f>
        <v/>
      </c>
      <c r="Y55" s="31" t="str">
        <f t="array" ref="Y55">IF(OR($B55="",$C55="",$E55=""),"",IF(OR(Y$8&lt;$E55,Y$8-$E55&gt;=12),0,$C55*INDEX(Fondsen!$F$5:$Q$30,MATCH($B55,Fondsen!$A$5:$A$30,0),Y$8-$E55+1)))</f>
        <v/>
      </c>
      <c r="Z55" s="30" t="str">
        <f t="array" ref="Z55">IF(OR($B55="",$C55="",$E55=""),"",IF(OR(Z$8&lt;$E55,Z$8-$E55&gt;=12),0,$C55*INDEX(Fondsen!$F$5:$Q$30,MATCH($B55,Fondsen!$A$5:$A$30,0),Z$8-$E55+1)))</f>
        <v/>
      </c>
      <c r="AA55" s="31" t="str">
        <f t="array" ref="AA55">IF(OR($B55="",$C55="",$E55=""),"",IF(OR(AA$8&lt;$E55,AA$8-$E55&gt;=12),0,$C55*INDEX(Fondsen!$F$5:$Q$30,MATCH($B55,Fondsen!$A$5:$A$30,0),AA$8-$E55+1)))</f>
        <v/>
      </c>
      <c r="AB55" s="30" t="str">
        <f t="array" ref="AB55">IF(OR($B55="",$C55="",$E55=""),"",IF(OR(AB$8&lt;$E55,AB$8-$E55&gt;=12),0,$C55*INDEX(Fondsen!$F$5:$Q$30,MATCH($B55,Fondsen!$A$5:$A$30,0),AB$8-$E55+1)))</f>
        <v/>
      </c>
      <c r="AC55" s="31" t="str">
        <f t="array" ref="AC55">IF(OR($B55="",$C55="",$E55=""),"",IF(OR(AC$8&lt;$E55,AC$8-$E55&gt;=12),0,$C55*INDEX(Fondsen!$F$5:$Q$30,MATCH($B55,Fondsen!$A$5:$A$30,0),AC$8-$E55+1)))</f>
        <v/>
      </c>
      <c r="AD55" s="30" t="str">
        <f t="array" ref="AD55">IF(OR($B55="",$C55="",$E55=""),"",IF(OR(AD$8&lt;$E55,AD$8-$E55&gt;=12),0,$C55*INDEX(Fondsen!$F$5:$Q$30,MATCH($B55,Fondsen!$A$5:$A$30,0),AD$8-$E55+1)))</f>
        <v/>
      </c>
      <c r="AE55" s="31" t="str">
        <f t="array" ref="AE55">IF(OR($B55="",$C55="",$E55=""),"",IF(OR(AE$8&lt;$E55,AE$8-$E55&gt;=12),0,$C55*INDEX(Fondsen!$F$5:$Q$30,MATCH($B55,Fondsen!$A$5:$A$30,0),AE$8-$E55+1)))</f>
        <v/>
      </c>
      <c r="AF55" s="30" t="str">
        <f t="array" ref="AF55">IF(OR($B55="",$C55="",$E55=""),"",IF(OR(AF$8&lt;$E55,AF$8-$E55&gt;=12),0,$C55*INDEX(Fondsen!$F$5:$Q$30,MATCH($B55,Fondsen!$A$5:$A$30,0),AF$8-$E55+1)))</f>
        <v/>
      </c>
      <c r="AG55" s="31" t="str">
        <f t="array" ref="AG55">IF(OR($B55="",$C55="",$E55=""),"",IF(OR(AG$8&lt;$E55,AG$8-$E55&gt;=12),0,$C55*INDEX(Fondsen!$F$5:$Q$30,MATCH($B55,Fondsen!$A$5:$A$30,0),AG$8-$E55+1)))</f>
        <v/>
      </c>
      <c r="AH55" s="30" t="str">
        <f t="array" ref="AH55">IF(OR($B55="",$C55="",$E55=""),"",IF(OR(AH$8&lt;$E55,AH$8-$E55&gt;=12),0,$C55*INDEX(Fondsen!$F$5:$Q$30,MATCH($B55,Fondsen!$A$5:$A$30,0),AH$8-$E55+1)))</f>
        <v/>
      </c>
      <c r="AI55" s="31" t="str">
        <f t="array" ref="AI55">IF(OR($B55="",$C55="",$E55=""),"",IF(OR(AI$8&lt;$E55,AI$8-$E55&gt;=12),0,$C55*INDEX(Fondsen!$F$5:$Q$30,MATCH($B55,Fondsen!$A$5:$A$30,0),AI$8-$E55+1)))</f>
        <v/>
      </c>
      <c r="AJ55" s="30" t="str">
        <f t="array" ref="AJ55">IF(OR($B55="",$C55="",$E55=""),"",IF(OR(AJ$8&lt;$E55,AJ$8-$E55&gt;=12),0,$C55*INDEX(Fondsen!$F$5:$Q$30,MATCH($B55,Fondsen!$A$5:$A$30,0),AJ$8-$E55+1)))</f>
        <v/>
      </c>
      <c r="AK55" s="31" t="str">
        <f t="array" ref="AK55">IF(OR($B55="",$C55="",$E55=""),"",IF(OR(AK$8&lt;$E55,AK$8-$E55&gt;=12),0,$C55*INDEX(Fondsen!$F$5:$Q$30,MATCH($B55,Fondsen!$A$5:$A$30,0),AK$8-$E55+1)))</f>
        <v/>
      </c>
      <c r="AL55" s="30" t="str">
        <f t="array" ref="AL55">IF(OR($B55="",$C55="",$E55=""),"",IF(OR(AL$8&lt;$E55,AL$8-$E55&gt;=12),0,$C55*INDEX(Fondsen!$F$5:$Q$30,MATCH($B55,Fondsen!$A$5:$A$30,0),AL$8-$E55+1)))</f>
        <v/>
      </c>
      <c r="AM55" s="31" t="str">
        <f t="array" ref="AM55">IF(OR($B55="",$C55="",$E55=""),"",IF(OR(AM$8&lt;$E55,AM$8-$E55&gt;=12),0,$C55*INDEX(Fondsen!$F$5:$Q$30,MATCH($B55,Fondsen!$A$5:$A$30,0),AM$8-$E55+1)))</f>
        <v/>
      </c>
      <c r="AN55" s="30" t="str">
        <f t="array" ref="AN55">IF(OR($B55="",$C55="",$E55=""),"",IF(OR(AN$8&lt;$E55,AN$8-$E55&gt;=12),0,$C55*INDEX(Fondsen!$F$5:$Q$30,MATCH($B55,Fondsen!$A$5:$A$30,0),AN$8-$E55+1)))</f>
        <v/>
      </c>
      <c r="AO55" s="31" t="str">
        <f t="array" ref="AO55">IF(OR($B55="",$C55="",$E55=""),"",IF(OR(AO$8&lt;$E55,AO$8-$E55&gt;=12),0,$C55*INDEX(Fondsen!$F$5:$Q$30,MATCH($B55,Fondsen!$A$5:$A$30,0),AO$8-$E55+1)))</f>
        <v/>
      </c>
      <c r="AP55" s="30" t="str">
        <f t="array" ref="AP55">IF(OR($B55="",$C55="",$E55=""),"",IF(OR(AP$8&lt;$E55,AP$8-$E55&gt;=12),0,$C55*INDEX(Fondsen!$F$5:$Q$30,MATCH($B55,Fondsen!$A$5:$A$30,0),AP$8-$E55+1)))</f>
        <v/>
      </c>
      <c r="AQ55" s="31" t="str">
        <f t="array" ref="AQ55">IF(OR($B55="",$C55="",$E55=""),"",IF(OR(AQ$8&lt;$E55,AQ$8-$E55&gt;=12),0,$C55*INDEX(Fondsen!$F$5:$Q$30,MATCH($B55,Fondsen!$A$5:$A$30,0),AQ$8-$E55+1)))</f>
        <v/>
      </c>
      <c r="AR55" s="30" t="str">
        <f t="array" ref="AR55">IF(OR($B55="",$C55="",$E55=""),"",IF(OR(AR$8&lt;$E55,AR$8-$E55&gt;=12),0,$C55*INDEX(Fondsen!$F$5:$Q$30,MATCH($B55,Fondsen!$A$5:$A$30,0),AR$8-$E55+1)))</f>
        <v/>
      </c>
      <c r="AS55" s="31" t="str">
        <f t="array" ref="AS55">IF(OR($B55="",$C55="",$E55=""),"",IF(OR(AS$8&lt;$E55,AS$8-$E55&gt;=12),0,$C55*INDEX(Fondsen!$F$5:$Q$30,MATCH($B55,Fondsen!$A$5:$A$30,0),AS$8-$E55+1)))</f>
        <v/>
      </c>
      <c r="AT55" s="45"/>
    </row>
    <row r="56" ht="24.0" customHeight="1" outlineLevel="1">
      <c r="A56" s="33" t="str">
        <f>IF(B56="","",IFERROR(VLOOKUP(B56,Fondsen!$A$5:$B$30,2,FALSE()),""))</f>
        <v/>
      </c>
      <c r="B56" s="34"/>
      <c r="C56" s="35"/>
      <c r="D56" s="46" t="s">
        <v>11</v>
      </c>
      <c r="E56" s="37"/>
      <c r="F56" s="38" t="str">
        <f t="array" ref="F56">IF(OR($B56="",$C56="",$E56=""),"",IF(OR(F$8&lt;$E56,F$8-$E56&gt;=12),0,$C56*INDEX(Fondsen!$F$5:$Q$30,MATCH($B56,Fondsen!$A$5:$A$30,0),F$8-$E56+1)))</f>
        <v/>
      </c>
      <c r="G56" s="39" t="str">
        <f t="array" ref="G56">IF(OR($B56="",$C56="",$E56=""),"",IF(OR(G$8&lt;$E56,G$8-$E56&gt;=12),0,$C56*INDEX(Fondsen!$F$5:$Q$30,MATCH($B56,Fondsen!$A$5:$A$30,0),G$8-$E56+1)))</f>
        <v/>
      </c>
      <c r="H56" s="38" t="str">
        <f t="array" ref="H56">IF(OR($B56="",$C56="",$E56=""),"",IF(OR(H$8&lt;$E56,H$8-$E56&gt;=12),0,$C56*INDEX(Fondsen!$F$5:$Q$30,MATCH($B56,Fondsen!$A$5:$A$30,0),H$8-$E56+1)))</f>
        <v/>
      </c>
      <c r="I56" s="39" t="str">
        <f t="array" ref="I56">IF(OR($B56="",$C56="",$E56=""),"",IF(OR(I$8&lt;$E56,I$8-$E56&gt;=12),0,$C56*INDEX(Fondsen!$F$5:$Q$30,MATCH($B56,Fondsen!$A$5:$A$30,0),I$8-$E56+1)))</f>
        <v/>
      </c>
      <c r="J56" s="38" t="str">
        <f t="array" ref="J56">IF(OR($B56="",$C56="",$E56=""),"",IF(OR(J$8&lt;$E56,J$8-$E56&gt;=12),0,$C56*INDEX(Fondsen!$F$5:$Q$30,MATCH($B56,Fondsen!$A$5:$A$30,0),J$8-$E56+1)))</f>
        <v/>
      </c>
      <c r="K56" s="39" t="str">
        <f t="array" ref="K56">IF(OR($B56="",$C56="",$E56=""),"",IF(OR(K$8&lt;$E56,K$8-$E56&gt;=12),0,$C56*INDEX(Fondsen!$F$5:$Q$30,MATCH($B56,Fondsen!$A$5:$A$30,0),K$8-$E56+1)))</f>
        <v/>
      </c>
      <c r="L56" s="38" t="str">
        <f t="array" ref="L56">IF(OR($B56="",$C56="",$E56=""),"",IF(OR(L$8&lt;$E56,L$8-$E56&gt;=12),0,$C56*INDEX(Fondsen!$F$5:$Q$30,MATCH($B56,Fondsen!$A$5:$A$30,0),L$8-$E56+1)))</f>
        <v/>
      </c>
      <c r="M56" s="39" t="str">
        <f t="array" ref="M56">IF(OR($B56="",$C56="",$E56=""),"",IF(OR(M$8&lt;$E56,M$8-$E56&gt;=12),0,$C56*INDEX(Fondsen!$F$5:$Q$30,MATCH($B56,Fondsen!$A$5:$A$30,0),M$8-$E56+1)))</f>
        <v/>
      </c>
      <c r="N56" s="38" t="str">
        <f t="array" ref="N56">IF(OR($B56="",$C56="",$E56=""),"",IF(OR(N$8&lt;$E56,N$8-$E56&gt;=12),0,$C56*INDEX(Fondsen!$F$5:$Q$30,MATCH($B56,Fondsen!$A$5:$A$30,0),N$8-$E56+1)))</f>
        <v/>
      </c>
      <c r="O56" s="39" t="str">
        <f t="array" ref="O56">IF(OR($B56="",$C56="",$E56=""),"",IF(OR(O$8&lt;$E56,O$8-$E56&gt;=12),0,$C56*INDEX(Fondsen!$F$5:$Q$30,MATCH($B56,Fondsen!$A$5:$A$30,0),O$8-$E56+1)))</f>
        <v/>
      </c>
      <c r="P56" s="38" t="str">
        <f t="array" ref="P56">IF(OR($B56="",$C56="",$E56=""),"",IF(OR(P$8&lt;$E56,P$8-$E56&gt;=12),0,$C56*INDEX(Fondsen!$F$5:$Q$30,MATCH($B56,Fondsen!$A$5:$A$30,0),P$8-$E56+1)))</f>
        <v/>
      </c>
      <c r="Q56" s="39" t="str">
        <f t="array" ref="Q56">IF(OR($B56="",$C56="",$E56=""),"",IF(OR(Q$8&lt;$E56,Q$8-$E56&gt;=12),0,$C56*INDEX(Fondsen!$F$5:$Q$30,MATCH($B56,Fondsen!$A$5:$A$30,0),Q$8-$E56+1)))</f>
        <v/>
      </c>
      <c r="R56" s="38" t="str">
        <f t="array" ref="R56">IF(OR($B56="",$C56="",$E56=""),"",IF(OR(R$8&lt;$E56,R$8-$E56&gt;=12),0,$C56*INDEX(Fondsen!$F$5:$Q$30,MATCH($B56,Fondsen!$A$5:$A$30,0),R$8-$E56+1)))</f>
        <v/>
      </c>
      <c r="S56" s="39" t="str">
        <f t="array" ref="S56">IF(OR($B56="",$C56="",$E56=""),"",IF(OR(S$8&lt;$E56,S$8-$E56&gt;=12),0,$C56*INDEX(Fondsen!$F$5:$Q$30,MATCH($B56,Fondsen!$A$5:$A$30,0),S$8-$E56+1)))</f>
        <v/>
      </c>
      <c r="T56" s="38" t="str">
        <f t="array" ref="T56">IF(OR($B56="",$C56="",$E56=""),"",IF(OR(T$8&lt;$E56,T$8-$E56&gt;=12),0,$C56*INDEX(Fondsen!$F$5:$Q$30,MATCH($B56,Fondsen!$A$5:$A$30,0),T$8-$E56+1)))</f>
        <v/>
      </c>
      <c r="U56" s="39" t="str">
        <f t="array" ref="U56">IF(OR($B56="",$C56="",$E56=""),"",IF(OR(U$8&lt;$E56,U$8-$E56&gt;=12),0,$C56*INDEX(Fondsen!$F$5:$Q$30,MATCH($B56,Fondsen!$A$5:$A$30,0),U$8-$E56+1)))</f>
        <v/>
      </c>
      <c r="V56" s="38" t="str">
        <f t="array" ref="V56">IF(OR($B56="",$C56="",$E56=""),"",IF(OR(V$8&lt;$E56,V$8-$E56&gt;=12),0,$C56*INDEX(Fondsen!$F$5:$Q$30,MATCH($B56,Fondsen!$A$5:$A$30,0),V$8-$E56+1)))</f>
        <v/>
      </c>
      <c r="W56" s="39" t="str">
        <f t="array" ref="W56">IF(OR($B56="",$C56="",$E56=""),"",IF(OR(W$8&lt;$E56,W$8-$E56&gt;=12),0,$C56*INDEX(Fondsen!$F$5:$Q$30,MATCH($B56,Fondsen!$A$5:$A$30,0),W$8-$E56+1)))</f>
        <v/>
      </c>
      <c r="X56" s="38" t="str">
        <f t="array" ref="X56">IF(OR($B56="",$C56="",$E56=""),"",IF(OR(X$8&lt;$E56,X$8-$E56&gt;=12),0,$C56*INDEX(Fondsen!$F$5:$Q$30,MATCH($B56,Fondsen!$A$5:$A$30,0),X$8-$E56+1)))</f>
        <v/>
      </c>
      <c r="Y56" s="39" t="str">
        <f t="array" ref="Y56">IF(OR($B56="",$C56="",$E56=""),"",IF(OR(Y$8&lt;$E56,Y$8-$E56&gt;=12),0,$C56*INDEX(Fondsen!$F$5:$Q$30,MATCH($B56,Fondsen!$A$5:$A$30,0),Y$8-$E56+1)))</f>
        <v/>
      </c>
      <c r="Z56" s="38" t="str">
        <f t="array" ref="Z56">IF(OR($B56="",$C56="",$E56=""),"",IF(OR(Z$8&lt;$E56,Z$8-$E56&gt;=12),0,$C56*INDEX(Fondsen!$F$5:$Q$30,MATCH($B56,Fondsen!$A$5:$A$30,0),Z$8-$E56+1)))</f>
        <v/>
      </c>
      <c r="AA56" s="39" t="str">
        <f t="array" ref="AA56">IF(OR($B56="",$C56="",$E56=""),"",IF(OR(AA$8&lt;$E56,AA$8-$E56&gt;=12),0,$C56*INDEX(Fondsen!$F$5:$Q$30,MATCH($B56,Fondsen!$A$5:$A$30,0),AA$8-$E56+1)))</f>
        <v/>
      </c>
      <c r="AB56" s="38" t="str">
        <f t="array" ref="AB56">IF(OR($B56="",$C56="",$E56=""),"",IF(OR(AB$8&lt;$E56,AB$8-$E56&gt;=12),0,$C56*INDEX(Fondsen!$F$5:$Q$30,MATCH($B56,Fondsen!$A$5:$A$30,0),AB$8-$E56+1)))</f>
        <v/>
      </c>
      <c r="AC56" s="39" t="str">
        <f t="array" ref="AC56">IF(OR($B56="",$C56="",$E56=""),"",IF(OR(AC$8&lt;$E56,AC$8-$E56&gt;=12),0,$C56*INDEX(Fondsen!$F$5:$Q$30,MATCH($B56,Fondsen!$A$5:$A$30,0),AC$8-$E56+1)))</f>
        <v/>
      </c>
      <c r="AD56" s="38" t="str">
        <f t="array" ref="AD56">IF(OR($B56="",$C56="",$E56=""),"",IF(OR(AD$8&lt;$E56,AD$8-$E56&gt;=12),0,$C56*INDEX(Fondsen!$F$5:$Q$30,MATCH($B56,Fondsen!$A$5:$A$30,0),AD$8-$E56+1)))</f>
        <v/>
      </c>
      <c r="AE56" s="39" t="str">
        <f t="array" ref="AE56">IF(OR($B56="",$C56="",$E56=""),"",IF(OR(AE$8&lt;$E56,AE$8-$E56&gt;=12),0,$C56*INDEX(Fondsen!$F$5:$Q$30,MATCH($B56,Fondsen!$A$5:$A$30,0),AE$8-$E56+1)))</f>
        <v/>
      </c>
      <c r="AF56" s="38" t="str">
        <f t="array" ref="AF56">IF(OR($B56="",$C56="",$E56=""),"",IF(OR(AF$8&lt;$E56,AF$8-$E56&gt;=12),0,$C56*INDEX(Fondsen!$F$5:$Q$30,MATCH($B56,Fondsen!$A$5:$A$30,0),AF$8-$E56+1)))</f>
        <v/>
      </c>
      <c r="AG56" s="39" t="str">
        <f t="array" ref="AG56">IF(OR($B56="",$C56="",$E56=""),"",IF(OR(AG$8&lt;$E56,AG$8-$E56&gt;=12),0,$C56*INDEX(Fondsen!$F$5:$Q$30,MATCH($B56,Fondsen!$A$5:$A$30,0),AG$8-$E56+1)))</f>
        <v/>
      </c>
      <c r="AH56" s="38" t="str">
        <f t="array" ref="AH56">IF(OR($B56="",$C56="",$E56=""),"",IF(OR(AH$8&lt;$E56,AH$8-$E56&gt;=12),0,$C56*INDEX(Fondsen!$F$5:$Q$30,MATCH($B56,Fondsen!$A$5:$A$30,0),AH$8-$E56+1)))</f>
        <v/>
      </c>
      <c r="AI56" s="39" t="str">
        <f t="array" ref="AI56">IF(OR($B56="",$C56="",$E56=""),"",IF(OR(AI$8&lt;$E56,AI$8-$E56&gt;=12),0,$C56*INDEX(Fondsen!$F$5:$Q$30,MATCH($B56,Fondsen!$A$5:$A$30,0),AI$8-$E56+1)))</f>
        <v/>
      </c>
      <c r="AJ56" s="38" t="str">
        <f t="array" ref="AJ56">IF(OR($B56="",$C56="",$E56=""),"",IF(OR(AJ$8&lt;$E56,AJ$8-$E56&gt;=12),0,$C56*INDEX(Fondsen!$F$5:$Q$30,MATCH($B56,Fondsen!$A$5:$A$30,0),AJ$8-$E56+1)))</f>
        <v/>
      </c>
      <c r="AK56" s="39" t="str">
        <f t="array" ref="AK56">IF(OR($B56="",$C56="",$E56=""),"",IF(OR(AK$8&lt;$E56,AK$8-$E56&gt;=12),0,$C56*INDEX(Fondsen!$F$5:$Q$30,MATCH($B56,Fondsen!$A$5:$A$30,0),AK$8-$E56+1)))</f>
        <v/>
      </c>
      <c r="AL56" s="38" t="str">
        <f t="array" ref="AL56">IF(OR($B56="",$C56="",$E56=""),"",IF(OR(AL$8&lt;$E56,AL$8-$E56&gt;=12),0,$C56*INDEX(Fondsen!$F$5:$Q$30,MATCH($B56,Fondsen!$A$5:$A$30,0),AL$8-$E56+1)))</f>
        <v/>
      </c>
      <c r="AM56" s="39" t="str">
        <f t="array" ref="AM56">IF(OR($B56="",$C56="",$E56=""),"",IF(OR(AM$8&lt;$E56,AM$8-$E56&gt;=12),0,$C56*INDEX(Fondsen!$F$5:$Q$30,MATCH($B56,Fondsen!$A$5:$A$30,0),AM$8-$E56+1)))</f>
        <v/>
      </c>
      <c r="AN56" s="38" t="str">
        <f t="array" ref="AN56">IF(OR($B56="",$C56="",$E56=""),"",IF(OR(AN$8&lt;$E56,AN$8-$E56&gt;=12),0,$C56*INDEX(Fondsen!$F$5:$Q$30,MATCH($B56,Fondsen!$A$5:$A$30,0),AN$8-$E56+1)))</f>
        <v/>
      </c>
      <c r="AO56" s="39" t="str">
        <f t="array" ref="AO56">IF(OR($B56="",$C56="",$E56=""),"",IF(OR(AO$8&lt;$E56,AO$8-$E56&gt;=12),0,$C56*INDEX(Fondsen!$F$5:$Q$30,MATCH($B56,Fondsen!$A$5:$A$30,0),AO$8-$E56+1)))</f>
        <v/>
      </c>
      <c r="AP56" s="38" t="str">
        <f t="array" ref="AP56">IF(OR($B56="",$C56="",$E56=""),"",IF(OR(AP$8&lt;$E56,AP$8-$E56&gt;=12),0,$C56*INDEX(Fondsen!$F$5:$Q$30,MATCH($B56,Fondsen!$A$5:$A$30,0),AP$8-$E56+1)))</f>
        <v/>
      </c>
      <c r="AQ56" s="39" t="str">
        <f t="array" ref="AQ56">IF(OR($B56="",$C56="",$E56=""),"",IF(OR(AQ$8&lt;$E56,AQ$8-$E56&gt;=12),0,$C56*INDEX(Fondsen!$F$5:$Q$30,MATCH($B56,Fondsen!$A$5:$A$30,0),AQ$8-$E56+1)))</f>
        <v/>
      </c>
      <c r="AR56" s="38" t="str">
        <f t="array" ref="AR56">IF(OR($B56="",$C56="",$E56=""),"",IF(OR(AR$8&lt;$E56,AR$8-$E56&gt;=12),0,$C56*INDEX(Fondsen!$F$5:$Q$30,MATCH($B56,Fondsen!$A$5:$A$30,0),AR$8-$E56+1)))</f>
        <v/>
      </c>
      <c r="AS56" s="39" t="str">
        <f t="array" ref="AS56">IF(OR($B56="",$C56="",$E56=""),"",IF(OR(AS$8&lt;$E56,AS$8-$E56&gt;=12),0,$C56*INDEX(Fondsen!$F$5:$Q$30,MATCH($B56,Fondsen!$A$5:$A$30,0),AS$8-$E56+1)))</f>
        <v/>
      </c>
      <c r="AT56" s="45"/>
    </row>
    <row r="57" ht="24.0" customHeight="1" outlineLevel="1">
      <c r="A57" s="47" t="str">
        <f>IF(B57="","",IFERROR(VLOOKUP(B57,Fondsen!$A$5:$B$30,2,FALSE()),""))</f>
        <v/>
      </c>
      <c r="B57" s="26"/>
      <c r="C57" s="27"/>
      <c r="D57" s="44" t="s">
        <v>11</v>
      </c>
      <c r="E57" s="29"/>
      <c r="F57" s="30" t="str">
        <f t="array" ref="F57">IF(OR($B57="",$C57="",$E57=""),"",IF(OR(F$8&lt;$E57,F$8-$E57&gt;=12),0,$C57*INDEX(Fondsen!$F$5:$Q$30,MATCH($B57,Fondsen!$A$5:$A$30,0),F$8-$E57+1)))</f>
        <v/>
      </c>
      <c r="G57" s="31" t="str">
        <f t="array" ref="G57">IF(OR($B57="",$C57="",$E57=""),"",IF(OR(G$8&lt;$E57,G$8-$E57&gt;=12),0,$C57*INDEX(Fondsen!$F$5:$Q$30,MATCH($B57,Fondsen!$A$5:$A$30,0),G$8-$E57+1)))</f>
        <v/>
      </c>
      <c r="H57" s="30" t="str">
        <f t="array" ref="H57">IF(OR($B57="",$C57="",$E57=""),"",IF(OR(H$8&lt;$E57,H$8-$E57&gt;=12),0,$C57*INDEX(Fondsen!$F$5:$Q$30,MATCH($B57,Fondsen!$A$5:$A$30,0),H$8-$E57+1)))</f>
        <v/>
      </c>
      <c r="I57" s="31" t="str">
        <f t="array" ref="I57">IF(OR($B57="",$C57="",$E57=""),"",IF(OR(I$8&lt;$E57,I$8-$E57&gt;=12),0,$C57*INDEX(Fondsen!$F$5:$Q$30,MATCH($B57,Fondsen!$A$5:$A$30,0),I$8-$E57+1)))</f>
        <v/>
      </c>
      <c r="J57" s="30" t="str">
        <f t="array" ref="J57">IF(OR($B57="",$C57="",$E57=""),"",IF(OR(J$8&lt;$E57,J$8-$E57&gt;=12),0,$C57*INDEX(Fondsen!$F$5:$Q$30,MATCH($B57,Fondsen!$A$5:$A$30,0),J$8-$E57+1)))</f>
        <v/>
      </c>
      <c r="K57" s="31" t="str">
        <f t="array" ref="K57">IF(OR($B57="",$C57="",$E57=""),"",IF(OR(K$8&lt;$E57,K$8-$E57&gt;=12),0,$C57*INDEX(Fondsen!$F$5:$Q$30,MATCH($B57,Fondsen!$A$5:$A$30,0),K$8-$E57+1)))</f>
        <v/>
      </c>
      <c r="L57" s="30" t="str">
        <f t="array" ref="L57">IF(OR($B57="",$C57="",$E57=""),"",IF(OR(L$8&lt;$E57,L$8-$E57&gt;=12),0,$C57*INDEX(Fondsen!$F$5:$Q$30,MATCH($B57,Fondsen!$A$5:$A$30,0),L$8-$E57+1)))</f>
        <v/>
      </c>
      <c r="M57" s="31" t="str">
        <f t="array" ref="M57">IF(OR($B57="",$C57="",$E57=""),"",IF(OR(M$8&lt;$E57,M$8-$E57&gt;=12),0,$C57*INDEX(Fondsen!$F$5:$Q$30,MATCH($B57,Fondsen!$A$5:$A$30,0),M$8-$E57+1)))</f>
        <v/>
      </c>
      <c r="N57" s="30" t="str">
        <f t="array" ref="N57">IF(OR($B57="",$C57="",$E57=""),"",IF(OR(N$8&lt;$E57,N$8-$E57&gt;=12),0,$C57*INDEX(Fondsen!$F$5:$Q$30,MATCH($B57,Fondsen!$A$5:$A$30,0),N$8-$E57+1)))</f>
        <v/>
      </c>
      <c r="O57" s="31" t="str">
        <f t="array" ref="O57">IF(OR($B57="",$C57="",$E57=""),"",IF(OR(O$8&lt;$E57,O$8-$E57&gt;=12),0,$C57*INDEX(Fondsen!$F$5:$Q$30,MATCH($B57,Fondsen!$A$5:$A$30,0),O$8-$E57+1)))</f>
        <v/>
      </c>
      <c r="P57" s="30" t="str">
        <f t="array" ref="P57">IF(OR($B57="",$C57="",$E57=""),"",IF(OR(P$8&lt;$E57,P$8-$E57&gt;=12),0,$C57*INDEX(Fondsen!$F$5:$Q$30,MATCH($B57,Fondsen!$A$5:$A$30,0),P$8-$E57+1)))</f>
        <v/>
      </c>
      <c r="Q57" s="31" t="str">
        <f t="array" ref="Q57">IF(OR($B57="",$C57="",$E57=""),"",IF(OR(Q$8&lt;$E57,Q$8-$E57&gt;=12),0,$C57*INDEX(Fondsen!$F$5:$Q$30,MATCH($B57,Fondsen!$A$5:$A$30,0),Q$8-$E57+1)))</f>
        <v/>
      </c>
      <c r="R57" s="30" t="str">
        <f t="array" ref="R57">IF(OR($B57="",$C57="",$E57=""),"",IF(OR(R$8&lt;$E57,R$8-$E57&gt;=12),0,$C57*INDEX(Fondsen!$F$5:$Q$30,MATCH($B57,Fondsen!$A$5:$A$30,0),R$8-$E57+1)))</f>
        <v/>
      </c>
      <c r="S57" s="31" t="str">
        <f t="array" ref="S57">IF(OR($B57="",$C57="",$E57=""),"",IF(OR(S$8&lt;$E57,S$8-$E57&gt;=12),0,$C57*INDEX(Fondsen!$F$5:$Q$30,MATCH($B57,Fondsen!$A$5:$A$30,0),S$8-$E57+1)))</f>
        <v/>
      </c>
      <c r="T57" s="30" t="str">
        <f t="array" ref="T57">IF(OR($B57="",$C57="",$E57=""),"",IF(OR(T$8&lt;$E57,T$8-$E57&gt;=12),0,$C57*INDEX(Fondsen!$F$5:$Q$30,MATCH($B57,Fondsen!$A$5:$A$30,0),T$8-$E57+1)))</f>
        <v/>
      </c>
      <c r="U57" s="31" t="str">
        <f t="array" ref="U57">IF(OR($B57="",$C57="",$E57=""),"",IF(OR(U$8&lt;$E57,U$8-$E57&gt;=12),0,$C57*INDEX(Fondsen!$F$5:$Q$30,MATCH($B57,Fondsen!$A$5:$A$30,0),U$8-$E57+1)))</f>
        <v/>
      </c>
      <c r="V57" s="30" t="str">
        <f t="array" ref="V57">IF(OR($B57="",$C57="",$E57=""),"",IF(OR(V$8&lt;$E57,V$8-$E57&gt;=12),0,$C57*INDEX(Fondsen!$F$5:$Q$30,MATCH($B57,Fondsen!$A$5:$A$30,0),V$8-$E57+1)))</f>
        <v/>
      </c>
      <c r="W57" s="31" t="str">
        <f t="array" ref="W57">IF(OR($B57="",$C57="",$E57=""),"",IF(OR(W$8&lt;$E57,W$8-$E57&gt;=12),0,$C57*INDEX(Fondsen!$F$5:$Q$30,MATCH($B57,Fondsen!$A$5:$A$30,0),W$8-$E57+1)))</f>
        <v/>
      </c>
      <c r="X57" s="30" t="str">
        <f t="array" ref="X57">IF(OR($B57="",$C57="",$E57=""),"",IF(OR(X$8&lt;$E57,X$8-$E57&gt;=12),0,$C57*INDEX(Fondsen!$F$5:$Q$30,MATCH($B57,Fondsen!$A$5:$A$30,0),X$8-$E57+1)))</f>
        <v/>
      </c>
      <c r="Y57" s="31" t="str">
        <f t="array" ref="Y57">IF(OR($B57="",$C57="",$E57=""),"",IF(OR(Y$8&lt;$E57,Y$8-$E57&gt;=12),0,$C57*INDEX(Fondsen!$F$5:$Q$30,MATCH($B57,Fondsen!$A$5:$A$30,0),Y$8-$E57+1)))</f>
        <v/>
      </c>
      <c r="Z57" s="30" t="str">
        <f t="array" ref="Z57">IF(OR($B57="",$C57="",$E57=""),"",IF(OR(Z$8&lt;$E57,Z$8-$E57&gt;=12),0,$C57*INDEX(Fondsen!$F$5:$Q$30,MATCH($B57,Fondsen!$A$5:$A$30,0),Z$8-$E57+1)))</f>
        <v/>
      </c>
      <c r="AA57" s="31" t="str">
        <f t="array" ref="AA57">IF(OR($B57="",$C57="",$E57=""),"",IF(OR(AA$8&lt;$E57,AA$8-$E57&gt;=12),0,$C57*INDEX(Fondsen!$F$5:$Q$30,MATCH($B57,Fondsen!$A$5:$A$30,0),AA$8-$E57+1)))</f>
        <v/>
      </c>
      <c r="AB57" s="30" t="str">
        <f t="array" ref="AB57">IF(OR($B57="",$C57="",$E57=""),"",IF(OR(AB$8&lt;$E57,AB$8-$E57&gt;=12),0,$C57*INDEX(Fondsen!$F$5:$Q$30,MATCH($B57,Fondsen!$A$5:$A$30,0),AB$8-$E57+1)))</f>
        <v/>
      </c>
      <c r="AC57" s="31" t="str">
        <f t="array" ref="AC57">IF(OR($B57="",$C57="",$E57=""),"",IF(OR(AC$8&lt;$E57,AC$8-$E57&gt;=12),0,$C57*INDEX(Fondsen!$F$5:$Q$30,MATCH($B57,Fondsen!$A$5:$A$30,0),AC$8-$E57+1)))</f>
        <v/>
      </c>
      <c r="AD57" s="30" t="str">
        <f t="array" ref="AD57">IF(OR($B57="",$C57="",$E57=""),"",IF(OR(AD$8&lt;$E57,AD$8-$E57&gt;=12),0,$C57*INDEX(Fondsen!$F$5:$Q$30,MATCH($B57,Fondsen!$A$5:$A$30,0),AD$8-$E57+1)))</f>
        <v/>
      </c>
      <c r="AE57" s="31" t="str">
        <f t="array" ref="AE57">IF(OR($B57="",$C57="",$E57=""),"",IF(OR(AE$8&lt;$E57,AE$8-$E57&gt;=12),0,$C57*INDEX(Fondsen!$F$5:$Q$30,MATCH($B57,Fondsen!$A$5:$A$30,0),AE$8-$E57+1)))</f>
        <v/>
      </c>
      <c r="AF57" s="30" t="str">
        <f t="array" ref="AF57">IF(OR($B57="",$C57="",$E57=""),"",IF(OR(AF$8&lt;$E57,AF$8-$E57&gt;=12),0,$C57*INDEX(Fondsen!$F$5:$Q$30,MATCH($B57,Fondsen!$A$5:$A$30,0),AF$8-$E57+1)))</f>
        <v/>
      </c>
      <c r="AG57" s="31" t="str">
        <f t="array" ref="AG57">IF(OR($B57="",$C57="",$E57=""),"",IF(OR(AG$8&lt;$E57,AG$8-$E57&gt;=12),0,$C57*INDEX(Fondsen!$F$5:$Q$30,MATCH($B57,Fondsen!$A$5:$A$30,0),AG$8-$E57+1)))</f>
        <v/>
      </c>
      <c r="AH57" s="30" t="str">
        <f t="array" ref="AH57">IF(OR($B57="",$C57="",$E57=""),"",IF(OR(AH$8&lt;$E57,AH$8-$E57&gt;=12),0,$C57*INDEX(Fondsen!$F$5:$Q$30,MATCH($B57,Fondsen!$A$5:$A$30,0),AH$8-$E57+1)))</f>
        <v/>
      </c>
      <c r="AI57" s="31" t="str">
        <f t="array" ref="AI57">IF(OR($B57="",$C57="",$E57=""),"",IF(OR(AI$8&lt;$E57,AI$8-$E57&gt;=12),0,$C57*INDEX(Fondsen!$F$5:$Q$30,MATCH($B57,Fondsen!$A$5:$A$30,0),AI$8-$E57+1)))</f>
        <v/>
      </c>
      <c r="AJ57" s="30" t="str">
        <f t="array" ref="AJ57">IF(OR($B57="",$C57="",$E57=""),"",IF(OR(AJ$8&lt;$E57,AJ$8-$E57&gt;=12),0,$C57*INDEX(Fondsen!$F$5:$Q$30,MATCH($B57,Fondsen!$A$5:$A$30,0),AJ$8-$E57+1)))</f>
        <v/>
      </c>
      <c r="AK57" s="31" t="str">
        <f t="array" ref="AK57">IF(OR($B57="",$C57="",$E57=""),"",IF(OR(AK$8&lt;$E57,AK$8-$E57&gt;=12),0,$C57*INDEX(Fondsen!$F$5:$Q$30,MATCH($B57,Fondsen!$A$5:$A$30,0),AK$8-$E57+1)))</f>
        <v/>
      </c>
      <c r="AL57" s="30" t="str">
        <f t="array" ref="AL57">IF(OR($B57="",$C57="",$E57=""),"",IF(OR(AL$8&lt;$E57,AL$8-$E57&gt;=12),0,$C57*INDEX(Fondsen!$F$5:$Q$30,MATCH($B57,Fondsen!$A$5:$A$30,0),AL$8-$E57+1)))</f>
        <v/>
      </c>
      <c r="AM57" s="31" t="str">
        <f t="array" ref="AM57">IF(OR($B57="",$C57="",$E57=""),"",IF(OR(AM$8&lt;$E57,AM$8-$E57&gt;=12),0,$C57*INDEX(Fondsen!$F$5:$Q$30,MATCH($B57,Fondsen!$A$5:$A$30,0),AM$8-$E57+1)))</f>
        <v/>
      </c>
      <c r="AN57" s="30" t="str">
        <f t="array" ref="AN57">IF(OR($B57="",$C57="",$E57=""),"",IF(OR(AN$8&lt;$E57,AN$8-$E57&gt;=12),0,$C57*INDEX(Fondsen!$F$5:$Q$30,MATCH($B57,Fondsen!$A$5:$A$30,0),AN$8-$E57+1)))</f>
        <v/>
      </c>
      <c r="AO57" s="31" t="str">
        <f t="array" ref="AO57">IF(OR($B57="",$C57="",$E57=""),"",IF(OR(AO$8&lt;$E57,AO$8-$E57&gt;=12),0,$C57*INDEX(Fondsen!$F$5:$Q$30,MATCH($B57,Fondsen!$A$5:$A$30,0),AO$8-$E57+1)))</f>
        <v/>
      </c>
      <c r="AP57" s="30" t="str">
        <f t="array" ref="AP57">IF(OR($B57="",$C57="",$E57=""),"",IF(OR(AP$8&lt;$E57,AP$8-$E57&gt;=12),0,$C57*INDEX(Fondsen!$F$5:$Q$30,MATCH($B57,Fondsen!$A$5:$A$30,0),AP$8-$E57+1)))</f>
        <v/>
      </c>
      <c r="AQ57" s="31" t="str">
        <f t="array" ref="AQ57">IF(OR($B57="",$C57="",$E57=""),"",IF(OR(AQ$8&lt;$E57,AQ$8-$E57&gt;=12),0,$C57*INDEX(Fondsen!$F$5:$Q$30,MATCH($B57,Fondsen!$A$5:$A$30,0),AQ$8-$E57+1)))</f>
        <v/>
      </c>
      <c r="AR57" s="30" t="str">
        <f t="array" ref="AR57">IF(OR($B57="",$C57="",$E57=""),"",IF(OR(AR$8&lt;$E57,AR$8-$E57&gt;=12),0,$C57*INDEX(Fondsen!$F$5:$Q$30,MATCH($B57,Fondsen!$A$5:$A$30,0),AR$8-$E57+1)))</f>
        <v/>
      </c>
      <c r="AS57" s="31" t="str">
        <f t="array" ref="AS57">IF(OR($B57="",$C57="",$E57=""),"",IF(OR(AS$8&lt;$E57,AS$8-$E57&gt;=12),0,$C57*INDEX(Fondsen!$F$5:$Q$30,MATCH($B57,Fondsen!$A$5:$A$30,0),AS$8-$E57+1)))</f>
        <v/>
      </c>
      <c r="AT57" s="45"/>
    </row>
    <row r="58" ht="24.0" customHeight="1" outlineLevel="1">
      <c r="A58" s="33" t="str">
        <f>IF(B58="","",IFERROR(VLOOKUP(B58,Fondsen!$A$5:$B$30,2,FALSE()),""))</f>
        <v/>
      </c>
      <c r="B58" s="34"/>
      <c r="C58" s="35"/>
      <c r="D58" s="46" t="s">
        <v>11</v>
      </c>
      <c r="E58" s="37"/>
      <c r="F58" s="38" t="str">
        <f t="array" ref="F58">IF(OR($B58="",$C58="",$E58=""),"",IF(OR(F$8&lt;$E58,F$8-$E58&gt;=12),0,$C58*INDEX(Fondsen!$F$5:$Q$30,MATCH($B58,Fondsen!$A$5:$A$30,0),F$8-$E58+1)))</f>
        <v/>
      </c>
      <c r="G58" s="39" t="str">
        <f t="array" ref="G58">IF(OR($B58="",$C58="",$E58=""),"",IF(OR(G$8&lt;$E58,G$8-$E58&gt;=12),0,$C58*INDEX(Fondsen!$F$5:$Q$30,MATCH($B58,Fondsen!$A$5:$A$30,0),G$8-$E58+1)))</f>
        <v/>
      </c>
      <c r="H58" s="38" t="str">
        <f t="array" ref="H58">IF(OR($B58="",$C58="",$E58=""),"",IF(OR(H$8&lt;$E58,H$8-$E58&gt;=12),0,$C58*INDEX(Fondsen!$F$5:$Q$30,MATCH($B58,Fondsen!$A$5:$A$30,0),H$8-$E58+1)))</f>
        <v/>
      </c>
      <c r="I58" s="39" t="str">
        <f t="array" ref="I58">IF(OR($B58="",$C58="",$E58=""),"",IF(OR(I$8&lt;$E58,I$8-$E58&gt;=12),0,$C58*INDEX(Fondsen!$F$5:$Q$30,MATCH($B58,Fondsen!$A$5:$A$30,0),I$8-$E58+1)))</f>
        <v/>
      </c>
      <c r="J58" s="38" t="str">
        <f t="array" ref="J58">IF(OR($B58="",$C58="",$E58=""),"",IF(OR(J$8&lt;$E58,J$8-$E58&gt;=12),0,$C58*INDEX(Fondsen!$F$5:$Q$30,MATCH($B58,Fondsen!$A$5:$A$30,0),J$8-$E58+1)))</f>
        <v/>
      </c>
      <c r="K58" s="39" t="str">
        <f t="array" ref="K58">IF(OR($B58="",$C58="",$E58=""),"",IF(OR(K$8&lt;$E58,K$8-$E58&gt;=12),0,$C58*INDEX(Fondsen!$F$5:$Q$30,MATCH($B58,Fondsen!$A$5:$A$30,0),K$8-$E58+1)))</f>
        <v/>
      </c>
      <c r="L58" s="38" t="str">
        <f t="array" ref="L58">IF(OR($B58="",$C58="",$E58=""),"",IF(OR(L$8&lt;$E58,L$8-$E58&gt;=12),0,$C58*INDEX(Fondsen!$F$5:$Q$30,MATCH($B58,Fondsen!$A$5:$A$30,0),L$8-$E58+1)))</f>
        <v/>
      </c>
      <c r="M58" s="39" t="str">
        <f t="array" ref="M58">IF(OR($B58="",$C58="",$E58=""),"",IF(OR(M$8&lt;$E58,M$8-$E58&gt;=12),0,$C58*INDEX(Fondsen!$F$5:$Q$30,MATCH($B58,Fondsen!$A$5:$A$30,0),M$8-$E58+1)))</f>
        <v/>
      </c>
      <c r="N58" s="38" t="str">
        <f t="array" ref="N58">IF(OR($B58="",$C58="",$E58=""),"",IF(OR(N$8&lt;$E58,N$8-$E58&gt;=12),0,$C58*INDEX(Fondsen!$F$5:$Q$30,MATCH($B58,Fondsen!$A$5:$A$30,0),N$8-$E58+1)))</f>
        <v/>
      </c>
      <c r="O58" s="39" t="str">
        <f t="array" ref="O58">IF(OR($B58="",$C58="",$E58=""),"",IF(OR(O$8&lt;$E58,O$8-$E58&gt;=12),0,$C58*INDEX(Fondsen!$F$5:$Q$30,MATCH($B58,Fondsen!$A$5:$A$30,0),O$8-$E58+1)))</f>
        <v/>
      </c>
      <c r="P58" s="38" t="str">
        <f t="array" ref="P58">IF(OR($B58="",$C58="",$E58=""),"",IF(OR(P$8&lt;$E58,P$8-$E58&gt;=12),0,$C58*INDEX(Fondsen!$F$5:$Q$30,MATCH($B58,Fondsen!$A$5:$A$30,0),P$8-$E58+1)))</f>
        <v/>
      </c>
      <c r="Q58" s="39" t="str">
        <f t="array" ref="Q58">IF(OR($B58="",$C58="",$E58=""),"",IF(OR(Q$8&lt;$E58,Q$8-$E58&gt;=12),0,$C58*INDEX(Fondsen!$F$5:$Q$30,MATCH($B58,Fondsen!$A$5:$A$30,0),Q$8-$E58+1)))</f>
        <v/>
      </c>
      <c r="R58" s="38" t="str">
        <f t="array" ref="R58">IF(OR($B58="",$C58="",$E58=""),"",IF(OR(R$8&lt;$E58,R$8-$E58&gt;=12),0,$C58*INDEX(Fondsen!$F$5:$Q$30,MATCH($B58,Fondsen!$A$5:$A$30,0),R$8-$E58+1)))</f>
        <v/>
      </c>
      <c r="S58" s="39" t="str">
        <f t="array" ref="S58">IF(OR($B58="",$C58="",$E58=""),"",IF(OR(S$8&lt;$E58,S$8-$E58&gt;=12),0,$C58*INDEX(Fondsen!$F$5:$Q$30,MATCH($B58,Fondsen!$A$5:$A$30,0),S$8-$E58+1)))</f>
        <v/>
      </c>
      <c r="T58" s="38" t="str">
        <f t="array" ref="T58">IF(OR($B58="",$C58="",$E58=""),"",IF(OR(T$8&lt;$E58,T$8-$E58&gt;=12),0,$C58*INDEX(Fondsen!$F$5:$Q$30,MATCH($B58,Fondsen!$A$5:$A$30,0),T$8-$E58+1)))</f>
        <v/>
      </c>
      <c r="U58" s="39" t="str">
        <f t="array" ref="U58">IF(OR($B58="",$C58="",$E58=""),"",IF(OR(U$8&lt;$E58,U$8-$E58&gt;=12),0,$C58*INDEX(Fondsen!$F$5:$Q$30,MATCH($B58,Fondsen!$A$5:$A$30,0),U$8-$E58+1)))</f>
        <v/>
      </c>
      <c r="V58" s="38" t="str">
        <f t="array" ref="V58">IF(OR($B58="",$C58="",$E58=""),"",IF(OR(V$8&lt;$E58,V$8-$E58&gt;=12),0,$C58*INDEX(Fondsen!$F$5:$Q$30,MATCH($B58,Fondsen!$A$5:$A$30,0),V$8-$E58+1)))</f>
        <v/>
      </c>
      <c r="W58" s="39" t="str">
        <f t="array" ref="W58">IF(OR($B58="",$C58="",$E58=""),"",IF(OR(W$8&lt;$E58,W$8-$E58&gt;=12),0,$C58*INDEX(Fondsen!$F$5:$Q$30,MATCH($B58,Fondsen!$A$5:$A$30,0),W$8-$E58+1)))</f>
        <v/>
      </c>
      <c r="X58" s="38" t="str">
        <f t="array" ref="X58">IF(OR($B58="",$C58="",$E58=""),"",IF(OR(X$8&lt;$E58,X$8-$E58&gt;=12),0,$C58*INDEX(Fondsen!$F$5:$Q$30,MATCH($B58,Fondsen!$A$5:$A$30,0),X$8-$E58+1)))</f>
        <v/>
      </c>
      <c r="Y58" s="39" t="str">
        <f t="array" ref="Y58">IF(OR($B58="",$C58="",$E58=""),"",IF(OR(Y$8&lt;$E58,Y$8-$E58&gt;=12),0,$C58*INDEX(Fondsen!$F$5:$Q$30,MATCH($B58,Fondsen!$A$5:$A$30,0),Y$8-$E58+1)))</f>
        <v/>
      </c>
      <c r="Z58" s="38" t="str">
        <f t="array" ref="Z58">IF(OR($B58="",$C58="",$E58=""),"",IF(OR(Z$8&lt;$E58,Z$8-$E58&gt;=12),0,$C58*INDEX(Fondsen!$F$5:$Q$30,MATCH($B58,Fondsen!$A$5:$A$30,0),Z$8-$E58+1)))</f>
        <v/>
      </c>
      <c r="AA58" s="39" t="str">
        <f t="array" ref="AA58">IF(OR($B58="",$C58="",$E58=""),"",IF(OR(AA$8&lt;$E58,AA$8-$E58&gt;=12),0,$C58*INDEX(Fondsen!$F$5:$Q$30,MATCH($B58,Fondsen!$A$5:$A$30,0),AA$8-$E58+1)))</f>
        <v/>
      </c>
      <c r="AB58" s="38" t="str">
        <f t="array" ref="AB58">IF(OR($B58="",$C58="",$E58=""),"",IF(OR(AB$8&lt;$E58,AB$8-$E58&gt;=12),0,$C58*INDEX(Fondsen!$F$5:$Q$30,MATCH($B58,Fondsen!$A$5:$A$30,0),AB$8-$E58+1)))</f>
        <v/>
      </c>
      <c r="AC58" s="39" t="str">
        <f t="array" ref="AC58">IF(OR($B58="",$C58="",$E58=""),"",IF(OR(AC$8&lt;$E58,AC$8-$E58&gt;=12),0,$C58*INDEX(Fondsen!$F$5:$Q$30,MATCH($B58,Fondsen!$A$5:$A$30,0),AC$8-$E58+1)))</f>
        <v/>
      </c>
      <c r="AD58" s="38" t="str">
        <f t="array" ref="AD58">IF(OR($B58="",$C58="",$E58=""),"",IF(OR(AD$8&lt;$E58,AD$8-$E58&gt;=12),0,$C58*INDEX(Fondsen!$F$5:$Q$30,MATCH($B58,Fondsen!$A$5:$A$30,0),AD$8-$E58+1)))</f>
        <v/>
      </c>
      <c r="AE58" s="39" t="str">
        <f t="array" ref="AE58">IF(OR($B58="",$C58="",$E58=""),"",IF(OR(AE$8&lt;$E58,AE$8-$E58&gt;=12),0,$C58*INDEX(Fondsen!$F$5:$Q$30,MATCH($B58,Fondsen!$A$5:$A$30,0),AE$8-$E58+1)))</f>
        <v/>
      </c>
      <c r="AF58" s="38" t="str">
        <f t="array" ref="AF58">IF(OR($B58="",$C58="",$E58=""),"",IF(OR(AF$8&lt;$E58,AF$8-$E58&gt;=12),0,$C58*INDEX(Fondsen!$F$5:$Q$30,MATCH($B58,Fondsen!$A$5:$A$30,0),AF$8-$E58+1)))</f>
        <v/>
      </c>
      <c r="AG58" s="39" t="str">
        <f t="array" ref="AG58">IF(OR($B58="",$C58="",$E58=""),"",IF(OR(AG$8&lt;$E58,AG$8-$E58&gt;=12),0,$C58*INDEX(Fondsen!$F$5:$Q$30,MATCH($B58,Fondsen!$A$5:$A$30,0),AG$8-$E58+1)))</f>
        <v/>
      </c>
      <c r="AH58" s="38" t="str">
        <f t="array" ref="AH58">IF(OR($B58="",$C58="",$E58=""),"",IF(OR(AH$8&lt;$E58,AH$8-$E58&gt;=12),0,$C58*INDEX(Fondsen!$F$5:$Q$30,MATCH($B58,Fondsen!$A$5:$A$30,0),AH$8-$E58+1)))</f>
        <v/>
      </c>
      <c r="AI58" s="39" t="str">
        <f t="array" ref="AI58">IF(OR($B58="",$C58="",$E58=""),"",IF(OR(AI$8&lt;$E58,AI$8-$E58&gt;=12),0,$C58*INDEX(Fondsen!$F$5:$Q$30,MATCH($B58,Fondsen!$A$5:$A$30,0),AI$8-$E58+1)))</f>
        <v/>
      </c>
      <c r="AJ58" s="38" t="str">
        <f t="array" ref="AJ58">IF(OR($B58="",$C58="",$E58=""),"",IF(OR(AJ$8&lt;$E58,AJ$8-$E58&gt;=12),0,$C58*INDEX(Fondsen!$F$5:$Q$30,MATCH($B58,Fondsen!$A$5:$A$30,0),AJ$8-$E58+1)))</f>
        <v/>
      </c>
      <c r="AK58" s="39" t="str">
        <f t="array" ref="AK58">IF(OR($B58="",$C58="",$E58=""),"",IF(OR(AK$8&lt;$E58,AK$8-$E58&gt;=12),0,$C58*INDEX(Fondsen!$F$5:$Q$30,MATCH($B58,Fondsen!$A$5:$A$30,0),AK$8-$E58+1)))</f>
        <v/>
      </c>
      <c r="AL58" s="38" t="str">
        <f t="array" ref="AL58">IF(OR($B58="",$C58="",$E58=""),"",IF(OR(AL$8&lt;$E58,AL$8-$E58&gt;=12),0,$C58*INDEX(Fondsen!$F$5:$Q$30,MATCH($B58,Fondsen!$A$5:$A$30,0),AL$8-$E58+1)))</f>
        <v/>
      </c>
      <c r="AM58" s="39" t="str">
        <f t="array" ref="AM58">IF(OR($B58="",$C58="",$E58=""),"",IF(OR(AM$8&lt;$E58,AM$8-$E58&gt;=12),0,$C58*INDEX(Fondsen!$F$5:$Q$30,MATCH($B58,Fondsen!$A$5:$A$30,0),AM$8-$E58+1)))</f>
        <v/>
      </c>
      <c r="AN58" s="38" t="str">
        <f t="array" ref="AN58">IF(OR($B58="",$C58="",$E58=""),"",IF(OR(AN$8&lt;$E58,AN$8-$E58&gt;=12),0,$C58*INDEX(Fondsen!$F$5:$Q$30,MATCH($B58,Fondsen!$A$5:$A$30,0),AN$8-$E58+1)))</f>
        <v/>
      </c>
      <c r="AO58" s="39" t="str">
        <f t="array" ref="AO58">IF(OR($B58="",$C58="",$E58=""),"",IF(OR(AO$8&lt;$E58,AO$8-$E58&gt;=12),0,$C58*INDEX(Fondsen!$F$5:$Q$30,MATCH($B58,Fondsen!$A$5:$A$30,0),AO$8-$E58+1)))</f>
        <v/>
      </c>
      <c r="AP58" s="38" t="str">
        <f t="array" ref="AP58">IF(OR($B58="",$C58="",$E58=""),"",IF(OR(AP$8&lt;$E58,AP$8-$E58&gt;=12),0,$C58*INDEX(Fondsen!$F$5:$Q$30,MATCH($B58,Fondsen!$A$5:$A$30,0),AP$8-$E58+1)))</f>
        <v/>
      </c>
      <c r="AQ58" s="39" t="str">
        <f t="array" ref="AQ58">IF(OR($B58="",$C58="",$E58=""),"",IF(OR(AQ$8&lt;$E58,AQ$8-$E58&gt;=12),0,$C58*INDEX(Fondsen!$F$5:$Q$30,MATCH($B58,Fondsen!$A$5:$A$30,0),AQ$8-$E58+1)))</f>
        <v/>
      </c>
      <c r="AR58" s="38" t="str">
        <f t="array" ref="AR58">IF(OR($B58="",$C58="",$E58=""),"",IF(OR(AR$8&lt;$E58,AR$8-$E58&gt;=12),0,$C58*INDEX(Fondsen!$F$5:$Q$30,MATCH($B58,Fondsen!$A$5:$A$30,0),AR$8-$E58+1)))</f>
        <v/>
      </c>
      <c r="AS58" s="39" t="str">
        <f t="array" ref="AS58">IF(OR($B58="",$C58="",$E58=""),"",IF(OR(AS$8&lt;$E58,AS$8-$E58&gt;=12),0,$C58*INDEX(Fondsen!$F$5:$Q$30,MATCH($B58,Fondsen!$A$5:$A$30,0),AS$8-$E58+1)))</f>
        <v/>
      </c>
      <c r="AT58" s="45"/>
    </row>
    <row r="59" ht="24.0" customHeight="1" outlineLevel="1">
      <c r="A59" s="47" t="str">
        <f>IF(B59="","",IFERROR(VLOOKUP(B59,Fondsen!$A$5:$B$30,2,FALSE()),""))</f>
        <v/>
      </c>
      <c r="B59" s="26"/>
      <c r="C59" s="27"/>
      <c r="D59" s="44" t="s">
        <v>11</v>
      </c>
      <c r="E59" s="29"/>
      <c r="F59" s="30" t="str">
        <f t="array" ref="F59">IF(OR($B59="",$C59="",$E59=""),"",IF(OR(F$8&lt;$E59,F$8-$E59&gt;=12),0,$C59*INDEX(Fondsen!$F$5:$Q$30,MATCH($B59,Fondsen!$A$5:$A$30,0),F$8-$E59+1)))</f>
        <v/>
      </c>
      <c r="G59" s="31" t="str">
        <f t="array" ref="G59">IF(OR($B59="",$C59="",$E59=""),"",IF(OR(G$8&lt;$E59,G$8-$E59&gt;=12),0,$C59*INDEX(Fondsen!$F$5:$Q$30,MATCH($B59,Fondsen!$A$5:$A$30,0),G$8-$E59+1)))</f>
        <v/>
      </c>
      <c r="H59" s="30" t="str">
        <f t="array" ref="H59">IF(OR($B59="",$C59="",$E59=""),"",IF(OR(H$8&lt;$E59,H$8-$E59&gt;=12),0,$C59*INDEX(Fondsen!$F$5:$Q$30,MATCH($B59,Fondsen!$A$5:$A$30,0),H$8-$E59+1)))</f>
        <v/>
      </c>
      <c r="I59" s="31" t="str">
        <f t="array" ref="I59">IF(OR($B59="",$C59="",$E59=""),"",IF(OR(I$8&lt;$E59,I$8-$E59&gt;=12),0,$C59*INDEX(Fondsen!$F$5:$Q$30,MATCH($B59,Fondsen!$A$5:$A$30,0),I$8-$E59+1)))</f>
        <v/>
      </c>
      <c r="J59" s="30" t="str">
        <f t="array" ref="J59">IF(OR($B59="",$C59="",$E59=""),"",IF(OR(J$8&lt;$E59,J$8-$E59&gt;=12),0,$C59*INDEX(Fondsen!$F$5:$Q$30,MATCH($B59,Fondsen!$A$5:$A$30,0),J$8-$E59+1)))</f>
        <v/>
      </c>
      <c r="K59" s="31" t="str">
        <f t="array" ref="K59">IF(OR($B59="",$C59="",$E59=""),"",IF(OR(K$8&lt;$E59,K$8-$E59&gt;=12),0,$C59*INDEX(Fondsen!$F$5:$Q$30,MATCH($B59,Fondsen!$A$5:$A$30,0),K$8-$E59+1)))</f>
        <v/>
      </c>
      <c r="L59" s="30" t="str">
        <f t="array" ref="L59">IF(OR($B59="",$C59="",$E59=""),"",IF(OR(L$8&lt;$E59,L$8-$E59&gt;=12),0,$C59*INDEX(Fondsen!$F$5:$Q$30,MATCH($B59,Fondsen!$A$5:$A$30,0),L$8-$E59+1)))</f>
        <v/>
      </c>
      <c r="M59" s="31" t="str">
        <f t="array" ref="M59">IF(OR($B59="",$C59="",$E59=""),"",IF(OR(M$8&lt;$E59,M$8-$E59&gt;=12),0,$C59*INDEX(Fondsen!$F$5:$Q$30,MATCH($B59,Fondsen!$A$5:$A$30,0),M$8-$E59+1)))</f>
        <v/>
      </c>
      <c r="N59" s="30" t="str">
        <f t="array" ref="N59">IF(OR($B59="",$C59="",$E59=""),"",IF(OR(N$8&lt;$E59,N$8-$E59&gt;=12),0,$C59*INDEX(Fondsen!$F$5:$Q$30,MATCH($B59,Fondsen!$A$5:$A$30,0),N$8-$E59+1)))</f>
        <v/>
      </c>
      <c r="O59" s="31" t="str">
        <f t="array" ref="O59">IF(OR($B59="",$C59="",$E59=""),"",IF(OR(O$8&lt;$E59,O$8-$E59&gt;=12),0,$C59*INDEX(Fondsen!$F$5:$Q$30,MATCH($B59,Fondsen!$A$5:$A$30,0),O$8-$E59+1)))</f>
        <v/>
      </c>
      <c r="P59" s="30" t="str">
        <f t="array" ref="P59">IF(OR($B59="",$C59="",$E59=""),"",IF(OR(P$8&lt;$E59,P$8-$E59&gt;=12),0,$C59*INDEX(Fondsen!$F$5:$Q$30,MATCH($B59,Fondsen!$A$5:$A$30,0),P$8-$E59+1)))</f>
        <v/>
      </c>
      <c r="Q59" s="31" t="str">
        <f t="array" ref="Q59">IF(OR($B59="",$C59="",$E59=""),"",IF(OR(Q$8&lt;$E59,Q$8-$E59&gt;=12),0,$C59*INDEX(Fondsen!$F$5:$Q$30,MATCH($B59,Fondsen!$A$5:$A$30,0),Q$8-$E59+1)))</f>
        <v/>
      </c>
      <c r="R59" s="30" t="str">
        <f t="array" ref="R59">IF(OR($B59="",$C59="",$E59=""),"",IF(OR(R$8&lt;$E59,R$8-$E59&gt;=12),0,$C59*INDEX(Fondsen!$F$5:$Q$30,MATCH($B59,Fondsen!$A$5:$A$30,0),R$8-$E59+1)))</f>
        <v/>
      </c>
      <c r="S59" s="31" t="str">
        <f t="array" ref="S59">IF(OR($B59="",$C59="",$E59=""),"",IF(OR(S$8&lt;$E59,S$8-$E59&gt;=12),0,$C59*INDEX(Fondsen!$F$5:$Q$30,MATCH($B59,Fondsen!$A$5:$A$30,0),S$8-$E59+1)))</f>
        <v/>
      </c>
      <c r="T59" s="30" t="str">
        <f t="array" ref="T59">IF(OR($B59="",$C59="",$E59=""),"",IF(OR(T$8&lt;$E59,T$8-$E59&gt;=12),0,$C59*INDEX(Fondsen!$F$5:$Q$30,MATCH($B59,Fondsen!$A$5:$A$30,0),T$8-$E59+1)))</f>
        <v/>
      </c>
      <c r="U59" s="31" t="str">
        <f t="array" ref="U59">IF(OR($B59="",$C59="",$E59=""),"",IF(OR(U$8&lt;$E59,U$8-$E59&gt;=12),0,$C59*INDEX(Fondsen!$F$5:$Q$30,MATCH($B59,Fondsen!$A$5:$A$30,0),U$8-$E59+1)))</f>
        <v/>
      </c>
      <c r="V59" s="30" t="str">
        <f t="array" ref="V59">IF(OR($B59="",$C59="",$E59=""),"",IF(OR(V$8&lt;$E59,V$8-$E59&gt;=12),0,$C59*INDEX(Fondsen!$F$5:$Q$30,MATCH($B59,Fondsen!$A$5:$A$30,0),V$8-$E59+1)))</f>
        <v/>
      </c>
      <c r="W59" s="31" t="str">
        <f t="array" ref="W59">IF(OR($B59="",$C59="",$E59=""),"",IF(OR(W$8&lt;$E59,W$8-$E59&gt;=12),0,$C59*INDEX(Fondsen!$F$5:$Q$30,MATCH($B59,Fondsen!$A$5:$A$30,0),W$8-$E59+1)))</f>
        <v/>
      </c>
      <c r="X59" s="30" t="str">
        <f t="array" ref="X59">IF(OR($B59="",$C59="",$E59=""),"",IF(OR(X$8&lt;$E59,X$8-$E59&gt;=12),0,$C59*INDEX(Fondsen!$F$5:$Q$30,MATCH($B59,Fondsen!$A$5:$A$30,0),X$8-$E59+1)))</f>
        <v/>
      </c>
      <c r="Y59" s="31" t="str">
        <f t="array" ref="Y59">IF(OR($B59="",$C59="",$E59=""),"",IF(OR(Y$8&lt;$E59,Y$8-$E59&gt;=12),0,$C59*INDEX(Fondsen!$F$5:$Q$30,MATCH($B59,Fondsen!$A$5:$A$30,0),Y$8-$E59+1)))</f>
        <v/>
      </c>
      <c r="Z59" s="30" t="str">
        <f t="array" ref="Z59">IF(OR($B59="",$C59="",$E59=""),"",IF(OR(Z$8&lt;$E59,Z$8-$E59&gt;=12),0,$C59*INDEX(Fondsen!$F$5:$Q$30,MATCH($B59,Fondsen!$A$5:$A$30,0),Z$8-$E59+1)))</f>
        <v/>
      </c>
      <c r="AA59" s="31" t="str">
        <f t="array" ref="AA59">IF(OR($B59="",$C59="",$E59=""),"",IF(OR(AA$8&lt;$E59,AA$8-$E59&gt;=12),0,$C59*INDEX(Fondsen!$F$5:$Q$30,MATCH($B59,Fondsen!$A$5:$A$30,0),AA$8-$E59+1)))</f>
        <v/>
      </c>
      <c r="AB59" s="30" t="str">
        <f t="array" ref="AB59">IF(OR($B59="",$C59="",$E59=""),"",IF(OR(AB$8&lt;$E59,AB$8-$E59&gt;=12),0,$C59*INDEX(Fondsen!$F$5:$Q$30,MATCH($B59,Fondsen!$A$5:$A$30,0),AB$8-$E59+1)))</f>
        <v/>
      </c>
      <c r="AC59" s="31" t="str">
        <f t="array" ref="AC59">IF(OR($B59="",$C59="",$E59=""),"",IF(OR(AC$8&lt;$E59,AC$8-$E59&gt;=12),0,$C59*INDEX(Fondsen!$F$5:$Q$30,MATCH($B59,Fondsen!$A$5:$A$30,0),AC$8-$E59+1)))</f>
        <v/>
      </c>
      <c r="AD59" s="30" t="str">
        <f t="array" ref="AD59">IF(OR($B59="",$C59="",$E59=""),"",IF(OR(AD$8&lt;$E59,AD$8-$E59&gt;=12),0,$C59*INDEX(Fondsen!$F$5:$Q$30,MATCH($B59,Fondsen!$A$5:$A$30,0),AD$8-$E59+1)))</f>
        <v/>
      </c>
      <c r="AE59" s="31" t="str">
        <f t="array" ref="AE59">IF(OR($B59="",$C59="",$E59=""),"",IF(OR(AE$8&lt;$E59,AE$8-$E59&gt;=12),0,$C59*INDEX(Fondsen!$F$5:$Q$30,MATCH($B59,Fondsen!$A$5:$A$30,0),AE$8-$E59+1)))</f>
        <v/>
      </c>
      <c r="AF59" s="30" t="str">
        <f t="array" ref="AF59">IF(OR($B59="",$C59="",$E59=""),"",IF(OR(AF$8&lt;$E59,AF$8-$E59&gt;=12),0,$C59*INDEX(Fondsen!$F$5:$Q$30,MATCH($B59,Fondsen!$A$5:$A$30,0),AF$8-$E59+1)))</f>
        <v/>
      </c>
      <c r="AG59" s="31" t="str">
        <f t="array" ref="AG59">IF(OR($B59="",$C59="",$E59=""),"",IF(OR(AG$8&lt;$E59,AG$8-$E59&gt;=12),0,$C59*INDEX(Fondsen!$F$5:$Q$30,MATCH($B59,Fondsen!$A$5:$A$30,0),AG$8-$E59+1)))</f>
        <v/>
      </c>
      <c r="AH59" s="30" t="str">
        <f t="array" ref="AH59">IF(OR($B59="",$C59="",$E59=""),"",IF(OR(AH$8&lt;$E59,AH$8-$E59&gt;=12),0,$C59*INDEX(Fondsen!$F$5:$Q$30,MATCH($B59,Fondsen!$A$5:$A$30,0),AH$8-$E59+1)))</f>
        <v/>
      </c>
      <c r="AI59" s="31" t="str">
        <f t="array" ref="AI59">IF(OR($B59="",$C59="",$E59=""),"",IF(OR(AI$8&lt;$E59,AI$8-$E59&gt;=12),0,$C59*INDEX(Fondsen!$F$5:$Q$30,MATCH($B59,Fondsen!$A$5:$A$30,0),AI$8-$E59+1)))</f>
        <v/>
      </c>
      <c r="AJ59" s="30" t="str">
        <f t="array" ref="AJ59">IF(OR($B59="",$C59="",$E59=""),"",IF(OR(AJ$8&lt;$E59,AJ$8-$E59&gt;=12),0,$C59*INDEX(Fondsen!$F$5:$Q$30,MATCH($B59,Fondsen!$A$5:$A$30,0),AJ$8-$E59+1)))</f>
        <v/>
      </c>
      <c r="AK59" s="31" t="str">
        <f t="array" ref="AK59">IF(OR($B59="",$C59="",$E59=""),"",IF(OR(AK$8&lt;$E59,AK$8-$E59&gt;=12),0,$C59*INDEX(Fondsen!$F$5:$Q$30,MATCH($B59,Fondsen!$A$5:$A$30,0),AK$8-$E59+1)))</f>
        <v/>
      </c>
      <c r="AL59" s="30" t="str">
        <f t="array" ref="AL59">IF(OR($B59="",$C59="",$E59=""),"",IF(OR(AL$8&lt;$E59,AL$8-$E59&gt;=12),0,$C59*INDEX(Fondsen!$F$5:$Q$30,MATCH($B59,Fondsen!$A$5:$A$30,0),AL$8-$E59+1)))</f>
        <v/>
      </c>
      <c r="AM59" s="31" t="str">
        <f t="array" ref="AM59">IF(OR($B59="",$C59="",$E59=""),"",IF(OR(AM$8&lt;$E59,AM$8-$E59&gt;=12),0,$C59*INDEX(Fondsen!$F$5:$Q$30,MATCH($B59,Fondsen!$A$5:$A$30,0),AM$8-$E59+1)))</f>
        <v/>
      </c>
      <c r="AN59" s="30" t="str">
        <f t="array" ref="AN59">IF(OR($B59="",$C59="",$E59=""),"",IF(OR(AN$8&lt;$E59,AN$8-$E59&gt;=12),0,$C59*INDEX(Fondsen!$F$5:$Q$30,MATCH($B59,Fondsen!$A$5:$A$30,0),AN$8-$E59+1)))</f>
        <v/>
      </c>
      <c r="AO59" s="31" t="str">
        <f t="array" ref="AO59">IF(OR($B59="",$C59="",$E59=""),"",IF(OR(AO$8&lt;$E59,AO$8-$E59&gt;=12),0,$C59*INDEX(Fondsen!$F$5:$Q$30,MATCH($B59,Fondsen!$A$5:$A$30,0),AO$8-$E59+1)))</f>
        <v/>
      </c>
      <c r="AP59" s="30" t="str">
        <f t="array" ref="AP59">IF(OR($B59="",$C59="",$E59=""),"",IF(OR(AP$8&lt;$E59,AP$8-$E59&gt;=12),0,$C59*INDEX(Fondsen!$F$5:$Q$30,MATCH($B59,Fondsen!$A$5:$A$30,0),AP$8-$E59+1)))</f>
        <v/>
      </c>
      <c r="AQ59" s="31" t="str">
        <f t="array" ref="AQ59">IF(OR($B59="",$C59="",$E59=""),"",IF(OR(AQ$8&lt;$E59,AQ$8-$E59&gt;=12),0,$C59*INDEX(Fondsen!$F$5:$Q$30,MATCH($B59,Fondsen!$A$5:$A$30,0),AQ$8-$E59+1)))</f>
        <v/>
      </c>
      <c r="AR59" s="30" t="str">
        <f t="array" ref="AR59">IF(OR($B59="",$C59="",$E59=""),"",IF(OR(AR$8&lt;$E59,AR$8-$E59&gt;=12),0,$C59*INDEX(Fondsen!$F$5:$Q$30,MATCH($B59,Fondsen!$A$5:$A$30,0),AR$8-$E59+1)))</f>
        <v/>
      </c>
      <c r="AS59" s="31" t="str">
        <f t="array" ref="AS59">IF(OR($B59="",$C59="",$E59=""),"",IF(OR(AS$8&lt;$E59,AS$8-$E59&gt;=12),0,$C59*INDEX(Fondsen!$F$5:$Q$30,MATCH($B59,Fondsen!$A$5:$A$30,0),AS$8-$E59+1)))</f>
        <v/>
      </c>
      <c r="AT59" s="45"/>
    </row>
    <row r="60" ht="24.0" customHeight="1" outlineLevel="1">
      <c r="A60" s="33" t="str">
        <f>IF(B60="","",IFERROR(VLOOKUP(B60,Fondsen!$A$5:$B$30,2,FALSE()),""))</f>
        <v/>
      </c>
      <c r="B60" s="34"/>
      <c r="C60" s="35"/>
      <c r="D60" s="46" t="s">
        <v>11</v>
      </c>
      <c r="E60" s="37"/>
      <c r="F60" s="38" t="str">
        <f t="array" ref="F60">IF(OR($B60="",$C60="",$E60=""),"",IF(OR(F$8&lt;$E60,F$8-$E60&gt;=12),0,$C60*INDEX(Fondsen!$F$5:$Q$30,MATCH($B60,Fondsen!$A$5:$A$30,0),F$8-$E60+1)))</f>
        <v/>
      </c>
      <c r="G60" s="39" t="str">
        <f t="array" ref="G60">IF(OR($B60="",$C60="",$E60=""),"",IF(OR(G$8&lt;$E60,G$8-$E60&gt;=12),0,$C60*INDEX(Fondsen!$F$5:$Q$30,MATCH($B60,Fondsen!$A$5:$A$30,0),G$8-$E60+1)))</f>
        <v/>
      </c>
      <c r="H60" s="38" t="str">
        <f t="array" ref="H60">IF(OR($B60="",$C60="",$E60=""),"",IF(OR(H$8&lt;$E60,H$8-$E60&gt;=12),0,$C60*INDEX(Fondsen!$F$5:$Q$30,MATCH($B60,Fondsen!$A$5:$A$30,0),H$8-$E60+1)))</f>
        <v/>
      </c>
      <c r="I60" s="39" t="str">
        <f t="array" ref="I60">IF(OR($B60="",$C60="",$E60=""),"",IF(OR(I$8&lt;$E60,I$8-$E60&gt;=12),0,$C60*INDEX(Fondsen!$F$5:$Q$30,MATCH($B60,Fondsen!$A$5:$A$30,0),I$8-$E60+1)))</f>
        <v/>
      </c>
      <c r="J60" s="38" t="str">
        <f t="array" ref="J60">IF(OR($B60="",$C60="",$E60=""),"",IF(OR(J$8&lt;$E60,J$8-$E60&gt;=12),0,$C60*INDEX(Fondsen!$F$5:$Q$30,MATCH($B60,Fondsen!$A$5:$A$30,0),J$8-$E60+1)))</f>
        <v/>
      </c>
      <c r="K60" s="39" t="str">
        <f t="array" ref="K60">IF(OR($B60="",$C60="",$E60=""),"",IF(OR(K$8&lt;$E60,K$8-$E60&gt;=12),0,$C60*INDEX(Fondsen!$F$5:$Q$30,MATCH($B60,Fondsen!$A$5:$A$30,0),K$8-$E60+1)))</f>
        <v/>
      </c>
      <c r="L60" s="38" t="str">
        <f t="array" ref="L60">IF(OR($B60="",$C60="",$E60=""),"",IF(OR(L$8&lt;$E60,L$8-$E60&gt;=12),0,$C60*INDEX(Fondsen!$F$5:$Q$30,MATCH($B60,Fondsen!$A$5:$A$30,0),L$8-$E60+1)))</f>
        <v/>
      </c>
      <c r="M60" s="39" t="str">
        <f t="array" ref="M60">IF(OR($B60="",$C60="",$E60=""),"",IF(OR(M$8&lt;$E60,M$8-$E60&gt;=12),0,$C60*INDEX(Fondsen!$F$5:$Q$30,MATCH($B60,Fondsen!$A$5:$A$30,0),M$8-$E60+1)))</f>
        <v/>
      </c>
      <c r="N60" s="38" t="str">
        <f t="array" ref="N60">IF(OR($B60="",$C60="",$E60=""),"",IF(OR(N$8&lt;$E60,N$8-$E60&gt;=12),0,$C60*INDEX(Fondsen!$F$5:$Q$30,MATCH($B60,Fondsen!$A$5:$A$30,0),N$8-$E60+1)))</f>
        <v/>
      </c>
      <c r="O60" s="39" t="str">
        <f t="array" ref="O60">IF(OR($B60="",$C60="",$E60=""),"",IF(OR(O$8&lt;$E60,O$8-$E60&gt;=12),0,$C60*INDEX(Fondsen!$F$5:$Q$30,MATCH($B60,Fondsen!$A$5:$A$30,0),O$8-$E60+1)))</f>
        <v/>
      </c>
      <c r="P60" s="38" t="str">
        <f t="array" ref="P60">IF(OR($B60="",$C60="",$E60=""),"",IF(OR(P$8&lt;$E60,P$8-$E60&gt;=12),0,$C60*INDEX(Fondsen!$F$5:$Q$30,MATCH($B60,Fondsen!$A$5:$A$30,0),P$8-$E60+1)))</f>
        <v/>
      </c>
      <c r="Q60" s="39" t="str">
        <f t="array" ref="Q60">IF(OR($B60="",$C60="",$E60=""),"",IF(OR(Q$8&lt;$E60,Q$8-$E60&gt;=12),0,$C60*INDEX(Fondsen!$F$5:$Q$30,MATCH($B60,Fondsen!$A$5:$A$30,0),Q$8-$E60+1)))</f>
        <v/>
      </c>
      <c r="R60" s="38" t="str">
        <f t="array" ref="R60">IF(OR($B60="",$C60="",$E60=""),"",IF(OR(R$8&lt;$E60,R$8-$E60&gt;=12),0,$C60*INDEX(Fondsen!$F$5:$Q$30,MATCH($B60,Fondsen!$A$5:$A$30,0),R$8-$E60+1)))</f>
        <v/>
      </c>
      <c r="S60" s="39" t="str">
        <f t="array" ref="S60">IF(OR($B60="",$C60="",$E60=""),"",IF(OR(S$8&lt;$E60,S$8-$E60&gt;=12),0,$C60*INDEX(Fondsen!$F$5:$Q$30,MATCH($B60,Fondsen!$A$5:$A$30,0),S$8-$E60+1)))</f>
        <v/>
      </c>
      <c r="T60" s="38" t="str">
        <f t="array" ref="T60">IF(OR($B60="",$C60="",$E60=""),"",IF(OR(T$8&lt;$E60,T$8-$E60&gt;=12),0,$C60*INDEX(Fondsen!$F$5:$Q$30,MATCH($B60,Fondsen!$A$5:$A$30,0),T$8-$E60+1)))</f>
        <v/>
      </c>
      <c r="U60" s="39" t="str">
        <f t="array" ref="U60">IF(OR($B60="",$C60="",$E60=""),"",IF(OR(U$8&lt;$E60,U$8-$E60&gt;=12),0,$C60*INDEX(Fondsen!$F$5:$Q$30,MATCH($B60,Fondsen!$A$5:$A$30,0),U$8-$E60+1)))</f>
        <v/>
      </c>
      <c r="V60" s="38" t="str">
        <f t="array" ref="V60">IF(OR($B60="",$C60="",$E60=""),"",IF(OR(V$8&lt;$E60,V$8-$E60&gt;=12),0,$C60*INDEX(Fondsen!$F$5:$Q$30,MATCH($B60,Fondsen!$A$5:$A$30,0),V$8-$E60+1)))</f>
        <v/>
      </c>
      <c r="W60" s="39" t="str">
        <f t="array" ref="W60">IF(OR($B60="",$C60="",$E60=""),"",IF(OR(W$8&lt;$E60,W$8-$E60&gt;=12),0,$C60*INDEX(Fondsen!$F$5:$Q$30,MATCH($B60,Fondsen!$A$5:$A$30,0),W$8-$E60+1)))</f>
        <v/>
      </c>
      <c r="X60" s="38" t="str">
        <f t="array" ref="X60">IF(OR($B60="",$C60="",$E60=""),"",IF(OR(X$8&lt;$E60,X$8-$E60&gt;=12),0,$C60*INDEX(Fondsen!$F$5:$Q$30,MATCH($B60,Fondsen!$A$5:$A$30,0),X$8-$E60+1)))</f>
        <v/>
      </c>
      <c r="Y60" s="39" t="str">
        <f t="array" ref="Y60">IF(OR($B60="",$C60="",$E60=""),"",IF(OR(Y$8&lt;$E60,Y$8-$E60&gt;=12),0,$C60*INDEX(Fondsen!$F$5:$Q$30,MATCH($B60,Fondsen!$A$5:$A$30,0),Y$8-$E60+1)))</f>
        <v/>
      </c>
      <c r="Z60" s="38" t="str">
        <f t="array" ref="Z60">IF(OR($B60="",$C60="",$E60=""),"",IF(OR(Z$8&lt;$E60,Z$8-$E60&gt;=12),0,$C60*INDEX(Fondsen!$F$5:$Q$30,MATCH($B60,Fondsen!$A$5:$A$30,0),Z$8-$E60+1)))</f>
        <v/>
      </c>
      <c r="AA60" s="39" t="str">
        <f t="array" ref="AA60">IF(OR($B60="",$C60="",$E60=""),"",IF(OR(AA$8&lt;$E60,AA$8-$E60&gt;=12),0,$C60*INDEX(Fondsen!$F$5:$Q$30,MATCH($B60,Fondsen!$A$5:$A$30,0),AA$8-$E60+1)))</f>
        <v/>
      </c>
      <c r="AB60" s="38" t="str">
        <f t="array" ref="AB60">IF(OR($B60="",$C60="",$E60=""),"",IF(OR(AB$8&lt;$E60,AB$8-$E60&gt;=12),0,$C60*INDEX(Fondsen!$F$5:$Q$30,MATCH($B60,Fondsen!$A$5:$A$30,0),AB$8-$E60+1)))</f>
        <v/>
      </c>
      <c r="AC60" s="39" t="str">
        <f t="array" ref="AC60">IF(OR($B60="",$C60="",$E60=""),"",IF(OR(AC$8&lt;$E60,AC$8-$E60&gt;=12),0,$C60*INDEX(Fondsen!$F$5:$Q$30,MATCH($B60,Fondsen!$A$5:$A$30,0),AC$8-$E60+1)))</f>
        <v/>
      </c>
      <c r="AD60" s="38" t="str">
        <f t="array" ref="AD60">IF(OR($B60="",$C60="",$E60=""),"",IF(OR(AD$8&lt;$E60,AD$8-$E60&gt;=12),0,$C60*INDEX(Fondsen!$F$5:$Q$30,MATCH($B60,Fondsen!$A$5:$A$30,0),AD$8-$E60+1)))</f>
        <v/>
      </c>
      <c r="AE60" s="39" t="str">
        <f t="array" ref="AE60">IF(OR($B60="",$C60="",$E60=""),"",IF(OR(AE$8&lt;$E60,AE$8-$E60&gt;=12),0,$C60*INDEX(Fondsen!$F$5:$Q$30,MATCH($B60,Fondsen!$A$5:$A$30,0),AE$8-$E60+1)))</f>
        <v/>
      </c>
      <c r="AF60" s="38" t="str">
        <f t="array" ref="AF60">IF(OR($B60="",$C60="",$E60=""),"",IF(OR(AF$8&lt;$E60,AF$8-$E60&gt;=12),0,$C60*INDEX(Fondsen!$F$5:$Q$30,MATCH($B60,Fondsen!$A$5:$A$30,0),AF$8-$E60+1)))</f>
        <v/>
      </c>
      <c r="AG60" s="39" t="str">
        <f t="array" ref="AG60">IF(OR($B60="",$C60="",$E60=""),"",IF(OR(AG$8&lt;$E60,AG$8-$E60&gt;=12),0,$C60*INDEX(Fondsen!$F$5:$Q$30,MATCH($B60,Fondsen!$A$5:$A$30,0),AG$8-$E60+1)))</f>
        <v/>
      </c>
      <c r="AH60" s="38" t="str">
        <f t="array" ref="AH60">IF(OR($B60="",$C60="",$E60=""),"",IF(OR(AH$8&lt;$E60,AH$8-$E60&gt;=12),0,$C60*INDEX(Fondsen!$F$5:$Q$30,MATCH($B60,Fondsen!$A$5:$A$30,0),AH$8-$E60+1)))</f>
        <v/>
      </c>
      <c r="AI60" s="39" t="str">
        <f t="array" ref="AI60">IF(OR($B60="",$C60="",$E60=""),"",IF(OR(AI$8&lt;$E60,AI$8-$E60&gt;=12),0,$C60*INDEX(Fondsen!$F$5:$Q$30,MATCH($B60,Fondsen!$A$5:$A$30,0),AI$8-$E60+1)))</f>
        <v/>
      </c>
      <c r="AJ60" s="38" t="str">
        <f t="array" ref="AJ60">IF(OR($B60="",$C60="",$E60=""),"",IF(OR(AJ$8&lt;$E60,AJ$8-$E60&gt;=12),0,$C60*INDEX(Fondsen!$F$5:$Q$30,MATCH($B60,Fondsen!$A$5:$A$30,0),AJ$8-$E60+1)))</f>
        <v/>
      </c>
      <c r="AK60" s="39" t="str">
        <f t="array" ref="AK60">IF(OR($B60="",$C60="",$E60=""),"",IF(OR(AK$8&lt;$E60,AK$8-$E60&gt;=12),0,$C60*INDEX(Fondsen!$F$5:$Q$30,MATCH($B60,Fondsen!$A$5:$A$30,0),AK$8-$E60+1)))</f>
        <v/>
      </c>
      <c r="AL60" s="38" t="str">
        <f t="array" ref="AL60">IF(OR($B60="",$C60="",$E60=""),"",IF(OR(AL$8&lt;$E60,AL$8-$E60&gt;=12),0,$C60*INDEX(Fondsen!$F$5:$Q$30,MATCH($B60,Fondsen!$A$5:$A$30,0),AL$8-$E60+1)))</f>
        <v/>
      </c>
      <c r="AM60" s="39" t="str">
        <f t="array" ref="AM60">IF(OR($B60="",$C60="",$E60=""),"",IF(OR(AM$8&lt;$E60,AM$8-$E60&gt;=12),0,$C60*INDEX(Fondsen!$F$5:$Q$30,MATCH($B60,Fondsen!$A$5:$A$30,0),AM$8-$E60+1)))</f>
        <v/>
      </c>
      <c r="AN60" s="38" t="str">
        <f t="array" ref="AN60">IF(OR($B60="",$C60="",$E60=""),"",IF(OR(AN$8&lt;$E60,AN$8-$E60&gt;=12),0,$C60*INDEX(Fondsen!$F$5:$Q$30,MATCH($B60,Fondsen!$A$5:$A$30,0),AN$8-$E60+1)))</f>
        <v/>
      </c>
      <c r="AO60" s="39" t="str">
        <f t="array" ref="AO60">IF(OR($B60="",$C60="",$E60=""),"",IF(OR(AO$8&lt;$E60,AO$8-$E60&gt;=12),0,$C60*INDEX(Fondsen!$F$5:$Q$30,MATCH($B60,Fondsen!$A$5:$A$30,0),AO$8-$E60+1)))</f>
        <v/>
      </c>
      <c r="AP60" s="38" t="str">
        <f t="array" ref="AP60">IF(OR($B60="",$C60="",$E60=""),"",IF(OR(AP$8&lt;$E60,AP$8-$E60&gt;=12),0,$C60*INDEX(Fondsen!$F$5:$Q$30,MATCH($B60,Fondsen!$A$5:$A$30,0),AP$8-$E60+1)))</f>
        <v/>
      </c>
      <c r="AQ60" s="39" t="str">
        <f t="array" ref="AQ60">IF(OR($B60="",$C60="",$E60=""),"",IF(OR(AQ$8&lt;$E60,AQ$8-$E60&gt;=12),0,$C60*INDEX(Fondsen!$F$5:$Q$30,MATCH($B60,Fondsen!$A$5:$A$30,0),AQ$8-$E60+1)))</f>
        <v/>
      </c>
      <c r="AR60" s="38" t="str">
        <f t="array" ref="AR60">IF(OR($B60="",$C60="",$E60=""),"",IF(OR(AR$8&lt;$E60,AR$8-$E60&gt;=12),0,$C60*INDEX(Fondsen!$F$5:$Q$30,MATCH($B60,Fondsen!$A$5:$A$30,0),AR$8-$E60+1)))</f>
        <v/>
      </c>
      <c r="AS60" s="39" t="str">
        <f t="array" ref="AS60">IF(OR($B60="",$C60="",$E60=""),"",IF(OR(AS$8&lt;$E60,AS$8-$E60&gt;=12),0,$C60*INDEX(Fondsen!$F$5:$Q$30,MATCH($B60,Fondsen!$A$5:$A$30,0),AS$8-$E60+1)))</f>
        <v/>
      </c>
      <c r="AT60" s="45"/>
    </row>
    <row r="61" ht="24.0" customHeight="1" outlineLevel="1">
      <c r="A61" s="47" t="str">
        <f>IF(B61="","",IFERROR(VLOOKUP(B61,Fondsen!$A$5:$B$30,2,FALSE()),""))</f>
        <v/>
      </c>
      <c r="B61" s="26"/>
      <c r="C61" s="27"/>
      <c r="D61" s="44" t="s">
        <v>11</v>
      </c>
      <c r="E61" s="29"/>
      <c r="F61" s="30" t="str">
        <f t="array" ref="F61">IF(OR($B61="",$C61="",$E61=""),"",IF(OR(F$8&lt;$E61,F$8-$E61&gt;=12),0,$C61*INDEX(Fondsen!$F$5:$Q$30,MATCH($B61,Fondsen!$A$5:$A$30,0),F$8-$E61+1)))</f>
        <v/>
      </c>
      <c r="G61" s="31" t="str">
        <f t="array" ref="G61">IF(OR($B61="",$C61="",$E61=""),"",IF(OR(G$8&lt;$E61,G$8-$E61&gt;=12),0,$C61*INDEX(Fondsen!$F$5:$Q$30,MATCH($B61,Fondsen!$A$5:$A$30,0),G$8-$E61+1)))</f>
        <v/>
      </c>
      <c r="H61" s="30" t="str">
        <f t="array" ref="H61">IF(OR($B61="",$C61="",$E61=""),"",IF(OR(H$8&lt;$E61,H$8-$E61&gt;=12),0,$C61*INDEX(Fondsen!$F$5:$Q$30,MATCH($B61,Fondsen!$A$5:$A$30,0),H$8-$E61+1)))</f>
        <v/>
      </c>
      <c r="I61" s="31" t="str">
        <f t="array" ref="I61">IF(OR($B61="",$C61="",$E61=""),"",IF(OR(I$8&lt;$E61,I$8-$E61&gt;=12),0,$C61*INDEX(Fondsen!$F$5:$Q$30,MATCH($B61,Fondsen!$A$5:$A$30,0),I$8-$E61+1)))</f>
        <v/>
      </c>
      <c r="J61" s="30" t="str">
        <f t="array" ref="J61">IF(OR($B61="",$C61="",$E61=""),"",IF(OR(J$8&lt;$E61,J$8-$E61&gt;=12),0,$C61*INDEX(Fondsen!$F$5:$Q$30,MATCH($B61,Fondsen!$A$5:$A$30,0),J$8-$E61+1)))</f>
        <v/>
      </c>
      <c r="K61" s="31" t="str">
        <f t="array" ref="K61">IF(OR($B61="",$C61="",$E61=""),"",IF(OR(K$8&lt;$E61,K$8-$E61&gt;=12),0,$C61*INDEX(Fondsen!$F$5:$Q$30,MATCH($B61,Fondsen!$A$5:$A$30,0),K$8-$E61+1)))</f>
        <v/>
      </c>
      <c r="L61" s="30" t="str">
        <f t="array" ref="L61">IF(OR($B61="",$C61="",$E61=""),"",IF(OR(L$8&lt;$E61,L$8-$E61&gt;=12),0,$C61*INDEX(Fondsen!$F$5:$Q$30,MATCH($B61,Fondsen!$A$5:$A$30,0),L$8-$E61+1)))</f>
        <v/>
      </c>
      <c r="M61" s="31" t="str">
        <f t="array" ref="M61">IF(OR($B61="",$C61="",$E61=""),"",IF(OR(M$8&lt;$E61,M$8-$E61&gt;=12),0,$C61*INDEX(Fondsen!$F$5:$Q$30,MATCH($B61,Fondsen!$A$5:$A$30,0),M$8-$E61+1)))</f>
        <v/>
      </c>
      <c r="N61" s="30" t="str">
        <f t="array" ref="N61">IF(OR($B61="",$C61="",$E61=""),"",IF(OR(N$8&lt;$E61,N$8-$E61&gt;=12),0,$C61*INDEX(Fondsen!$F$5:$Q$30,MATCH($B61,Fondsen!$A$5:$A$30,0),N$8-$E61+1)))</f>
        <v/>
      </c>
      <c r="O61" s="31" t="str">
        <f t="array" ref="O61">IF(OR($B61="",$C61="",$E61=""),"",IF(OR(O$8&lt;$E61,O$8-$E61&gt;=12),0,$C61*INDEX(Fondsen!$F$5:$Q$30,MATCH($B61,Fondsen!$A$5:$A$30,0),O$8-$E61+1)))</f>
        <v/>
      </c>
      <c r="P61" s="30" t="str">
        <f t="array" ref="P61">IF(OR($B61="",$C61="",$E61=""),"",IF(OR(P$8&lt;$E61,P$8-$E61&gt;=12),0,$C61*INDEX(Fondsen!$F$5:$Q$30,MATCH($B61,Fondsen!$A$5:$A$30,0),P$8-$E61+1)))</f>
        <v/>
      </c>
      <c r="Q61" s="31" t="str">
        <f t="array" ref="Q61">IF(OR($B61="",$C61="",$E61=""),"",IF(OR(Q$8&lt;$E61,Q$8-$E61&gt;=12),0,$C61*INDEX(Fondsen!$F$5:$Q$30,MATCH($B61,Fondsen!$A$5:$A$30,0),Q$8-$E61+1)))</f>
        <v/>
      </c>
      <c r="R61" s="30" t="str">
        <f t="array" ref="R61">IF(OR($B61="",$C61="",$E61=""),"",IF(OR(R$8&lt;$E61,R$8-$E61&gt;=12),0,$C61*INDEX(Fondsen!$F$5:$Q$30,MATCH($B61,Fondsen!$A$5:$A$30,0),R$8-$E61+1)))</f>
        <v/>
      </c>
      <c r="S61" s="31" t="str">
        <f t="array" ref="S61">IF(OR($B61="",$C61="",$E61=""),"",IF(OR(S$8&lt;$E61,S$8-$E61&gt;=12),0,$C61*INDEX(Fondsen!$F$5:$Q$30,MATCH($B61,Fondsen!$A$5:$A$30,0),S$8-$E61+1)))</f>
        <v/>
      </c>
      <c r="T61" s="30" t="str">
        <f t="array" ref="T61">IF(OR($B61="",$C61="",$E61=""),"",IF(OR(T$8&lt;$E61,T$8-$E61&gt;=12),0,$C61*INDEX(Fondsen!$F$5:$Q$30,MATCH($B61,Fondsen!$A$5:$A$30,0),T$8-$E61+1)))</f>
        <v/>
      </c>
      <c r="U61" s="31" t="str">
        <f t="array" ref="U61">IF(OR($B61="",$C61="",$E61=""),"",IF(OR(U$8&lt;$E61,U$8-$E61&gt;=12),0,$C61*INDEX(Fondsen!$F$5:$Q$30,MATCH($B61,Fondsen!$A$5:$A$30,0),U$8-$E61+1)))</f>
        <v/>
      </c>
      <c r="V61" s="30" t="str">
        <f t="array" ref="V61">IF(OR($B61="",$C61="",$E61=""),"",IF(OR(V$8&lt;$E61,V$8-$E61&gt;=12),0,$C61*INDEX(Fondsen!$F$5:$Q$30,MATCH($B61,Fondsen!$A$5:$A$30,0),V$8-$E61+1)))</f>
        <v/>
      </c>
      <c r="W61" s="31" t="str">
        <f t="array" ref="W61">IF(OR($B61="",$C61="",$E61=""),"",IF(OR(W$8&lt;$E61,W$8-$E61&gt;=12),0,$C61*INDEX(Fondsen!$F$5:$Q$30,MATCH($B61,Fondsen!$A$5:$A$30,0),W$8-$E61+1)))</f>
        <v/>
      </c>
      <c r="X61" s="30" t="str">
        <f t="array" ref="X61">IF(OR($B61="",$C61="",$E61=""),"",IF(OR(X$8&lt;$E61,X$8-$E61&gt;=12),0,$C61*INDEX(Fondsen!$F$5:$Q$30,MATCH($B61,Fondsen!$A$5:$A$30,0),X$8-$E61+1)))</f>
        <v/>
      </c>
      <c r="Y61" s="31" t="str">
        <f t="array" ref="Y61">IF(OR($B61="",$C61="",$E61=""),"",IF(OR(Y$8&lt;$E61,Y$8-$E61&gt;=12),0,$C61*INDEX(Fondsen!$F$5:$Q$30,MATCH($B61,Fondsen!$A$5:$A$30,0),Y$8-$E61+1)))</f>
        <v/>
      </c>
      <c r="Z61" s="30" t="str">
        <f t="array" ref="Z61">IF(OR($B61="",$C61="",$E61=""),"",IF(OR(Z$8&lt;$E61,Z$8-$E61&gt;=12),0,$C61*INDEX(Fondsen!$F$5:$Q$30,MATCH($B61,Fondsen!$A$5:$A$30,0),Z$8-$E61+1)))</f>
        <v/>
      </c>
      <c r="AA61" s="31" t="str">
        <f t="array" ref="AA61">IF(OR($B61="",$C61="",$E61=""),"",IF(OR(AA$8&lt;$E61,AA$8-$E61&gt;=12),0,$C61*INDEX(Fondsen!$F$5:$Q$30,MATCH($B61,Fondsen!$A$5:$A$30,0),AA$8-$E61+1)))</f>
        <v/>
      </c>
      <c r="AB61" s="30" t="str">
        <f t="array" ref="AB61">IF(OR($B61="",$C61="",$E61=""),"",IF(OR(AB$8&lt;$E61,AB$8-$E61&gt;=12),0,$C61*INDEX(Fondsen!$F$5:$Q$30,MATCH($B61,Fondsen!$A$5:$A$30,0),AB$8-$E61+1)))</f>
        <v/>
      </c>
      <c r="AC61" s="31" t="str">
        <f t="array" ref="AC61">IF(OR($B61="",$C61="",$E61=""),"",IF(OR(AC$8&lt;$E61,AC$8-$E61&gt;=12),0,$C61*INDEX(Fondsen!$F$5:$Q$30,MATCH($B61,Fondsen!$A$5:$A$30,0),AC$8-$E61+1)))</f>
        <v/>
      </c>
      <c r="AD61" s="30" t="str">
        <f t="array" ref="AD61">IF(OR($B61="",$C61="",$E61=""),"",IF(OR(AD$8&lt;$E61,AD$8-$E61&gt;=12),0,$C61*INDEX(Fondsen!$F$5:$Q$30,MATCH($B61,Fondsen!$A$5:$A$30,0),AD$8-$E61+1)))</f>
        <v/>
      </c>
      <c r="AE61" s="31" t="str">
        <f t="array" ref="AE61">IF(OR($B61="",$C61="",$E61=""),"",IF(OR(AE$8&lt;$E61,AE$8-$E61&gt;=12),0,$C61*INDEX(Fondsen!$F$5:$Q$30,MATCH($B61,Fondsen!$A$5:$A$30,0),AE$8-$E61+1)))</f>
        <v/>
      </c>
      <c r="AF61" s="30" t="str">
        <f t="array" ref="AF61">IF(OR($B61="",$C61="",$E61=""),"",IF(OR(AF$8&lt;$E61,AF$8-$E61&gt;=12),0,$C61*INDEX(Fondsen!$F$5:$Q$30,MATCH($B61,Fondsen!$A$5:$A$30,0),AF$8-$E61+1)))</f>
        <v/>
      </c>
      <c r="AG61" s="31" t="str">
        <f t="array" ref="AG61">IF(OR($B61="",$C61="",$E61=""),"",IF(OR(AG$8&lt;$E61,AG$8-$E61&gt;=12),0,$C61*INDEX(Fondsen!$F$5:$Q$30,MATCH($B61,Fondsen!$A$5:$A$30,0),AG$8-$E61+1)))</f>
        <v/>
      </c>
      <c r="AH61" s="30" t="str">
        <f t="array" ref="AH61">IF(OR($B61="",$C61="",$E61=""),"",IF(OR(AH$8&lt;$E61,AH$8-$E61&gt;=12),0,$C61*INDEX(Fondsen!$F$5:$Q$30,MATCH($B61,Fondsen!$A$5:$A$30,0),AH$8-$E61+1)))</f>
        <v/>
      </c>
      <c r="AI61" s="31" t="str">
        <f t="array" ref="AI61">IF(OR($B61="",$C61="",$E61=""),"",IF(OR(AI$8&lt;$E61,AI$8-$E61&gt;=12),0,$C61*INDEX(Fondsen!$F$5:$Q$30,MATCH($B61,Fondsen!$A$5:$A$30,0),AI$8-$E61+1)))</f>
        <v/>
      </c>
      <c r="AJ61" s="30" t="str">
        <f t="array" ref="AJ61">IF(OR($B61="",$C61="",$E61=""),"",IF(OR(AJ$8&lt;$E61,AJ$8-$E61&gt;=12),0,$C61*INDEX(Fondsen!$F$5:$Q$30,MATCH($B61,Fondsen!$A$5:$A$30,0),AJ$8-$E61+1)))</f>
        <v/>
      </c>
      <c r="AK61" s="31" t="str">
        <f t="array" ref="AK61">IF(OR($B61="",$C61="",$E61=""),"",IF(OR(AK$8&lt;$E61,AK$8-$E61&gt;=12),0,$C61*INDEX(Fondsen!$F$5:$Q$30,MATCH($B61,Fondsen!$A$5:$A$30,0),AK$8-$E61+1)))</f>
        <v/>
      </c>
      <c r="AL61" s="30" t="str">
        <f t="array" ref="AL61">IF(OR($B61="",$C61="",$E61=""),"",IF(OR(AL$8&lt;$E61,AL$8-$E61&gt;=12),0,$C61*INDEX(Fondsen!$F$5:$Q$30,MATCH($B61,Fondsen!$A$5:$A$30,0),AL$8-$E61+1)))</f>
        <v/>
      </c>
      <c r="AM61" s="31" t="str">
        <f t="array" ref="AM61">IF(OR($B61="",$C61="",$E61=""),"",IF(OR(AM$8&lt;$E61,AM$8-$E61&gt;=12),0,$C61*INDEX(Fondsen!$F$5:$Q$30,MATCH($B61,Fondsen!$A$5:$A$30,0),AM$8-$E61+1)))</f>
        <v/>
      </c>
      <c r="AN61" s="30" t="str">
        <f t="array" ref="AN61">IF(OR($B61="",$C61="",$E61=""),"",IF(OR(AN$8&lt;$E61,AN$8-$E61&gt;=12),0,$C61*INDEX(Fondsen!$F$5:$Q$30,MATCH($B61,Fondsen!$A$5:$A$30,0),AN$8-$E61+1)))</f>
        <v/>
      </c>
      <c r="AO61" s="31" t="str">
        <f t="array" ref="AO61">IF(OR($B61="",$C61="",$E61=""),"",IF(OR(AO$8&lt;$E61,AO$8-$E61&gt;=12),0,$C61*INDEX(Fondsen!$F$5:$Q$30,MATCH($B61,Fondsen!$A$5:$A$30,0),AO$8-$E61+1)))</f>
        <v/>
      </c>
      <c r="AP61" s="30" t="str">
        <f t="array" ref="AP61">IF(OR($B61="",$C61="",$E61=""),"",IF(OR(AP$8&lt;$E61,AP$8-$E61&gt;=12),0,$C61*INDEX(Fondsen!$F$5:$Q$30,MATCH($B61,Fondsen!$A$5:$A$30,0),AP$8-$E61+1)))</f>
        <v/>
      </c>
      <c r="AQ61" s="31" t="str">
        <f t="array" ref="AQ61">IF(OR($B61="",$C61="",$E61=""),"",IF(OR(AQ$8&lt;$E61,AQ$8-$E61&gt;=12),0,$C61*INDEX(Fondsen!$F$5:$Q$30,MATCH($B61,Fondsen!$A$5:$A$30,0),AQ$8-$E61+1)))</f>
        <v/>
      </c>
      <c r="AR61" s="30" t="str">
        <f t="array" ref="AR61">IF(OR($B61="",$C61="",$E61=""),"",IF(OR(AR$8&lt;$E61,AR$8-$E61&gt;=12),0,$C61*INDEX(Fondsen!$F$5:$Q$30,MATCH($B61,Fondsen!$A$5:$A$30,0),AR$8-$E61+1)))</f>
        <v/>
      </c>
      <c r="AS61" s="31" t="str">
        <f t="array" ref="AS61">IF(OR($B61="",$C61="",$E61=""),"",IF(OR(AS$8&lt;$E61,AS$8-$E61&gt;=12),0,$C61*INDEX(Fondsen!$F$5:$Q$30,MATCH($B61,Fondsen!$A$5:$A$30,0),AS$8-$E61+1)))</f>
        <v/>
      </c>
      <c r="AT61" s="45"/>
    </row>
    <row r="62" ht="24.0" customHeight="1" outlineLevel="1">
      <c r="A62" s="33" t="str">
        <f>IF(B62="","",IFERROR(VLOOKUP(B62,Fondsen!$A$5:$B$30,2,FALSE()),""))</f>
        <v/>
      </c>
      <c r="B62" s="34"/>
      <c r="C62" s="35"/>
      <c r="D62" s="46" t="s">
        <v>11</v>
      </c>
      <c r="E62" s="37"/>
      <c r="F62" s="38" t="str">
        <f t="array" ref="F62">IF(OR($B62="",$C62="",$E62=""),"",IF(OR(F$8&lt;$E62,F$8-$E62&gt;=12),0,$C62*INDEX(Fondsen!$F$5:$Q$30,MATCH($B62,Fondsen!$A$5:$A$30,0),F$8-$E62+1)))</f>
        <v/>
      </c>
      <c r="G62" s="39" t="str">
        <f t="array" ref="G62">IF(OR($B62="",$C62="",$E62=""),"",IF(OR(G$8&lt;$E62,G$8-$E62&gt;=12),0,$C62*INDEX(Fondsen!$F$5:$Q$30,MATCH($B62,Fondsen!$A$5:$A$30,0),G$8-$E62+1)))</f>
        <v/>
      </c>
      <c r="H62" s="38" t="str">
        <f t="array" ref="H62">IF(OR($B62="",$C62="",$E62=""),"",IF(OR(H$8&lt;$E62,H$8-$E62&gt;=12),0,$C62*INDEX(Fondsen!$F$5:$Q$30,MATCH($B62,Fondsen!$A$5:$A$30,0),H$8-$E62+1)))</f>
        <v/>
      </c>
      <c r="I62" s="39" t="str">
        <f t="array" ref="I62">IF(OR($B62="",$C62="",$E62=""),"",IF(OR(I$8&lt;$E62,I$8-$E62&gt;=12),0,$C62*INDEX(Fondsen!$F$5:$Q$30,MATCH($B62,Fondsen!$A$5:$A$30,0),I$8-$E62+1)))</f>
        <v/>
      </c>
      <c r="J62" s="38" t="str">
        <f t="array" ref="J62">IF(OR($B62="",$C62="",$E62=""),"",IF(OR(J$8&lt;$E62,J$8-$E62&gt;=12),0,$C62*INDEX(Fondsen!$F$5:$Q$30,MATCH($B62,Fondsen!$A$5:$A$30,0),J$8-$E62+1)))</f>
        <v/>
      </c>
      <c r="K62" s="39" t="str">
        <f t="array" ref="K62">IF(OR($B62="",$C62="",$E62=""),"",IF(OR(K$8&lt;$E62,K$8-$E62&gt;=12),0,$C62*INDEX(Fondsen!$F$5:$Q$30,MATCH($B62,Fondsen!$A$5:$A$30,0),K$8-$E62+1)))</f>
        <v/>
      </c>
      <c r="L62" s="38" t="str">
        <f t="array" ref="L62">IF(OR($B62="",$C62="",$E62=""),"",IF(OR(L$8&lt;$E62,L$8-$E62&gt;=12),0,$C62*INDEX(Fondsen!$F$5:$Q$30,MATCH($B62,Fondsen!$A$5:$A$30,0),L$8-$E62+1)))</f>
        <v/>
      </c>
      <c r="M62" s="39" t="str">
        <f t="array" ref="M62">IF(OR($B62="",$C62="",$E62=""),"",IF(OR(M$8&lt;$E62,M$8-$E62&gt;=12),0,$C62*INDEX(Fondsen!$F$5:$Q$30,MATCH($B62,Fondsen!$A$5:$A$30,0),M$8-$E62+1)))</f>
        <v/>
      </c>
      <c r="N62" s="38" t="str">
        <f t="array" ref="N62">IF(OR($B62="",$C62="",$E62=""),"",IF(OR(N$8&lt;$E62,N$8-$E62&gt;=12),0,$C62*INDEX(Fondsen!$F$5:$Q$30,MATCH($B62,Fondsen!$A$5:$A$30,0),N$8-$E62+1)))</f>
        <v/>
      </c>
      <c r="O62" s="39" t="str">
        <f t="array" ref="O62">IF(OR($B62="",$C62="",$E62=""),"",IF(OR(O$8&lt;$E62,O$8-$E62&gt;=12),0,$C62*INDEX(Fondsen!$F$5:$Q$30,MATCH($B62,Fondsen!$A$5:$A$30,0),O$8-$E62+1)))</f>
        <v/>
      </c>
      <c r="P62" s="38" t="str">
        <f t="array" ref="P62">IF(OR($B62="",$C62="",$E62=""),"",IF(OR(P$8&lt;$E62,P$8-$E62&gt;=12),0,$C62*INDEX(Fondsen!$F$5:$Q$30,MATCH($B62,Fondsen!$A$5:$A$30,0),P$8-$E62+1)))</f>
        <v/>
      </c>
      <c r="Q62" s="39" t="str">
        <f t="array" ref="Q62">IF(OR($B62="",$C62="",$E62=""),"",IF(OR(Q$8&lt;$E62,Q$8-$E62&gt;=12),0,$C62*INDEX(Fondsen!$F$5:$Q$30,MATCH($B62,Fondsen!$A$5:$A$30,0),Q$8-$E62+1)))</f>
        <v/>
      </c>
      <c r="R62" s="38" t="str">
        <f t="array" ref="R62">IF(OR($B62="",$C62="",$E62=""),"",IF(OR(R$8&lt;$E62,R$8-$E62&gt;=12),0,$C62*INDEX(Fondsen!$F$5:$Q$30,MATCH($B62,Fondsen!$A$5:$A$30,0),R$8-$E62+1)))</f>
        <v/>
      </c>
      <c r="S62" s="39" t="str">
        <f t="array" ref="S62">IF(OR($B62="",$C62="",$E62=""),"",IF(OR(S$8&lt;$E62,S$8-$E62&gt;=12),0,$C62*INDEX(Fondsen!$F$5:$Q$30,MATCH($B62,Fondsen!$A$5:$A$30,0),S$8-$E62+1)))</f>
        <v/>
      </c>
      <c r="T62" s="38" t="str">
        <f t="array" ref="T62">IF(OR($B62="",$C62="",$E62=""),"",IF(OR(T$8&lt;$E62,T$8-$E62&gt;=12),0,$C62*INDEX(Fondsen!$F$5:$Q$30,MATCH($B62,Fondsen!$A$5:$A$30,0),T$8-$E62+1)))</f>
        <v/>
      </c>
      <c r="U62" s="39" t="str">
        <f t="array" ref="U62">IF(OR($B62="",$C62="",$E62=""),"",IF(OR(U$8&lt;$E62,U$8-$E62&gt;=12),0,$C62*INDEX(Fondsen!$F$5:$Q$30,MATCH($B62,Fondsen!$A$5:$A$30,0),U$8-$E62+1)))</f>
        <v/>
      </c>
      <c r="V62" s="38" t="str">
        <f t="array" ref="V62">IF(OR($B62="",$C62="",$E62=""),"",IF(OR(V$8&lt;$E62,V$8-$E62&gt;=12),0,$C62*INDEX(Fondsen!$F$5:$Q$30,MATCH($B62,Fondsen!$A$5:$A$30,0),V$8-$E62+1)))</f>
        <v/>
      </c>
      <c r="W62" s="39" t="str">
        <f t="array" ref="W62">IF(OR($B62="",$C62="",$E62=""),"",IF(OR(W$8&lt;$E62,W$8-$E62&gt;=12),0,$C62*INDEX(Fondsen!$F$5:$Q$30,MATCH($B62,Fondsen!$A$5:$A$30,0),W$8-$E62+1)))</f>
        <v/>
      </c>
      <c r="X62" s="38" t="str">
        <f t="array" ref="X62">IF(OR($B62="",$C62="",$E62=""),"",IF(OR(X$8&lt;$E62,X$8-$E62&gt;=12),0,$C62*INDEX(Fondsen!$F$5:$Q$30,MATCH($B62,Fondsen!$A$5:$A$30,0),X$8-$E62+1)))</f>
        <v/>
      </c>
      <c r="Y62" s="39" t="str">
        <f t="array" ref="Y62">IF(OR($B62="",$C62="",$E62=""),"",IF(OR(Y$8&lt;$E62,Y$8-$E62&gt;=12),0,$C62*INDEX(Fondsen!$F$5:$Q$30,MATCH($B62,Fondsen!$A$5:$A$30,0),Y$8-$E62+1)))</f>
        <v/>
      </c>
      <c r="Z62" s="38" t="str">
        <f t="array" ref="Z62">IF(OR($B62="",$C62="",$E62=""),"",IF(OR(Z$8&lt;$E62,Z$8-$E62&gt;=12),0,$C62*INDEX(Fondsen!$F$5:$Q$30,MATCH($B62,Fondsen!$A$5:$A$30,0),Z$8-$E62+1)))</f>
        <v/>
      </c>
      <c r="AA62" s="39" t="str">
        <f t="array" ref="AA62">IF(OR($B62="",$C62="",$E62=""),"",IF(OR(AA$8&lt;$E62,AA$8-$E62&gt;=12),0,$C62*INDEX(Fondsen!$F$5:$Q$30,MATCH($B62,Fondsen!$A$5:$A$30,0),AA$8-$E62+1)))</f>
        <v/>
      </c>
      <c r="AB62" s="38" t="str">
        <f t="array" ref="AB62">IF(OR($B62="",$C62="",$E62=""),"",IF(OR(AB$8&lt;$E62,AB$8-$E62&gt;=12),0,$C62*INDEX(Fondsen!$F$5:$Q$30,MATCH($B62,Fondsen!$A$5:$A$30,0),AB$8-$E62+1)))</f>
        <v/>
      </c>
      <c r="AC62" s="39" t="str">
        <f t="array" ref="AC62">IF(OR($B62="",$C62="",$E62=""),"",IF(OR(AC$8&lt;$E62,AC$8-$E62&gt;=12),0,$C62*INDEX(Fondsen!$F$5:$Q$30,MATCH($B62,Fondsen!$A$5:$A$30,0),AC$8-$E62+1)))</f>
        <v/>
      </c>
      <c r="AD62" s="38" t="str">
        <f t="array" ref="AD62">IF(OR($B62="",$C62="",$E62=""),"",IF(OR(AD$8&lt;$E62,AD$8-$E62&gt;=12),0,$C62*INDEX(Fondsen!$F$5:$Q$30,MATCH($B62,Fondsen!$A$5:$A$30,0),AD$8-$E62+1)))</f>
        <v/>
      </c>
      <c r="AE62" s="39" t="str">
        <f t="array" ref="AE62">IF(OR($B62="",$C62="",$E62=""),"",IF(OR(AE$8&lt;$E62,AE$8-$E62&gt;=12),0,$C62*INDEX(Fondsen!$F$5:$Q$30,MATCH($B62,Fondsen!$A$5:$A$30,0),AE$8-$E62+1)))</f>
        <v/>
      </c>
      <c r="AF62" s="38" t="str">
        <f t="array" ref="AF62">IF(OR($B62="",$C62="",$E62=""),"",IF(OR(AF$8&lt;$E62,AF$8-$E62&gt;=12),0,$C62*INDEX(Fondsen!$F$5:$Q$30,MATCH($B62,Fondsen!$A$5:$A$30,0),AF$8-$E62+1)))</f>
        <v/>
      </c>
      <c r="AG62" s="39" t="str">
        <f t="array" ref="AG62">IF(OR($B62="",$C62="",$E62=""),"",IF(OR(AG$8&lt;$E62,AG$8-$E62&gt;=12),0,$C62*INDEX(Fondsen!$F$5:$Q$30,MATCH($B62,Fondsen!$A$5:$A$30,0),AG$8-$E62+1)))</f>
        <v/>
      </c>
      <c r="AH62" s="38" t="str">
        <f t="array" ref="AH62">IF(OR($B62="",$C62="",$E62=""),"",IF(OR(AH$8&lt;$E62,AH$8-$E62&gt;=12),0,$C62*INDEX(Fondsen!$F$5:$Q$30,MATCH($B62,Fondsen!$A$5:$A$30,0),AH$8-$E62+1)))</f>
        <v/>
      </c>
      <c r="AI62" s="39" t="str">
        <f t="array" ref="AI62">IF(OR($B62="",$C62="",$E62=""),"",IF(OR(AI$8&lt;$E62,AI$8-$E62&gt;=12),0,$C62*INDEX(Fondsen!$F$5:$Q$30,MATCH($B62,Fondsen!$A$5:$A$30,0),AI$8-$E62+1)))</f>
        <v/>
      </c>
      <c r="AJ62" s="38" t="str">
        <f t="array" ref="AJ62">IF(OR($B62="",$C62="",$E62=""),"",IF(OR(AJ$8&lt;$E62,AJ$8-$E62&gt;=12),0,$C62*INDEX(Fondsen!$F$5:$Q$30,MATCH($B62,Fondsen!$A$5:$A$30,0),AJ$8-$E62+1)))</f>
        <v/>
      </c>
      <c r="AK62" s="39" t="str">
        <f t="array" ref="AK62">IF(OR($B62="",$C62="",$E62=""),"",IF(OR(AK$8&lt;$E62,AK$8-$E62&gt;=12),0,$C62*INDEX(Fondsen!$F$5:$Q$30,MATCH($B62,Fondsen!$A$5:$A$30,0),AK$8-$E62+1)))</f>
        <v/>
      </c>
      <c r="AL62" s="38" t="str">
        <f t="array" ref="AL62">IF(OR($B62="",$C62="",$E62=""),"",IF(OR(AL$8&lt;$E62,AL$8-$E62&gt;=12),0,$C62*INDEX(Fondsen!$F$5:$Q$30,MATCH($B62,Fondsen!$A$5:$A$30,0),AL$8-$E62+1)))</f>
        <v/>
      </c>
      <c r="AM62" s="39" t="str">
        <f t="array" ref="AM62">IF(OR($B62="",$C62="",$E62=""),"",IF(OR(AM$8&lt;$E62,AM$8-$E62&gt;=12),0,$C62*INDEX(Fondsen!$F$5:$Q$30,MATCH($B62,Fondsen!$A$5:$A$30,0),AM$8-$E62+1)))</f>
        <v/>
      </c>
      <c r="AN62" s="38" t="str">
        <f t="array" ref="AN62">IF(OR($B62="",$C62="",$E62=""),"",IF(OR(AN$8&lt;$E62,AN$8-$E62&gt;=12),0,$C62*INDEX(Fondsen!$F$5:$Q$30,MATCH($B62,Fondsen!$A$5:$A$30,0),AN$8-$E62+1)))</f>
        <v/>
      </c>
      <c r="AO62" s="39" t="str">
        <f t="array" ref="AO62">IF(OR($B62="",$C62="",$E62=""),"",IF(OR(AO$8&lt;$E62,AO$8-$E62&gt;=12),0,$C62*INDEX(Fondsen!$F$5:$Q$30,MATCH($B62,Fondsen!$A$5:$A$30,0),AO$8-$E62+1)))</f>
        <v/>
      </c>
      <c r="AP62" s="38" t="str">
        <f t="array" ref="AP62">IF(OR($B62="",$C62="",$E62=""),"",IF(OR(AP$8&lt;$E62,AP$8-$E62&gt;=12),0,$C62*INDEX(Fondsen!$F$5:$Q$30,MATCH($B62,Fondsen!$A$5:$A$30,0),AP$8-$E62+1)))</f>
        <v/>
      </c>
      <c r="AQ62" s="39" t="str">
        <f t="array" ref="AQ62">IF(OR($B62="",$C62="",$E62=""),"",IF(OR(AQ$8&lt;$E62,AQ$8-$E62&gt;=12),0,$C62*INDEX(Fondsen!$F$5:$Q$30,MATCH($B62,Fondsen!$A$5:$A$30,0),AQ$8-$E62+1)))</f>
        <v/>
      </c>
      <c r="AR62" s="38" t="str">
        <f t="array" ref="AR62">IF(OR($B62="",$C62="",$E62=""),"",IF(OR(AR$8&lt;$E62,AR$8-$E62&gt;=12),0,$C62*INDEX(Fondsen!$F$5:$Q$30,MATCH($B62,Fondsen!$A$5:$A$30,0),AR$8-$E62+1)))</f>
        <v/>
      </c>
      <c r="AS62" s="39" t="str">
        <f t="array" ref="AS62">IF(OR($B62="",$C62="",$E62=""),"",IF(OR(AS$8&lt;$E62,AS$8-$E62&gt;=12),0,$C62*INDEX(Fondsen!$F$5:$Q$30,MATCH($B62,Fondsen!$A$5:$A$30,0),AS$8-$E62+1)))</f>
        <v/>
      </c>
      <c r="AT62" s="45"/>
    </row>
    <row r="63" ht="24.0" customHeight="1" outlineLevel="1">
      <c r="A63" s="47" t="str">
        <f>IF(B63="","",IFERROR(VLOOKUP(B63,Fondsen!$A$5:$B$30,2,FALSE()),""))</f>
        <v/>
      </c>
      <c r="B63" s="26"/>
      <c r="C63" s="27"/>
      <c r="D63" s="44" t="s">
        <v>11</v>
      </c>
      <c r="E63" s="29"/>
      <c r="F63" s="30" t="str">
        <f t="array" ref="F63">IF(OR($B63="",$C63="",$E63=""),"",IF(OR(F$8&lt;$E63,F$8-$E63&gt;=12),0,$C63*INDEX(Fondsen!$F$5:$Q$30,MATCH($B63,Fondsen!$A$5:$A$30,0),F$8-$E63+1)))</f>
        <v/>
      </c>
      <c r="G63" s="31" t="str">
        <f t="array" ref="G63">IF(OR($B63="",$C63="",$E63=""),"",IF(OR(G$8&lt;$E63,G$8-$E63&gt;=12),0,$C63*INDEX(Fondsen!$F$5:$Q$30,MATCH($B63,Fondsen!$A$5:$A$30,0),G$8-$E63+1)))</f>
        <v/>
      </c>
      <c r="H63" s="30" t="str">
        <f t="array" ref="H63">IF(OR($B63="",$C63="",$E63=""),"",IF(OR(H$8&lt;$E63,H$8-$E63&gt;=12),0,$C63*INDEX(Fondsen!$F$5:$Q$30,MATCH($B63,Fondsen!$A$5:$A$30,0),H$8-$E63+1)))</f>
        <v/>
      </c>
      <c r="I63" s="31" t="str">
        <f t="array" ref="I63">IF(OR($B63="",$C63="",$E63=""),"",IF(OR(I$8&lt;$E63,I$8-$E63&gt;=12),0,$C63*INDEX(Fondsen!$F$5:$Q$30,MATCH($B63,Fondsen!$A$5:$A$30,0),I$8-$E63+1)))</f>
        <v/>
      </c>
      <c r="J63" s="30" t="str">
        <f t="array" ref="J63">IF(OR($B63="",$C63="",$E63=""),"",IF(OR(J$8&lt;$E63,J$8-$E63&gt;=12),0,$C63*INDEX(Fondsen!$F$5:$Q$30,MATCH($B63,Fondsen!$A$5:$A$30,0),J$8-$E63+1)))</f>
        <v/>
      </c>
      <c r="K63" s="31" t="str">
        <f t="array" ref="K63">IF(OR($B63="",$C63="",$E63=""),"",IF(OR(K$8&lt;$E63,K$8-$E63&gt;=12),0,$C63*INDEX(Fondsen!$F$5:$Q$30,MATCH($B63,Fondsen!$A$5:$A$30,0),K$8-$E63+1)))</f>
        <v/>
      </c>
      <c r="L63" s="30" t="str">
        <f t="array" ref="L63">IF(OR($B63="",$C63="",$E63=""),"",IF(OR(L$8&lt;$E63,L$8-$E63&gt;=12),0,$C63*INDEX(Fondsen!$F$5:$Q$30,MATCH($B63,Fondsen!$A$5:$A$30,0),L$8-$E63+1)))</f>
        <v/>
      </c>
      <c r="M63" s="31" t="str">
        <f t="array" ref="M63">IF(OR($B63="",$C63="",$E63=""),"",IF(OR(M$8&lt;$E63,M$8-$E63&gt;=12),0,$C63*INDEX(Fondsen!$F$5:$Q$30,MATCH($B63,Fondsen!$A$5:$A$30,0),M$8-$E63+1)))</f>
        <v/>
      </c>
      <c r="N63" s="30" t="str">
        <f t="array" ref="N63">IF(OR($B63="",$C63="",$E63=""),"",IF(OR(N$8&lt;$E63,N$8-$E63&gt;=12),0,$C63*INDEX(Fondsen!$F$5:$Q$30,MATCH($B63,Fondsen!$A$5:$A$30,0),N$8-$E63+1)))</f>
        <v/>
      </c>
      <c r="O63" s="31" t="str">
        <f t="array" ref="O63">IF(OR($B63="",$C63="",$E63=""),"",IF(OR(O$8&lt;$E63,O$8-$E63&gt;=12),0,$C63*INDEX(Fondsen!$F$5:$Q$30,MATCH($B63,Fondsen!$A$5:$A$30,0),O$8-$E63+1)))</f>
        <v/>
      </c>
      <c r="P63" s="30" t="str">
        <f t="array" ref="P63">IF(OR($B63="",$C63="",$E63=""),"",IF(OR(P$8&lt;$E63,P$8-$E63&gt;=12),0,$C63*INDEX(Fondsen!$F$5:$Q$30,MATCH($B63,Fondsen!$A$5:$A$30,0),P$8-$E63+1)))</f>
        <v/>
      </c>
      <c r="Q63" s="31" t="str">
        <f t="array" ref="Q63">IF(OR($B63="",$C63="",$E63=""),"",IF(OR(Q$8&lt;$E63,Q$8-$E63&gt;=12),0,$C63*INDEX(Fondsen!$F$5:$Q$30,MATCH($B63,Fondsen!$A$5:$A$30,0),Q$8-$E63+1)))</f>
        <v/>
      </c>
      <c r="R63" s="30" t="str">
        <f t="array" ref="R63">IF(OR($B63="",$C63="",$E63=""),"",IF(OR(R$8&lt;$E63,R$8-$E63&gt;=12),0,$C63*INDEX(Fondsen!$F$5:$Q$30,MATCH($B63,Fondsen!$A$5:$A$30,0),R$8-$E63+1)))</f>
        <v/>
      </c>
      <c r="S63" s="31" t="str">
        <f t="array" ref="S63">IF(OR($B63="",$C63="",$E63=""),"",IF(OR(S$8&lt;$E63,S$8-$E63&gt;=12),0,$C63*INDEX(Fondsen!$F$5:$Q$30,MATCH($B63,Fondsen!$A$5:$A$30,0),S$8-$E63+1)))</f>
        <v/>
      </c>
      <c r="T63" s="30" t="str">
        <f t="array" ref="T63">IF(OR($B63="",$C63="",$E63=""),"",IF(OR(T$8&lt;$E63,T$8-$E63&gt;=12),0,$C63*INDEX(Fondsen!$F$5:$Q$30,MATCH($B63,Fondsen!$A$5:$A$30,0),T$8-$E63+1)))</f>
        <v/>
      </c>
      <c r="U63" s="31" t="str">
        <f t="array" ref="U63">IF(OR($B63="",$C63="",$E63=""),"",IF(OR(U$8&lt;$E63,U$8-$E63&gt;=12),0,$C63*INDEX(Fondsen!$F$5:$Q$30,MATCH($B63,Fondsen!$A$5:$A$30,0),U$8-$E63+1)))</f>
        <v/>
      </c>
      <c r="V63" s="30" t="str">
        <f t="array" ref="V63">IF(OR($B63="",$C63="",$E63=""),"",IF(OR(V$8&lt;$E63,V$8-$E63&gt;=12),0,$C63*INDEX(Fondsen!$F$5:$Q$30,MATCH($B63,Fondsen!$A$5:$A$30,0),V$8-$E63+1)))</f>
        <v/>
      </c>
      <c r="W63" s="31" t="str">
        <f t="array" ref="W63">IF(OR($B63="",$C63="",$E63=""),"",IF(OR(W$8&lt;$E63,W$8-$E63&gt;=12),0,$C63*INDEX(Fondsen!$F$5:$Q$30,MATCH($B63,Fondsen!$A$5:$A$30,0),W$8-$E63+1)))</f>
        <v/>
      </c>
      <c r="X63" s="30" t="str">
        <f t="array" ref="X63">IF(OR($B63="",$C63="",$E63=""),"",IF(OR(X$8&lt;$E63,X$8-$E63&gt;=12),0,$C63*INDEX(Fondsen!$F$5:$Q$30,MATCH($B63,Fondsen!$A$5:$A$30,0),X$8-$E63+1)))</f>
        <v/>
      </c>
      <c r="Y63" s="31" t="str">
        <f t="array" ref="Y63">IF(OR($B63="",$C63="",$E63=""),"",IF(OR(Y$8&lt;$E63,Y$8-$E63&gt;=12),0,$C63*INDEX(Fondsen!$F$5:$Q$30,MATCH($B63,Fondsen!$A$5:$A$30,0),Y$8-$E63+1)))</f>
        <v/>
      </c>
      <c r="Z63" s="30" t="str">
        <f t="array" ref="Z63">IF(OR($B63="",$C63="",$E63=""),"",IF(OR(Z$8&lt;$E63,Z$8-$E63&gt;=12),0,$C63*INDEX(Fondsen!$F$5:$Q$30,MATCH($B63,Fondsen!$A$5:$A$30,0),Z$8-$E63+1)))</f>
        <v/>
      </c>
      <c r="AA63" s="31" t="str">
        <f t="array" ref="AA63">IF(OR($B63="",$C63="",$E63=""),"",IF(OR(AA$8&lt;$E63,AA$8-$E63&gt;=12),0,$C63*INDEX(Fondsen!$F$5:$Q$30,MATCH($B63,Fondsen!$A$5:$A$30,0),AA$8-$E63+1)))</f>
        <v/>
      </c>
      <c r="AB63" s="30" t="str">
        <f t="array" ref="AB63">IF(OR($B63="",$C63="",$E63=""),"",IF(OR(AB$8&lt;$E63,AB$8-$E63&gt;=12),0,$C63*INDEX(Fondsen!$F$5:$Q$30,MATCH($B63,Fondsen!$A$5:$A$30,0),AB$8-$E63+1)))</f>
        <v/>
      </c>
      <c r="AC63" s="31" t="str">
        <f t="array" ref="AC63">IF(OR($B63="",$C63="",$E63=""),"",IF(OR(AC$8&lt;$E63,AC$8-$E63&gt;=12),0,$C63*INDEX(Fondsen!$F$5:$Q$30,MATCH($B63,Fondsen!$A$5:$A$30,0),AC$8-$E63+1)))</f>
        <v/>
      </c>
      <c r="AD63" s="30" t="str">
        <f t="array" ref="AD63">IF(OR($B63="",$C63="",$E63=""),"",IF(OR(AD$8&lt;$E63,AD$8-$E63&gt;=12),0,$C63*INDEX(Fondsen!$F$5:$Q$30,MATCH($B63,Fondsen!$A$5:$A$30,0),AD$8-$E63+1)))</f>
        <v/>
      </c>
      <c r="AE63" s="31" t="str">
        <f t="array" ref="AE63">IF(OR($B63="",$C63="",$E63=""),"",IF(OR(AE$8&lt;$E63,AE$8-$E63&gt;=12),0,$C63*INDEX(Fondsen!$F$5:$Q$30,MATCH($B63,Fondsen!$A$5:$A$30,0),AE$8-$E63+1)))</f>
        <v/>
      </c>
      <c r="AF63" s="30" t="str">
        <f t="array" ref="AF63">IF(OR($B63="",$C63="",$E63=""),"",IF(OR(AF$8&lt;$E63,AF$8-$E63&gt;=12),0,$C63*INDEX(Fondsen!$F$5:$Q$30,MATCH($B63,Fondsen!$A$5:$A$30,0),AF$8-$E63+1)))</f>
        <v/>
      </c>
      <c r="AG63" s="31" t="str">
        <f t="array" ref="AG63">IF(OR($B63="",$C63="",$E63=""),"",IF(OR(AG$8&lt;$E63,AG$8-$E63&gt;=12),0,$C63*INDEX(Fondsen!$F$5:$Q$30,MATCH($B63,Fondsen!$A$5:$A$30,0),AG$8-$E63+1)))</f>
        <v/>
      </c>
      <c r="AH63" s="30" t="str">
        <f t="array" ref="AH63">IF(OR($B63="",$C63="",$E63=""),"",IF(OR(AH$8&lt;$E63,AH$8-$E63&gt;=12),0,$C63*INDEX(Fondsen!$F$5:$Q$30,MATCH($B63,Fondsen!$A$5:$A$30,0),AH$8-$E63+1)))</f>
        <v/>
      </c>
      <c r="AI63" s="31" t="str">
        <f t="array" ref="AI63">IF(OR($B63="",$C63="",$E63=""),"",IF(OR(AI$8&lt;$E63,AI$8-$E63&gt;=12),0,$C63*INDEX(Fondsen!$F$5:$Q$30,MATCH($B63,Fondsen!$A$5:$A$30,0),AI$8-$E63+1)))</f>
        <v/>
      </c>
      <c r="AJ63" s="30" t="str">
        <f t="array" ref="AJ63">IF(OR($B63="",$C63="",$E63=""),"",IF(OR(AJ$8&lt;$E63,AJ$8-$E63&gt;=12),0,$C63*INDEX(Fondsen!$F$5:$Q$30,MATCH($B63,Fondsen!$A$5:$A$30,0),AJ$8-$E63+1)))</f>
        <v/>
      </c>
      <c r="AK63" s="31" t="str">
        <f t="array" ref="AK63">IF(OR($B63="",$C63="",$E63=""),"",IF(OR(AK$8&lt;$E63,AK$8-$E63&gt;=12),0,$C63*INDEX(Fondsen!$F$5:$Q$30,MATCH($B63,Fondsen!$A$5:$A$30,0),AK$8-$E63+1)))</f>
        <v/>
      </c>
      <c r="AL63" s="30" t="str">
        <f t="array" ref="AL63">IF(OR($B63="",$C63="",$E63=""),"",IF(OR(AL$8&lt;$E63,AL$8-$E63&gt;=12),0,$C63*INDEX(Fondsen!$F$5:$Q$30,MATCH($B63,Fondsen!$A$5:$A$30,0),AL$8-$E63+1)))</f>
        <v/>
      </c>
      <c r="AM63" s="31" t="str">
        <f t="array" ref="AM63">IF(OR($B63="",$C63="",$E63=""),"",IF(OR(AM$8&lt;$E63,AM$8-$E63&gt;=12),0,$C63*INDEX(Fondsen!$F$5:$Q$30,MATCH($B63,Fondsen!$A$5:$A$30,0),AM$8-$E63+1)))</f>
        <v/>
      </c>
      <c r="AN63" s="30" t="str">
        <f t="array" ref="AN63">IF(OR($B63="",$C63="",$E63=""),"",IF(OR(AN$8&lt;$E63,AN$8-$E63&gt;=12),0,$C63*INDEX(Fondsen!$F$5:$Q$30,MATCH($B63,Fondsen!$A$5:$A$30,0),AN$8-$E63+1)))</f>
        <v/>
      </c>
      <c r="AO63" s="31" t="str">
        <f t="array" ref="AO63">IF(OR($B63="",$C63="",$E63=""),"",IF(OR(AO$8&lt;$E63,AO$8-$E63&gt;=12),0,$C63*INDEX(Fondsen!$F$5:$Q$30,MATCH($B63,Fondsen!$A$5:$A$30,0),AO$8-$E63+1)))</f>
        <v/>
      </c>
      <c r="AP63" s="30" t="str">
        <f t="array" ref="AP63">IF(OR($B63="",$C63="",$E63=""),"",IF(OR(AP$8&lt;$E63,AP$8-$E63&gt;=12),0,$C63*INDEX(Fondsen!$F$5:$Q$30,MATCH($B63,Fondsen!$A$5:$A$30,0),AP$8-$E63+1)))</f>
        <v/>
      </c>
      <c r="AQ63" s="31" t="str">
        <f t="array" ref="AQ63">IF(OR($B63="",$C63="",$E63=""),"",IF(OR(AQ$8&lt;$E63,AQ$8-$E63&gt;=12),0,$C63*INDEX(Fondsen!$F$5:$Q$30,MATCH($B63,Fondsen!$A$5:$A$30,0),AQ$8-$E63+1)))</f>
        <v/>
      </c>
      <c r="AR63" s="30" t="str">
        <f t="array" ref="AR63">IF(OR($B63="",$C63="",$E63=""),"",IF(OR(AR$8&lt;$E63,AR$8-$E63&gt;=12),0,$C63*INDEX(Fondsen!$F$5:$Q$30,MATCH($B63,Fondsen!$A$5:$A$30,0),AR$8-$E63+1)))</f>
        <v/>
      </c>
      <c r="AS63" s="31" t="str">
        <f t="array" ref="AS63">IF(OR($B63="",$C63="",$E63=""),"",IF(OR(AS$8&lt;$E63,AS$8-$E63&gt;=12),0,$C63*INDEX(Fondsen!$F$5:$Q$30,MATCH($B63,Fondsen!$A$5:$A$30,0),AS$8-$E63+1)))</f>
        <v/>
      </c>
      <c r="AT63" s="45"/>
    </row>
    <row r="64" ht="24.0" customHeight="1" outlineLevel="1">
      <c r="A64" s="33" t="str">
        <f>IF(B64="","",IFERROR(VLOOKUP(B64,Fondsen!$A$5:$B$30,2,FALSE()),""))</f>
        <v/>
      </c>
      <c r="B64" s="34"/>
      <c r="C64" s="35"/>
      <c r="D64" s="46" t="s">
        <v>11</v>
      </c>
      <c r="E64" s="37"/>
      <c r="F64" s="38" t="str">
        <f t="array" ref="F64">IF(OR($B64="",$C64="",$E64=""),"",IF(OR(F$8&lt;$E64,F$8-$E64&gt;=12),0,$C64*INDEX(Fondsen!$F$5:$Q$30,MATCH($B64,Fondsen!$A$5:$A$30,0),F$8-$E64+1)))</f>
        <v/>
      </c>
      <c r="G64" s="39" t="str">
        <f t="array" ref="G64">IF(OR($B64="",$C64="",$E64=""),"",IF(OR(G$8&lt;$E64,G$8-$E64&gt;=12),0,$C64*INDEX(Fondsen!$F$5:$Q$30,MATCH($B64,Fondsen!$A$5:$A$30,0),G$8-$E64+1)))</f>
        <v/>
      </c>
      <c r="H64" s="38" t="str">
        <f t="array" ref="H64">IF(OR($B64="",$C64="",$E64=""),"",IF(OR(H$8&lt;$E64,H$8-$E64&gt;=12),0,$C64*INDEX(Fondsen!$F$5:$Q$30,MATCH($B64,Fondsen!$A$5:$A$30,0),H$8-$E64+1)))</f>
        <v/>
      </c>
      <c r="I64" s="39" t="str">
        <f t="array" ref="I64">IF(OR($B64="",$C64="",$E64=""),"",IF(OR(I$8&lt;$E64,I$8-$E64&gt;=12),0,$C64*INDEX(Fondsen!$F$5:$Q$30,MATCH($B64,Fondsen!$A$5:$A$30,0),I$8-$E64+1)))</f>
        <v/>
      </c>
      <c r="J64" s="38" t="str">
        <f t="array" ref="J64">IF(OR($B64="",$C64="",$E64=""),"",IF(OR(J$8&lt;$E64,J$8-$E64&gt;=12),0,$C64*INDEX(Fondsen!$F$5:$Q$30,MATCH($B64,Fondsen!$A$5:$A$30,0),J$8-$E64+1)))</f>
        <v/>
      </c>
      <c r="K64" s="39" t="str">
        <f t="array" ref="K64">IF(OR($B64="",$C64="",$E64=""),"",IF(OR(K$8&lt;$E64,K$8-$E64&gt;=12),0,$C64*INDEX(Fondsen!$F$5:$Q$30,MATCH($B64,Fondsen!$A$5:$A$30,0),K$8-$E64+1)))</f>
        <v/>
      </c>
      <c r="L64" s="38" t="str">
        <f t="array" ref="L64">IF(OR($B64="",$C64="",$E64=""),"",IF(OR(L$8&lt;$E64,L$8-$E64&gt;=12),0,$C64*INDEX(Fondsen!$F$5:$Q$30,MATCH($B64,Fondsen!$A$5:$A$30,0),L$8-$E64+1)))</f>
        <v/>
      </c>
      <c r="M64" s="39" t="str">
        <f t="array" ref="M64">IF(OR($B64="",$C64="",$E64=""),"",IF(OR(M$8&lt;$E64,M$8-$E64&gt;=12),0,$C64*INDEX(Fondsen!$F$5:$Q$30,MATCH($B64,Fondsen!$A$5:$A$30,0),M$8-$E64+1)))</f>
        <v/>
      </c>
      <c r="N64" s="38" t="str">
        <f t="array" ref="N64">IF(OR($B64="",$C64="",$E64=""),"",IF(OR(N$8&lt;$E64,N$8-$E64&gt;=12),0,$C64*INDEX(Fondsen!$F$5:$Q$30,MATCH($B64,Fondsen!$A$5:$A$30,0),N$8-$E64+1)))</f>
        <v/>
      </c>
      <c r="O64" s="39" t="str">
        <f t="array" ref="O64">IF(OR($B64="",$C64="",$E64=""),"",IF(OR(O$8&lt;$E64,O$8-$E64&gt;=12),0,$C64*INDEX(Fondsen!$F$5:$Q$30,MATCH($B64,Fondsen!$A$5:$A$30,0),O$8-$E64+1)))</f>
        <v/>
      </c>
      <c r="P64" s="38" t="str">
        <f t="array" ref="P64">IF(OR($B64="",$C64="",$E64=""),"",IF(OR(P$8&lt;$E64,P$8-$E64&gt;=12),0,$C64*INDEX(Fondsen!$F$5:$Q$30,MATCH($B64,Fondsen!$A$5:$A$30,0),P$8-$E64+1)))</f>
        <v/>
      </c>
      <c r="Q64" s="39" t="str">
        <f t="array" ref="Q64">IF(OR($B64="",$C64="",$E64=""),"",IF(OR(Q$8&lt;$E64,Q$8-$E64&gt;=12),0,$C64*INDEX(Fondsen!$F$5:$Q$30,MATCH($B64,Fondsen!$A$5:$A$30,0),Q$8-$E64+1)))</f>
        <v/>
      </c>
      <c r="R64" s="38" t="str">
        <f t="array" ref="R64">IF(OR($B64="",$C64="",$E64=""),"",IF(OR(R$8&lt;$E64,R$8-$E64&gt;=12),0,$C64*INDEX(Fondsen!$F$5:$Q$30,MATCH($B64,Fondsen!$A$5:$A$30,0),R$8-$E64+1)))</f>
        <v/>
      </c>
      <c r="S64" s="39" t="str">
        <f t="array" ref="S64">IF(OR($B64="",$C64="",$E64=""),"",IF(OR(S$8&lt;$E64,S$8-$E64&gt;=12),0,$C64*INDEX(Fondsen!$F$5:$Q$30,MATCH($B64,Fondsen!$A$5:$A$30,0),S$8-$E64+1)))</f>
        <v/>
      </c>
      <c r="T64" s="38" t="str">
        <f t="array" ref="T64">IF(OR($B64="",$C64="",$E64=""),"",IF(OR(T$8&lt;$E64,T$8-$E64&gt;=12),0,$C64*INDEX(Fondsen!$F$5:$Q$30,MATCH($B64,Fondsen!$A$5:$A$30,0),T$8-$E64+1)))</f>
        <v/>
      </c>
      <c r="U64" s="39" t="str">
        <f t="array" ref="U64">IF(OR($B64="",$C64="",$E64=""),"",IF(OR(U$8&lt;$E64,U$8-$E64&gt;=12),0,$C64*INDEX(Fondsen!$F$5:$Q$30,MATCH($B64,Fondsen!$A$5:$A$30,0),U$8-$E64+1)))</f>
        <v/>
      </c>
      <c r="V64" s="38" t="str">
        <f t="array" ref="V64">IF(OR($B64="",$C64="",$E64=""),"",IF(OR(V$8&lt;$E64,V$8-$E64&gt;=12),0,$C64*INDEX(Fondsen!$F$5:$Q$30,MATCH($B64,Fondsen!$A$5:$A$30,0),V$8-$E64+1)))</f>
        <v/>
      </c>
      <c r="W64" s="39" t="str">
        <f t="array" ref="W64">IF(OR($B64="",$C64="",$E64=""),"",IF(OR(W$8&lt;$E64,W$8-$E64&gt;=12),0,$C64*INDEX(Fondsen!$F$5:$Q$30,MATCH($B64,Fondsen!$A$5:$A$30,0),W$8-$E64+1)))</f>
        <v/>
      </c>
      <c r="X64" s="38" t="str">
        <f t="array" ref="X64">IF(OR($B64="",$C64="",$E64=""),"",IF(OR(X$8&lt;$E64,X$8-$E64&gt;=12),0,$C64*INDEX(Fondsen!$F$5:$Q$30,MATCH($B64,Fondsen!$A$5:$A$30,0),X$8-$E64+1)))</f>
        <v/>
      </c>
      <c r="Y64" s="39" t="str">
        <f t="array" ref="Y64">IF(OR($B64="",$C64="",$E64=""),"",IF(OR(Y$8&lt;$E64,Y$8-$E64&gt;=12),0,$C64*INDEX(Fondsen!$F$5:$Q$30,MATCH($B64,Fondsen!$A$5:$A$30,0),Y$8-$E64+1)))</f>
        <v/>
      </c>
      <c r="Z64" s="38" t="str">
        <f t="array" ref="Z64">IF(OR($B64="",$C64="",$E64=""),"",IF(OR(Z$8&lt;$E64,Z$8-$E64&gt;=12),0,$C64*INDEX(Fondsen!$F$5:$Q$30,MATCH($B64,Fondsen!$A$5:$A$30,0),Z$8-$E64+1)))</f>
        <v/>
      </c>
      <c r="AA64" s="39" t="str">
        <f t="array" ref="AA64">IF(OR($B64="",$C64="",$E64=""),"",IF(OR(AA$8&lt;$E64,AA$8-$E64&gt;=12),0,$C64*INDEX(Fondsen!$F$5:$Q$30,MATCH($B64,Fondsen!$A$5:$A$30,0),AA$8-$E64+1)))</f>
        <v/>
      </c>
      <c r="AB64" s="38" t="str">
        <f t="array" ref="AB64">IF(OR($B64="",$C64="",$E64=""),"",IF(OR(AB$8&lt;$E64,AB$8-$E64&gt;=12),0,$C64*INDEX(Fondsen!$F$5:$Q$30,MATCH($B64,Fondsen!$A$5:$A$30,0),AB$8-$E64+1)))</f>
        <v/>
      </c>
      <c r="AC64" s="39" t="str">
        <f t="array" ref="AC64">IF(OR($B64="",$C64="",$E64=""),"",IF(OR(AC$8&lt;$E64,AC$8-$E64&gt;=12),0,$C64*INDEX(Fondsen!$F$5:$Q$30,MATCH($B64,Fondsen!$A$5:$A$30,0),AC$8-$E64+1)))</f>
        <v/>
      </c>
      <c r="AD64" s="38" t="str">
        <f t="array" ref="AD64">IF(OR($B64="",$C64="",$E64=""),"",IF(OR(AD$8&lt;$E64,AD$8-$E64&gt;=12),0,$C64*INDEX(Fondsen!$F$5:$Q$30,MATCH($B64,Fondsen!$A$5:$A$30,0),AD$8-$E64+1)))</f>
        <v/>
      </c>
      <c r="AE64" s="39" t="str">
        <f t="array" ref="AE64">IF(OR($B64="",$C64="",$E64=""),"",IF(OR(AE$8&lt;$E64,AE$8-$E64&gt;=12),0,$C64*INDEX(Fondsen!$F$5:$Q$30,MATCH($B64,Fondsen!$A$5:$A$30,0),AE$8-$E64+1)))</f>
        <v/>
      </c>
      <c r="AF64" s="38" t="str">
        <f t="array" ref="AF64">IF(OR($B64="",$C64="",$E64=""),"",IF(OR(AF$8&lt;$E64,AF$8-$E64&gt;=12),0,$C64*INDEX(Fondsen!$F$5:$Q$30,MATCH($B64,Fondsen!$A$5:$A$30,0),AF$8-$E64+1)))</f>
        <v/>
      </c>
      <c r="AG64" s="39" t="str">
        <f t="array" ref="AG64">IF(OR($B64="",$C64="",$E64=""),"",IF(OR(AG$8&lt;$E64,AG$8-$E64&gt;=12),0,$C64*INDEX(Fondsen!$F$5:$Q$30,MATCH($B64,Fondsen!$A$5:$A$30,0),AG$8-$E64+1)))</f>
        <v/>
      </c>
      <c r="AH64" s="38" t="str">
        <f t="array" ref="AH64">IF(OR($B64="",$C64="",$E64=""),"",IF(OR(AH$8&lt;$E64,AH$8-$E64&gt;=12),0,$C64*INDEX(Fondsen!$F$5:$Q$30,MATCH($B64,Fondsen!$A$5:$A$30,0),AH$8-$E64+1)))</f>
        <v/>
      </c>
      <c r="AI64" s="39" t="str">
        <f t="array" ref="AI64">IF(OR($B64="",$C64="",$E64=""),"",IF(OR(AI$8&lt;$E64,AI$8-$E64&gt;=12),0,$C64*INDEX(Fondsen!$F$5:$Q$30,MATCH($B64,Fondsen!$A$5:$A$30,0),AI$8-$E64+1)))</f>
        <v/>
      </c>
      <c r="AJ64" s="38" t="str">
        <f t="array" ref="AJ64">IF(OR($B64="",$C64="",$E64=""),"",IF(OR(AJ$8&lt;$E64,AJ$8-$E64&gt;=12),0,$C64*INDEX(Fondsen!$F$5:$Q$30,MATCH($B64,Fondsen!$A$5:$A$30,0),AJ$8-$E64+1)))</f>
        <v/>
      </c>
      <c r="AK64" s="39" t="str">
        <f t="array" ref="AK64">IF(OR($B64="",$C64="",$E64=""),"",IF(OR(AK$8&lt;$E64,AK$8-$E64&gt;=12),0,$C64*INDEX(Fondsen!$F$5:$Q$30,MATCH($B64,Fondsen!$A$5:$A$30,0),AK$8-$E64+1)))</f>
        <v/>
      </c>
      <c r="AL64" s="38" t="str">
        <f t="array" ref="AL64">IF(OR($B64="",$C64="",$E64=""),"",IF(OR(AL$8&lt;$E64,AL$8-$E64&gt;=12),0,$C64*INDEX(Fondsen!$F$5:$Q$30,MATCH($B64,Fondsen!$A$5:$A$30,0),AL$8-$E64+1)))</f>
        <v/>
      </c>
      <c r="AM64" s="39" t="str">
        <f t="array" ref="AM64">IF(OR($B64="",$C64="",$E64=""),"",IF(OR(AM$8&lt;$E64,AM$8-$E64&gt;=12),0,$C64*INDEX(Fondsen!$F$5:$Q$30,MATCH($B64,Fondsen!$A$5:$A$30,0),AM$8-$E64+1)))</f>
        <v/>
      </c>
      <c r="AN64" s="38" t="str">
        <f t="array" ref="AN64">IF(OR($B64="",$C64="",$E64=""),"",IF(OR(AN$8&lt;$E64,AN$8-$E64&gt;=12),0,$C64*INDEX(Fondsen!$F$5:$Q$30,MATCH($B64,Fondsen!$A$5:$A$30,0),AN$8-$E64+1)))</f>
        <v/>
      </c>
      <c r="AO64" s="39" t="str">
        <f t="array" ref="AO64">IF(OR($B64="",$C64="",$E64=""),"",IF(OR(AO$8&lt;$E64,AO$8-$E64&gt;=12),0,$C64*INDEX(Fondsen!$F$5:$Q$30,MATCH($B64,Fondsen!$A$5:$A$30,0),AO$8-$E64+1)))</f>
        <v/>
      </c>
      <c r="AP64" s="38" t="str">
        <f t="array" ref="AP64">IF(OR($B64="",$C64="",$E64=""),"",IF(OR(AP$8&lt;$E64,AP$8-$E64&gt;=12),0,$C64*INDEX(Fondsen!$F$5:$Q$30,MATCH($B64,Fondsen!$A$5:$A$30,0),AP$8-$E64+1)))</f>
        <v/>
      </c>
      <c r="AQ64" s="39" t="str">
        <f t="array" ref="AQ64">IF(OR($B64="",$C64="",$E64=""),"",IF(OR(AQ$8&lt;$E64,AQ$8-$E64&gt;=12),0,$C64*INDEX(Fondsen!$F$5:$Q$30,MATCH($B64,Fondsen!$A$5:$A$30,0),AQ$8-$E64+1)))</f>
        <v/>
      </c>
      <c r="AR64" s="38" t="str">
        <f t="array" ref="AR64">IF(OR($B64="",$C64="",$E64=""),"",IF(OR(AR$8&lt;$E64,AR$8-$E64&gt;=12),0,$C64*INDEX(Fondsen!$F$5:$Q$30,MATCH($B64,Fondsen!$A$5:$A$30,0),AR$8-$E64+1)))</f>
        <v/>
      </c>
      <c r="AS64" s="39" t="str">
        <f t="array" ref="AS64">IF(OR($B64="",$C64="",$E64=""),"",IF(OR(AS$8&lt;$E64,AS$8-$E64&gt;=12),0,$C64*INDEX(Fondsen!$F$5:$Q$30,MATCH($B64,Fondsen!$A$5:$A$30,0),AS$8-$E64+1)))</f>
        <v/>
      </c>
      <c r="AT64" s="45"/>
    </row>
    <row r="65" ht="24.0" customHeight="1" outlineLevel="1">
      <c r="A65" s="47" t="str">
        <f>IF(B65="","",IFERROR(VLOOKUP(B65,Fondsen!$A$5:$B$30,2,FALSE()),""))</f>
        <v/>
      </c>
      <c r="B65" s="26"/>
      <c r="C65" s="27"/>
      <c r="D65" s="44" t="s">
        <v>11</v>
      </c>
      <c r="E65" s="29"/>
      <c r="F65" s="30" t="str">
        <f t="array" ref="F65">IF(OR($B65="",$C65="",$E65=""),"",IF(OR(F$8&lt;$E65,F$8-$E65&gt;=12),0,$C65*INDEX(Fondsen!$F$5:$Q$30,MATCH($B65,Fondsen!$A$5:$A$30,0),F$8-$E65+1)))</f>
        <v/>
      </c>
      <c r="G65" s="31" t="str">
        <f t="array" ref="G65">IF(OR($B65="",$C65="",$E65=""),"",IF(OR(G$8&lt;$E65,G$8-$E65&gt;=12),0,$C65*INDEX(Fondsen!$F$5:$Q$30,MATCH($B65,Fondsen!$A$5:$A$30,0),G$8-$E65+1)))</f>
        <v/>
      </c>
      <c r="H65" s="30" t="str">
        <f t="array" ref="H65">IF(OR($B65="",$C65="",$E65=""),"",IF(OR(H$8&lt;$E65,H$8-$E65&gt;=12),0,$C65*INDEX(Fondsen!$F$5:$Q$30,MATCH($B65,Fondsen!$A$5:$A$30,0),H$8-$E65+1)))</f>
        <v/>
      </c>
      <c r="I65" s="31" t="str">
        <f t="array" ref="I65">IF(OR($B65="",$C65="",$E65=""),"",IF(OR(I$8&lt;$E65,I$8-$E65&gt;=12),0,$C65*INDEX(Fondsen!$F$5:$Q$30,MATCH($B65,Fondsen!$A$5:$A$30,0),I$8-$E65+1)))</f>
        <v/>
      </c>
      <c r="J65" s="30" t="str">
        <f t="array" ref="J65">IF(OR($B65="",$C65="",$E65=""),"",IF(OR(J$8&lt;$E65,J$8-$E65&gt;=12),0,$C65*INDEX(Fondsen!$F$5:$Q$30,MATCH($B65,Fondsen!$A$5:$A$30,0),J$8-$E65+1)))</f>
        <v/>
      </c>
      <c r="K65" s="31" t="str">
        <f t="array" ref="K65">IF(OR($B65="",$C65="",$E65=""),"",IF(OR(K$8&lt;$E65,K$8-$E65&gt;=12),0,$C65*INDEX(Fondsen!$F$5:$Q$30,MATCH($B65,Fondsen!$A$5:$A$30,0),K$8-$E65+1)))</f>
        <v/>
      </c>
      <c r="L65" s="30" t="str">
        <f t="array" ref="L65">IF(OR($B65="",$C65="",$E65=""),"",IF(OR(L$8&lt;$E65,L$8-$E65&gt;=12),0,$C65*INDEX(Fondsen!$F$5:$Q$30,MATCH($B65,Fondsen!$A$5:$A$30,0),L$8-$E65+1)))</f>
        <v/>
      </c>
      <c r="M65" s="31" t="str">
        <f t="array" ref="M65">IF(OR($B65="",$C65="",$E65=""),"",IF(OR(M$8&lt;$E65,M$8-$E65&gt;=12),0,$C65*INDEX(Fondsen!$F$5:$Q$30,MATCH($B65,Fondsen!$A$5:$A$30,0),M$8-$E65+1)))</f>
        <v/>
      </c>
      <c r="N65" s="30" t="str">
        <f t="array" ref="N65">IF(OR($B65="",$C65="",$E65=""),"",IF(OR(N$8&lt;$E65,N$8-$E65&gt;=12),0,$C65*INDEX(Fondsen!$F$5:$Q$30,MATCH($B65,Fondsen!$A$5:$A$30,0),N$8-$E65+1)))</f>
        <v/>
      </c>
      <c r="O65" s="31" t="str">
        <f t="array" ref="O65">IF(OR($B65="",$C65="",$E65=""),"",IF(OR(O$8&lt;$E65,O$8-$E65&gt;=12),0,$C65*INDEX(Fondsen!$F$5:$Q$30,MATCH($B65,Fondsen!$A$5:$A$30,0),O$8-$E65+1)))</f>
        <v/>
      </c>
      <c r="P65" s="30" t="str">
        <f t="array" ref="P65">IF(OR($B65="",$C65="",$E65=""),"",IF(OR(P$8&lt;$E65,P$8-$E65&gt;=12),0,$C65*INDEX(Fondsen!$F$5:$Q$30,MATCH($B65,Fondsen!$A$5:$A$30,0),P$8-$E65+1)))</f>
        <v/>
      </c>
      <c r="Q65" s="31" t="str">
        <f t="array" ref="Q65">IF(OR($B65="",$C65="",$E65=""),"",IF(OR(Q$8&lt;$E65,Q$8-$E65&gt;=12),0,$C65*INDEX(Fondsen!$F$5:$Q$30,MATCH($B65,Fondsen!$A$5:$A$30,0),Q$8-$E65+1)))</f>
        <v/>
      </c>
      <c r="R65" s="30" t="str">
        <f t="array" ref="R65">IF(OR($B65="",$C65="",$E65=""),"",IF(OR(R$8&lt;$E65,R$8-$E65&gt;=12),0,$C65*INDEX(Fondsen!$F$5:$Q$30,MATCH($B65,Fondsen!$A$5:$A$30,0),R$8-$E65+1)))</f>
        <v/>
      </c>
      <c r="S65" s="31" t="str">
        <f t="array" ref="S65">IF(OR($B65="",$C65="",$E65=""),"",IF(OR(S$8&lt;$E65,S$8-$E65&gt;=12),0,$C65*INDEX(Fondsen!$F$5:$Q$30,MATCH($B65,Fondsen!$A$5:$A$30,0),S$8-$E65+1)))</f>
        <v/>
      </c>
      <c r="T65" s="30" t="str">
        <f t="array" ref="T65">IF(OR($B65="",$C65="",$E65=""),"",IF(OR(T$8&lt;$E65,T$8-$E65&gt;=12),0,$C65*INDEX(Fondsen!$F$5:$Q$30,MATCH($B65,Fondsen!$A$5:$A$30,0),T$8-$E65+1)))</f>
        <v/>
      </c>
      <c r="U65" s="31" t="str">
        <f t="array" ref="U65">IF(OR($B65="",$C65="",$E65=""),"",IF(OR(U$8&lt;$E65,U$8-$E65&gt;=12),0,$C65*INDEX(Fondsen!$F$5:$Q$30,MATCH($B65,Fondsen!$A$5:$A$30,0),U$8-$E65+1)))</f>
        <v/>
      </c>
      <c r="V65" s="30" t="str">
        <f t="array" ref="V65">IF(OR($B65="",$C65="",$E65=""),"",IF(OR(V$8&lt;$E65,V$8-$E65&gt;=12),0,$C65*INDEX(Fondsen!$F$5:$Q$30,MATCH($B65,Fondsen!$A$5:$A$30,0),V$8-$E65+1)))</f>
        <v/>
      </c>
      <c r="W65" s="31" t="str">
        <f t="array" ref="W65">IF(OR($B65="",$C65="",$E65=""),"",IF(OR(W$8&lt;$E65,W$8-$E65&gt;=12),0,$C65*INDEX(Fondsen!$F$5:$Q$30,MATCH($B65,Fondsen!$A$5:$A$30,0),W$8-$E65+1)))</f>
        <v/>
      </c>
      <c r="X65" s="30" t="str">
        <f t="array" ref="X65">IF(OR($B65="",$C65="",$E65=""),"",IF(OR(X$8&lt;$E65,X$8-$E65&gt;=12),0,$C65*INDEX(Fondsen!$F$5:$Q$30,MATCH($B65,Fondsen!$A$5:$A$30,0),X$8-$E65+1)))</f>
        <v/>
      </c>
      <c r="Y65" s="31" t="str">
        <f t="array" ref="Y65">IF(OR($B65="",$C65="",$E65=""),"",IF(OR(Y$8&lt;$E65,Y$8-$E65&gt;=12),0,$C65*INDEX(Fondsen!$F$5:$Q$30,MATCH($B65,Fondsen!$A$5:$A$30,0),Y$8-$E65+1)))</f>
        <v/>
      </c>
      <c r="Z65" s="30" t="str">
        <f t="array" ref="Z65">IF(OR($B65="",$C65="",$E65=""),"",IF(OR(Z$8&lt;$E65,Z$8-$E65&gt;=12),0,$C65*INDEX(Fondsen!$F$5:$Q$30,MATCH($B65,Fondsen!$A$5:$A$30,0),Z$8-$E65+1)))</f>
        <v/>
      </c>
      <c r="AA65" s="31" t="str">
        <f t="array" ref="AA65">IF(OR($B65="",$C65="",$E65=""),"",IF(OR(AA$8&lt;$E65,AA$8-$E65&gt;=12),0,$C65*INDEX(Fondsen!$F$5:$Q$30,MATCH($B65,Fondsen!$A$5:$A$30,0),AA$8-$E65+1)))</f>
        <v/>
      </c>
      <c r="AB65" s="30" t="str">
        <f t="array" ref="AB65">IF(OR($B65="",$C65="",$E65=""),"",IF(OR(AB$8&lt;$E65,AB$8-$E65&gt;=12),0,$C65*INDEX(Fondsen!$F$5:$Q$30,MATCH($B65,Fondsen!$A$5:$A$30,0),AB$8-$E65+1)))</f>
        <v/>
      </c>
      <c r="AC65" s="31" t="str">
        <f t="array" ref="AC65">IF(OR($B65="",$C65="",$E65=""),"",IF(OR(AC$8&lt;$E65,AC$8-$E65&gt;=12),0,$C65*INDEX(Fondsen!$F$5:$Q$30,MATCH($B65,Fondsen!$A$5:$A$30,0),AC$8-$E65+1)))</f>
        <v/>
      </c>
      <c r="AD65" s="30" t="str">
        <f t="array" ref="AD65">IF(OR($B65="",$C65="",$E65=""),"",IF(OR(AD$8&lt;$E65,AD$8-$E65&gt;=12),0,$C65*INDEX(Fondsen!$F$5:$Q$30,MATCH($B65,Fondsen!$A$5:$A$30,0),AD$8-$E65+1)))</f>
        <v/>
      </c>
      <c r="AE65" s="31" t="str">
        <f t="array" ref="AE65">IF(OR($B65="",$C65="",$E65=""),"",IF(OR(AE$8&lt;$E65,AE$8-$E65&gt;=12),0,$C65*INDEX(Fondsen!$F$5:$Q$30,MATCH($B65,Fondsen!$A$5:$A$30,0),AE$8-$E65+1)))</f>
        <v/>
      </c>
      <c r="AF65" s="30" t="str">
        <f t="array" ref="AF65">IF(OR($B65="",$C65="",$E65=""),"",IF(OR(AF$8&lt;$E65,AF$8-$E65&gt;=12),0,$C65*INDEX(Fondsen!$F$5:$Q$30,MATCH($B65,Fondsen!$A$5:$A$30,0),AF$8-$E65+1)))</f>
        <v/>
      </c>
      <c r="AG65" s="31" t="str">
        <f t="array" ref="AG65">IF(OR($B65="",$C65="",$E65=""),"",IF(OR(AG$8&lt;$E65,AG$8-$E65&gt;=12),0,$C65*INDEX(Fondsen!$F$5:$Q$30,MATCH($B65,Fondsen!$A$5:$A$30,0),AG$8-$E65+1)))</f>
        <v/>
      </c>
      <c r="AH65" s="30" t="str">
        <f t="array" ref="AH65">IF(OR($B65="",$C65="",$E65=""),"",IF(OR(AH$8&lt;$E65,AH$8-$E65&gt;=12),0,$C65*INDEX(Fondsen!$F$5:$Q$30,MATCH($B65,Fondsen!$A$5:$A$30,0),AH$8-$E65+1)))</f>
        <v/>
      </c>
      <c r="AI65" s="31" t="str">
        <f t="array" ref="AI65">IF(OR($B65="",$C65="",$E65=""),"",IF(OR(AI$8&lt;$E65,AI$8-$E65&gt;=12),0,$C65*INDEX(Fondsen!$F$5:$Q$30,MATCH($B65,Fondsen!$A$5:$A$30,0),AI$8-$E65+1)))</f>
        <v/>
      </c>
      <c r="AJ65" s="30" t="str">
        <f t="array" ref="AJ65">IF(OR($B65="",$C65="",$E65=""),"",IF(OR(AJ$8&lt;$E65,AJ$8-$E65&gt;=12),0,$C65*INDEX(Fondsen!$F$5:$Q$30,MATCH($B65,Fondsen!$A$5:$A$30,0),AJ$8-$E65+1)))</f>
        <v/>
      </c>
      <c r="AK65" s="31" t="str">
        <f t="array" ref="AK65">IF(OR($B65="",$C65="",$E65=""),"",IF(OR(AK$8&lt;$E65,AK$8-$E65&gt;=12),0,$C65*INDEX(Fondsen!$F$5:$Q$30,MATCH($B65,Fondsen!$A$5:$A$30,0),AK$8-$E65+1)))</f>
        <v/>
      </c>
      <c r="AL65" s="30" t="str">
        <f t="array" ref="AL65">IF(OR($B65="",$C65="",$E65=""),"",IF(OR(AL$8&lt;$E65,AL$8-$E65&gt;=12),0,$C65*INDEX(Fondsen!$F$5:$Q$30,MATCH($B65,Fondsen!$A$5:$A$30,0),AL$8-$E65+1)))</f>
        <v/>
      </c>
      <c r="AM65" s="31" t="str">
        <f t="array" ref="AM65">IF(OR($B65="",$C65="",$E65=""),"",IF(OR(AM$8&lt;$E65,AM$8-$E65&gt;=12),0,$C65*INDEX(Fondsen!$F$5:$Q$30,MATCH($B65,Fondsen!$A$5:$A$30,0),AM$8-$E65+1)))</f>
        <v/>
      </c>
      <c r="AN65" s="30" t="str">
        <f t="array" ref="AN65">IF(OR($B65="",$C65="",$E65=""),"",IF(OR(AN$8&lt;$E65,AN$8-$E65&gt;=12),0,$C65*INDEX(Fondsen!$F$5:$Q$30,MATCH($B65,Fondsen!$A$5:$A$30,0),AN$8-$E65+1)))</f>
        <v/>
      </c>
      <c r="AO65" s="31" t="str">
        <f t="array" ref="AO65">IF(OR($B65="",$C65="",$E65=""),"",IF(OR(AO$8&lt;$E65,AO$8-$E65&gt;=12),0,$C65*INDEX(Fondsen!$F$5:$Q$30,MATCH($B65,Fondsen!$A$5:$A$30,0),AO$8-$E65+1)))</f>
        <v/>
      </c>
      <c r="AP65" s="30" t="str">
        <f t="array" ref="AP65">IF(OR($B65="",$C65="",$E65=""),"",IF(OR(AP$8&lt;$E65,AP$8-$E65&gt;=12),0,$C65*INDEX(Fondsen!$F$5:$Q$30,MATCH($B65,Fondsen!$A$5:$A$30,0),AP$8-$E65+1)))</f>
        <v/>
      </c>
      <c r="AQ65" s="31" t="str">
        <f t="array" ref="AQ65">IF(OR($B65="",$C65="",$E65=""),"",IF(OR(AQ$8&lt;$E65,AQ$8-$E65&gt;=12),0,$C65*INDEX(Fondsen!$F$5:$Q$30,MATCH($B65,Fondsen!$A$5:$A$30,0),AQ$8-$E65+1)))</f>
        <v/>
      </c>
      <c r="AR65" s="30" t="str">
        <f t="array" ref="AR65">IF(OR($B65="",$C65="",$E65=""),"",IF(OR(AR$8&lt;$E65,AR$8-$E65&gt;=12),0,$C65*INDEX(Fondsen!$F$5:$Q$30,MATCH($B65,Fondsen!$A$5:$A$30,0),AR$8-$E65+1)))</f>
        <v/>
      </c>
      <c r="AS65" s="31" t="str">
        <f t="array" ref="AS65">IF(OR($B65="",$C65="",$E65=""),"",IF(OR(AS$8&lt;$E65,AS$8-$E65&gt;=12),0,$C65*INDEX(Fondsen!$F$5:$Q$30,MATCH($B65,Fondsen!$A$5:$A$30,0),AS$8-$E65+1)))</f>
        <v/>
      </c>
      <c r="AT65" s="45"/>
    </row>
    <row r="66" ht="24.0" customHeight="1" outlineLevel="1">
      <c r="A66" s="33" t="str">
        <f>IF(B66="","",IFERROR(VLOOKUP(B66,Fondsen!$A$5:$B$30,2,FALSE()),""))</f>
        <v/>
      </c>
      <c r="B66" s="34"/>
      <c r="C66" s="35"/>
      <c r="D66" s="46" t="s">
        <v>11</v>
      </c>
      <c r="E66" s="37"/>
      <c r="F66" s="38" t="str">
        <f t="array" ref="F66">IF(OR($B66="",$C66="",$E66=""),"",IF(OR(F$8&lt;$E66,F$8-$E66&gt;=12),0,$C66*INDEX(Fondsen!$F$5:$Q$30,MATCH($B66,Fondsen!$A$5:$A$30,0),F$8-$E66+1)))</f>
        <v/>
      </c>
      <c r="G66" s="39" t="str">
        <f t="array" ref="G66">IF(OR($B66="",$C66="",$E66=""),"",IF(OR(G$8&lt;$E66,G$8-$E66&gt;=12),0,$C66*INDEX(Fondsen!$F$5:$Q$30,MATCH($B66,Fondsen!$A$5:$A$30,0),G$8-$E66+1)))</f>
        <v/>
      </c>
      <c r="H66" s="38" t="str">
        <f t="array" ref="H66">IF(OR($B66="",$C66="",$E66=""),"",IF(OR(H$8&lt;$E66,H$8-$E66&gt;=12),0,$C66*INDEX(Fondsen!$F$5:$Q$30,MATCH($B66,Fondsen!$A$5:$A$30,0),H$8-$E66+1)))</f>
        <v/>
      </c>
      <c r="I66" s="39" t="str">
        <f t="array" ref="I66">IF(OR($B66="",$C66="",$E66=""),"",IF(OR(I$8&lt;$E66,I$8-$E66&gt;=12),0,$C66*INDEX(Fondsen!$F$5:$Q$30,MATCH($B66,Fondsen!$A$5:$A$30,0),I$8-$E66+1)))</f>
        <v/>
      </c>
      <c r="J66" s="38" t="str">
        <f t="array" ref="J66">IF(OR($B66="",$C66="",$E66=""),"",IF(OR(J$8&lt;$E66,J$8-$E66&gt;=12),0,$C66*INDEX(Fondsen!$F$5:$Q$30,MATCH($B66,Fondsen!$A$5:$A$30,0),J$8-$E66+1)))</f>
        <v/>
      </c>
      <c r="K66" s="39" t="str">
        <f t="array" ref="K66">IF(OR($B66="",$C66="",$E66=""),"",IF(OR(K$8&lt;$E66,K$8-$E66&gt;=12),0,$C66*INDEX(Fondsen!$F$5:$Q$30,MATCH($B66,Fondsen!$A$5:$A$30,0),K$8-$E66+1)))</f>
        <v/>
      </c>
      <c r="L66" s="38" t="str">
        <f t="array" ref="L66">IF(OR($B66="",$C66="",$E66=""),"",IF(OR(L$8&lt;$E66,L$8-$E66&gt;=12),0,$C66*INDEX(Fondsen!$F$5:$Q$30,MATCH($B66,Fondsen!$A$5:$A$30,0),L$8-$E66+1)))</f>
        <v/>
      </c>
      <c r="M66" s="39" t="str">
        <f t="array" ref="M66">IF(OR($B66="",$C66="",$E66=""),"",IF(OR(M$8&lt;$E66,M$8-$E66&gt;=12),0,$C66*INDEX(Fondsen!$F$5:$Q$30,MATCH($B66,Fondsen!$A$5:$A$30,0),M$8-$E66+1)))</f>
        <v/>
      </c>
      <c r="N66" s="38" t="str">
        <f t="array" ref="N66">IF(OR($B66="",$C66="",$E66=""),"",IF(OR(N$8&lt;$E66,N$8-$E66&gt;=12),0,$C66*INDEX(Fondsen!$F$5:$Q$30,MATCH($B66,Fondsen!$A$5:$A$30,0),N$8-$E66+1)))</f>
        <v/>
      </c>
      <c r="O66" s="39" t="str">
        <f t="array" ref="O66">IF(OR($B66="",$C66="",$E66=""),"",IF(OR(O$8&lt;$E66,O$8-$E66&gt;=12),0,$C66*INDEX(Fondsen!$F$5:$Q$30,MATCH($B66,Fondsen!$A$5:$A$30,0),O$8-$E66+1)))</f>
        <v/>
      </c>
      <c r="P66" s="38" t="str">
        <f t="array" ref="P66">IF(OR($B66="",$C66="",$E66=""),"",IF(OR(P$8&lt;$E66,P$8-$E66&gt;=12),0,$C66*INDEX(Fondsen!$F$5:$Q$30,MATCH($B66,Fondsen!$A$5:$A$30,0),P$8-$E66+1)))</f>
        <v/>
      </c>
      <c r="Q66" s="39" t="str">
        <f t="array" ref="Q66">IF(OR($B66="",$C66="",$E66=""),"",IF(OR(Q$8&lt;$E66,Q$8-$E66&gt;=12),0,$C66*INDEX(Fondsen!$F$5:$Q$30,MATCH($B66,Fondsen!$A$5:$A$30,0),Q$8-$E66+1)))</f>
        <v/>
      </c>
      <c r="R66" s="38" t="str">
        <f t="array" ref="R66">IF(OR($B66="",$C66="",$E66=""),"",IF(OR(R$8&lt;$E66,R$8-$E66&gt;=12),0,$C66*INDEX(Fondsen!$F$5:$Q$30,MATCH($B66,Fondsen!$A$5:$A$30,0),R$8-$E66+1)))</f>
        <v/>
      </c>
      <c r="S66" s="39" t="str">
        <f t="array" ref="S66">IF(OR($B66="",$C66="",$E66=""),"",IF(OR(S$8&lt;$E66,S$8-$E66&gt;=12),0,$C66*INDEX(Fondsen!$F$5:$Q$30,MATCH($B66,Fondsen!$A$5:$A$30,0),S$8-$E66+1)))</f>
        <v/>
      </c>
      <c r="T66" s="38" t="str">
        <f t="array" ref="T66">IF(OR($B66="",$C66="",$E66=""),"",IF(OR(T$8&lt;$E66,T$8-$E66&gt;=12),0,$C66*INDEX(Fondsen!$F$5:$Q$30,MATCH($B66,Fondsen!$A$5:$A$30,0),T$8-$E66+1)))</f>
        <v/>
      </c>
      <c r="U66" s="39" t="str">
        <f t="array" ref="U66">IF(OR($B66="",$C66="",$E66=""),"",IF(OR(U$8&lt;$E66,U$8-$E66&gt;=12),0,$C66*INDEX(Fondsen!$F$5:$Q$30,MATCH($B66,Fondsen!$A$5:$A$30,0),U$8-$E66+1)))</f>
        <v/>
      </c>
      <c r="V66" s="38" t="str">
        <f t="array" ref="V66">IF(OR($B66="",$C66="",$E66=""),"",IF(OR(V$8&lt;$E66,V$8-$E66&gt;=12),0,$C66*INDEX(Fondsen!$F$5:$Q$30,MATCH($B66,Fondsen!$A$5:$A$30,0),V$8-$E66+1)))</f>
        <v/>
      </c>
      <c r="W66" s="39" t="str">
        <f t="array" ref="W66">IF(OR($B66="",$C66="",$E66=""),"",IF(OR(W$8&lt;$E66,W$8-$E66&gt;=12),0,$C66*INDEX(Fondsen!$F$5:$Q$30,MATCH($B66,Fondsen!$A$5:$A$30,0),W$8-$E66+1)))</f>
        <v/>
      </c>
      <c r="X66" s="38" t="str">
        <f t="array" ref="X66">IF(OR($B66="",$C66="",$E66=""),"",IF(OR(X$8&lt;$E66,X$8-$E66&gt;=12),0,$C66*INDEX(Fondsen!$F$5:$Q$30,MATCH($B66,Fondsen!$A$5:$A$30,0),X$8-$E66+1)))</f>
        <v/>
      </c>
      <c r="Y66" s="39" t="str">
        <f t="array" ref="Y66">IF(OR($B66="",$C66="",$E66=""),"",IF(OR(Y$8&lt;$E66,Y$8-$E66&gt;=12),0,$C66*INDEX(Fondsen!$F$5:$Q$30,MATCH($B66,Fondsen!$A$5:$A$30,0),Y$8-$E66+1)))</f>
        <v/>
      </c>
      <c r="Z66" s="38" t="str">
        <f t="array" ref="Z66">IF(OR($B66="",$C66="",$E66=""),"",IF(OR(Z$8&lt;$E66,Z$8-$E66&gt;=12),0,$C66*INDEX(Fondsen!$F$5:$Q$30,MATCH($B66,Fondsen!$A$5:$A$30,0),Z$8-$E66+1)))</f>
        <v/>
      </c>
      <c r="AA66" s="39" t="str">
        <f t="array" ref="AA66">IF(OR($B66="",$C66="",$E66=""),"",IF(OR(AA$8&lt;$E66,AA$8-$E66&gt;=12),0,$C66*INDEX(Fondsen!$F$5:$Q$30,MATCH($B66,Fondsen!$A$5:$A$30,0),AA$8-$E66+1)))</f>
        <v/>
      </c>
      <c r="AB66" s="38" t="str">
        <f t="array" ref="AB66">IF(OR($B66="",$C66="",$E66=""),"",IF(OR(AB$8&lt;$E66,AB$8-$E66&gt;=12),0,$C66*INDEX(Fondsen!$F$5:$Q$30,MATCH($B66,Fondsen!$A$5:$A$30,0),AB$8-$E66+1)))</f>
        <v/>
      </c>
      <c r="AC66" s="39" t="str">
        <f t="array" ref="AC66">IF(OR($B66="",$C66="",$E66=""),"",IF(OR(AC$8&lt;$E66,AC$8-$E66&gt;=12),0,$C66*INDEX(Fondsen!$F$5:$Q$30,MATCH($B66,Fondsen!$A$5:$A$30,0),AC$8-$E66+1)))</f>
        <v/>
      </c>
      <c r="AD66" s="38" t="str">
        <f t="array" ref="AD66">IF(OR($B66="",$C66="",$E66=""),"",IF(OR(AD$8&lt;$E66,AD$8-$E66&gt;=12),0,$C66*INDEX(Fondsen!$F$5:$Q$30,MATCH($B66,Fondsen!$A$5:$A$30,0),AD$8-$E66+1)))</f>
        <v/>
      </c>
      <c r="AE66" s="39" t="str">
        <f t="array" ref="AE66">IF(OR($B66="",$C66="",$E66=""),"",IF(OR(AE$8&lt;$E66,AE$8-$E66&gt;=12),0,$C66*INDEX(Fondsen!$F$5:$Q$30,MATCH($B66,Fondsen!$A$5:$A$30,0),AE$8-$E66+1)))</f>
        <v/>
      </c>
      <c r="AF66" s="38" t="str">
        <f t="array" ref="AF66">IF(OR($B66="",$C66="",$E66=""),"",IF(OR(AF$8&lt;$E66,AF$8-$E66&gt;=12),0,$C66*INDEX(Fondsen!$F$5:$Q$30,MATCH($B66,Fondsen!$A$5:$A$30,0),AF$8-$E66+1)))</f>
        <v/>
      </c>
      <c r="AG66" s="39" t="str">
        <f t="array" ref="AG66">IF(OR($B66="",$C66="",$E66=""),"",IF(OR(AG$8&lt;$E66,AG$8-$E66&gt;=12),0,$C66*INDEX(Fondsen!$F$5:$Q$30,MATCH($B66,Fondsen!$A$5:$A$30,0),AG$8-$E66+1)))</f>
        <v/>
      </c>
      <c r="AH66" s="38" t="str">
        <f t="array" ref="AH66">IF(OR($B66="",$C66="",$E66=""),"",IF(OR(AH$8&lt;$E66,AH$8-$E66&gt;=12),0,$C66*INDEX(Fondsen!$F$5:$Q$30,MATCH($B66,Fondsen!$A$5:$A$30,0),AH$8-$E66+1)))</f>
        <v/>
      </c>
      <c r="AI66" s="39" t="str">
        <f t="array" ref="AI66">IF(OR($B66="",$C66="",$E66=""),"",IF(OR(AI$8&lt;$E66,AI$8-$E66&gt;=12),0,$C66*INDEX(Fondsen!$F$5:$Q$30,MATCH($B66,Fondsen!$A$5:$A$30,0),AI$8-$E66+1)))</f>
        <v/>
      </c>
      <c r="AJ66" s="38" t="str">
        <f t="array" ref="AJ66">IF(OR($B66="",$C66="",$E66=""),"",IF(OR(AJ$8&lt;$E66,AJ$8-$E66&gt;=12),0,$C66*INDEX(Fondsen!$F$5:$Q$30,MATCH($B66,Fondsen!$A$5:$A$30,0),AJ$8-$E66+1)))</f>
        <v/>
      </c>
      <c r="AK66" s="39" t="str">
        <f t="array" ref="AK66">IF(OR($B66="",$C66="",$E66=""),"",IF(OR(AK$8&lt;$E66,AK$8-$E66&gt;=12),0,$C66*INDEX(Fondsen!$F$5:$Q$30,MATCH($B66,Fondsen!$A$5:$A$30,0),AK$8-$E66+1)))</f>
        <v/>
      </c>
      <c r="AL66" s="38" t="str">
        <f t="array" ref="AL66">IF(OR($B66="",$C66="",$E66=""),"",IF(OR(AL$8&lt;$E66,AL$8-$E66&gt;=12),0,$C66*INDEX(Fondsen!$F$5:$Q$30,MATCH($B66,Fondsen!$A$5:$A$30,0),AL$8-$E66+1)))</f>
        <v/>
      </c>
      <c r="AM66" s="39" t="str">
        <f t="array" ref="AM66">IF(OR($B66="",$C66="",$E66=""),"",IF(OR(AM$8&lt;$E66,AM$8-$E66&gt;=12),0,$C66*INDEX(Fondsen!$F$5:$Q$30,MATCH($B66,Fondsen!$A$5:$A$30,0),AM$8-$E66+1)))</f>
        <v/>
      </c>
      <c r="AN66" s="38" t="str">
        <f t="array" ref="AN66">IF(OR($B66="",$C66="",$E66=""),"",IF(OR(AN$8&lt;$E66,AN$8-$E66&gt;=12),0,$C66*INDEX(Fondsen!$F$5:$Q$30,MATCH($B66,Fondsen!$A$5:$A$30,0),AN$8-$E66+1)))</f>
        <v/>
      </c>
      <c r="AO66" s="39" t="str">
        <f t="array" ref="AO66">IF(OR($B66="",$C66="",$E66=""),"",IF(OR(AO$8&lt;$E66,AO$8-$E66&gt;=12),0,$C66*INDEX(Fondsen!$F$5:$Q$30,MATCH($B66,Fondsen!$A$5:$A$30,0),AO$8-$E66+1)))</f>
        <v/>
      </c>
      <c r="AP66" s="38" t="str">
        <f t="array" ref="AP66">IF(OR($B66="",$C66="",$E66=""),"",IF(OR(AP$8&lt;$E66,AP$8-$E66&gt;=12),0,$C66*INDEX(Fondsen!$F$5:$Q$30,MATCH($B66,Fondsen!$A$5:$A$30,0),AP$8-$E66+1)))</f>
        <v/>
      </c>
      <c r="AQ66" s="39" t="str">
        <f t="array" ref="AQ66">IF(OR($B66="",$C66="",$E66=""),"",IF(OR(AQ$8&lt;$E66,AQ$8-$E66&gt;=12),0,$C66*INDEX(Fondsen!$F$5:$Q$30,MATCH($B66,Fondsen!$A$5:$A$30,0),AQ$8-$E66+1)))</f>
        <v/>
      </c>
      <c r="AR66" s="38" t="str">
        <f t="array" ref="AR66">IF(OR($B66="",$C66="",$E66=""),"",IF(OR(AR$8&lt;$E66,AR$8-$E66&gt;=12),0,$C66*INDEX(Fondsen!$F$5:$Q$30,MATCH($B66,Fondsen!$A$5:$A$30,0),AR$8-$E66+1)))</f>
        <v/>
      </c>
      <c r="AS66" s="39" t="str">
        <f t="array" ref="AS66">IF(OR($B66="",$C66="",$E66=""),"",IF(OR(AS$8&lt;$E66,AS$8-$E66&gt;=12),0,$C66*INDEX(Fondsen!$F$5:$Q$30,MATCH($B66,Fondsen!$A$5:$A$30,0),AS$8-$E66+1)))</f>
        <v/>
      </c>
      <c r="AT66" s="45"/>
    </row>
    <row r="67" ht="24.0" customHeight="1" outlineLevel="1">
      <c r="A67" s="47" t="str">
        <f>IF(B67="","",IFERROR(VLOOKUP(B67,Fondsen!$A$5:$B$30,2,FALSE()),""))</f>
        <v/>
      </c>
      <c r="B67" s="26"/>
      <c r="C67" s="27"/>
      <c r="D67" s="44" t="s">
        <v>11</v>
      </c>
      <c r="E67" s="29"/>
      <c r="F67" s="30" t="str">
        <f t="array" ref="F67">IF(OR($B67="",$C67="",$E67=""),"",IF(OR(F$8&lt;$E67,F$8-$E67&gt;=12),0,$C67*INDEX(Fondsen!$F$5:$Q$30,MATCH($B67,Fondsen!$A$5:$A$30,0),F$8-$E67+1)))</f>
        <v/>
      </c>
      <c r="G67" s="31" t="str">
        <f t="array" ref="G67">IF(OR($B67="",$C67="",$E67=""),"",IF(OR(G$8&lt;$E67,G$8-$E67&gt;=12),0,$C67*INDEX(Fondsen!$F$5:$Q$30,MATCH($B67,Fondsen!$A$5:$A$30,0),G$8-$E67+1)))</f>
        <v/>
      </c>
      <c r="H67" s="30" t="str">
        <f t="array" ref="H67">IF(OR($B67="",$C67="",$E67=""),"",IF(OR(H$8&lt;$E67,H$8-$E67&gt;=12),0,$C67*INDEX(Fondsen!$F$5:$Q$30,MATCH($B67,Fondsen!$A$5:$A$30,0),H$8-$E67+1)))</f>
        <v/>
      </c>
      <c r="I67" s="31" t="str">
        <f t="array" ref="I67">IF(OR($B67="",$C67="",$E67=""),"",IF(OR(I$8&lt;$E67,I$8-$E67&gt;=12),0,$C67*INDEX(Fondsen!$F$5:$Q$30,MATCH($B67,Fondsen!$A$5:$A$30,0),I$8-$E67+1)))</f>
        <v/>
      </c>
      <c r="J67" s="30" t="str">
        <f t="array" ref="J67">IF(OR($B67="",$C67="",$E67=""),"",IF(OR(J$8&lt;$E67,J$8-$E67&gt;=12),0,$C67*INDEX(Fondsen!$F$5:$Q$30,MATCH($B67,Fondsen!$A$5:$A$30,0),J$8-$E67+1)))</f>
        <v/>
      </c>
      <c r="K67" s="31" t="str">
        <f t="array" ref="K67">IF(OR($B67="",$C67="",$E67=""),"",IF(OR(K$8&lt;$E67,K$8-$E67&gt;=12),0,$C67*INDEX(Fondsen!$F$5:$Q$30,MATCH($B67,Fondsen!$A$5:$A$30,0),K$8-$E67+1)))</f>
        <v/>
      </c>
      <c r="L67" s="30" t="str">
        <f t="array" ref="L67">IF(OR($B67="",$C67="",$E67=""),"",IF(OR(L$8&lt;$E67,L$8-$E67&gt;=12),0,$C67*INDEX(Fondsen!$F$5:$Q$30,MATCH($B67,Fondsen!$A$5:$A$30,0),L$8-$E67+1)))</f>
        <v/>
      </c>
      <c r="M67" s="31" t="str">
        <f t="array" ref="M67">IF(OR($B67="",$C67="",$E67=""),"",IF(OR(M$8&lt;$E67,M$8-$E67&gt;=12),0,$C67*INDEX(Fondsen!$F$5:$Q$30,MATCH($B67,Fondsen!$A$5:$A$30,0),M$8-$E67+1)))</f>
        <v/>
      </c>
      <c r="N67" s="30" t="str">
        <f t="array" ref="N67">IF(OR($B67="",$C67="",$E67=""),"",IF(OR(N$8&lt;$E67,N$8-$E67&gt;=12),0,$C67*INDEX(Fondsen!$F$5:$Q$30,MATCH($B67,Fondsen!$A$5:$A$30,0),N$8-$E67+1)))</f>
        <v/>
      </c>
      <c r="O67" s="31" t="str">
        <f t="array" ref="O67">IF(OR($B67="",$C67="",$E67=""),"",IF(OR(O$8&lt;$E67,O$8-$E67&gt;=12),0,$C67*INDEX(Fondsen!$F$5:$Q$30,MATCH($B67,Fondsen!$A$5:$A$30,0),O$8-$E67+1)))</f>
        <v/>
      </c>
      <c r="P67" s="30" t="str">
        <f t="array" ref="P67">IF(OR($B67="",$C67="",$E67=""),"",IF(OR(P$8&lt;$E67,P$8-$E67&gt;=12),0,$C67*INDEX(Fondsen!$F$5:$Q$30,MATCH($B67,Fondsen!$A$5:$A$30,0),P$8-$E67+1)))</f>
        <v/>
      </c>
      <c r="Q67" s="31" t="str">
        <f t="array" ref="Q67">IF(OR($B67="",$C67="",$E67=""),"",IF(OR(Q$8&lt;$E67,Q$8-$E67&gt;=12),0,$C67*INDEX(Fondsen!$F$5:$Q$30,MATCH($B67,Fondsen!$A$5:$A$30,0),Q$8-$E67+1)))</f>
        <v/>
      </c>
      <c r="R67" s="30" t="str">
        <f t="array" ref="R67">IF(OR($B67="",$C67="",$E67=""),"",IF(OR(R$8&lt;$E67,R$8-$E67&gt;=12),0,$C67*INDEX(Fondsen!$F$5:$Q$30,MATCH($B67,Fondsen!$A$5:$A$30,0),R$8-$E67+1)))</f>
        <v/>
      </c>
      <c r="S67" s="31" t="str">
        <f t="array" ref="S67">IF(OR($B67="",$C67="",$E67=""),"",IF(OR(S$8&lt;$E67,S$8-$E67&gt;=12),0,$C67*INDEX(Fondsen!$F$5:$Q$30,MATCH($B67,Fondsen!$A$5:$A$30,0),S$8-$E67+1)))</f>
        <v/>
      </c>
      <c r="T67" s="30" t="str">
        <f t="array" ref="T67">IF(OR($B67="",$C67="",$E67=""),"",IF(OR(T$8&lt;$E67,T$8-$E67&gt;=12),0,$C67*INDEX(Fondsen!$F$5:$Q$30,MATCH($B67,Fondsen!$A$5:$A$30,0),T$8-$E67+1)))</f>
        <v/>
      </c>
      <c r="U67" s="31" t="str">
        <f t="array" ref="U67">IF(OR($B67="",$C67="",$E67=""),"",IF(OR(U$8&lt;$E67,U$8-$E67&gt;=12),0,$C67*INDEX(Fondsen!$F$5:$Q$30,MATCH($B67,Fondsen!$A$5:$A$30,0),U$8-$E67+1)))</f>
        <v/>
      </c>
      <c r="V67" s="30" t="str">
        <f t="array" ref="V67">IF(OR($B67="",$C67="",$E67=""),"",IF(OR(V$8&lt;$E67,V$8-$E67&gt;=12),0,$C67*INDEX(Fondsen!$F$5:$Q$30,MATCH($B67,Fondsen!$A$5:$A$30,0),V$8-$E67+1)))</f>
        <v/>
      </c>
      <c r="W67" s="31" t="str">
        <f t="array" ref="W67">IF(OR($B67="",$C67="",$E67=""),"",IF(OR(W$8&lt;$E67,W$8-$E67&gt;=12),0,$C67*INDEX(Fondsen!$F$5:$Q$30,MATCH($B67,Fondsen!$A$5:$A$30,0),W$8-$E67+1)))</f>
        <v/>
      </c>
      <c r="X67" s="30" t="str">
        <f t="array" ref="X67">IF(OR($B67="",$C67="",$E67=""),"",IF(OR(X$8&lt;$E67,X$8-$E67&gt;=12),0,$C67*INDEX(Fondsen!$F$5:$Q$30,MATCH($B67,Fondsen!$A$5:$A$30,0),X$8-$E67+1)))</f>
        <v/>
      </c>
      <c r="Y67" s="31" t="str">
        <f t="array" ref="Y67">IF(OR($B67="",$C67="",$E67=""),"",IF(OR(Y$8&lt;$E67,Y$8-$E67&gt;=12),0,$C67*INDEX(Fondsen!$F$5:$Q$30,MATCH($B67,Fondsen!$A$5:$A$30,0),Y$8-$E67+1)))</f>
        <v/>
      </c>
      <c r="Z67" s="30" t="str">
        <f t="array" ref="Z67">IF(OR($B67="",$C67="",$E67=""),"",IF(OR(Z$8&lt;$E67,Z$8-$E67&gt;=12),0,$C67*INDEX(Fondsen!$F$5:$Q$30,MATCH($B67,Fondsen!$A$5:$A$30,0),Z$8-$E67+1)))</f>
        <v/>
      </c>
      <c r="AA67" s="31" t="str">
        <f t="array" ref="AA67">IF(OR($B67="",$C67="",$E67=""),"",IF(OR(AA$8&lt;$E67,AA$8-$E67&gt;=12),0,$C67*INDEX(Fondsen!$F$5:$Q$30,MATCH($B67,Fondsen!$A$5:$A$30,0),AA$8-$E67+1)))</f>
        <v/>
      </c>
      <c r="AB67" s="30" t="str">
        <f t="array" ref="AB67">IF(OR($B67="",$C67="",$E67=""),"",IF(OR(AB$8&lt;$E67,AB$8-$E67&gt;=12),0,$C67*INDEX(Fondsen!$F$5:$Q$30,MATCH($B67,Fondsen!$A$5:$A$30,0),AB$8-$E67+1)))</f>
        <v/>
      </c>
      <c r="AC67" s="31" t="str">
        <f t="array" ref="AC67">IF(OR($B67="",$C67="",$E67=""),"",IF(OR(AC$8&lt;$E67,AC$8-$E67&gt;=12),0,$C67*INDEX(Fondsen!$F$5:$Q$30,MATCH($B67,Fondsen!$A$5:$A$30,0),AC$8-$E67+1)))</f>
        <v/>
      </c>
      <c r="AD67" s="30" t="str">
        <f t="array" ref="AD67">IF(OR($B67="",$C67="",$E67=""),"",IF(OR(AD$8&lt;$E67,AD$8-$E67&gt;=12),0,$C67*INDEX(Fondsen!$F$5:$Q$30,MATCH($B67,Fondsen!$A$5:$A$30,0),AD$8-$E67+1)))</f>
        <v/>
      </c>
      <c r="AE67" s="31" t="str">
        <f t="array" ref="AE67">IF(OR($B67="",$C67="",$E67=""),"",IF(OR(AE$8&lt;$E67,AE$8-$E67&gt;=12),0,$C67*INDEX(Fondsen!$F$5:$Q$30,MATCH($B67,Fondsen!$A$5:$A$30,0),AE$8-$E67+1)))</f>
        <v/>
      </c>
      <c r="AF67" s="30" t="str">
        <f t="array" ref="AF67">IF(OR($B67="",$C67="",$E67=""),"",IF(OR(AF$8&lt;$E67,AF$8-$E67&gt;=12),0,$C67*INDEX(Fondsen!$F$5:$Q$30,MATCH($B67,Fondsen!$A$5:$A$30,0),AF$8-$E67+1)))</f>
        <v/>
      </c>
      <c r="AG67" s="31" t="str">
        <f t="array" ref="AG67">IF(OR($B67="",$C67="",$E67=""),"",IF(OR(AG$8&lt;$E67,AG$8-$E67&gt;=12),0,$C67*INDEX(Fondsen!$F$5:$Q$30,MATCH($B67,Fondsen!$A$5:$A$30,0),AG$8-$E67+1)))</f>
        <v/>
      </c>
      <c r="AH67" s="30" t="str">
        <f t="array" ref="AH67">IF(OR($B67="",$C67="",$E67=""),"",IF(OR(AH$8&lt;$E67,AH$8-$E67&gt;=12),0,$C67*INDEX(Fondsen!$F$5:$Q$30,MATCH($B67,Fondsen!$A$5:$A$30,0),AH$8-$E67+1)))</f>
        <v/>
      </c>
      <c r="AI67" s="31" t="str">
        <f t="array" ref="AI67">IF(OR($B67="",$C67="",$E67=""),"",IF(OR(AI$8&lt;$E67,AI$8-$E67&gt;=12),0,$C67*INDEX(Fondsen!$F$5:$Q$30,MATCH($B67,Fondsen!$A$5:$A$30,0),AI$8-$E67+1)))</f>
        <v/>
      </c>
      <c r="AJ67" s="30" t="str">
        <f t="array" ref="AJ67">IF(OR($B67="",$C67="",$E67=""),"",IF(OR(AJ$8&lt;$E67,AJ$8-$E67&gt;=12),0,$C67*INDEX(Fondsen!$F$5:$Q$30,MATCH($B67,Fondsen!$A$5:$A$30,0),AJ$8-$E67+1)))</f>
        <v/>
      </c>
      <c r="AK67" s="31" t="str">
        <f t="array" ref="AK67">IF(OR($B67="",$C67="",$E67=""),"",IF(OR(AK$8&lt;$E67,AK$8-$E67&gt;=12),0,$C67*INDEX(Fondsen!$F$5:$Q$30,MATCH($B67,Fondsen!$A$5:$A$30,0),AK$8-$E67+1)))</f>
        <v/>
      </c>
      <c r="AL67" s="30" t="str">
        <f t="array" ref="AL67">IF(OR($B67="",$C67="",$E67=""),"",IF(OR(AL$8&lt;$E67,AL$8-$E67&gt;=12),0,$C67*INDEX(Fondsen!$F$5:$Q$30,MATCH($B67,Fondsen!$A$5:$A$30,0),AL$8-$E67+1)))</f>
        <v/>
      </c>
      <c r="AM67" s="31" t="str">
        <f t="array" ref="AM67">IF(OR($B67="",$C67="",$E67=""),"",IF(OR(AM$8&lt;$E67,AM$8-$E67&gt;=12),0,$C67*INDEX(Fondsen!$F$5:$Q$30,MATCH($B67,Fondsen!$A$5:$A$30,0),AM$8-$E67+1)))</f>
        <v/>
      </c>
      <c r="AN67" s="30" t="str">
        <f t="array" ref="AN67">IF(OR($B67="",$C67="",$E67=""),"",IF(OR(AN$8&lt;$E67,AN$8-$E67&gt;=12),0,$C67*INDEX(Fondsen!$F$5:$Q$30,MATCH($B67,Fondsen!$A$5:$A$30,0),AN$8-$E67+1)))</f>
        <v/>
      </c>
      <c r="AO67" s="31" t="str">
        <f t="array" ref="AO67">IF(OR($B67="",$C67="",$E67=""),"",IF(OR(AO$8&lt;$E67,AO$8-$E67&gt;=12),0,$C67*INDEX(Fondsen!$F$5:$Q$30,MATCH($B67,Fondsen!$A$5:$A$30,0),AO$8-$E67+1)))</f>
        <v/>
      </c>
      <c r="AP67" s="30" t="str">
        <f t="array" ref="AP67">IF(OR($B67="",$C67="",$E67=""),"",IF(OR(AP$8&lt;$E67,AP$8-$E67&gt;=12),0,$C67*INDEX(Fondsen!$F$5:$Q$30,MATCH($B67,Fondsen!$A$5:$A$30,0),AP$8-$E67+1)))</f>
        <v/>
      </c>
      <c r="AQ67" s="31" t="str">
        <f t="array" ref="AQ67">IF(OR($B67="",$C67="",$E67=""),"",IF(OR(AQ$8&lt;$E67,AQ$8-$E67&gt;=12),0,$C67*INDEX(Fondsen!$F$5:$Q$30,MATCH($B67,Fondsen!$A$5:$A$30,0),AQ$8-$E67+1)))</f>
        <v/>
      </c>
      <c r="AR67" s="30" t="str">
        <f t="array" ref="AR67">IF(OR($B67="",$C67="",$E67=""),"",IF(OR(AR$8&lt;$E67,AR$8-$E67&gt;=12),0,$C67*INDEX(Fondsen!$F$5:$Q$30,MATCH($B67,Fondsen!$A$5:$A$30,0),AR$8-$E67+1)))</f>
        <v/>
      </c>
      <c r="AS67" s="31" t="str">
        <f t="array" ref="AS67">IF(OR($B67="",$C67="",$E67=""),"",IF(OR(AS$8&lt;$E67,AS$8-$E67&gt;=12),0,$C67*INDEX(Fondsen!$F$5:$Q$30,MATCH($B67,Fondsen!$A$5:$A$30,0),AS$8-$E67+1)))</f>
        <v/>
      </c>
      <c r="AT67" s="45"/>
    </row>
    <row r="68" ht="24.0" customHeight="1" outlineLevel="1">
      <c r="A68" s="33" t="str">
        <f>IF(B68="","",IFERROR(VLOOKUP(B68,Fondsen!$A$5:$B$30,2,FALSE()),""))</f>
        <v/>
      </c>
      <c r="B68" s="34"/>
      <c r="C68" s="35"/>
      <c r="D68" s="46" t="s">
        <v>11</v>
      </c>
      <c r="E68" s="37"/>
      <c r="F68" s="38" t="str">
        <f t="array" ref="F68">IF(OR($B68="",$C68="",$E68=""),"",IF(OR(F$8&lt;$E68,F$8-$E68&gt;=12),0,$C68*INDEX(Fondsen!$F$5:$Q$30,MATCH($B68,Fondsen!$A$5:$A$30,0),F$8-$E68+1)))</f>
        <v/>
      </c>
      <c r="G68" s="39" t="str">
        <f t="array" ref="G68">IF(OR($B68="",$C68="",$E68=""),"",IF(OR(G$8&lt;$E68,G$8-$E68&gt;=12),0,$C68*INDEX(Fondsen!$F$5:$Q$30,MATCH($B68,Fondsen!$A$5:$A$30,0),G$8-$E68+1)))</f>
        <v/>
      </c>
      <c r="H68" s="38" t="str">
        <f t="array" ref="H68">IF(OR($B68="",$C68="",$E68=""),"",IF(OR(H$8&lt;$E68,H$8-$E68&gt;=12),0,$C68*INDEX(Fondsen!$F$5:$Q$30,MATCH($B68,Fondsen!$A$5:$A$30,0),H$8-$E68+1)))</f>
        <v/>
      </c>
      <c r="I68" s="39" t="str">
        <f t="array" ref="I68">IF(OR($B68="",$C68="",$E68=""),"",IF(OR(I$8&lt;$E68,I$8-$E68&gt;=12),0,$C68*INDEX(Fondsen!$F$5:$Q$30,MATCH($B68,Fondsen!$A$5:$A$30,0),I$8-$E68+1)))</f>
        <v/>
      </c>
      <c r="J68" s="38" t="str">
        <f t="array" ref="J68">IF(OR($B68="",$C68="",$E68=""),"",IF(OR(J$8&lt;$E68,J$8-$E68&gt;=12),0,$C68*INDEX(Fondsen!$F$5:$Q$30,MATCH($B68,Fondsen!$A$5:$A$30,0),J$8-$E68+1)))</f>
        <v/>
      </c>
      <c r="K68" s="39" t="str">
        <f t="array" ref="K68">IF(OR($B68="",$C68="",$E68=""),"",IF(OR(K$8&lt;$E68,K$8-$E68&gt;=12),0,$C68*INDEX(Fondsen!$F$5:$Q$30,MATCH($B68,Fondsen!$A$5:$A$30,0),K$8-$E68+1)))</f>
        <v/>
      </c>
      <c r="L68" s="38" t="str">
        <f t="array" ref="L68">IF(OR($B68="",$C68="",$E68=""),"",IF(OR(L$8&lt;$E68,L$8-$E68&gt;=12),0,$C68*INDEX(Fondsen!$F$5:$Q$30,MATCH($B68,Fondsen!$A$5:$A$30,0),L$8-$E68+1)))</f>
        <v/>
      </c>
      <c r="M68" s="39" t="str">
        <f t="array" ref="M68">IF(OR($B68="",$C68="",$E68=""),"",IF(OR(M$8&lt;$E68,M$8-$E68&gt;=12),0,$C68*INDEX(Fondsen!$F$5:$Q$30,MATCH($B68,Fondsen!$A$5:$A$30,0),M$8-$E68+1)))</f>
        <v/>
      </c>
      <c r="N68" s="38" t="str">
        <f t="array" ref="N68">IF(OR($B68="",$C68="",$E68=""),"",IF(OR(N$8&lt;$E68,N$8-$E68&gt;=12),0,$C68*INDEX(Fondsen!$F$5:$Q$30,MATCH($B68,Fondsen!$A$5:$A$30,0),N$8-$E68+1)))</f>
        <v/>
      </c>
      <c r="O68" s="39" t="str">
        <f t="array" ref="O68">IF(OR($B68="",$C68="",$E68=""),"",IF(OR(O$8&lt;$E68,O$8-$E68&gt;=12),0,$C68*INDEX(Fondsen!$F$5:$Q$30,MATCH($B68,Fondsen!$A$5:$A$30,0),O$8-$E68+1)))</f>
        <v/>
      </c>
      <c r="P68" s="38" t="str">
        <f t="array" ref="P68">IF(OR($B68="",$C68="",$E68=""),"",IF(OR(P$8&lt;$E68,P$8-$E68&gt;=12),0,$C68*INDEX(Fondsen!$F$5:$Q$30,MATCH($B68,Fondsen!$A$5:$A$30,0),P$8-$E68+1)))</f>
        <v/>
      </c>
      <c r="Q68" s="39" t="str">
        <f t="array" ref="Q68">IF(OR($B68="",$C68="",$E68=""),"",IF(OR(Q$8&lt;$E68,Q$8-$E68&gt;=12),0,$C68*INDEX(Fondsen!$F$5:$Q$30,MATCH($B68,Fondsen!$A$5:$A$30,0),Q$8-$E68+1)))</f>
        <v/>
      </c>
      <c r="R68" s="38" t="str">
        <f t="array" ref="R68">IF(OR($B68="",$C68="",$E68=""),"",IF(OR(R$8&lt;$E68,R$8-$E68&gt;=12),0,$C68*INDEX(Fondsen!$F$5:$Q$30,MATCH($B68,Fondsen!$A$5:$A$30,0),R$8-$E68+1)))</f>
        <v/>
      </c>
      <c r="S68" s="39" t="str">
        <f t="array" ref="S68">IF(OR($B68="",$C68="",$E68=""),"",IF(OR(S$8&lt;$E68,S$8-$E68&gt;=12),0,$C68*INDEX(Fondsen!$F$5:$Q$30,MATCH($B68,Fondsen!$A$5:$A$30,0),S$8-$E68+1)))</f>
        <v/>
      </c>
      <c r="T68" s="38" t="str">
        <f t="array" ref="T68">IF(OR($B68="",$C68="",$E68=""),"",IF(OR(T$8&lt;$E68,T$8-$E68&gt;=12),0,$C68*INDEX(Fondsen!$F$5:$Q$30,MATCH($B68,Fondsen!$A$5:$A$30,0),T$8-$E68+1)))</f>
        <v/>
      </c>
      <c r="U68" s="39" t="str">
        <f t="array" ref="U68">IF(OR($B68="",$C68="",$E68=""),"",IF(OR(U$8&lt;$E68,U$8-$E68&gt;=12),0,$C68*INDEX(Fondsen!$F$5:$Q$30,MATCH($B68,Fondsen!$A$5:$A$30,0),U$8-$E68+1)))</f>
        <v/>
      </c>
      <c r="V68" s="38" t="str">
        <f t="array" ref="V68">IF(OR($B68="",$C68="",$E68=""),"",IF(OR(V$8&lt;$E68,V$8-$E68&gt;=12),0,$C68*INDEX(Fondsen!$F$5:$Q$30,MATCH($B68,Fondsen!$A$5:$A$30,0),V$8-$E68+1)))</f>
        <v/>
      </c>
      <c r="W68" s="39" t="str">
        <f t="array" ref="W68">IF(OR($B68="",$C68="",$E68=""),"",IF(OR(W$8&lt;$E68,W$8-$E68&gt;=12),0,$C68*INDEX(Fondsen!$F$5:$Q$30,MATCH($B68,Fondsen!$A$5:$A$30,0),W$8-$E68+1)))</f>
        <v/>
      </c>
      <c r="X68" s="38" t="str">
        <f t="array" ref="X68">IF(OR($B68="",$C68="",$E68=""),"",IF(OR(X$8&lt;$E68,X$8-$E68&gt;=12),0,$C68*INDEX(Fondsen!$F$5:$Q$30,MATCH($B68,Fondsen!$A$5:$A$30,0),X$8-$E68+1)))</f>
        <v/>
      </c>
      <c r="Y68" s="39" t="str">
        <f t="array" ref="Y68">IF(OR($B68="",$C68="",$E68=""),"",IF(OR(Y$8&lt;$E68,Y$8-$E68&gt;=12),0,$C68*INDEX(Fondsen!$F$5:$Q$30,MATCH($B68,Fondsen!$A$5:$A$30,0),Y$8-$E68+1)))</f>
        <v/>
      </c>
      <c r="Z68" s="38" t="str">
        <f t="array" ref="Z68">IF(OR($B68="",$C68="",$E68=""),"",IF(OR(Z$8&lt;$E68,Z$8-$E68&gt;=12),0,$C68*INDEX(Fondsen!$F$5:$Q$30,MATCH($B68,Fondsen!$A$5:$A$30,0),Z$8-$E68+1)))</f>
        <v/>
      </c>
      <c r="AA68" s="39" t="str">
        <f t="array" ref="AA68">IF(OR($B68="",$C68="",$E68=""),"",IF(OR(AA$8&lt;$E68,AA$8-$E68&gt;=12),0,$C68*INDEX(Fondsen!$F$5:$Q$30,MATCH($B68,Fondsen!$A$5:$A$30,0),AA$8-$E68+1)))</f>
        <v/>
      </c>
      <c r="AB68" s="38" t="str">
        <f t="array" ref="AB68">IF(OR($B68="",$C68="",$E68=""),"",IF(OR(AB$8&lt;$E68,AB$8-$E68&gt;=12),0,$C68*INDEX(Fondsen!$F$5:$Q$30,MATCH($B68,Fondsen!$A$5:$A$30,0),AB$8-$E68+1)))</f>
        <v/>
      </c>
      <c r="AC68" s="39" t="str">
        <f t="array" ref="AC68">IF(OR($B68="",$C68="",$E68=""),"",IF(OR(AC$8&lt;$E68,AC$8-$E68&gt;=12),0,$C68*INDEX(Fondsen!$F$5:$Q$30,MATCH($B68,Fondsen!$A$5:$A$30,0),AC$8-$E68+1)))</f>
        <v/>
      </c>
      <c r="AD68" s="38" t="str">
        <f t="array" ref="AD68">IF(OR($B68="",$C68="",$E68=""),"",IF(OR(AD$8&lt;$E68,AD$8-$E68&gt;=12),0,$C68*INDEX(Fondsen!$F$5:$Q$30,MATCH($B68,Fondsen!$A$5:$A$30,0),AD$8-$E68+1)))</f>
        <v/>
      </c>
      <c r="AE68" s="39" t="str">
        <f t="array" ref="AE68">IF(OR($B68="",$C68="",$E68=""),"",IF(OR(AE$8&lt;$E68,AE$8-$E68&gt;=12),0,$C68*INDEX(Fondsen!$F$5:$Q$30,MATCH($B68,Fondsen!$A$5:$A$30,0),AE$8-$E68+1)))</f>
        <v/>
      </c>
      <c r="AF68" s="38" t="str">
        <f t="array" ref="AF68">IF(OR($B68="",$C68="",$E68=""),"",IF(OR(AF$8&lt;$E68,AF$8-$E68&gt;=12),0,$C68*INDEX(Fondsen!$F$5:$Q$30,MATCH($B68,Fondsen!$A$5:$A$30,0),AF$8-$E68+1)))</f>
        <v/>
      </c>
      <c r="AG68" s="39" t="str">
        <f t="array" ref="AG68">IF(OR($B68="",$C68="",$E68=""),"",IF(OR(AG$8&lt;$E68,AG$8-$E68&gt;=12),0,$C68*INDEX(Fondsen!$F$5:$Q$30,MATCH($B68,Fondsen!$A$5:$A$30,0),AG$8-$E68+1)))</f>
        <v/>
      </c>
      <c r="AH68" s="38" t="str">
        <f t="array" ref="AH68">IF(OR($B68="",$C68="",$E68=""),"",IF(OR(AH$8&lt;$E68,AH$8-$E68&gt;=12),0,$C68*INDEX(Fondsen!$F$5:$Q$30,MATCH($B68,Fondsen!$A$5:$A$30,0),AH$8-$E68+1)))</f>
        <v/>
      </c>
      <c r="AI68" s="39" t="str">
        <f t="array" ref="AI68">IF(OR($B68="",$C68="",$E68=""),"",IF(OR(AI$8&lt;$E68,AI$8-$E68&gt;=12),0,$C68*INDEX(Fondsen!$F$5:$Q$30,MATCH($B68,Fondsen!$A$5:$A$30,0),AI$8-$E68+1)))</f>
        <v/>
      </c>
      <c r="AJ68" s="38" t="str">
        <f t="array" ref="AJ68">IF(OR($B68="",$C68="",$E68=""),"",IF(OR(AJ$8&lt;$E68,AJ$8-$E68&gt;=12),0,$C68*INDEX(Fondsen!$F$5:$Q$30,MATCH($B68,Fondsen!$A$5:$A$30,0),AJ$8-$E68+1)))</f>
        <v/>
      </c>
      <c r="AK68" s="39" t="str">
        <f t="array" ref="AK68">IF(OR($B68="",$C68="",$E68=""),"",IF(OR(AK$8&lt;$E68,AK$8-$E68&gt;=12),0,$C68*INDEX(Fondsen!$F$5:$Q$30,MATCH($B68,Fondsen!$A$5:$A$30,0),AK$8-$E68+1)))</f>
        <v/>
      </c>
      <c r="AL68" s="38" t="str">
        <f t="array" ref="AL68">IF(OR($B68="",$C68="",$E68=""),"",IF(OR(AL$8&lt;$E68,AL$8-$E68&gt;=12),0,$C68*INDEX(Fondsen!$F$5:$Q$30,MATCH($B68,Fondsen!$A$5:$A$30,0),AL$8-$E68+1)))</f>
        <v/>
      </c>
      <c r="AM68" s="39" t="str">
        <f t="array" ref="AM68">IF(OR($B68="",$C68="",$E68=""),"",IF(OR(AM$8&lt;$E68,AM$8-$E68&gt;=12),0,$C68*INDEX(Fondsen!$F$5:$Q$30,MATCH($B68,Fondsen!$A$5:$A$30,0),AM$8-$E68+1)))</f>
        <v/>
      </c>
      <c r="AN68" s="38" t="str">
        <f t="array" ref="AN68">IF(OR($B68="",$C68="",$E68=""),"",IF(OR(AN$8&lt;$E68,AN$8-$E68&gt;=12),0,$C68*INDEX(Fondsen!$F$5:$Q$30,MATCH($B68,Fondsen!$A$5:$A$30,0),AN$8-$E68+1)))</f>
        <v/>
      </c>
      <c r="AO68" s="39" t="str">
        <f t="array" ref="AO68">IF(OR($B68="",$C68="",$E68=""),"",IF(OR(AO$8&lt;$E68,AO$8-$E68&gt;=12),0,$C68*INDEX(Fondsen!$F$5:$Q$30,MATCH($B68,Fondsen!$A$5:$A$30,0),AO$8-$E68+1)))</f>
        <v/>
      </c>
      <c r="AP68" s="38" t="str">
        <f t="array" ref="AP68">IF(OR($B68="",$C68="",$E68=""),"",IF(OR(AP$8&lt;$E68,AP$8-$E68&gt;=12),0,$C68*INDEX(Fondsen!$F$5:$Q$30,MATCH($B68,Fondsen!$A$5:$A$30,0),AP$8-$E68+1)))</f>
        <v/>
      </c>
      <c r="AQ68" s="39" t="str">
        <f t="array" ref="AQ68">IF(OR($B68="",$C68="",$E68=""),"",IF(OR(AQ$8&lt;$E68,AQ$8-$E68&gt;=12),0,$C68*INDEX(Fondsen!$F$5:$Q$30,MATCH($B68,Fondsen!$A$5:$A$30,0),AQ$8-$E68+1)))</f>
        <v/>
      </c>
      <c r="AR68" s="38" t="str">
        <f t="array" ref="AR68">IF(OR($B68="",$C68="",$E68=""),"",IF(OR(AR$8&lt;$E68,AR$8-$E68&gt;=12),0,$C68*INDEX(Fondsen!$F$5:$Q$30,MATCH($B68,Fondsen!$A$5:$A$30,0),AR$8-$E68+1)))</f>
        <v/>
      </c>
      <c r="AS68" s="39" t="str">
        <f t="array" ref="AS68">IF(OR($B68="",$C68="",$E68=""),"",IF(OR(AS$8&lt;$E68,AS$8-$E68&gt;=12),0,$C68*INDEX(Fondsen!$F$5:$Q$30,MATCH($B68,Fondsen!$A$5:$A$30,0),AS$8-$E68+1)))</f>
        <v/>
      </c>
      <c r="AT68" s="45"/>
    </row>
    <row r="69" ht="24.0" customHeight="1" outlineLevel="1">
      <c r="A69" s="47" t="str">
        <f>IF(B69="","",IFERROR(VLOOKUP(B69,Fondsen!$A$5:$B$30,2,FALSE()),""))</f>
        <v/>
      </c>
      <c r="B69" s="26"/>
      <c r="C69" s="27"/>
      <c r="D69" s="44" t="s">
        <v>11</v>
      </c>
      <c r="E69" s="29"/>
      <c r="F69" s="30" t="str">
        <f t="array" ref="F69">IF(OR($B69="",$C69="",$E69=""),"",IF(OR(F$8&lt;$E69,F$8-$E69&gt;=12),0,$C69*INDEX(Fondsen!$F$5:$Q$30,MATCH($B69,Fondsen!$A$5:$A$30,0),F$8-$E69+1)))</f>
        <v/>
      </c>
      <c r="G69" s="31" t="str">
        <f t="array" ref="G69">IF(OR($B69="",$C69="",$E69=""),"",IF(OR(G$8&lt;$E69,G$8-$E69&gt;=12),0,$C69*INDEX(Fondsen!$F$5:$Q$30,MATCH($B69,Fondsen!$A$5:$A$30,0),G$8-$E69+1)))</f>
        <v/>
      </c>
      <c r="H69" s="30" t="str">
        <f t="array" ref="H69">IF(OR($B69="",$C69="",$E69=""),"",IF(OR(H$8&lt;$E69,H$8-$E69&gt;=12),0,$C69*INDEX(Fondsen!$F$5:$Q$30,MATCH($B69,Fondsen!$A$5:$A$30,0),H$8-$E69+1)))</f>
        <v/>
      </c>
      <c r="I69" s="31" t="str">
        <f t="array" ref="I69">IF(OR($B69="",$C69="",$E69=""),"",IF(OR(I$8&lt;$E69,I$8-$E69&gt;=12),0,$C69*INDEX(Fondsen!$F$5:$Q$30,MATCH($B69,Fondsen!$A$5:$A$30,0),I$8-$E69+1)))</f>
        <v/>
      </c>
      <c r="J69" s="30" t="str">
        <f t="array" ref="J69">IF(OR($B69="",$C69="",$E69=""),"",IF(OR(J$8&lt;$E69,J$8-$E69&gt;=12),0,$C69*INDEX(Fondsen!$F$5:$Q$30,MATCH($B69,Fondsen!$A$5:$A$30,0),J$8-$E69+1)))</f>
        <v/>
      </c>
      <c r="K69" s="31" t="str">
        <f t="array" ref="K69">IF(OR($B69="",$C69="",$E69=""),"",IF(OR(K$8&lt;$E69,K$8-$E69&gt;=12),0,$C69*INDEX(Fondsen!$F$5:$Q$30,MATCH($B69,Fondsen!$A$5:$A$30,0),K$8-$E69+1)))</f>
        <v/>
      </c>
      <c r="L69" s="30" t="str">
        <f t="array" ref="L69">IF(OR($B69="",$C69="",$E69=""),"",IF(OR(L$8&lt;$E69,L$8-$E69&gt;=12),0,$C69*INDEX(Fondsen!$F$5:$Q$30,MATCH($B69,Fondsen!$A$5:$A$30,0),L$8-$E69+1)))</f>
        <v/>
      </c>
      <c r="M69" s="31" t="str">
        <f t="array" ref="M69">IF(OR($B69="",$C69="",$E69=""),"",IF(OR(M$8&lt;$E69,M$8-$E69&gt;=12),0,$C69*INDEX(Fondsen!$F$5:$Q$30,MATCH($B69,Fondsen!$A$5:$A$30,0),M$8-$E69+1)))</f>
        <v/>
      </c>
      <c r="N69" s="30" t="str">
        <f t="array" ref="N69">IF(OR($B69="",$C69="",$E69=""),"",IF(OR(N$8&lt;$E69,N$8-$E69&gt;=12),0,$C69*INDEX(Fondsen!$F$5:$Q$30,MATCH($B69,Fondsen!$A$5:$A$30,0),N$8-$E69+1)))</f>
        <v/>
      </c>
      <c r="O69" s="31" t="str">
        <f t="array" ref="O69">IF(OR($B69="",$C69="",$E69=""),"",IF(OR(O$8&lt;$E69,O$8-$E69&gt;=12),0,$C69*INDEX(Fondsen!$F$5:$Q$30,MATCH($B69,Fondsen!$A$5:$A$30,0),O$8-$E69+1)))</f>
        <v/>
      </c>
      <c r="P69" s="30" t="str">
        <f t="array" ref="P69">IF(OR($B69="",$C69="",$E69=""),"",IF(OR(P$8&lt;$E69,P$8-$E69&gt;=12),0,$C69*INDEX(Fondsen!$F$5:$Q$30,MATCH($B69,Fondsen!$A$5:$A$30,0),P$8-$E69+1)))</f>
        <v/>
      </c>
      <c r="Q69" s="31" t="str">
        <f t="array" ref="Q69">IF(OR($B69="",$C69="",$E69=""),"",IF(OR(Q$8&lt;$E69,Q$8-$E69&gt;=12),0,$C69*INDEX(Fondsen!$F$5:$Q$30,MATCH($B69,Fondsen!$A$5:$A$30,0),Q$8-$E69+1)))</f>
        <v/>
      </c>
      <c r="R69" s="30" t="str">
        <f t="array" ref="R69">IF(OR($B69="",$C69="",$E69=""),"",IF(OR(R$8&lt;$E69,R$8-$E69&gt;=12),0,$C69*INDEX(Fondsen!$F$5:$Q$30,MATCH($B69,Fondsen!$A$5:$A$30,0),R$8-$E69+1)))</f>
        <v/>
      </c>
      <c r="S69" s="31" t="str">
        <f t="array" ref="S69">IF(OR($B69="",$C69="",$E69=""),"",IF(OR(S$8&lt;$E69,S$8-$E69&gt;=12),0,$C69*INDEX(Fondsen!$F$5:$Q$30,MATCH($B69,Fondsen!$A$5:$A$30,0),S$8-$E69+1)))</f>
        <v/>
      </c>
      <c r="T69" s="30" t="str">
        <f t="array" ref="T69">IF(OR($B69="",$C69="",$E69=""),"",IF(OR(T$8&lt;$E69,T$8-$E69&gt;=12),0,$C69*INDEX(Fondsen!$F$5:$Q$30,MATCH($B69,Fondsen!$A$5:$A$30,0),T$8-$E69+1)))</f>
        <v/>
      </c>
      <c r="U69" s="31" t="str">
        <f t="array" ref="U69">IF(OR($B69="",$C69="",$E69=""),"",IF(OR(U$8&lt;$E69,U$8-$E69&gt;=12),0,$C69*INDEX(Fondsen!$F$5:$Q$30,MATCH($B69,Fondsen!$A$5:$A$30,0),U$8-$E69+1)))</f>
        <v/>
      </c>
      <c r="V69" s="30" t="str">
        <f t="array" ref="V69">IF(OR($B69="",$C69="",$E69=""),"",IF(OR(V$8&lt;$E69,V$8-$E69&gt;=12),0,$C69*INDEX(Fondsen!$F$5:$Q$30,MATCH($B69,Fondsen!$A$5:$A$30,0),V$8-$E69+1)))</f>
        <v/>
      </c>
      <c r="W69" s="31" t="str">
        <f t="array" ref="W69">IF(OR($B69="",$C69="",$E69=""),"",IF(OR(W$8&lt;$E69,W$8-$E69&gt;=12),0,$C69*INDEX(Fondsen!$F$5:$Q$30,MATCH($B69,Fondsen!$A$5:$A$30,0),W$8-$E69+1)))</f>
        <v/>
      </c>
      <c r="X69" s="30" t="str">
        <f t="array" ref="X69">IF(OR($B69="",$C69="",$E69=""),"",IF(OR(X$8&lt;$E69,X$8-$E69&gt;=12),0,$C69*INDEX(Fondsen!$F$5:$Q$30,MATCH($B69,Fondsen!$A$5:$A$30,0),X$8-$E69+1)))</f>
        <v/>
      </c>
      <c r="Y69" s="31" t="str">
        <f t="array" ref="Y69">IF(OR($B69="",$C69="",$E69=""),"",IF(OR(Y$8&lt;$E69,Y$8-$E69&gt;=12),0,$C69*INDEX(Fondsen!$F$5:$Q$30,MATCH($B69,Fondsen!$A$5:$A$30,0),Y$8-$E69+1)))</f>
        <v/>
      </c>
      <c r="Z69" s="30" t="str">
        <f t="array" ref="Z69">IF(OR($B69="",$C69="",$E69=""),"",IF(OR(Z$8&lt;$E69,Z$8-$E69&gt;=12),0,$C69*INDEX(Fondsen!$F$5:$Q$30,MATCH($B69,Fondsen!$A$5:$A$30,0),Z$8-$E69+1)))</f>
        <v/>
      </c>
      <c r="AA69" s="31" t="str">
        <f t="array" ref="AA69">IF(OR($B69="",$C69="",$E69=""),"",IF(OR(AA$8&lt;$E69,AA$8-$E69&gt;=12),0,$C69*INDEX(Fondsen!$F$5:$Q$30,MATCH($B69,Fondsen!$A$5:$A$30,0),AA$8-$E69+1)))</f>
        <v/>
      </c>
      <c r="AB69" s="30" t="str">
        <f t="array" ref="AB69">IF(OR($B69="",$C69="",$E69=""),"",IF(OR(AB$8&lt;$E69,AB$8-$E69&gt;=12),0,$C69*INDEX(Fondsen!$F$5:$Q$30,MATCH($B69,Fondsen!$A$5:$A$30,0),AB$8-$E69+1)))</f>
        <v/>
      </c>
      <c r="AC69" s="31" t="str">
        <f t="array" ref="AC69">IF(OR($B69="",$C69="",$E69=""),"",IF(OR(AC$8&lt;$E69,AC$8-$E69&gt;=12),0,$C69*INDEX(Fondsen!$F$5:$Q$30,MATCH($B69,Fondsen!$A$5:$A$30,0),AC$8-$E69+1)))</f>
        <v/>
      </c>
      <c r="AD69" s="30" t="str">
        <f t="array" ref="AD69">IF(OR($B69="",$C69="",$E69=""),"",IF(OR(AD$8&lt;$E69,AD$8-$E69&gt;=12),0,$C69*INDEX(Fondsen!$F$5:$Q$30,MATCH($B69,Fondsen!$A$5:$A$30,0),AD$8-$E69+1)))</f>
        <v/>
      </c>
      <c r="AE69" s="31" t="str">
        <f t="array" ref="AE69">IF(OR($B69="",$C69="",$E69=""),"",IF(OR(AE$8&lt;$E69,AE$8-$E69&gt;=12),0,$C69*INDEX(Fondsen!$F$5:$Q$30,MATCH($B69,Fondsen!$A$5:$A$30,0),AE$8-$E69+1)))</f>
        <v/>
      </c>
      <c r="AF69" s="30" t="str">
        <f t="array" ref="AF69">IF(OR($B69="",$C69="",$E69=""),"",IF(OR(AF$8&lt;$E69,AF$8-$E69&gt;=12),0,$C69*INDEX(Fondsen!$F$5:$Q$30,MATCH($B69,Fondsen!$A$5:$A$30,0),AF$8-$E69+1)))</f>
        <v/>
      </c>
      <c r="AG69" s="31" t="str">
        <f t="array" ref="AG69">IF(OR($B69="",$C69="",$E69=""),"",IF(OR(AG$8&lt;$E69,AG$8-$E69&gt;=12),0,$C69*INDEX(Fondsen!$F$5:$Q$30,MATCH($B69,Fondsen!$A$5:$A$30,0),AG$8-$E69+1)))</f>
        <v/>
      </c>
      <c r="AH69" s="30" t="str">
        <f t="array" ref="AH69">IF(OR($B69="",$C69="",$E69=""),"",IF(OR(AH$8&lt;$E69,AH$8-$E69&gt;=12),0,$C69*INDEX(Fondsen!$F$5:$Q$30,MATCH($B69,Fondsen!$A$5:$A$30,0),AH$8-$E69+1)))</f>
        <v/>
      </c>
      <c r="AI69" s="31" t="str">
        <f t="array" ref="AI69">IF(OR($B69="",$C69="",$E69=""),"",IF(OR(AI$8&lt;$E69,AI$8-$E69&gt;=12),0,$C69*INDEX(Fondsen!$F$5:$Q$30,MATCH($B69,Fondsen!$A$5:$A$30,0),AI$8-$E69+1)))</f>
        <v/>
      </c>
      <c r="AJ69" s="30" t="str">
        <f t="array" ref="AJ69">IF(OR($B69="",$C69="",$E69=""),"",IF(OR(AJ$8&lt;$E69,AJ$8-$E69&gt;=12),0,$C69*INDEX(Fondsen!$F$5:$Q$30,MATCH($B69,Fondsen!$A$5:$A$30,0),AJ$8-$E69+1)))</f>
        <v/>
      </c>
      <c r="AK69" s="31" t="str">
        <f t="array" ref="AK69">IF(OR($B69="",$C69="",$E69=""),"",IF(OR(AK$8&lt;$E69,AK$8-$E69&gt;=12),0,$C69*INDEX(Fondsen!$F$5:$Q$30,MATCH($B69,Fondsen!$A$5:$A$30,0),AK$8-$E69+1)))</f>
        <v/>
      </c>
      <c r="AL69" s="30" t="str">
        <f t="array" ref="AL69">IF(OR($B69="",$C69="",$E69=""),"",IF(OR(AL$8&lt;$E69,AL$8-$E69&gt;=12),0,$C69*INDEX(Fondsen!$F$5:$Q$30,MATCH($B69,Fondsen!$A$5:$A$30,0),AL$8-$E69+1)))</f>
        <v/>
      </c>
      <c r="AM69" s="31" t="str">
        <f t="array" ref="AM69">IF(OR($B69="",$C69="",$E69=""),"",IF(OR(AM$8&lt;$E69,AM$8-$E69&gt;=12),0,$C69*INDEX(Fondsen!$F$5:$Q$30,MATCH($B69,Fondsen!$A$5:$A$30,0),AM$8-$E69+1)))</f>
        <v/>
      </c>
      <c r="AN69" s="30" t="str">
        <f t="array" ref="AN69">IF(OR($B69="",$C69="",$E69=""),"",IF(OR(AN$8&lt;$E69,AN$8-$E69&gt;=12),0,$C69*INDEX(Fondsen!$F$5:$Q$30,MATCH($B69,Fondsen!$A$5:$A$30,0),AN$8-$E69+1)))</f>
        <v/>
      </c>
      <c r="AO69" s="31" t="str">
        <f t="array" ref="AO69">IF(OR($B69="",$C69="",$E69=""),"",IF(OR(AO$8&lt;$E69,AO$8-$E69&gt;=12),0,$C69*INDEX(Fondsen!$F$5:$Q$30,MATCH($B69,Fondsen!$A$5:$A$30,0),AO$8-$E69+1)))</f>
        <v/>
      </c>
      <c r="AP69" s="30" t="str">
        <f t="array" ref="AP69">IF(OR($B69="",$C69="",$E69=""),"",IF(OR(AP$8&lt;$E69,AP$8-$E69&gt;=12),0,$C69*INDEX(Fondsen!$F$5:$Q$30,MATCH($B69,Fondsen!$A$5:$A$30,0),AP$8-$E69+1)))</f>
        <v/>
      </c>
      <c r="AQ69" s="31" t="str">
        <f t="array" ref="AQ69">IF(OR($B69="",$C69="",$E69=""),"",IF(OR(AQ$8&lt;$E69,AQ$8-$E69&gt;=12),0,$C69*INDEX(Fondsen!$F$5:$Q$30,MATCH($B69,Fondsen!$A$5:$A$30,0),AQ$8-$E69+1)))</f>
        <v/>
      </c>
      <c r="AR69" s="30" t="str">
        <f t="array" ref="AR69">IF(OR($B69="",$C69="",$E69=""),"",IF(OR(AR$8&lt;$E69,AR$8-$E69&gt;=12),0,$C69*INDEX(Fondsen!$F$5:$Q$30,MATCH($B69,Fondsen!$A$5:$A$30,0),AR$8-$E69+1)))</f>
        <v/>
      </c>
      <c r="AS69" s="31" t="str">
        <f t="array" ref="AS69">IF(OR($B69="",$C69="",$E69=""),"",IF(OR(AS$8&lt;$E69,AS$8-$E69&gt;=12),0,$C69*INDEX(Fondsen!$F$5:$Q$30,MATCH($B69,Fondsen!$A$5:$A$30,0),AS$8-$E69+1)))</f>
        <v/>
      </c>
      <c r="AT69" s="45"/>
    </row>
    <row r="70" ht="24.0" customHeight="1" outlineLevel="1">
      <c r="A70" s="33" t="str">
        <f>IF(B70="","",IFERROR(VLOOKUP(B70,Fondsen!$A$5:$B$30,2,FALSE()),""))</f>
        <v/>
      </c>
      <c r="B70" s="34"/>
      <c r="C70" s="35"/>
      <c r="D70" s="46" t="s">
        <v>11</v>
      </c>
      <c r="E70" s="37"/>
      <c r="F70" s="38" t="str">
        <f t="array" ref="F70">IF(OR($B70="",$C70="",$E70=""),"",IF(OR(F$8&lt;$E70,F$8-$E70&gt;=12),0,$C70*INDEX(Fondsen!$F$5:$Q$30,MATCH($B70,Fondsen!$A$5:$A$30,0),F$8-$E70+1)))</f>
        <v/>
      </c>
      <c r="G70" s="39" t="str">
        <f t="array" ref="G70">IF(OR($B70="",$C70="",$E70=""),"",IF(OR(G$8&lt;$E70,G$8-$E70&gt;=12),0,$C70*INDEX(Fondsen!$F$5:$Q$30,MATCH($B70,Fondsen!$A$5:$A$30,0),G$8-$E70+1)))</f>
        <v/>
      </c>
      <c r="H70" s="38" t="str">
        <f t="array" ref="H70">IF(OR($B70="",$C70="",$E70=""),"",IF(OR(H$8&lt;$E70,H$8-$E70&gt;=12),0,$C70*INDEX(Fondsen!$F$5:$Q$30,MATCH($B70,Fondsen!$A$5:$A$30,0),H$8-$E70+1)))</f>
        <v/>
      </c>
      <c r="I70" s="39" t="str">
        <f t="array" ref="I70">IF(OR($B70="",$C70="",$E70=""),"",IF(OR(I$8&lt;$E70,I$8-$E70&gt;=12),0,$C70*INDEX(Fondsen!$F$5:$Q$30,MATCH($B70,Fondsen!$A$5:$A$30,0),I$8-$E70+1)))</f>
        <v/>
      </c>
      <c r="J70" s="38" t="str">
        <f t="array" ref="J70">IF(OR($B70="",$C70="",$E70=""),"",IF(OR(J$8&lt;$E70,J$8-$E70&gt;=12),0,$C70*INDEX(Fondsen!$F$5:$Q$30,MATCH($B70,Fondsen!$A$5:$A$30,0),J$8-$E70+1)))</f>
        <v/>
      </c>
      <c r="K70" s="39" t="str">
        <f t="array" ref="K70">IF(OR($B70="",$C70="",$E70=""),"",IF(OR(K$8&lt;$E70,K$8-$E70&gt;=12),0,$C70*INDEX(Fondsen!$F$5:$Q$30,MATCH($B70,Fondsen!$A$5:$A$30,0),K$8-$E70+1)))</f>
        <v/>
      </c>
      <c r="L70" s="38" t="str">
        <f t="array" ref="L70">IF(OR($B70="",$C70="",$E70=""),"",IF(OR(L$8&lt;$E70,L$8-$E70&gt;=12),0,$C70*INDEX(Fondsen!$F$5:$Q$30,MATCH($B70,Fondsen!$A$5:$A$30,0),L$8-$E70+1)))</f>
        <v/>
      </c>
      <c r="M70" s="39" t="str">
        <f t="array" ref="M70">IF(OR($B70="",$C70="",$E70=""),"",IF(OR(M$8&lt;$E70,M$8-$E70&gt;=12),0,$C70*INDEX(Fondsen!$F$5:$Q$30,MATCH($B70,Fondsen!$A$5:$A$30,0),M$8-$E70+1)))</f>
        <v/>
      </c>
      <c r="N70" s="38" t="str">
        <f t="array" ref="N70">IF(OR($B70="",$C70="",$E70=""),"",IF(OR(N$8&lt;$E70,N$8-$E70&gt;=12),0,$C70*INDEX(Fondsen!$F$5:$Q$30,MATCH($B70,Fondsen!$A$5:$A$30,0),N$8-$E70+1)))</f>
        <v/>
      </c>
      <c r="O70" s="39" t="str">
        <f t="array" ref="O70">IF(OR($B70="",$C70="",$E70=""),"",IF(OR(O$8&lt;$E70,O$8-$E70&gt;=12),0,$C70*INDEX(Fondsen!$F$5:$Q$30,MATCH($B70,Fondsen!$A$5:$A$30,0),O$8-$E70+1)))</f>
        <v/>
      </c>
      <c r="P70" s="38" t="str">
        <f t="array" ref="P70">IF(OR($B70="",$C70="",$E70=""),"",IF(OR(P$8&lt;$E70,P$8-$E70&gt;=12),0,$C70*INDEX(Fondsen!$F$5:$Q$30,MATCH($B70,Fondsen!$A$5:$A$30,0),P$8-$E70+1)))</f>
        <v/>
      </c>
      <c r="Q70" s="39" t="str">
        <f t="array" ref="Q70">IF(OR($B70="",$C70="",$E70=""),"",IF(OR(Q$8&lt;$E70,Q$8-$E70&gt;=12),0,$C70*INDEX(Fondsen!$F$5:$Q$30,MATCH($B70,Fondsen!$A$5:$A$30,0),Q$8-$E70+1)))</f>
        <v/>
      </c>
      <c r="R70" s="38" t="str">
        <f t="array" ref="R70">IF(OR($B70="",$C70="",$E70=""),"",IF(OR(R$8&lt;$E70,R$8-$E70&gt;=12),0,$C70*INDEX(Fondsen!$F$5:$Q$30,MATCH($B70,Fondsen!$A$5:$A$30,0),R$8-$E70+1)))</f>
        <v/>
      </c>
      <c r="S70" s="39" t="str">
        <f t="array" ref="S70">IF(OR($B70="",$C70="",$E70=""),"",IF(OR(S$8&lt;$E70,S$8-$E70&gt;=12),0,$C70*INDEX(Fondsen!$F$5:$Q$30,MATCH($B70,Fondsen!$A$5:$A$30,0),S$8-$E70+1)))</f>
        <v/>
      </c>
      <c r="T70" s="38" t="str">
        <f t="array" ref="T70">IF(OR($B70="",$C70="",$E70=""),"",IF(OR(T$8&lt;$E70,T$8-$E70&gt;=12),0,$C70*INDEX(Fondsen!$F$5:$Q$30,MATCH($B70,Fondsen!$A$5:$A$30,0),T$8-$E70+1)))</f>
        <v/>
      </c>
      <c r="U70" s="39" t="str">
        <f t="array" ref="U70">IF(OR($B70="",$C70="",$E70=""),"",IF(OR(U$8&lt;$E70,U$8-$E70&gt;=12),0,$C70*INDEX(Fondsen!$F$5:$Q$30,MATCH($B70,Fondsen!$A$5:$A$30,0),U$8-$E70+1)))</f>
        <v/>
      </c>
      <c r="V70" s="38" t="str">
        <f t="array" ref="V70">IF(OR($B70="",$C70="",$E70=""),"",IF(OR(V$8&lt;$E70,V$8-$E70&gt;=12),0,$C70*INDEX(Fondsen!$F$5:$Q$30,MATCH($B70,Fondsen!$A$5:$A$30,0),V$8-$E70+1)))</f>
        <v/>
      </c>
      <c r="W70" s="39" t="str">
        <f t="array" ref="W70">IF(OR($B70="",$C70="",$E70=""),"",IF(OR(W$8&lt;$E70,W$8-$E70&gt;=12),0,$C70*INDEX(Fondsen!$F$5:$Q$30,MATCH($B70,Fondsen!$A$5:$A$30,0),W$8-$E70+1)))</f>
        <v/>
      </c>
      <c r="X70" s="38" t="str">
        <f t="array" ref="X70">IF(OR($B70="",$C70="",$E70=""),"",IF(OR(X$8&lt;$E70,X$8-$E70&gt;=12),0,$C70*INDEX(Fondsen!$F$5:$Q$30,MATCH($B70,Fondsen!$A$5:$A$30,0),X$8-$E70+1)))</f>
        <v/>
      </c>
      <c r="Y70" s="39" t="str">
        <f t="array" ref="Y70">IF(OR($B70="",$C70="",$E70=""),"",IF(OR(Y$8&lt;$E70,Y$8-$E70&gt;=12),0,$C70*INDEX(Fondsen!$F$5:$Q$30,MATCH($B70,Fondsen!$A$5:$A$30,0),Y$8-$E70+1)))</f>
        <v/>
      </c>
      <c r="Z70" s="38" t="str">
        <f t="array" ref="Z70">IF(OR($B70="",$C70="",$E70=""),"",IF(OR(Z$8&lt;$E70,Z$8-$E70&gt;=12),0,$C70*INDEX(Fondsen!$F$5:$Q$30,MATCH($B70,Fondsen!$A$5:$A$30,0),Z$8-$E70+1)))</f>
        <v/>
      </c>
      <c r="AA70" s="39" t="str">
        <f t="array" ref="AA70">IF(OR($B70="",$C70="",$E70=""),"",IF(OR(AA$8&lt;$E70,AA$8-$E70&gt;=12),0,$C70*INDEX(Fondsen!$F$5:$Q$30,MATCH($B70,Fondsen!$A$5:$A$30,0),AA$8-$E70+1)))</f>
        <v/>
      </c>
      <c r="AB70" s="38" t="str">
        <f t="array" ref="AB70">IF(OR($B70="",$C70="",$E70=""),"",IF(OR(AB$8&lt;$E70,AB$8-$E70&gt;=12),0,$C70*INDEX(Fondsen!$F$5:$Q$30,MATCH($B70,Fondsen!$A$5:$A$30,0),AB$8-$E70+1)))</f>
        <v/>
      </c>
      <c r="AC70" s="39" t="str">
        <f t="array" ref="AC70">IF(OR($B70="",$C70="",$E70=""),"",IF(OR(AC$8&lt;$E70,AC$8-$E70&gt;=12),0,$C70*INDEX(Fondsen!$F$5:$Q$30,MATCH($B70,Fondsen!$A$5:$A$30,0),AC$8-$E70+1)))</f>
        <v/>
      </c>
      <c r="AD70" s="38" t="str">
        <f t="array" ref="AD70">IF(OR($B70="",$C70="",$E70=""),"",IF(OR(AD$8&lt;$E70,AD$8-$E70&gt;=12),0,$C70*INDEX(Fondsen!$F$5:$Q$30,MATCH($B70,Fondsen!$A$5:$A$30,0),AD$8-$E70+1)))</f>
        <v/>
      </c>
      <c r="AE70" s="39" t="str">
        <f t="array" ref="AE70">IF(OR($B70="",$C70="",$E70=""),"",IF(OR(AE$8&lt;$E70,AE$8-$E70&gt;=12),0,$C70*INDEX(Fondsen!$F$5:$Q$30,MATCH($B70,Fondsen!$A$5:$A$30,0),AE$8-$E70+1)))</f>
        <v/>
      </c>
      <c r="AF70" s="38" t="str">
        <f t="array" ref="AF70">IF(OR($B70="",$C70="",$E70=""),"",IF(OR(AF$8&lt;$E70,AF$8-$E70&gt;=12),0,$C70*INDEX(Fondsen!$F$5:$Q$30,MATCH($B70,Fondsen!$A$5:$A$30,0),AF$8-$E70+1)))</f>
        <v/>
      </c>
      <c r="AG70" s="39" t="str">
        <f t="array" ref="AG70">IF(OR($B70="",$C70="",$E70=""),"",IF(OR(AG$8&lt;$E70,AG$8-$E70&gt;=12),0,$C70*INDEX(Fondsen!$F$5:$Q$30,MATCH($B70,Fondsen!$A$5:$A$30,0),AG$8-$E70+1)))</f>
        <v/>
      </c>
      <c r="AH70" s="38" t="str">
        <f t="array" ref="AH70">IF(OR($B70="",$C70="",$E70=""),"",IF(OR(AH$8&lt;$E70,AH$8-$E70&gt;=12),0,$C70*INDEX(Fondsen!$F$5:$Q$30,MATCH($B70,Fondsen!$A$5:$A$30,0),AH$8-$E70+1)))</f>
        <v/>
      </c>
      <c r="AI70" s="39" t="str">
        <f t="array" ref="AI70">IF(OR($B70="",$C70="",$E70=""),"",IF(OR(AI$8&lt;$E70,AI$8-$E70&gt;=12),0,$C70*INDEX(Fondsen!$F$5:$Q$30,MATCH($B70,Fondsen!$A$5:$A$30,0),AI$8-$E70+1)))</f>
        <v/>
      </c>
      <c r="AJ70" s="38" t="str">
        <f t="array" ref="AJ70">IF(OR($B70="",$C70="",$E70=""),"",IF(OR(AJ$8&lt;$E70,AJ$8-$E70&gt;=12),0,$C70*INDEX(Fondsen!$F$5:$Q$30,MATCH($B70,Fondsen!$A$5:$A$30,0),AJ$8-$E70+1)))</f>
        <v/>
      </c>
      <c r="AK70" s="39" t="str">
        <f t="array" ref="AK70">IF(OR($B70="",$C70="",$E70=""),"",IF(OR(AK$8&lt;$E70,AK$8-$E70&gt;=12),0,$C70*INDEX(Fondsen!$F$5:$Q$30,MATCH($B70,Fondsen!$A$5:$A$30,0),AK$8-$E70+1)))</f>
        <v/>
      </c>
      <c r="AL70" s="38" t="str">
        <f t="array" ref="AL70">IF(OR($B70="",$C70="",$E70=""),"",IF(OR(AL$8&lt;$E70,AL$8-$E70&gt;=12),0,$C70*INDEX(Fondsen!$F$5:$Q$30,MATCH($B70,Fondsen!$A$5:$A$30,0),AL$8-$E70+1)))</f>
        <v/>
      </c>
      <c r="AM70" s="39" t="str">
        <f t="array" ref="AM70">IF(OR($B70="",$C70="",$E70=""),"",IF(OR(AM$8&lt;$E70,AM$8-$E70&gt;=12),0,$C70*INDEX(Fondsen!$F$5:$Q$30,MATCH($B70,Fondsen!$A$5:$A$30,0),AM$8-$E70+1)))</f>
        <v/>
      </c>
      <c r="AN70" s="38" t="str">
        <f t="array" ref="AN70">IF(OR($B70="",$C70="",$E70=""),"",IF(OR(AN$8&lt;$E70,AN$8-$E70&gt;=12),0,$C70*INDEX(Fondsen!$F$5:$Q$30,MATCH($B70,Fondsen!$A$5:$A$30,0),AN$8-$E70+1)))</f>
        <v/>
      </c>
      <c r="AO70" s="39" t="str">
        <f t="array" ref="AO70">IF(OR($B70="",$C70="",$E70=""),"",IF(OR(AO$8&lt;$E70,AO$8-$E70&gt;=12),0,$C70*INDEX(Fondsen!$F$5:$Q$30,MATCH($B70,Fondsen!$A$5:$A$30,0),AO$8-$E70+1)))</f>
        <v/>
      </c>
      <c r="AP70" s="38" t="str">
        <f t="array" ref="AP70">IF(OR($B70="",$C70="",$E70=""),"",IF(OR(AP$8&lt;$E70,AP$8-$E70&gt;=12),0,$C70*INDEX(Fondsen!$F$5:$Q$30,MATCH($B70,Fondsen!$A$5:$A$30,0),AP$8-$E70+1)))</f>
        <v/>
      </c>
      <c r="AQ70" s="39" t="str">
        <f t="array" ref="AQ70">IF(OR($B70="",$C70="",$E70=""),"",IF(OR(AQ$8&lt;$E70,AQ$8-$E70&gt;=12),0,$C70*INDEX(Fondsen!$F$5:$Q$30,MATCH($B70,Fondsen!$A$5:$A$30,0),AQ$8-$E70+1)))</f>
        <v/>
      </c>
      <c r="AR70" s="38" t="str">
        <f t="array" ref="AR70">IF(OR($B70="",$C70="",$E70=""),"",IF(OR(AR$8&lt;$E70,AR$8-$E70&gt;=12),0,$C70*INDEX(Fondsen!$F$5:$Q$30,MATCH($B70,Fondsen!$A$5:$A$30,0),AR$8-$E70+1)))</f>
        <v/>
      </c>
      <c r="AS70" s="39" t="str">
        <f t="array" ref="AS70">IF(OR($B70="",$C70="",$E70=""),"",IF(OR(AS$8&lt;$E70,AS$8-$E70&gt;=12),0,$C70*INDEX(Fondsen!$F$5:$Q$30,MATCH($B70,Fondsen!$A$5:$A$30,0),AS$8-$E70+1)))</f>
        <v/>
      </c>
      <c r="AT70" s="45"/>
    </row>
    <row r="71" ht="24.0" customHeight="1" outlineLevel="1">
      <c r="A71" s="47" t="str">
        <f>IF(B71="","",IFERROR(VLOOKUP(B71,Fondsen!$A$5:$B$30,2,FALSE()),""))</f>
        <v/>
      </c>
      <c r="B71" s="26"/>
      <c r="C71" s="27"/>
      <c r="D71" s="44" t="s">
        <v>11</v>
      </c>
      <c r="E71" s="29"/>
      <c r="F71" s="30" t="str">
        <f t="array" ref="F71">IF(OR($B71="",$C71="",$E71=""),"",IF(OR(F$8&lt;$E71,F$8-$E71&gt;=12),0,$C71*INDEX(Fondsen!$F$5:$Q$30,MATCH($B71,Fondsen!$A$5:$A$30,0),F$8-$E71+1)))</f>
        <v/>
      </c>
      <c r="G71" s="31" t="str">
        <f t="array" ref="G71">IF(OR($B71="",$C71="",$E71=""),"",IF(OR(G$8&lt;$E71,G$8-$E71&gt;=12),0,$C71*INDEX(Fondsen!$F$5:$Q$30,MATCH($B71,Fondsen!$A$5:$A$30,0),G$8-$E71+1)))</f>
        <v/>
      </c>
      <c r="H71" s="30" t="str">
        <f t="array" ref="H71">IF(OR($B71="",$C71="",$E71=""),"",IF(OR(H$8&lt;$E71,H$8-$E71&gt;=12),0,$C71*INDEX(Fondsen!$F$5:$Q$30,MATCH($B71,Fondsen!$A$5:$A$30,0),H$8-$E71+1)))</f>
        <v/>
      </c>
      <c r="I71" s="31" t="str">
        <f t="array" ref="I71">IF(OR($B71="",$C71="",$E71=""),"",IF(OR(I$8&lt;$E71,I$8-$E71&gt;=12),0,$C71*INDEX(Fondsen!$F$5:$Q$30,MATCH($B71,Fondsen!$A$5:$A$30,0),I$8-$E71+1)))</f>
        <v/>
      </c>
      <c r="J71" s="30" t="str">
        <f t="array" ref="J71">IF(OR($B71="",$C71="",$E71=""),"",IF(OR(J$8&lt;$E71,J$8-$E71&gt;=12),0,$C71*INDEX(Fondsen!$F$5:$Q$30,MATCH($B71,Fondsen!$A$5:$A$30,0),J$8-$E71+1)))</f>
        <v/>
      </c>
      <c r="K71" s="31" t="str">
        <f t="array" ref="K71">IF(OR($B71="",$C71="",$E71=""),"",IF(OR(K$8&lt;$E71,K$8-$E71&gt;=12),0,$C71*INDEX(Fondsen!$F$5:$Q$30,MATCH($B71,Fondsen!$A$5:$A$30,0),K$8-$E71+1)))</f>
        <v/>
      </c>
      <c r="L71" s="30" t="str">
        <f t="array" ref="L71">IF(OR($B71="",$C71="",$E71=""),"",IF(OR(L$8&lt;$E71,L$8-$E71&gt;=12),0,$C71*INDEX(Fondsen!$F$5:$Q$30,MATCH($B71,Fondsen!$A$5:$A$30,0),L$8-$E71+1)))</f>
        <v/>
      </c>
      <c r="M71" s="31" t="str">
        <f t="array" ref="M71">IF(OR($B71="",$C71="",$E71=""),"",IF(OR(M$8&lt;$E71,M$8-$E71&gt;=12),0,$C71*INDEX(Fondsen!$F$5:$Q$30,MATCH($B71,Fondsen!$A$5:$A$30,0),M$8-$E71+1)))</f>
        <v/>
      </c>
      <c r="N71" s="30" t="str">
        <f t="array" ref="N71">IF(OR($B71="",$C71="",$E71=""),"",IF(OR(N$8&lt;$E71,N$8-$E71&gt;=12),0,$C71*INDEX(Fondsen!$F$5:$Q$30,MATCH($B71,Fondsen!$A$5:$A$30,0),N$8-$E71+1)))</f>
        <v/>
      </c>
      <c r="O71" s="31" t="str">
        <f t="array" ref="O71">IF(OR($B71="",$C71="",$E71=""),"",IF(OR(O$8&lt;$E71,O$8-$E71&gt;=12),0,$C71*INDEX(Fondsen!$F$5:$Q$30,MATCH($B71,Fondsen!$A$5:$A$30,0),O$8-$E71+1)))</f>
        <v/>
      </c>
      <c r="P71" s="30" t="str">
        <f t="array" ref="P71">IF(OR($B71="",$C71="",$E71=""),"",IF(OR(P$8&lt;$E71,P$8-$E71&gt;=12),0,$C71*INDEX(Fondsen!$F$5:$Q$30,MATCH($B71,Fondsen!$A$5:$A$30,0),P$8-$E71+1)))</f>
        <v/>
      </c>
      <c r="Q71" s="31" t="str">
        <f t="array" ref="Q71">IF(OR($B71="",$C71="",$E71=""),"",IF(OR(Q$8&lt;$E71,Q$8-$E71&gt;=12),0,$C71*INDEX(Fondsen!$F$5:$Q$30,MATCH($B71,Fondsen!$A$5:$A$30,0),Q$8-$E71+1)))</f>
        <v/>
      </c>
      <c r="R71" s="30" t="str">
        <f t="array" ref="R71">IF(OR($B71="",$C71="",$E71=""),"",IF(OR(R$8&lt;$E71,R$8-$E71&gt;=12),0,$C71*INDEX(Fondsen!$F$5:$Q$30,MATCH($B71,Fondsen!$A$5:$A$30,0),R$8-$E71+1)))</f>
        <v/>
      </c>
      <c r="S71" s="31" t="str">
        <f t="array" ref="S71">IF(OR($B71="",$C71="",$E71=""),"",IF(OR(S$8&lt;$E71,S$8-$E71&gt;=12),0,$C71*INDEX(Fondsen!$F$5:$Q$30,MATCH($B71,Fondsen!$A$5:$A$30,0),S$8-$E71+1)))</f>
        <v/>
      </c>
      <c r="T71" s="30" t="str">
        <f t="array" ref="T71">IF(OR($B71="",$C71="",$E71=""),"",IF(OR(T$8&lt;$E71,T$8-$E71&gt;=12),0,$C71*INDEX(Fondsen!$F$5:$Q$30,MATCH($B71,Fondsen!$A$5:$A$30,0),T$8-$E71+1)))</f>
        <v/>
      </c>
      <c r="U71" s="31" t="str">
        <f t="array" ref="U71">IF(OR($B71="",$C71="",$E71=""),"",IF(OR(U$8&lt;$E71,U$8-$E71&gt;=12),0,$C71*INDEX(Fondsen!$F$5:$Q$30,MATCH($B71,Fondsen!$A$5:$A$30,0),U$8-$E71+1)))</f>
        <v/>
      </c>
      <c r="V71" s="30" t="str">
        <f t="array" ref="V71">IF(OR($B71="",$C71="",$E71=""),"",IF(OR(V$8&lt;$E71,V$8-$E71&gt;=12),0,$C71*INDEX(Fondsen!$F$5:$Q$30,MATCH($B71,Fondsen!$A$5:$A$30,0),V$8-$E71+1)))</f>
        <v/>
      </c>
      <c r="W71" s="31" t="str">
        <f t="array" ref="W71">IF(OR($B71="",$C71="",$E71=""),"",IF(OR(W$8&lt;$E71,W$8-$E71&gt;=12),0,$C71*INDEX(Fondsen!$F$5:$Q$30,MATCH($B71,Fondsen!$A$5:$A$30,0),W$8-$E71+1)))</f>
        <v/>
      </c>
      <c r="X71" s="30" t="str">
        <f t="array" ref="X71">IF(OR($B71="",$C71="",$E71=""),"",IF(OR(X$8&lt;$E71,X$8-$E71&gt;=12),0,$C71*INDEX(Fondsen!$F$5:$Q$30,MATCH($B71,Fondsen!$A$5:$A$30,0),X$8-$E71+1)))</f>
        <v/>
      </c>
      <c r="Y71" s="31" t="str">
        <f t="array" ref="Y71">IF(OR($B71="",$C71="",$E71=""),"",IF(OR(Y$8&lt;$E71,Y$8-$E71&gt;=12),0,$C71*INDEX(Fondsen!$F$5:$Q$30,MATCH($B71,Fondsen!$A$5:$A$30,0),Y$8-$E71+1)))</f>
        <v/>
      </c>
      <c r="Z71" s="30" t="str">
        <f t="array" ref="Z71">IF(OR($B71="",$C71="",$E71=""),"",IF(OR(Z$8&lt;$E71,Z$8-$E71&gt;=12),0,$C71*INDEX(Fondsen!$F$5:$Q$30,MATCH($B71,Fondsen!$A$5:$A$30,0),Z$8-$E71+1)))</f>
        <v/>
      </c>
      <c r="AA71" s="31" t="str">
        <f t="array" ref="AA71">IF(OR($B71="",$C71="",$E71=""),"",IF(OR(AA$8&lt;$E71,AA$8-$E71&gt;=12),0,$C71*INDEX(Fondsen!$F$5:$Q$30,MATCH($B71,Fondsen!$A$5:$A$30,0),AA$8-$E71+1)))</f>
        <v/>
      </c>
      <c r="AB71" s="30" t="str">
        <f t="array" ref="AB71">IF(OR($B71="",$C71="",$E71=""),"",IF(OR(AB$8&lt;$E71,AB$8-$E71&gt;=12),0,$C71*INDEX(Fondsen!$F$5:$Q$30,MATCH($B71,Fondsen!$A$5:$A$30,0),AB$8-$E71+1)))</f>
        <v/>
      </c>
      <c r="AC71" s="31" t="str">
        <f t="array" ref="AC71">IF(OR($B71="",$C71="",$E71=""),"",IF(OR(AC$8&lt;$E71,AC$8-$E71&gt;=12),0,$C71*INDEX(Fondsen!$F$5:$Q$30,MATCH($B71,Fondsen!$A$5:$A$30,0),AC$8-$E71+1)))</f>
        <v/>
      </c>
      <c r="AD71" s="30" t="str">
        <f t="array" ref="AD71">IF(OR($B71="",$C71="",$E71=""),"",IF(OR(AD$8&lt;$E71,AD$8-$E71&gt;=12),0,$C71*INDEX(Fondsen!$F$5:$Q$30,MATCH($B71,Fondsen!$A$5:$A$30,0),AD$8-$E71+1)))</f>
        <v/>
      </c>
      <c r="AE71" s="31" t="str">
        <f t="array" ref="AE71">IF(OR($B71="",$C71="",$E71=""),"",IF(OR(AE$8&lt;$E71,AE$8-$E71&gt;=12),0,$C71*INDEX(Fondsen!$F$5:$Q$30,MATCH($B71,Fondsen!$A$5:$A$30,0),AE$8-$E71+1)))</f>
        <v/>
      </c>
      <c r="AF71" s="30" t="str">
        <f t="array" ref="AF71">IF(OR($B71="",$C71="",$E71=""),"",IF(OR(AF$8&lt;$E71,AF$8-$E71&gt;=12),0,$C71*INDEX(Fondsen!$F$5:$Q$30,MATCH($B71,Fondsen!$A$5:$A$30,0),AF$8-$E71+1)))</f>
        <v/>
      </c>
      <c r="AG71" s="31" t="str">
        <f t="array" ref="AG71">IF(OR($B71="",$C71="",$E71=""),"",IF(OR(AG$8&lt;$E71,AG$8-$E71&gt;=12),0,$C71*INDEX(Fondsen!$F$5:$Q$30,MATCH($B71,Fondsen!$A$5:$A$30,0),AG$8-$E71+1)))</f>
        <v/>
      </c>
      <c r="AH71" s="30" t="str">
        <f t="array" ref="AH71">IF(OR($B71="",$C71="",$E71=""),"",IF(OR(AH$8&lt;$E71,AH$8-$E71&gt;=12),0,$C71*INDEX(Fondsen!$F$5:$Q$30,MATCH($B71,Fondsen!$A$5:$A$30,0),AH$8-$E71+1)))</f>
        <v/>
      </c>
      <c r="AI71" s="31" t="str">
        <f t="array" ref="AI71">IF(OR($B71="",$C71="",$E71=""),"",IF(OR(AI$8&lt;$E71,AI$8-$E71&gt;=12),0,$C71*INDEX(Fondsen!$F$5:$Q$30,MATCH($B71,Fondsen!$A$5:$A$30,0),AI$8-$E71+1)))</f>
        <v/>
      </c>
      <c r="AJ71" s="30" t="str">
        <f t="array" ref="AJ71">IF(OR($B71="",$C71="",$E71=""),"",IF(OR(AJ$8&lt;$E71,AJ$8-$E71&gt;=12),0,$C71*INDEX(Fondsen!$F$5:$Q$30,MATCH($B71,Fondsen!$A$5:$A$30,0),AJ$8-$E71+1)))</f>
        <v/>
      </c>
      <c r="AK71" s="31" t="str">
        <f t="array" ref="AK71">IF(OR($B71="",$C71="",$E71=""),"",IF(OR(AK$8&lt;$E71,AK$8-$E71&gt;=12),0,$C71*INDEX(Fondsen!$F$5:$Q$30,MATCH($B71,Fondsen!$A$5:$A$30,0),AK$8-$E71+1)))</f>
        <v/>
      </c>
      <c r="AL71" s="30" t="str">
        <f t="array" ref="AL71">IF(OR($B71="",$C71="",$E71=""),"",IF(OR(AL$8&lt;$E71,AL$8-$E71&gt;=12),0,$C71*INDEX(Fondsen!$F$5:$Q$30,MATCH($B71,Fondsen!$A$5:$A$30,0),AL$8-$E71+1)))</f>
        <v/>
      </c>
      <c r="AM71" s="31" t="str">
        <f t="array" ref="AM71">IF(OR($B71="",$C71="",$E71=""),"",IF(OR(AM$8&lt;$E71,AM$8-$E71&gt;=12),0,$C71*INDEX(Fondsen!$F$5:$Q$30,MATCH($B71,Fondsen!$A$5:$A$30,0),AM$8-$E71+1)))</f>
        <v/>
      </c>
      <c r="AN71" s="30" t="str">
        <f t="array" ref="AN71">IF(OR($B71="",$C71="",$E71=""),"",IF(OR(AN$8&lt;$E71,AN$8-$E71&gt;=12),0,$C71*INDEX(Fondsen!$F$5:$Q$30,MATCH($B71,Fondsen!$A$5:$A$30,0),AN$8-$E71+1)))</f>
        <v/>
      </c>
      <c r="AO71" s="31" t="str">
        <f t="array" ref="AO71">IF(OR($B71="",$C71="",$E71=""),"",IF(OR(AO$8&lt;$E71,AO$8-$E71&gt;=12),0,$C71*INDEX(Fondsen!$F$5:$Q$30,MATCH($B71,Fondsen!$A$5:$A$30,0),AO$8-$E71+1)))</f>
        <v/>
      </c>
      <c r="AP71" s="30" t="str">
        <f t="array" ref="AP71">IF(OR($B71="",$C71="",$E71=""),"",IF(OR(AP$8&lt;$E71,AP$8-$E71&gt;=12),0,$C71*INDEX(Fondsen!$F$5:$Q$30,MATCH($B71,Fondsen!$A$5:$A$30,0),AP$8-$E71+1)))</f>
        <v/>
      </c>
      <c r="AQ71" s="31" t="str">
        <f t="array" ref="AQ71">IF(OR($B71="",$C71="",$E71=""),"",IF(OR(AQ$8&lt;$E71,AQ$8-$E71&gt;=12),0,$C71*INDEX(Fondsen!$F$5:$Q$30,MATCH($B71,Fondsen!$A$5:$A$30,0),AQ$8-$E71+1)))</f>
        <v/>
      </c>
      <c r="AR71" s="30" t="str">
        <f t="array" ref="AR71">IF(OR($B71="",$C71="",$E71=""),"",IF(OR(AR$8&lt;$E71,AR$8-$E71&gt;=12),0,$C71*INDEX(Fondsen!$F$5:$Q$30,MATCH($B71,Fondsen!$A$5:$A$30,0),AR$8-$E71+1)))</f>
        <v/>
      </c>
      <c r="AS71" s="31" t="str">
        <f t="array" ref="AS71">IF(OR($B71="",$C71="",$E71=""),"",IF(OR(AS$8&lt;$E71,AS$8-$E71&gt;=12),0,$C71*INDEX(Fondsen!$F$5:$Q$30,MATCH($B71,Fondsen!$A$5:$A$30,0),AS$8-$E71+1)))</f>
        <v/>
      </c>
      <c r="AT71" s="45"/>
    </row>
    <row r="72" ht="24.0" customHeight="1" outlineLevel="1">
      <c r="A72" s="33" t="str">
        <f>IF(B72="","",IFERROR(VLOOKUP(B72,Fondsen!$A$5:$B$30,2,FALSE()),""))</f>
        <v/>
      </c>
      <c r="B72" s="34"/>
      <c r="C72" s="35"/>
      <c r="D72" s="46" t="s">
        <v>11</v>
      </c>
      <c r="E72" s="37"/>
      <c r="F72" s="38" t="str">
        <f t="array" ref="F72">IF(OR($B72="",$C72="",$E72=""),"",IF(OR(F$8&lt;$E72,F$8-$E72&gt;=12),0,$C72*INDEX(Fondsen!$F$5:$Q$30,MATCH($B72,Fondsen!$A$5:$A$30,0),F$8-$E72+1)))</f>
        <v/>
      </c>
      <c r="G72" s="39" t="str">
        <f t="array" ref="G72">IF(OR($B72="",$C72="",$E72=""),"",IF(OR(G$8&lt;$E72,G$8-$E72&gt;=12),0,$C72*INDEX(Fondsen!$F$5:$Q$30,MATCH($B72,Fondsen!$A$5:$A$30,0),G$8-$E72+1)))</f>
        <v/>
      </c>
      <c r="H72" s="38" t="str">
        <f t="array" ref="H72">IF(OR($B72="",$C72="",$E72=""),"",IF(OR(H$8&lt;$E72,H$8-$E72&gt;=12),0,$C72*INDEX(Fondsen!$F$5:$Q$30,MATCH($B72,Fondsen!$A$5:$A$30,0),H$8-$E72+1)))</f>
        <v/>
      </c>
      <c r="I72" s="39" t="str">
        <f t="array" ref="I72">IF(OR($B72="",$C72="",$E72=""),"",IF(OR(I$8&lt;$E72,I$8-$E72&gt;=12),0,$C72*INDEX(Fondsen!$F$5:$Q$30,MATCH($B72,Fondsen!$A$5:$A$30,0),I$8-$E72+1)))</f>
        <v/>
      </c>
      <c r="J72" s="38" t="str">
        <f t="array" ref="J72">IF(OR($B72="",$C72="",$E72=""),"",IF(OR(J$8&lt;$E72,J$8-$E72&gt;=12),0,$C72*INDEX(Fondsen!$F$5:$Q$30,MATCH($B72,Fondsen!$A$5:$A$30,0),J$8-$E72+1)))</f>
        <v/>
      </c>
      <c r="K72" s="39" t="str">
        <f t="array" ref="K72">IF(OR($B72="",$C72="",$E72=""),"",IF(OR(K$8&lt;$E72,K$8-$E72&gt;=12),0,$C72*INDEX(Fondsen!$F$5:$Q$30,MATCH($B72,Fondsen!$A$5:$A$30,0),K$8-$E72+1)))</f>
        <v/>
      </c>
      <c r="L72" s="38" t="str">
        <f t="array" ref="L72">IF(OR($B72="",$C72="",$E72=""),"",IF(OR(L$8&lt;$E72,L$8-$E72&gt;=12),0,$C72*INDEX(Fondsen!$F$5:$Q$30,MATCH($B72,Fondsen!$A$5:$A$30,0),L$8-$E72+1)))</f>
        <v/>
      </c>
      <c r="M72" s="39" t="str">
        <f t="array" ref="M72">IF(OR($B72="",$C72="",$E72=""),"",IF(OR(M$8&lt;$E72,M$8-$E72&gt;=12),0,$C72*INDEX(Fondsen!$F$5:$Q$30,MATCH($B72,Fondsen!$A$5:$A$30,0),M$8-$E72+1)))</f>
        <v/>
      </c>
      <c r="N72" s="38" t="str">
        <f t="array" ref="N72">IF(OR($B72="",$C72="",$E72=""),"",IF(OR(N$8&lt;$E72,N$8-$E72&gt;=12),0,$C72*INDEX(Fondsen!$F$5:$Q$30,MATCH($B72,Fondsen!$A$5:$A$30,0),N$8-$E72+1)))</f>
        <v/>
      </c>
      <c r="O72" s="39" t="str">
        <f t="array" ref="O72">IF(OR($B72="",$C72="",$E72=""),"",IF(OR(O$8&lt;$E72,O$8-$E72&gt;=12),0,$C72*INDEX(Fondsen!$F$5:$Q$30,MATCH($B72,Fondsen!$A$5:$A$30,0),O$8-$E72+1)))</f>
        <v/>
      </c>
      <c r="P72" s="38" t="str">
        <f t="array" ref="P72">IF(OR($B72="",$C72="",$E72=""),"",IF(OR(P$8&lt;$E72,P$8-$E72&gt;=12),0,$C72*INDEX(Fondsen!$F$5:$Q$30,MATCH($B72,Fondsen!$A$5:$A$30,0),P$8-$E72+1)))</f>
        <v/>
      </c>
      <c r="Q72" s="39" t="str">
        <f t="array" ref="Q72">IF(OR($B72="",$C72="",$E72=""),"",IF(OR(Q$8&lt;$E72,Q$8-$E72&gt;=12),0,$C72*INDEX(Fondsen!$F$5:$Q$30,MATCH($B72,Fondsen!$A$5:$A$30,0),Q$8-$E72+1)))</f>
        <v/>
      </c>
      <c r="R72" s="38" t="str">
        <f t="array" ref="R72">IF(OR($B72="",$C72="",$E72=""),"",IF(OR(R$8&lt;$E72,R$8-$E72&gt;=12),0,$C72*INDEX(Fondsen!$F$5:$Q$30,MATCH($B72,Fondsen!$A$5:$A$30,0),R$8-$E72+1)))</f>
        <v/>
      </c>
      <c r="S72" s="39" t="str">
        <f t="array" ref="S72">IF(OR($B72="",$C72="",$E72=""),"",IF(OR(S$8&lt;$E72,S$8-$E72&gt;=12),0,$C72*INDEX(Fondsen!$F$5:$Q$30,MATCH($B72,Fondsen!$A$5:$A$30,0),S$8-$E72+1)))</f>
        <v/>
      </c>
      <c r="T72" s="38" t="str">
        <f t="array" ref="T72">IF(OR($B72="",$C72="",$E72=""),"",IF(OR(T$8&lt;$E72,T$8-$E72&gt;=12),0,$C72*INDEX(Fondsen!$F$5:$Q$30,MATCH($B72,Fondsen!$A$5:$A$30,0),T$8-$E72+1)))</f>
        <v/>
      </c>
      <c r="U72" s="39" t="str">
        <f t="array" ref="U72">IF(OR($B72="",$C72="",$E72=""),"",IF(OR(U$8&lt;$E72,U$8-$E72&gt;=12),0,$C72*INDEX(Fondsen!$F$5:$Q$30,MATCH($B72,Fondsen!$A$5:$A$30,0),U$8-$E72+1)))</f>
        <v/>
      </c>
      <c r="V72" s="38" t="str">
        <f t="array" ref="V72">IF(OR($B72="",$C72="",$E72=""),"",IF(OR(V$8&lt;$E72,V$8-$E72&gt;=12),0,$C72*INDEX(Fondsen!$F$5:$Q$30,MATCH($B72,Fondsen!$A$5:$A$30,0),V$8-$E72+1)))</f>
        <v/>
      </c>
      <c r="W72" s="39" t="str">
        <f t="array" ref="W72">IF(OR($B72="",$C72="",$E72=""),"",IF(OR(W$8&lt;$E72,W$8-$E72&gt;=12),0,$C72*INDEX(Fondsen!$F$5:$Q$30,MATCH($B72,Fondsen!$A$5:$A$30,0),W$8-$E72+1)))</f>
        <v/>
      </c>
      <c r="X72" s="38" t="str">
        <f t="array" ref="X72">IF(OR($B72="",$C72="",$E72=""),"",IF(OR(X$8&lt;$E72,X$8-$E72&gt;=12),0,$C72*INDEX(Fondsen!$F$5:$Q$30,MATCH($B72,Fondsen!$A$5:$A$30,0),X$8-$E72+1)))</f>
        <v/>
      </c>
      <c r="Y72" s="39" t="str">
        <f t="array" ref="Y72">IF(OR($B72="",$C72="",$E72=""),"",IF(OR(Y$8&lt;$E72,Y$8-$E72&gt;=12),0,$C72*INDEX(Fondsen!$F$5:$Q$30,MATCH($B72,Fondsen!$A$5:$A$30,0),Y$8-$E72+1)))</f>
        <v/>
      </c>
      <c r="Z72" s="38" t="str">
        <f t="array" ref="Z72">IF(OR($B72="",$C72="",$E72=""),"",IF(OR(Z$8&lt;$E72,Z$8-$E72&gt;=12),0,$C72*INDEX(Fondsen!$F$5:$Q$30,MATCH($B72,Fondsen!$A$5:$A$30,0),Z$8-$E72+1)))</f>
        <v/>
      </c>
      <c r="AA72" s="39" t="str">
        <f t="array" ref="AA72">IF(OR($B72="",$C72="",$E72=""),"",IF(OR(AA$8&lt;$E72,AA$8-$E72&gt;=12),0,$C72*INDEX(Fondsen!$F$5:$Q$30,MATCH($B72,Fondsen!$A$5:$A$30,0),AA$8-$E72+1)))</f>
        <v/>
      </c>
      <c r="AB72" s="38" t="str">
        <f t="array" ref="AB72">IF(OR($B72="",$C72="",$E72=""),"",IF(OR(AB$8&lt;$E72,AB$8-$E72&gt;=12),0,$C72*INDEX(Fondsen!$F$5:$Q$30,MATCH($B72,Fondsen!$A$5:$A$30,0),AB$8-$E72+1)))</f>
        <v/>
      </c>
      <c r="AC72" s="39" t="str">
        <f t="array" ref="AC72">IF(OR($B72="",$C72="",$E72=""),"",IF(OR(AC$8&lt;$E72,AC$8-$E72&gt;=12),0,$C72*INDEX(Fondsen!$F$5:$Q$30,MATCH($B72,Fondsen!$A$5:$A$30,0),AC$8-$E72+1)))</f>
        <v/>
      </c>
      <c r="AD72" s="38" t="str">
        <f t="array" ref="AD72">IF(OR($B72="",$C72="",$E72=""),"",IF(OR(AD$8&lt;$E72,AD$8-$E72&gt;=12),0,$C72*INDEX(Fondsen!$F$5:$Q$30,MATCH($B72,Fondsen!$A$5:$A$30,0),AD$8-$E72+1)))</f>
        <v/>
      </c>
      <c r="AE72" s="39" t="str">
        <f t="array" ref="AE72">IF(OR($B72="",$C72="",$E72=""),"",IF(OR(AE$8&lt;$E72,AE$8-$E72&gt;=12),0,$C72*INDEX(Fondsen!$F$5:$Q$30,MATCH($B72,Fondsen!$A$5:$A$30,0),AE$8-$E72+1)))</f>
        <v/>
      </c>
      <c r="AF72" s="38" t="str">
        <f t="array" ref="AF72">IF(OR($B72="",$C72="",$E72=""),"",IF(OR(AF$8&lt;$E72,AF$8-$E72&gt;=12),0,$C72*INDEX(Fondsen!$F$5:$Q$30,MATCH($B72,Fondsen!$A$5:$A$30,0),AF$8-$E72+1)))</f>
        <v/>
      </c>
      <c r="AG72" s="39" t="str">
        <f t="array" ref="AG72">IF(OR($B72="",$C72="",$E72=""),"",IF(OR(AG$8&lt;$E72,AG$8-$E72&gt;=12),0,$C72*INDEX(Fondsen!$F$5:$Q$30,MATCH($B72,Fondsen!$A$5:$A$30,0),AG$8-$E72+1)))</f>
        <v/>
      </c>
      <c r="AH72" s="38" t="str">
        <f t="array" ref="AH72">IF(OR($B72="",$C72="",$E72=""),"",IF(OR(AH$8&lt;$E72,AH$8-$E72&gt;=12),0,$C72*INDEX(Fondsen!$F$5:$Q$30,MATCH($B72,Fondsen!$A$5:$A$30,0),AH$8-$E72+1)))</f>
        <v/>
      </c>
      <c r="AI72" s="39" t="str">
        <f t="array" ref="AI72">IF(OR($B72="",$C72="",$E72=""),"",IF(OR(AI$8&lt;$E72,AI$8-$E72&gt;=12),0,$C72*INDEX(Fondsen!$F$5:$Q$30,MATCH($B72,Fondsen!$A$5:$A$30,0),AI$8-$E72+1)))</f>
        <v/>
      </c>
      <c r="AJ72" s="38" t="str">
        <f t="array" ref="AJ72">IF(OR($B72="",$C72="",$E72=""),"",IF(OR(AJ$8&lt;$E72,AJ$8-$E72&gt;=12),0,$C72*INDEX(Fondsen!$F$5:$Q$30,MATCH($B72,Fondsen!$A$5:$A$30,0),AJ$8-$E72+1)))</f>
        <v/>
      </c>
      <c r="AK72" s="39" t="str">
        <f t="array" ref="AK72">IF(OR($B72="",$C72="",$E72=""),"",IF(OR(AK$8&lt;$E72,AK$8-$E72&gt;=12),0,$C72*INDEX(Fondsen!$F$5:$Q$30,MATCH($B72,Fondsen!$A$5:$A$30,0),AK$8-$E72+1)))</f>
        <v/>
      </c>
      <c r="AL72" s="38" t="str">
        <f t="array" ref="AL72">IF(OR($B72="",$C72="",$E72=""),"",IF(OR(AL$8&lt;$E72,AL$8-$E72&gt;=12),0,$C72*INDEX(Fondsen!$F$5:$Q$30,MATCH($B72,Fondsen!$A$5:$A$30,0),AL$8-$E72+1)))</f>
        <v/>
      </c>
      <c r="AM72" s="39" t="str">
        <f t="array" ref="AM72">IF(OR($B72="",$C72="",$E72=""),"",IF(OR(AM$8&lt;$E72,AM$8-$E72&gt;=12),0,$C72*INDEX(Fondsen!$F$5:$Q$30,MATCH($B72,Fondsen!$A$5:$A$30,0),AM$8-$E72+1)))</f>
        <v/>
      </c>
      <c r="AN72" s="38" t="str">
        <f t="array" ref="AN72">IF(OR($B72="",$C72="",$E72=""),"",IF(OR(AN$8&lt;$E72,AN$8-$E72&gt;=12),0,$C72*INDEX(Fondsen!$F$5:$Q$30,MATCH($B72,Fondsen!$A$5:$A$30,0),AN$8-$E72+1)))</f>
        <v/>
      </c>
      <c r="AO72" s="39" t="str">
        <f t="array" ref="AO72">IF(OR($B72="",$C72="",$E72=""),"",IF(OR(AO$8&lt;$E72,AO$8-$E72&gt;=12),0,$C72*INDEX(Fondsen!$F$5:$Q$30,MATCH($B72,Fondsen!$A$5:$A$30,0),AO$8-$E72+1)))</f>
        <v/>
      </c>
      <c r="AP72" s="38" t="str">
        <f t="array" ref="AP72">IF(OR($B72="",$C72="",$E72=""),"",IF(OR(AP$8&lt;$E72,AP$8-$E72&gt;=12),0,$C72*INDEX(Fondsen!$F$5:$Q$30,MATCH($B72,Fondsen!$A$5:$A$30,0),AP$8-$E72+1)))</f>
        <v/>
      </c>
      <c r="AQ72" s="39" t="str">
        <f t="array" ref="AQ72">IF(OR($B72="",$C72="",$E72=""),"",IF(OR(AQ$8&lt;$E72,AQ$8-$E72&gt;=12),0,$C72*INDEX(Fondsen!$F$5:$Q$30,MATCH($B72,Fondsen!$A$5:$A$30,0),AQ$8-$E72+1)))</f>
        <v/>
      </c>
      <c r="AR72" s="38" t="str">
        <f t="array" ref="AR72">IF(OR($B72="",$C72="",$E72=""),"",IF(OR(AR$8&lt;$E72,AR$8-$E72&gt;=12),0,$C72*INDEX(Fondsen!$F$5:$Q$30,MATCH($B72,Fondsen!$A$5:$A$30,0),AR$8-$E72+1)))</f>
        <v/>
      </c>
      <c r="AS72" s="39" t="str">
        <f t="array" ref="AS72">IF(OR($B72="",$C72="",$E72=""),"",IF(OR(AS$8&lt;$E72,AS$8-$E72&gt;=12),0,$C72*INDEX(Fondsen!$F$5:$Q$30,MATCH($B72,Fondsen!$A$5:$A$30,0),AS$8-$E72+1)))</f>
        <v/>
      </c>
      <c r="AT72" s="45"/>
    </row>
    <row r="73" ht="24.0" customHeight="1" outlineLevel="1">
      <c r="A73" s="47" t="str">
        <f>IF(B73="","",IFERROR(VLOOKUP(B73,Fondsen!$A$5:$B$30,2,FALSE()),""))</f>
        <v/>
      </c>
      <c r="B73" s="26"/>
      <c r="C73" s="27"/>
      <c r="D73" s="44" t="s">
        <v>11</v>
      </c>
      <c r="E73" s="29"/>
      <c r="F73" s="30" t="str">
        <f t="array" ref="F73">IF(OR($B73="",$C73="",$E73=""),"",IF(OR(F$8&lt;$E73,F$8-$E73&gt;=12),0,$C73*INDEX(Fondsen!$F$5:$Q$30,MATCH($B73,Fondsen!$A$5:$A$30,0),F$8-$E73+1)))</f>
        <v/>
      </c>
      <c r="G73" s="31" t="str">
        <f t="array" ref="G73">IF(OR($B73="",$C73="",$E73=""),"",IF(OR(G$8&lt;$E73,G$8-$E73&gt;=12),0,$C73*INDEX(Fondsen!$F$5:$Q$30,MATCH($B73,Fondsen!$A$5:$A$30,0),G$8-$E73+1)))</f>
        <v/>
      </c>
      <c r="H73" s="30" t="str">
        <f t="array" ref="H73">IF(OR($B73="",$C73="",$E73=""),"",IF(OR(H$8&lt;$E73,H$8-$E73&gt;=12),0,$C73*INDEX(Fondsen!$F$5:$Q$30,MATCH($B73,Fondsen!$A$5:$A$30,0),H$8-$E73+1)))</f>
        <v/>
      </c>
      <c r="I73" s="31" t="str">
        <f t="array" ref="I73">IF(OR($B73="",$C73="",$E73=""),"",IF(OR(I$8&lt;$E73,I$8-$E73&gt;=12),0,$C73*INDEX(Fondsen!$F$5:$Q$30,MATCH($B73,Fondsen!$A$5:$A$30,0),I$8-$E73+1)))</f>
        <v/>
      </c>
      <c r="J73" s="30" t="str">
        <f t="array" ref="J73">IF(OR($B73="",$C73="",$E73=""),"",IF(OR(J$8&lt;$E73,J$8-$E73&gt;=12),0,$C73*INDEX(Fondsen!$F$5:$Q$30,MATCH($B73,Fondsen!$A$5:$A$30,0),J$8-$E73+1)))</f>
        <v/>
      </c>
      <c r="K73" s="31" t="str">
        <f t="array" ref="K73">IF(OR($B73="",$C73="",$E73=""),"",IF(OR(K$8&lt;$E73,K$8-$E73&gt;=12),0,$C73*INDEX(Fondsen!$F$5:$Q$30,MATCH($B73,Fondsen!$A$5:$A$30,0),K$8-$E73+1)))</f>
        <v/>
      </c>
      <c r="L73" s="30" t="str">
        <f t="array" ref="L73">IF(OR($B73="",$C73="",$E73=""),"",IF(OR(L$8&lt;$E73,L$8-$E73&gt;=12),0,$C73*INDEX(Fondsen!$F$5:$Q$30,MATCH($B73,Fondsen!$A$5:$A$30,0),L$8-$E73+1)))</f>
        <v/>
      </c>
      <c r="M73" s="31" t="str">
        <f t="array" ref="M73">IF(OR($B73="",$C73="",$E73=""),"",IF(OR(M$8&lt;$E73,M$8-$E73&gt;=12),0,$C73*INDEX(Fondsen!$F$5:$Q$30,MATCH($B73,Fondsen!$A$5:$A$30,0),M$8-$E73+1)))</f>
        <v/>
      </c>
      <c r="N73" s="30" t="str">
        <f t="array" ref="N73">IF(OR($B73="",$C73="",$E73=""),"",IF(OR(N$8&lt;$E73,N$8-$E73&gt;=12),0,$C73*INDEX(Fondsen!$F$5:$Q$30,MATCH($B73,Fondsen!$A$5:$A$30,0),N$8-$E73+1)))</f>
        <v/>
      </c>
      <c r="O73" s="31" t="str">
        <f t="array" ref="O73">IF(OR($B73="",$C73="",$E73=""),"",IF(OR(O$8&lt;$E73,O$8-$E73&gt;=12),0,$C73*INDEX(Fondsen!$F$5:$Q$30,MATCH($B73,Fondsen!$A$5:$A$30,0),O$8-$E73+1)))</f>
        <v/>
      </c>
      <c r="P73" s="30" t="str">
        <f t="array" ref="P73">IF(OR($B73="",$C73="",$E73=""),"",IF(OR(P$8&lt;$E73,P$8-$E73&gt;=12),0,$C73*INDEX(Fondsen!$F$5:$Q$30,MATCH($B73,Fondsen!$A$5:$A$30,0),P$8-$E73+1)))</f>
        <v/>
      </c>
      <c r="Q73" s="31" t="str">
        <f t="array" ref="Q73">IF(OR($B73="",$C73="",$E73=""),"",IF(OR(Q$8&lt;$E73,Q$8-$E73&gt;=12),0,$C73*INDEX(Fondsen!$F$5:$Q$30,MATCH($B73,Fondsen!$A$5:$A$30,0),Q$8-$E73+1)))</f>
        <v/>
      </c>
      <c r="R73" s="30" t="str">
        <f t="array" ref="R73">IF(OR($B73="",$C73="",$E73=""),"",IF(OR(R$8&lt;$E73,R$8-$E73&gt;=12),0,$C73*INDEX(Fondsen!$F$5:$Q$30,MATCH($B73,Fondsen!$A$5:$A$30,0),R$8-$E73+1)))</f>
        <v/>
      </c>
      <c r="S73" s="31" t="str">
        <f t="array" ref="S73">IF(OR($B73="",$C73="",$E73=""),"",IF(OR(S$8&lt;$E73,S$8-$E73&gt;=12),0,$C73*INDEX(Fondsen!$F$5:$Q$30,MATCH($B73,Fondsen!$A$5:$A$30,0),S$8-$E73+1)))</f>
        <v/>
      </c>
      <c r="T73" s="30" t="str">
        <f t="array" ref="T73">IF(OR($B73="",$C73="",$E73=""),"",IF(OR(T$8&lt;$E73,T$8-$E73&gt;=12),0,$C73*INDEX(Fondsen!$F$5:$Q$30,MATCH($B73,Fondsen!$A$5:$A$30,0),T$8-$E73+1)))</f>
        <v/>
      </c>
      <c r="U73" s="31" t="str">
        <f t="array" ref="U73">IF(OR($B73="",$C73="",$E73=""),"",IF(OR(U$8&lt;$E73,U$8-$E73&gt;=12),0,$C73*INDEX(Fondsen!$F$5:$Q$30,MATCH($B73,Fondsen!$A$5:$A$30,0),U$8-$E73+1)))</f>
        <v/>
      </c>
      <c r="V73" s="30" t="str">
        <f t="array" ref="V73">IF(OR($B73="",$C73="",$E73=""),"",IF(OR(V$8&lt;$E73,V$8-$E73&gt;=12),0,$C73*INDEX(Fondsen!$F$5:$Q$30,MATCH($B73,Fondsen!$A$5:$A$30,0),V$8-$E73+1)))</f>
        <v/>
      </c>
      <c r="W73" s="31" t="str">
        <f t="array" ref="W73">IF(OR($B73="",$C73="",$E73=""),"",IF(OR(W$8&lt;$E73,W$8-$E73&gt;=12),0,$C73*INDEX(Fondsen!$F$5:$Q$30,MATCH($B73,Fondsen!$A$5:$A$30,0),W$8-$E73+1)))</f>
        <v/>
      </c>
      <c r="X73" s="30" t="str">
        <f t="array" ref="X73">IF(OR($B73="",$C73="",$E73=""),"",IF(OR(X$8&lt;$E73,X$8-$E73&gt;=12),0,$C73*INDEX(Fondsen!$F$5:$Q$30,MATCH($B73,Fondsen!$A$5:$A$30,0),X$8-$E73+1)))</f>
        <v/>
      </c>
      <c r="Y73" s="31" t="str">
        <f t="array" ref="Y73">IF(OR($B73="",$C73="",$E73=""),"",IF(OR(Y$8&lt;$E73,Y$8-$E73&gt;=12),0,$C73*INDEX(Fondsen!$F$5:$Q$30,MATCH($B73,Fondsen!$A$5:$A$30,0),Y$8-$E73+1)))</f>
        <v/>
      </c>
      <c r="Z73" s="30" t="str">
        <f t="array" ref="Z73">IF(OR($B73="",$C73="",$E73=""),"",IF(OR(Z$8&lt;$E73,Z$8-$E73&gt;=12),0,$C73*INDEX(Fondsen!$F$5:$Q$30,MATCH($B73,Fondsen!$A$5:$A$30,0),Z$8-$E73+1)))</f>
        <v/>
      </c>
      <c r="AA73" s="31" t="str">
        <f t="array" ref="AA73">IF(OR($B73="",$C73="",$E73=""),"",IF(OR(AA$8&lt;$E73,AA$8-$E73&gt;=12),0,$C73*INDEX(Fondsen!$F$5:$Q$30,MATCH($B73,Fondsen!$A$5:$A$30,0),AA$8-$E73+1)))</f>
        <v/>
      </c>
      <c r="AB73" s="30" t="str">
        <f t="array" ref="AB73">IF(OR($B73="",$C73="",$E73=""),"",IF(OR(AB$8&lt;$E73,AB$8-$E73&gt;=12),0,$C73*INDEX(Fondsen!$F$5:$Q$30,MATCH($B73,Fondsen!$A$5:$A$30,0),AB$8-$E73+1)))</f>
        <v/>
      </c>
      <c r="AC73" s="31" t="str">
        <f t="array" ref="AC73">IF(OR($B73="",$C73="",$E73=""),"",IF(OR(AC$8&lt;$E73,AC$8-$E73&gt;=12),0,$C73*INDEX(Fondsen!$F$5:$Q$30,MATCH($B73,Fondsen!$A$5:$A$30,0),AC$8-$E73+1)))</f>
        <v/>
      </c>
      <c r="AD73" s="30" t="str">
        <f t="array" ref="AD73">IF(OR($B73="",$C73="",$E73=""),"",IF(OR(AD$8&lt;$E73,AD$8-$E73&gt;=12),0,$C73*INDEX(Fondsen!$F$5:$Q$30,MATCH($B73,Fondsen!$A$5:$A$30,0),AD$8-$E73+1)))</f>
        <v/>
      </c>
      <c r="AE73" s="31" t="str">
        <f t="array" ref="AE73">IF(OR($B73="",$C73="",$E73=""),"",IF(OR(AE$8&lt;$E73,AE$8-$E73&gt;=12),0,$C73*INDEX(Fondsen!$F$5:$Q$30,MATCH($B73,Fondsen!$A$5:$A$30,0),AE$8-$E73+1)))</f>
        <v/>
      </c>
      <c r="AF73" s="30" t="str">
        <f t="array" ref="AF73">IF(OR($B73="",$C73="",$E73=""),"",IF(OR(AF$8&lt;$E73,AF$8-$E73&gt;=12),0,$C73*INDEX(Fondsen!$F$5:$Q$30,MATCH($B73,Fondsen!$A$5:$A$30,0),AF$8-$E73+1)))</f>
        <v/>
      </c>
      <c r="AG73" s="31" t="str">
        <f t="array" ref="AG73">IF(OR($B73="",$C73="",$E73=""),"",IF(OR(AG$8&lt;$E73,AG$8-$E73&gt;=12),0,$C73*INDEX(Fondsen!$F$5:$Q$30,MATCH($B73,Fondsen!$A$5:$A$30,0),AG$8-$E73+1)))</f>
        <v/>
      </c>
      <c r="AH73" s="30" t="str">
        <f t="array" ref="AH73">IF(OR($B73="",$C73="",$E73=""),"",IF(OR(AH$8&lt;$E73,AH$8-$E73&gt;=12),0,$C73*INDEX(Fondsen!$F$5:$Q$30,MATCH($B73,Fondsen!$A$5:$A$30,0),AH$8-$E73+1)))</f>
        <v/>
      </c>
      <c r="AI73" s="31" t="str">
        <f t="array" ref="AI73">IF(OR($B73="",$C73="",$E73=""),"",IF(OR(AI$8&lt;$E73,AI$8-$E73&gt;=12),0,$C73*INDEX(Fondsen!$F$5:$Q$30,MATCH($B73,Fondsen!$A$5:$A$30,0),AI$8-$E73+1)))</f>
        <v/>
      </c>
      <c r="AJ73" s="30" t="str">
        <f t="array" ref="AJ73">IF(OR($B73="",$C73="",$E73=""),"",IF(OR(AJ$8&lt;$E73,AJ$8-$E73&gt;=12),0,$C73*INDEX(Fondsen!$F$5:$Q$30,MATCH($B73,Fondsen!$A$5:$A$30,0),AJ$8-$E73+1)))</f>
        <v/>
      </c>
      <c r="AK73" s="31" t="str">
        <f t="array" ref="AK73">IF(OR($B73="",$C73="",$E73=""),"",IF(OR(AK$8&lt;$E73,AK$8-$E73&gt;=12),0,$C73*INDEX(Fondsen!$F$5:$Q$30,MATCH($B73,Fondsen!$A$5:$A$30,0),AK$8-$E73+1)))</f>
        <v/>
      </c>
      <c r="AL73" s="30" t="str">
        <f t="array" ref="AL73">IF(OR($B73="",$C73="",$E73=""),"",IF(OR(AL$8&lt;$E73,AL$8-$E73&gt;=12),0,$C73*INDEX(Fondsen!$F$5:$Q$30,MATCH($B73,Fondsen!$A$5:$A$30,0),AL$8-$E73+1)))</f>
        <v/>
      </c>
      <c r="AM73" s="31" t="str">
        <f t="array" ref="AM73">IF(OR($B73="",$C73="",$E73=""),"",IF(OR(AM$8&lt;$E73,AM$8-$E73&gt;=12),0,$C73*INDEX(Fondsen!$F$5:$Q$30,MATCH($B73,Fondsen!$A$5:$A$30,0),AM$8-$E73+1)))</f>
        <v/>
      </c>
      <c r="AN73" s="30" t="str">
        <f t="array" ref="AN73">IF(OR($B73="",$C73="",$E73=""),"",IF(OR(AN$8&lt;$E73,AN$8-$E73&gt;=12),0,$C73*INDEX(Fondsen!$F$5:$Q$30,MATCH($B73,Fondsen!$A$5:$A$30,0),AN$8-$E73+1)))</f>
        <v/>
      </c>
      <c r="AO73" s="31" t="str">
        <f t="array" ref="AO73">IF(OR($B73="",$C73="",$E73=""),"",IF(OR(AO$8&lt;$E73,AO$8-$E73&gt;=12),0,$C73*INDEX(Fondsen!$F$5:$Q$30,MATCH($B73,Fondsen!$A$5:$A$30,0),AO$8-$E73+1)))</f>
        <v/>
      </c>
      <c r="AP73" s="30" t="str">
        <f t="array" ref="AP73">IF(OR($B73="",$C73="",$E73=""),"",IF(OR(AP$8&lt;$E73,AP$8-$E73&gt;=12),0,$C73*INDEX(Fondsen!$F$5:$Q$30,MATCH($B73,Fondsen!$A$5:$A$30,0),AP$8-$E73+1)))</f>
        <v/>
      </c>
      <c r="AQ73" s="31" t="str">
        <f t="array" ref="AQ73">IF(OR($B73="",$C73="",$E73=""),"",IF(OR(AQ$8&lt;$E73,AQ$8-$E73&gt;=12),0,$C73*INDEX(Fondsen!$F$5:$Q$30,MATCH($B73,Fondsen!$A$5:$A$30,0),AQ$8-$E73+1)))</f>
        <v/>
      </c>
      <c r="AR73" s="30" t="str">
        <f t="array" ref="AR73">IF(OR($B73="",$C73="",$E73=""),"",IF(OR(AR$8&lt;$E73,AR$8-$E73&gt;=12),0,$C73*INDEX(Fondsen!$F$5:$Q$30,MATCH($B73,Fondsen!$A$5:$A$30,0),AR$8-$E73+1)))</f>
        <v/>
      </c>
      <c r="AS73" s="31" t="str">
        <f t="array" ref="AS73">IF(OR($B73="",$C73="",$E73=""),"",IF(OR(AS$8&lt;$E73,AS$8-$E73&gt;=12),0,$C73*INDEX(Fondsen!$F$5:$Q$30,MATCH($B73,Fondsen!$A$5:$A$30,0),AS$8-$E73+1)))</f>
        <v/>
      </c>
      <c r="AT73" s="45"/>
    </row>
    <row r="74" ht="24.0" customHeight="1" outlineLevel="1">
      <c r="A74" s="33" t="str">
        <f>IF(B74="","",IFERROR(VLOOKUP(B74,Fondsen!$A$5:$B$30,2,FALSE()),""))</f>
        <v/>
      </c>
      <c r="B74" s="34"/>
      <c r="C74" s="35"/>
      <c r="D74" s="46" t="s">
        <v>11</v>
      </c>
      <c r="E74" s="37"/>
      <c r="F74" s="38" t="str">
        <f t="array" ref="F74">IF(OR($B74="",$C74="",$E74=""),"",IF(OR(F$8&lt;$E74,F$8-$E74&gt;=12),0,$C74*INDEX(Fondsen!$F$5:$Q$30,MATCH($B74,Fondsen!$A$5:$A$30,0),F$8-$E74+1)))</f>
        <v/>
      </c>
      <c r="G74" s="39" t="str">
        <f t="array" ref="G74">IF(OR($B74="",$C74="",$E74=""),"",IF(OR(G$8&lt;$E74,G$8-$E74&gt;=12),0,$C74*INDEX(Fondsen!$F$5:$Q$30,MATCH($B74,Fondsen!$A$5:$A$30,0),G$8-$E74+1)))</f>
        <v/>
      </c>
      <c r="H74" s="38" t="str">
        <f t="array" ref="H74">IF(OR($B74="",$C74="",$E74=""),"",IF(OR(H$8&lt;$E74,H$8-$E74&gt;=12),0,$C74*INDEX(Fondsen!$F$5:$Q$30,MATCH($B74,Fondsen!$A$5:$A$30,0),H$8-$E74+1)))</f>
        <v/>
      </c>
      <c r="I74" s="39" t="str">
        <f t="array" ref="I74">IF(OR($B74="",$C74="",$E74=""),"",IF(OR(I$8&lt;$E74,I$8-$E74&gt;=12),0,$C74*INDEX(Fondsen!$F$5:$Q$30,MATCH($B74,Fondsen!$A$5:$A$30,0),I$8-$E74+1)))</f>
        <v/>
      </c>
      <c r="J74" s="38" t="str">
        <f t="array" ref="J74">IF(OR($B74="",$C74="",$E74=""),"",IF(OR(J$8&lt;$E74,J$8-$E74&gt;=12),0,$C74*INDEX(Fondsen!$F$5:$Q$30,MATCH($B74,Fondsen!$A$5:$A$30,0),J$8-$E74+1)))</f>
        <v/>
      </c>
      <c r="K74" s="39" t="str">
        <f t="array" ref="K74">IF(OR($B74="",$C74="",$E74=""),"",IF(OR(K$8&lt;$E74,K$8-$E74&gt;=12),0,$C74*INDEX(Fondsen!$F$5:$Q$30,MATCH($B74,Fondsen!$A$5:$A$30,0),K$8-$E74+1)))</f>
        <v/>
      </c>
      <c r="L74" s="38" t="str">
        <f t="array" ref="L74">IF(OR($B74="",$C74="",$E74=""),"",IF(OR(L$8&lt;$E74,L$8-$E74&gt;=12),0,$C74*INDEX(Fondsen!$F$5:$Q$30,MATCH($B74,Fondsen!$A$5:$A$30,0),L$8-$E74+1)))</f>
        <v/>
      </c>
      <c r="M74" s="39" t="str">
        <f t="array" ref="M74">IF(OR($B74="",$C74="",$E74=""),"",IF(OR(M$8&lt;$E74,M$8-$E74&gt;=12),0,$C74*INDEX(Fondsen!$F$5:$Q$30,MATCH($B74,Fondsen!$A$5:$A$30,0),M$8-$E74+1)))</f>
        <v/>
      </c>
      <c r="N74" s="38" t="str">
        <f t="array" ref="N74">IF(OR($B74="",$C74="",$E74=""),"",IF(OR(N$8&lt;$E74,N$8-$E74&gt;=12),0,$C74*INDEX(Fondsen!$F$5:$Q$30,MATCH($B74,Fondsen!$A$5:$A$30,0),N$8-$E74+1)))</f>
        <v/>
      </c>
      <c r="O74" s="39" t="str">
        <f t="array" ref="O74">IF(OR($B74="",$C74="",$E74=""),"",IF(OR(O$8&lt;$E74,O$8-$E74&gt;=12),0,$C74*INDEX(Fondsen!$F$5:$Q$30,MATCH($B74,Fondsen!$A$5:$A$30,0),O$8-$E74+1)))</f>
        <v/>
      </c>
      <c r="P74" s="38" t="str">
        <f t="array" ref="P74">IF(OR($B74="",$C74="",$E74=""),"",IF(OR(P$8&lt;$E74,P$8-$E74&gt;=12),0,$C74*INDEX(Fondsen!$F$5:$Q$30,MATCH($B74,Fondsen!$A$5:$A$30,0),P$8-$E74+1)))</f>
        <v/>
      </c>
      <c r="Q74" s="39" t="str">
        <f t="array" ref="Q74">IF(OR($B74="",$C74="",$E74=""),"",IF(OR(Q$8&lt;$E74,Q$8-$E74&gt;=12),0,$C74*INDEX(Fondsen!$F$5:$Q$30,MATCH($B74,Fondsen!$A$5:$A$30,0),Q$8-$E74+1)))</f>
        <v/>
      </c>
      <c r="R74" s="38" t="str">
        <f t="array" ref="R74">IF(OR($B74="",$C74="",$E74=""),"",IF(OR(R$8&lt;$E74,R$8-$E74&gt;=12),0,$C74*INDEX(Fondsen!$F$5:$Q$30,MATCH($B74,Fondsen!$A$5:$A$30,0),R$8-$E74+1)))</f>
        <v/>
      </c>
      <c r="S74" s="39" t="str">
        <f t="array" ref="S74">IF(OR($B74="",$C74="",$E74=""),"",IF(OR(S$8&lt;$E74,S$8-$E74&gt;=12),0,$C74*INDEX(Fondsen!$F$5:$Q$30,MATCH($B74,Fondsen!$A$5:$A$30,0),S$8-$E74+1)))</f>
        <v/>
      </c>
      <c r="T74" s="38" t="str">
        <f t="array" ref="T74">IF(OR($B74="",$C74="",$E74=""),"",IF(OR(T$8&lt;$E74,T$8-$E74&gt;=12),0,$C74*INDEX(Fondsen!$F$5:$Q$30,MATCH($B74,Fondsen!$A$5:$A$30,0),T$8-$E74+1)))</f>
        <v/>
      </c>
      <c r="U74" s="39" t="str">
        <f t="array" ref="U74">IF(OR($B74="",$C74="",$E74=""),"",IF(OR(U$8&lt;$E74,U$8-$E74&gt;=12),0,$C74*INDEX(Fondsen!$F$5:$Q$30,MATCH($B74,Fondsen!$A$5:$A$30,0),U$8-$E74+1)))</f>
        <v/>
      </c>
      <c r="V74" s="38" t="str">
        <f t="array" ref="V74">IF(OR($B74="",$C74="",$E74=""),"",IF(OR(V$8&lt;$E74,V$8-$E74&gt;=12),0,$C74*INDEX(Fondsen!$F$5:$Q$30,MATCH($B74,Fondsen!$A$5:$A$30,0),V$8-$E74+1)))</f>
        <v/>
      </c>
      <c r="W74" s="39" t="str">
        <f t="array" ref="W74">IF(OR($B74="",$C74="",$E74=""),"",IF(OR(W$8&lt;$E74,W$8-$E74&gt;=12),0,$C74*INDEX(Fondsen!$F$5:$Q$30,MATCH($B74,Fondsen!$A$5:$A$30,0),W$8-$E74+1)))</f>
        <v/>
      </c>
      <c r="X74" s="38" t="str">
        <f t="array" ref="X74">IF(OR($B74="",$C74="",$E74=""),"",IF(OR(X$8&lt;$E74,X$8-$E74&gt;=12),0,$C74*INDEX(Fondsen!$F$5:$Q$30,MATCH($B74,Fondsen!$A$5:$A$30,0),X$8-$E74+1)))</f>
        <v/>
      </c>
      <c r="Y74" s="39" t="str">
        <f t="array" ref="Y74">IF(OR($B74="",$C74="",$E74=""),"",IF(OR(Y$8&lt;$E74,Y$8-$E74&gt;=12),0,$C74*INDEX(Fondsen!$F$5:$Q$30,MATCH($B74,Fondsen!$A$5:$A$30,0),Y$8-$E74+1)))</f>
        <v/>
      </c>
      <c r="Z74" s="38" t="str">
        <f t="array" ref="Z74">IF(OR($B74="",$C74="",$E74=""),"",IF(OR(Z$8&lt;$E74,Z$8-$E74&gt;=12),0,$C74*INDEX(Fondsen!$F$5:$Q$30,MATCH($B74,Fondsen!$A$5:$A$30,0),Z$8-$E74+1)))</f>
        <v/>
      </c>
      <c r="AA74" s="39" t="str">
        <f t="array" ref="AA74">IF(OR($B74="",$C74="",$E74=""),"",IF(OR(AA$8&lt;$E74,AA$8-$E74&gt;=12),0,$C74*INDEX(Fondsen!$F$5:$Q$30,MATCH($B74,Fondsen!$A$5:$A$30,0),AA$8-$E74+1)))</f>
        <v/>
      </c>
      <c r="AB74" s="38" t="str">
        <f t="array" ref="AB74">IF(OR($B74="",$C74="",$E74=""),"",IF(OR(AB$8&lt;$E74,AB$8-$E74&gt;=12),0,$C74*INDEX(Fondsen!$F$5:$Q$30,MATCH($B74,Fondsen!$A$5:$A$30,0),AB$8-$E74+1)))</f>
        <v/>
      </c>
      <c r="AC74" s="39" t="str">
        <f t="array" ref="AC74">IF(OR($B74="",$C74="",$E74=""),"",IF(OR(AC$8&lt;$E74,AC$8-$E74&gt;=12),0,$C74*INDEX(Fondsen!$F$5:$Q$30,MATCH($B74,Fondsen!$A$5:$A$30,0),AC$8-$E74+1)))</f>
        <v/>
      </c>
      <c r="AD74" s="38" t="str">
        <f t="array" ref="AD74">IF(OR($B74="",$C74="",$E74=""),"",IF(OR(AD$8&lt;$E74,AD$8-$E74&gt;=12),0,$C74*INDEX(Fondsen!$F$5:$Q$30,MATCH($B74,Fondsen!$A$5:$A$30,0),AD$8-$E74+1)))</f>
        <v/>
      </c>
      <c r="AE74" s="39" t="str">
        <f t="array" ref="AE74">IF(OR($B74="",$C74="",$E74=""),"",IF(OR(AE$8&lt;$E74,AE$8-$E74&gt;=12),0,$C74*INDEX(Fondsen!$F$5:$Q$30,MATCH($B74,Fondsen!$A$5:$A$30,0),AE$8-$E74+1)))</f>
        <v/>
      </c>
      <c r="AF74" s="38" t="str">
        <f t="array" ref="AF74">IF(OR($B74="",$C74="",$E74=""),"",IF(OR(AF$8&lt;$E74,AF$8-$E74&gt;=12),0,$C74*INDEX(Fondsen!$F$5:$Q$30,MATCH($B74,Fondsen!$A$5:$A$30,0),AF$8-$E74+1)))</f>
        <v/>
      </c>
      <c r="AG74" s="39" t="str">
        <f t="array" ref="AG74">IF(OR($B74="",$C74="",$E74=""),"",IF(OR(AG$8&lt;$E74,AG$8-$E74&gt;=12),0,$C74*INDEX(Fondsen!$F$5:$Q$30,MATCH($B74,Fondsen!$A$5:$A$30,0),AG$8-$E74+1)))</f>
        <v/>
      </c>
      <c r="AH74" s="38" t="str">
        <f t="array" ref="AH74">IF(OR($B74="",$C74="",$E74=""),"",IF(OR(AH$8&lt;$E74,AH$8-$E74&gt;=12),0,$C74*INDEX(Fondsen!$F$5:$Q$30,MATCH($B74,Fondsen!$A$5:$A$30,0),AH$8-$E74+1)))</f>
        <v/>
      </c>
      <c r="AI74" s="39" t="str">
        <f t="array" ref="AI74">IF(OR($B74="",$C74="",$E74=""),"",IF(OR(AI$8&lt;$E74,AI$8-$E74&gt;=12),0,$C74*INDEX(Fondsen!$F$5:$Q$30,MATCH($B74,Fondsen!$A$5:$A$30,0),AI$8-$E74+1)))</f>
        <v/>
      </c>
      <c r="AJ74" s="38" t="str">
        <f t="array" ref="AJ74">IF(OR($B74="",$C74="",$E74=""),"",IF(OR(AJ$8&lt;$E74,AJ$8-$E74&gt;=12),0,$C74*INDEX(Fondsen!$F$5:$Q$30,MATCH($B74,Fondsen!$A$5:$A$30,0),AJ$8-$E74+1)))</f>
        <v/>
      </c>
      <c r="AK74" s="39" t="str">
        <f t="array" ref="AK74">IF(OR($B74="",$C74="",$E74=""),"",IF(OR(AK$8&lt;$E74,AK$8-$E74&gt;=12),0,$C74*INDEX(Fondsen!$F$5:$Q$30,MATCH($B74,Fondsen!$A$5:$A$30,0),AK$8-$E74+1)))</f>
        <v/>
      </c>
      <c r="AL74" s="38" t="str">
        <f t="array" ref="AL74">IF(OR($B74="",$C74="",$E74=""),"",IF(OR(AL$8&lt;$E74,AL$8-$E74&gt;=12),0,$C74*INDEX(Fondsen!$F$5:$Q$30,MATCH($B74,Fondsen!$A$5:$A$30,0),AL$8-$E74+1)))</f>
        <v/>
      </c>
      <c r="AM74" s="39" t="str">
        <f t="array" ref="AM74">IF(OR($B74="",$C74="",$E74=""),"",IF(OR(AM$8&lt;$E74,AM$8-$E74&gt;=12),0,$C74*INDEX(Fondsen!$F$5:$Q$30,MATCH($B74,Fondsen!$A$5:$A$30,0),AM$8-$E74+1)))</f>
        <v/>
      </c>
      <c r="AN74" s="38" t="str">
        <f t="array" ref="AN74">IF(OR($B74="",$C74="",$E74=""),"",IF(OR(AN$8&lt;$E74,AN$8-$E74&gt;=12),0,$C74*INDEX(Fondsen!$F$5:$Q$30,MATCH($B74,Fondsen!$A$5:$A$30,0),AN$8-$E74+1)))</f>
        <v/>
      </c>
      <c r="AO74" s="39" t="str">
        <f t="array" ref="AO74">IF(OR($B74="",$C74="",$E74=""),"",IF(OR(AO$8&lt;$E74,AO$8-$E74&gt;=12),0,$C74*INDEX(Fondsen!$F$5:$Q$30,MATCH($B74,Fondsen!$A$5:$A$30,0),AO$8-$E74+1)))</f>
        <v/>
      </c>
      <c r="AP74" s="38" t="str">
        <f t="array" ref="AP74">IF(OR($B74="",$C74="",$E74=""),"",IF(OR(AP$8&lt;$E74,AP$8-$E74&gt;=12),0,$C74*INDEX(Fondsen!$F$5:$Q$30,MATCH($B74,Fondsen!$A$5:$A$30,0),AP$8-$E74+1)))</f>
        <v/>
      </c>
      <c r="AQ74" s="39" t="str">
        <f t="array" ref="AQ74">IF(OR($B74="",$C74="",$E74=""),"",IF(OR(AQ$8&lt;$E74,AQ$8-$E74&gt;=12),0,$C74*INDEX(Fondsen!$F$5:$Q$30,MATCH($B74,Fondsen!$A$5:$A$30,0),AQ$8-$E74+1)))</f>
        <v/>
      </c>
      <c r="AR74" s="38" t="str">
        <f t="array" ref="AR74">IF(OR($B74="",$C74="",$E74=""),"",IF(OR(AR$8&lt;$E74,AR$8-$E74&gt;=12),0,$C74*INDEX(Fondsen!$F$5:$Q$30,MATCH($B74,Fondsen!$A$5:$A$30,0),AR$8-$E74+1)))</f>
        <v/>
      </c>
      <c r="AS74" s="39" t="str">
        <f t="array" ref="AS74">IF(OR($B74="",$C74="",$E74=""),"",IF(OR(AS$8&lt;$E74,AS$8-$E74&gt;=12),0,$C74*INDEX(Fondsen!$F$5:$Q$30,MATCH($B74,Fondsen!$A$5:$A$30,0),AS$8-$E74+1)))</f>
        <v/>
      </c>
      <c r="AT74" s="45"/>
    </row>
    <row r="75" ht="24.0" customHeight="1" outlineLevel="1">
      <c r="A75" s="47" t="str">
        <f>IF(B75="","",IFERROR(VLOOKUP(B75,Fondsen!$A$5:$B$30,2,FALSE()),""))</f>
        <v/>
      </c>
      <c r="B75" s="26"/>
      <c r="C75" s="27"/>
      <c r="D75" s="44" t="s">
        <v>11</v>
      </c>
      <c r="E75" s="29"/>
      <c r="F75" s="30" t="str">
        <f t="array" ref="F75">IF(OR($B75="",$C75="",$E75=""),"",IF(OR(F$8&lt;$E75,F$8-$E75&gt;=12),0,$C75*INDEX(Fondsen!$F$5:$Q$30,MATCH($B75,Fondsen!$A$5:$A$30,0),F$8-$E75+1)))</f>
        <v/>
      </c>
      <c r="G75" s="31" t="str">
        <f t="array" ref="G75">IF(OR($B75="",$C75="",$E75=""),"",IF(OR(G$8&lt;$E75,G$8-$E75&gt;=12),0,$C75*INDEX(Fondsen!$F$5:$Q$30,MATCH($B75,Fondsen!$A$5:$A$30,0),G$8-$E75+1)))</f>
        <v/>
      </c>
      <c r="H75" s="30" t="str">
        <f t="array" ref="H75">IF(OR($B75="",$C75="",$E75=""),"",IF(OR(H$8&lt;$E75,H$8-$E75&gt;=12),0,$C75*INDEX(Fondsen!$F$5:$Q$30,MATCH($B75,Fondsen!$A$5:$A$30,0),H$8-$E75+1)))</f>
        <v/>
      </c>
      <c r="I75" s="31" t="str">
        <f t="array" ref="I75">IF(OR($B75="",$C75="",$E75=""),"",IF(OR(I$8&lt;$E75,I$8-$E75&gt;=12),0,$C75*INDEX(Fondsen!$F$5:$Q$30,MATCH($B75,Fondsen!$A$5:$A$30,0),I$8-$E75+1)))</f>
        <v/>
      </c>
      <c r="J75" s="30" t="str">
        <f t="array" ref="J75">IF(OR($B75="",$C75="",$E75=""),"",IF(OR(J$8&lt;$E75,J$8-$E75&gt;=12),0,$C75*INDEX(Fondsen!$F$5:$Q$30,MATCH($B75,Fondsen!$A$5:$A$30,0),J$8-$E75+1)))</f>
        <v/>
      </c>
      <c r="K75" s="31" t="str">
        <f t="array" ref="K75">IF(OR($B75="",$C75="",$E75=""),"",IF(OR(K$8&lt;$E75,K$8-$E75&gt;=12),0,$C75*INDEX(Fondsen!$F$5:$Q$30,MATCH($B75,Fondsen!$A$5:$A$30,0),K$8-$E75+1)))</f>
        <v/>
      </c>
      <c r="L75" s="30" t="str">
        <f t="array" ref="L75">IF(OR($B75="",$C75="",$E75=""),"",IF(OR(L$8&lt;$E75,L$8-$E75&gt;=12),0,$C75*INDEX(Fondsen!$F$5:$Q$30,MATCH($B75,Fondsen!$A$5:$A$30,0),L$8-$E75+1)))</f>
        <v/>
      </c>
      <c r="M75" s="31" t="str">
        <f t="array" ref="M75">IF(OR($B75="",$C75="",$E75=""),"",IF(OR(M$8&lt;$E75,M$8-$E75&gt;=12),0,$C75*INDEX(Fondsen!$F$5:$Q$30,MATCH($B75,Fondsen!$A$5:$A$30,0),M$8-$E75+1)))</f>
        <v/>
      </c>
      <c r="N75" s="30" t="str">
        <f t="array" ref="N75">IF(OR($B75="",$C75="",$E75=""),"",IF(OR(N$8&lt;$E75,N$8-$E75&gt;=12),0,$C75*INDEX(Fondsen!$F$5:$Q$30,MATCH($B75,Fondsen!$A$5:$A$30,0),N$8-$E75+1)))</f>
        <v/>
      </c>
      <c r="O75" s="31" t="str">
        <f t="array" ref="O75">IF(OR($B75="",$C75="",$E75=""),"",IF(OR(O$8&lt;$E75,O$8-$E75&gt;=12),0,$C75*INDEX(Fondsen!$F$5:$Q$30,MATCH($B75,Fondsen!$A$5:$A$30,0),O$8-$E75+1)))</f>
        <v/>
      </c>
      <c r="P75" s="30" t="str">
        <f t="array" ref="P75">IF(OR($B75="",$C75="",$E75=""),"",IF(OR(P$8&lt;$E75,P$8-$E75&gt;=12),0,$C75*INDEX(Fondsen!$F$5:$Q$30,MATCH($B75,Fondsen!$A$5:$A$30,0),P$8-$E75+1)))</f>
        <v/>
      </c>
      <c r="Q75" s="31" t="str">
        <f t="array" ref="Q75">IF(OR($B75="",$C75="",$E75=""),"",IF(OR(Q$8&lt;$E75,Q$8-$E75&gt;=12),0,$C75*INDEX(Fondsen!$F$5:$Q$30,MATCH($B75,Fondsen!$A$5:$A$30,0),Q$8-$E75+1)))</f>
        <v/>
      </c>
      <c r="R75" s="30" t="str">
        <f t="array" ref="R75">IF(OR($B75="",$C75="",$E75=""),"",IF(OR(R$8&lt;$E75,R$8-$E75&gt;=12),0,$C75*INDEX(Fondsen!$F$5:$Q$30,MATCH($B75,Fondsen!$A$5:$A$30,0),R$8-$E75+1)))</f>
        <v/>
      </c>
      <c r="S75" s="31" t="str">
        <f t="array" ref="S75">IF(OR($B75="",$C75="",$E75=""),"",IF(OR(S$8&lt;$E75,S$8-$E75&gt;=12),0,$C75*INDEX(Fondsen!$F$5:$Q$30,MATCH($B75,Fondsen!$A$5:$A$30,0),S$8-$E75+1)))</f>
        <v/>
      </c>
      <c r="T75" s="30" t="str">
        <f t="array" ref="T75">IF(OR($B75="",$C75="",$E75=""),"",IF(OR(T$8&lt;$E75,T$8-$E75&gt;=12),0,$C75*INDEX(Fondsen!$F$5:$Q$30,MATCH($B75,Fondsen!$A$5:$A$30,0),T$8-$E75+1)))</f>
        <v/>
      </c>
      <c r="U75" s="31" t="str">
        <f t="array" ref="U75">IF(OR($B75="",$C75="",$E75=""),"",IF(OR(U$8&lt;$E75,U$8-$E75&gt;=12),0,$C75*INDEX(Fondsen!$F$5:$Q$30,MATCH($B75,Fondsen!$A$5:$A$30,0),U$8-$E75+1)))</f>
        <v/>
      </c>
      <c r="V75" s="30" t="str">
        <f t="array" ref="V75">IF(OR($B75="",$C75="",$E75=""),"",IF(OR(V$8&lt;$E75,V$8-$E75&gt;=12),0,$C75*INDEX(Fondsen!$F$5:$Q$30,MATCH($B75,Fondsen!$A$5:$A$30,0),V$8-$E75+1)))</f>
        <v/>
      </c>
      <c r="W75" s="31" t="str">
        <f t="array" ref="W75">IF(OR($B75="",$C75="",$E75=""),"",IF(OR(W$8&lt;$E75,W$8-$E75&gt;=12),0,$C75*INDEX(Fondsen!$F$5:$Q$30,MATCH($B75,Fondsen!$A$5:$A$30,0),W$8-$E75+1)))</f>
        <v/>
      </c>
      <c r="X75" s="30" t="str">
        <f t="array" ref="X75">IF(OR($B75="",$C75="",$E75=""),"",IF(OR(X$8&lt;$E75,X$8-$E75&gt;=12),0,$C75*INDEX(Fondsen!$F$5:$Q$30,MATCH($B75,Fondsen!$A$5:$A$30,0),X$8-$E75+1)))</f>
        <v/>
      </c>
      <c r="Y75" s="31" t="str">
        <f t="array" ref="Y75">IF(OR($B75="",$C75="",$E75=""),"",IF(OR(Y$8&lt;$E75,Y$8-$E75&gt;=12),0,$C75*INDEX(Fondsen!$F$5:$Q$30,MATCH($B75,Fondsen!$A$5:$A$30,0),Y$8-$E75+1)))</f>
        <v/>
      </c>
      <c r="Z75" s="30" t="str">
        <f t="array" ref="Z75">IF(OR($B75="",$C75="",$E75=""),"",IF(OR(Z$8&lt;$E75,Z$8-$E75&gt;=12),0,$C75*INDEX(Fondsen!$F$5:$Q$30,MATCH($B75,Fondsen!$A$5:$A$30,0),Z$8-$E75+1)))</f>
        <v/>
      </c>
      <c r="AA75" s="31" t="str">
        <f t="array" ref="AA75">IF(OR($B75="",$C75="",$E75=""),"",IF(OR(AA$8&lt;$E75,AA$8-$E75&gt;=12),0,$C75*INDEX(Fondsen!$F$5:$Q$30,MATCH($B75,Fondsen!$A$5:$A$30,0),AA$8-$E75+1)))</f>
        <v/>
      </c>
      <c r="AB75" s="30" t="str">
        <f t="array" ref="AB75">IF(OR($B75="",$C75="",$E75=""),"",IF(OR(AB$8&lt;$E75,AB$8-$E75&gt;=12),0,$C75*INDEX(Fondsen!$F$5:$Q$30,MATCH($B75,Fondsen!$A$5:$A$30,0),AB$8-$E75+1)))</f>
        <v/>
      </c>
      <c r="AC75" s="31" t="str">
        <f t="array" ref="AC75">IF(OR($B75="",$C75="",$E75=""),"",IF(OR(AC$8&lt;$E75,AC$8-$E75&gt;=12),0,$C75*INDEX(Fondsen!$F$5:$Q$30,MATCH($B75,Fondsen!$A$5:$A$30,0),AC$8-$E75+1)))</f>
        <v/>
      </c>
      <c r="AD75" s="30" t="str">
        <f t="array" ref="AD75">IF(OR($B75="",$C75="",$E75=""),"",IF(OR(AD$8&lt;$E75,AD$8-$E75&gt;=12),0,$C75*INDEX(Fondsen!$F$5:$Q$30,MATCH($B75,Fondsen!$A$5:$A$30,0),AD$8-$E75+1)))</f>
        <v/>
      </c>
      <c r="AE75" s="31" t="str">
        <f t="array" ref="AE75">IF(OR($B75="",$C75="",$E75=""),"",IF(OR(AE$8&lt;$E75,AE$8-$E75&gt;=12),0,$C75*INDEX(Fondsen!$F$5:$Q$30,MATCH($B75,Fondsen!$A$5:$A$30,0),AE$8-$E75+1)))</f>
        <v/>
      </c>
      <c r="AF75" s="30" t="str">
        <f t="array" ref="AF75">IF(OR($B75="",$C75="",$E75=""),"",IF(OR(AF$8&lt;$E75,AF$8-$E75&gt;=12),0,$C75*INDEX(Fondsen!$F$5:$Q$30,MATCH($B75,Fondsen!$A$5:$A$30,0),AF$8-$E75+1)))</f>
        <v/>
      </c>
      <c r="AG75" s="31" t="str">
        <f t="array" ref="AG75">IF(OR($B75="",$C75="",$E75=""),"",IF(OR(AG$8&lt;$E75,AG$8-$E75&gt;=12),0,$C75*INDEX(Fondsen!$F$5:$Q$30,MATCH($B75,Fondsen!$A$5:$A$30,0),AG$8-$E75+1)))</f>
        <v/>
      </c>
      <c r="AH75" s="30" t="str">
        <f t="array" ref="AH75">IF(OR($B75="",$C75="",$E75=""),"",IF(OR(AH$8&lt;$E75,AH$8-$E75&gt;=12),0,$C75*INDEX(Fondsen!$F$5:$Q$30,MATCH($B75,Fondsen!$A$5:$A$30,0),AH$8-$E75+1)))</f>
        <v/>
      </c>
      <c r="AI75" s="31" t="str">
        <f t="array" ref="AI75">IF(OR($B75="",$C75="",$E75=""),"",IF(OR(AI$8&lt;$E75,AI$8-$E75&gt;=12),0,$C75*INDEX(Fondsen!$F$5:$Q$30,MATCH($B75,Fondsen!$A$5:$A$30,0),AI$8-$E75+1)))</f>
        <v/>
      </c>
      <c r="AJ75" s="30" t="str">
        <f t="array" ref="AJ75">IF(OR($B75="",$C75="",$E75=""),"",IF(OR(AJ$8&lt;$E75,AJ$8-$E75&gt;=12),0,$C75*INDEX(Fondsen!$F$5:$Q$30,MATCH($B75,Fondsen!$A$5:$A$30,0),AJ$8-$E75+1)))</f>
        <v/>
      </c>
      <c r="AK75" s="31" t="str">
        <f t="array" ref="AK75">IF(OR($B75="",$C75="",$E75=""),"",IF(OR(AK$8&lt;$E75,AK$8-$E75&gt;=12),0,$C75*INDEX(Fondsen!$F$5:$Q$30,MATCH($B75,Fondsen!$A$5:$A$30,0),AK$8-$E75+1)))</f>
        <v/>
      </c>
      <c r="AL75" s="30" t="str">
        <f t="array" ref="AL75">IF(OR($B75="",$C75="",$E75=""),"",IF(OR(AL$8&lt;$E75,AL$8-$E75&gt;=12),0,$C75*INDEX(Fondsen!$F$5:$Q$30,MATCH($B75,Fondsen!$A$5:$A$30,0),AL$8-$E75+1)))</f>
        <v/>
      </c>
      <c r="AM75" s="31" t="str">
        <f t="array" ref="AM75">IF(OR($B75="",$C75="",$E75=""),"",IF(OR(AM$8&lt;$E75,AM$8-$E75&gt;=12),0,$C75*INDEX(Fondsen!$F$5:$Q$30,MATCH($B75,Fondsen!$A$5:$A$30,0),AM$8-$E75+1)))</f>
        <v/>
      </c>
      <c r="AN75" s="30" t="str">
        <f t="array" ref="AN75">IF(OR($B75="",$C75="",$E75=""),"",IF(OR(AN$8&lt;$E75,AN$8-$E75&gt;=12),0,$C75*INDEX(Fondsen!$F$5:$Q$30,MATCH($B75,Fondsen!$A$5:$A$30,0),AN$8-$E75+1)))</f>
        <v/>
      </c>
      <c r="AO75" s="31" t="str">
        <f t="array" ref="AO75">IF(OR($B75="",$C75="",$E75=""),"",IF(OR(AO$8&lt;$E75,AO$8-$E75&gt;=12),0,$C75*INDEX(Fondsen!$F$5:$Q$30,MATCH($B75,Fondsen!$A$5:$A$30,0),AO$8-$E75+1)))</f>
        <v/>
      </c>
      <c r="AP75" s="30" t="str">
        <f t="array" ref="AP75">IF(OR($B75="",$C75="",$E75=""),"",IF(OR(AP$8&lt;$E75,AP$8-$E75&gt;=12),0,$C75*INDEX(Fondsen!$F$5:$Q$30,MATCH($B75,Fondsen!$A$5:$A$30,0),AP$8-$E75+1)))</f>
        <v/>
      </c>
      <c r="AQ75" s="31" t="str">
        <f t="array" ref="AQ75">IF(OR($B75="",$C75="",$E75=""),"",IF(OR(AQ$8&lt;$E75,AQ$8-$E75&gt;=12),0,$C75*INDEX(Fondsen!$F$5:$Q$30,MATCH($B75,Fondsen!$A$5:$A$30,0),AQ$8-$E75+1)))</f>
        <v/>
      </c>
      <c r="AR75" s="30" t="str">
        <f t="array" ref="AR75">IF(OR($B75="",$C75="",$E75=""),"",IF(OR(AR$8&lt;$E75,AR$8-$E75&gt;=12),0,$C75*INDEX(Fondsen!$F$5:$Q$30,MATCH($B75,Fondsen!$A$5:$A$30,0),AR$8-$E75+1)))</f>
        <v/>
      </c>
      <c r="AS75" s="31" t="str">
        <f t="array" ref="AS75">IF(OR($B75="",$C75="",$E75=""),"",IF(OR(AS$8&lt;$E75,AS$8-$E75&gt;=12),0,$C75*INDEX(Fondsen!$F$5:$Q$30,MATCH($B75,Fondsen!$A$5:$A$30,0),AS$8-$E75+1)))</f>
        <v/>
      </c>
      <c r="AT75" s="45"/>
    </row>
    <row r="76" ht="24.0" customHeight="1" outlineLevel="1">
      <c r="A76" s="33" t="str">
        <f>IF(B76="","",IFERROR(VLOOKUP(B76,Fondsen!$A$5:$B$30,2,FALSE()),""))</f>
        <v/>
      </c>
      <c r="B76" s="34"/>
      <c r="C76" s="35"/>
      <c r="D76" s="46" t="s">
        <v>11</v>
      </c>
      <c r="E76" s="37"/>
      <c r="F76" s="38" t="str">
        <f t="array" ref="F76">IF(OR($B76="",$C76="",$E76=""),"",IF(OR(F$8&lt;$E76,F$8-$E76&gt;=12),0,$C76*INDEX(Fondsen!$F$5:$Q$30,MATCH($B76,Fondsen!$A$5:$A$30,0),F$8-$E76+1)))</f>
        <v/>
      </c>
      <c r="G76" s="39" t="str">
        <f t="array" ref="G76">IF(OR($B76="",$C76="",$E76=""),"",IF(OR(G$8&lt;$E76,G$8-$E76&gt;=12),0,$C76*INDEX(Fondsen!$F$5:$Q$30,MATCH($B76,Fondsen!$A$5:$A$30,0),G$8-$E76+1)))</f>
        <v/>
      </c>
      <c r="H76" s="38" t="str">
        <f t="array" ref="H76">IF(OR($B76="",$C76="",$E76=""),"",IF(OR(H$8&lt;$E76,H$8-$E76&gt;=12),0,$C76*INDEX(Fondsen!$F$5:$Q$30,MATCH($B76,Fondsen!$A$5:$A$30,0),H$8-$E76+1)))</f>
        <v/>
      </c>
      <c r="I76" s="39" t="str">
        <f t="array" ref="I76">IF(OR($B76="",$C76="",$E76=""),"",IF(OR(I$8&lt;$E76,I$8-$E76&gt;=12),0,$C76*INDEX(Fondsen!$F$5:$Q$30,MATCH($B76,Fondsen!$A$5:$A$30,0),I$8-$E76+1)))</f>
        <v/>
      </c>
      <c r="J76" s="38" t="str">
        <f t="array" ref="J76">IF(OR($B76="",$C76="",$E76=""),"",IF(OR(J$8&lt;$E76,J$8-$E76&gt;=12),0,$C76*INDEX(Fondsen!$F$5:$Q$30,MATCH($B76,Fondsen!$A$5:$A$30,0),J$8-$E76+1)))</f>
        <v/>
      </c>
      <c r="K76" s="39" t="str">
        <f t="array" ref="K76">IF(OR($B76="",$C76="",$E76=""),"",IF(OR(K$8&lt;$E76,K$8-$E76&gt;=12),0,$C76*INDEX(Fondsen!$F$5:$Q$30,MATCH($B76,Fondsen!$A$5:$A$30,0),K$8-$E76+1)))</f>
        <v/>
      </c>
      <c r="L76" s="38" t="str">
        <f t="array" ref="L76">IF(OR($B76="",$C76="",$E76=""),"",IF(OR(L$8&lt;$E76,L$8-$E76&gt;=12),0,$C76*INDEX(Fondsen!$F$5:$Q$30,MATCH($B76,Fondsen!$A$5:$A$30,0),L$8-$E76+1)))</f>
        <v/>
      </c>
      <c r="M76" s="39" t="str">
        <f t="array" ref="M76">IF(OR($B76="",$C76="",$E76=""),"",IF(OR(M$8&lt;$E76,M$8-$E76&gt;=12),0,$C76*INDEX(Fondsen!$F$5:$Q$30,MATCH($B76,Fondsen!$A$5:$A$30,0),M$8-$E76+1)))</f>
        <v/>
      </c>
      <c r="N76" s="38" t="str">
        <f t="array" ref="N76">IF(OR($B76="",$C76="",$E76=""),"",IF(OR(N$8&lt;$E76,N$8-$E76&gt;=12),0,$C76*INDEX(Fondsen!$F$5:$Q$30,MATCH($B76,Fondsen!$A$5:$A$30,0),N$8-$E76+1)))</f>
        <v/>
      </c>
      <c r="O76" s="39" t="str">
        <f t="array" ref="O76">IF(OR($B76="",$C76="",$E76=""),"",IF(OR(O$8&lt;$E76,O$8-$E76&gt;=12),0,$C76*INDEX(Fondsen!$F$5:$Q$30,MATCH($B76,Fondsen!$A$5:$A$30,0),O$8-$E76+1)))</f>
        <v/>
      </c>
      <c r="P76" s="38" t="str">
        <f t="array" ref="P76">IF(OR($B76="",$C76="",$E76=""),"",IF(OR(P$8&lt;$E76,P$8-$E76&gt;=12),0,$C76*INDEX(Fondsen!$F$5:$Q$30,MATCH($B76,Fondsen!$A$5:$A$30,0),P$8-$E76+1)))</f>
        <v/>
      </c>
      <c r="Q76" s="39" t="str">
        <f t="array" ref="Q76">IF(OR($B76="",$C76="",$E76=""),"",IF(OR(Q$8&lt;$E76,Q$8-$E76&gt;=12),0,$C76*INDEX(Fondsen!$F$5:$Q$30,MATCH($B76,Fondsen!$A$5:$A$30,0),Q$8-$E76+1)))</f>
        <v/>
      </c>
      <c r="R76" s="38" t="str">
        <f t="array" ref="R76">IF(OR($B76="",$C76="",$E76=""),"",IF(OR(R$8&lt;$E76,R$8-$E76&gt;=12),0,$C76*INDEX(Fondsen!$F$5:$Q$30,MATCH($B76,Fondsen!$A$5:$A$30,0),R$8-$E76+1)))</f>
        <v/>
      </c>
      <c r="S76" s="39" t="str">
        <f t="array" ref="S76">IF(OR($B76="",$C76="",$E76=""),"",IF(OR(S$8&lt;$E76,S$8-$E76&gt;=12),0,$C76*INDEX(Fondsen!$F$5:$Q$30,MATCH($B76,Fondsen!$A$5:$A$30,0),S$8-$E76+1)))</f>
        <v/>
      </c>
      <c r="T76" s="38" t="str">
        <f t="array" ref="T76">IF(OR($B76="",$C76="",$E76=""),"",IF(OR(T$8&lt;$E76,T$8-$E76&gt;=12),0,$C76*INDEX(Fondsen!$F$5:$Q$30,MATCH($B76,Fondsen!$A$5:$A$30,0),T$8-$E76+1)))</f>
        <v/>
      </c>
      <c r="U76" s="39" t="str">
        <f t="array" ref="U76">IF(OR($B76="",$C76="",$E76=""),"",IF(OR(U$8&lt;$E76,U$8-$E76&gt;=12),0,$C76*INDEX(Fondsen!$F$5:$Q$30,MATCH($B76,Fondsen!$A$5:$A$30,0),U$8-$E76+1)))</f>
        <v/>
      </c>
      <c r="V76" s="38" t="str">
        <f t="array" ref="V76">IF(OR($B76="",$C76="",$E76=""),"",IF(OR(V$8&lt;$E76,V$8-$E76&gt;=12),0,$C76*INDEX(Fondsen!$F$5:$Q$30,MATCH($B76,Fondsen!$A$5:$A$30,0),V$8-$E76+1)))</f>
        <v/>
      </c>
      <c r="W76" s="39" t="str">
        <f t="array" ref="W76">IF(OR($B76="",$C76="",$E76=""),"",IF(OR(W$8&lt;$E76,W$8-$E76&gt;=12),0,$C76*INDEX(Fondsen!$F$5:$Q$30,MATCH($B76,Fondsen!$A$5:$A$30,0),W$8-$E76+1)))</f>
        <v/>
      </c>
      <c r="X76" s="38" t="str">
        <f t="array" ref="X76">IF(OR($B76="",$C76="",$E76=""),"",IF(OR(X$8&lt;$E76,X$8-$E76&gt;=12),0,$C76*INDEX(Fondsen!$F$5:$Q$30,MATCH($B76,Fondsen!$A$5:$A$30,0),X$8-$E76+1)))</f>
        <v/>
      </c>
      <c r="Y76" s="39" t="str">
        <f t="array" ref="Y76">IF(OR($B76="",$C76="",$E76=""),"",IF(OR(Y$8&lt;$E76,Y$8-$E76&gt;=12),0,$C76*INDEX(Fondsen!$F$5:$Q$30,MATCH($B76,Fondsen!$A$5:$A$30,0),Y$8-$E76+1)))</f>
        <v/>
      </c>
      <c r="Z76" s="38" t="str">
        <f t="array" ref="Z76">IF(OR($B76="",$C76="",$E76=""),"",IF(OR(Z$8&lt;$E76,Z$8-$E76&gt;=12),0,$C76*INDEX(Fondsen!$F$5:$Q$30,MATCH($B76,Fondsen!$A$5:$A$30,0),Z$8-$E76+1)))</f>
        <v/>
      </c>
      <c r="AA76" s="39" t="str">
        <f t="array" ref="AA76">IF(OR($B76="",$C76="",$E76=""),"",IF(OR(AA$8&lt;$E76,AA$8-$E76&gt;=12),0,$C76*INDEX(Fondsen!$F$5:$Q$30,MATCH($B76,Fondsen!$A$5:$A$30,0),AA$8-$E76+1)))</f>
        <v/>
      </c>
      <c r="AB76" s="38" t="str">
        <f t="array" ref="AB76">IF(OR($B76="",$C76="",$E76=""),"",IF(OR(AB$8&lt;$E76,AB$8-$E76&gt;=12),0,$C76*INDEX(Fondsen!$F$5:$Q$30,MATCH($B76,Fondsen!$A$5:$A$30,0),AB$8-$E76+1)))</f>
        <v/>
      </c>
      <c r="AC76" s="39" t="str">
        <f t="array" ref="AC76">IF(OR($B76="",$C76="",$E76=""),"",IF(OR(AC$8&lt;$E76,AC$8-$E76&gt;=12),0,$C76*INDEX(Fondsen!$F$5:$Q$30,MATCH($B76,Fondsen!$A$5:$A$30,0),AC$8-$E76+1)))</f>
        <v/>
      </c>
      <c r="AD76" s="38" t="str">
        <f t="array" ref="AD76">IF(OR($B76="",$C76="",$E76=""),"",IF(OR(AD$8&lt;$E76,AD$8-$E76&gt;=12),0,$C76*INDEX(Fondsen!$F$5:$Q$30,MATCH($B76,Fondsen!$A$5:$A$30,0),AD$8-$E76+1)))</f>
        <v/>
      </c>
      <c r="AE76" s="39" t="str">
        <f t="array" ref="AE76">IF(OR($B76="",$C76="",$E76=""),"",IF(OR(AE$8&lt;$E76,AE$8-$E76&gt;=12),0,$C76*INDEX(Fondsen!$F$5:$Q$30,MATCH($B76,Fondsen!$A$5:$A$30,0),AE$8-$E76+1)))</f>
        <v/>
      </c>
      <c r="AF76" s="38" t="str">
        <f t="array" ref="AF76">IF(OR($B76="",$C76="",$E76=""),"",IF(OR(AF$8&lt;$E76,AF$8-$E76&gt;=12),0,$C76*INDEX(Fondsen!$F$5:$Q$30,MATCH($B76,Fondsen!$A$5:$A$30,0),AF$8-$E76+1)))</f>
        <v/>
      </c>
      <c r="AG76" s="39" t="str">
        <f t="array" ref="AG76">IF(OR($B76="",$C76="",$E76=""),"",IF(OR(AG$8&lt;$E76,AG$8-$E76&gt;=12),0,$C76*INDEX(Fondsen!$F$5:$Q$30,MATCH($B76,Fondsen!$A$5:$A$30,0),AG$8-$E76+1)))</f>
        <v/>
      </c>
      <c r="AH76" s="38" t="str">
        <f t="array" ref="AH76">IF(OR($B76="",$C76="",$E76=""),"",IF(OR(AH$8&lt;$E76,AH$8-$E76&gt;=12),0,$C76*INDEX(Fondsen!$F$5:$Q$30,MATCH($B76,Fondsen!$A$5:$A$30,0),AH$8-$E76+1)))</f>
        <v/>
      </c>
      <c r="AI76" s="39" t="str">
        <f t="array" ref="AI76">IF(OR($B76="",$C76="",$E76=""),"",IF(OR(AI$8&lt;$E76,AI$8-$E76&gt;=12),0,$C76*INDEX(Fondsen!$F$5:$Q$30,MATCH($B76,Fondsen!$A$5:$A$30,0),AI$8-$E76+1)))</f>
        <v/>
      </c>
      <c r="AJ76" s="38" t="str">
        <f t="array" ref="AJ76">IF(OR($B76="",$C76="",$E76=""),"",IF(OR(AJ$8&lt;$E76,AJ$8-$E76&gt;=12),0,$C76*INDEX(Fondsen!$F$5:$Q$30,MATCH($B76,Fondsen!$A$5:$A$30,0),AJ$8-$E76+1)))</f>
        <v/>
      </c>
      <c r="AK76" s="39" t="str">
        <f t="array" ref="AK76">IF(OR($B76="",$C76="",$E76=""),"",IF(OR(AK$8&lt;$E76,AK$8-$E76&gt;=12),0,$C76*INDEX(Fondsen!$F$5:$Q$30,MATCH($B76,Fondsen!$A$5:$A$30,0),AK$8-$E76+1)))</f>
        <v/>
      </c>
      <c r="AL76" s="38" t="str">
        <f t="array" ref="AL76">IF(OR($B76="",$C76="",$E76=""),"",IF(OR(AL$8&lt;$E76,AL$8-$E76&gt;=12),0,$C76*INDEX(Fondsen!$F$5:$Q$30,MATCH($B76,Fondsen!$A$5:$A$30,0),AL$8-$E76+1)))</f>
        <v/>
      </c>
      <c r="AM76" s="39" t="str">
        <f t="array" ref="AM76">IF(OR($B76="",$C76="",$E76=""),"",IF(OR(AM$8&lt;$E76,AM$8-$E76&gt;=12),0,$C76*INDEX(Fondsen!$F$5:$Q$30,MATCH($B76,Fondsen!$A$5:$A$30,0),AM$8-$E76+1)))</f>
        <v/>
      </c>
      <c r="AN76" s="38" t="str">
        <f t="array" ref="AN76">IF(OR($B76="",$C76="",$E76=""),"",IF(OR(AN$8&lt;$E76,AN$8-$E76&gt;=12),0,$C76*INDEX(Fondsen!$F$5:$Q$30,MATCH($B76,Fondsen!$A$5:$A$30,0),AN$8-$E76+1)))</f>
        <v/>
      </c>
      <c r="AO76" s="39" t="str">
        <f t="array" ref="AO76">IF(OR($B76="",$C76="",$E76=""),"",IF(OR(AO$8&lt;$E76,AO$8-$E76&gt;=12),0,$C76*INDEX(Fondsen!$F$5:$Q$30,MATCH($B76,Fondsen!$A$5:$A$30,0),AO$8-$E76+1)))</f>
        <v/>
      </c>
      <c r="AP76" s="38" t="str">
        <f t="array" ref="AP76">IF(OR($B76="",$C76="",$E76=""),"",IF(OR(AP$8&lt;$E76,AP$8-$E76&gt;=12),0,$C76*INDEX(Fondsen!$F$5:$Q$30,MATCH($B76,Fondsen!$A$5:$A$30,0),AP$8-$E76+1)))</f>
        <v/>
      </c>
      <c r="AQ76" s="39" t="str">
        <f t="array" ref="AQ76">IF(OR($B76="",$C76="",$E76=""),"",IF(OR(AQ$8&lt;$E76,AQ$8-$E76&gt;=12),0,$C76*INDEX(Fondsen!$F$5:$Q$30,MATCH($B76,Fondsen!$A$5:$A$30,0),AQ$8-$E76+1)))</f>
        <v/>
      </c>
      <c r="AR76" s="38" t="str">
        <f t="array" ref="AR76">IF(OR($B76="",$C76="",$E76=""),"",IF(OR(AR$8&lt;$E76,AR$8-$E76&gt;=12),0,$C76*INDEX(Fondsen!$F$5:$Q$30,MATCH($B76,Fondsen!$A$5:$A$30,0),AR$8-$E76+1)))</f>
        <v/>
      </c>
      <c r="AS76" s="39" t="str">
        <f t="array" ref="AS76">IF(OR($B76="",$C76="",$E76=""),"",IF(OR(AS$8&lt;$E76,AS$8-$E76&gt;=12),0,$C76*INDEX(Fondsen!$F$5:$Q$30,MATCH($B76,Fondsen!$A$5:$A$30,0),AS$8-$E76+1)))</f>
        <v/>
      </c>
      <c r="AT76" s="45"/>
    </row>
    <row r="77" ht="24.0" customHeight="1" outlineLevel="1">
      <c r="A77" s="47" t="str">
        <f>IF(B77="","",IFERROR(VLOOKUP(B77,Fondsen!$A$5:$B$30,2,FALSE()),""))</f>
        <v/>
      </c>
      <c r="B77" s="26"/>
      <c r="C77" s="27"/>
      <c r="D77" s="44" t="s">
        <v>11</v>
      </c>
      <c r="E77" s="29"/>
      <c r="F77" s="30" t="str">
        <f t="array" ref="F77">IF(OR($B77="",$C77="",$E77=""),"",IF(OR(F$8&lt;$E77,F$8-$E77&gt;=12),0,$C77*INDEX(Fondsen!$F$5:$Q$30,MATCH($B77,Fondsen!$A$5:$A$30,0),F$8-$E77+1)))</f>
        <v/>
      </c>
      <c r="G77" s="31" t="str">
        <f t="array" ref="G77">IF(OR($B77="",$C77="",$E77=""),"",IF(OR(G$8&lt;$E77,G$8-$E77&gt;=12),0,$C77*INDEX(Fondsen!$F$5:$Q$30,MATCH($B77,Fondsen!$A$5:$A$30,0),G$8-$E77+1)))</f>
        <v/>
      </c>
      <c r="H77" s="30" t="str">
        <f t="array" ref="H77">IF(OR($B77="",$C77="",$E77=""),"",IF(OR(H$8&lt;$E77,H$8-$E77&gt;=12),0,$C77*INDEX(Fondsen!$F$5:$Q$30,MATCH($B77,Fondsen!$A$5:$A$30,0),H$8-$E77+1)))</f>
        <v/>
      </c>
      <c r="I77" s="31" t="str">
        <f t="array" ref="I77">IF(OR($B77="",$C77="",$E77=""),"",IF(OR(I$8&lt;$E77,I$8-$E77&gt;=12),0,$C77*INDEX(Fondsen!$F$5:$Q$30,MATCH($B77,Fondsen!$A$5:$A$30,0),I$8-$E77+1)))</f>
        <v/>
      </c>
      <c r="J77" s="30" t="str">
        <f t="array" ref="J77">IF(OR($B77="",$C77="",$E77=""),"",IF(OR(J$8&lt;$E77,J$8-$E77&gt;=12),0,$C77*INDEX(Fondsen!$F$5:$Q$30,MATCH($B77,Fondsen!$A$5:$A$30,0),J$8-$E77+1)))</f>
        <v/>
      </c>
      <c r="K77" s="31" t="str">
        <f t="array" ref="K77">IF(OR($B77="",$C77="",$E77=""),"",IF(OR(K$8&lt;$E77,K$8-$E77&gt;=12),0,$C77*INDEX(Fondsen!$F$5:$Q$30,MATCH($B77,Fondsen!$A$5:$A$30,0),K$8-$E77+1)))</f>
        <v/>
      </c>
      <c r="L77" s="30" t="str">
        <f t="array" ref="L77">IF(OR($B77="",$C77="",$E77=""),"",IF(OR(L$8&lt;$E77,L$8-$E77&gt;=12),0,$C77*INDEX(Fondsen!$F$5:$Q$30,MATCH($B77,Fondsen!$A$5:$A$30,0),L$8-$E77+1)))</f>
        <v/>
      </c>
      <c r="M77" s="31" t="str">
        <f t="array" ref="M77">IF(OR($B77="",$C77="",$E77=""),"",IF(OR(M$8&lt;$E77,M$8-$E77&gt;=12),0,$C77*INDEX(Fondsen!$F$5:$Q$30,MATCH($B77,Fondsen!$A$5:$A$30,0),M$8-$E77+1)))</f>
        <v/>
      </c>
      <c r="N77" s="30" t="str">
        <f t="array" ref="N77">IF(OR($B77="",$C77="",$E77=""),"",IF(OR(N$8&lt;$E77,N$8-$E77&gt;=12),0,$C77*INDEX(Fondsen!$F$5:$Q$30,MATCH($B77,Fondsen!$A$5:$A$30,0),N$8-$E77+1)))</f>
        <v/>
      </c>
      <c r="O77" s="31" t="str">
        <f t="array" ref="O77">IF(OR($B77="",$C77="",$E77=""),"",IF(OR(O$8&lt;$E77,O$8-$E77&gt;=12),0,$C77*INDEX(Fondsen!$F$5:$Q$30,MATCH($B77,Fondsen!$A$5:$A$30,0),O$8-$E77+1)))</f>
        <v/>
      </c>
      <c r="P77" s="30" t="str">
        <f t="array" ref="P77">IF(OR($B77="",$C77="",$E77=""),"",IF(OR(P$8&lt;$E77,P$8-$E77&gt;=12),0,$C77*INDEX(Fondsen!$F$5:$Q$30,MATCH($B77,Fondsen!$A$5:$A$30,0),P$8-$E77+1)))</f>
        <v/>
      </c>
      <c r="Q77" s="31" t="str">
        <f t="array" ref="Q77">IF(OR($B77="",$C77="",$E77=""),"",IF(OR(Q$8&lt;$E77,Q$8-$E77&gt;=12),0,$C77*INDEX(Fondsen!$F$5:$Q$30,MATCH($B77,Fondsen!$A$5:$A$30,0),Q$8-$E77+1)))</f>
        <v/>
      </c>
      <c r="R77" s="30" t="str">
        <f t="array" ref="R77">IF(OR($B77="",$C77="",$E77=""),"",IF(OR(R$8&lt;$E77,R$8-$E77&gt;=12),0,$C77*INDEX(Fondsen!$F$5:$Q$30,MATCH($B77,Fondsen!$A$5:$A$30,0),R$8-$E77+1)))</f>
        <v/>
      </c>
      <c r="S77" s="31" t="str">
        <f t="array" ref="S77">IF(OR($B77="",$C77="",$E77=""),"",IF(OR(S$8&lt;$E77,S$8-$E77&gt;=12),0,$C77*INDEX(Fondsen!$F$5:$Q$30,MATCH($B77,Fondsen!$A$5:$A$30,0),S$8-$E77+1)))</f>
        <v/>
      </c>
      <c r="T77" s="30" t="str">
        <f t="array" ref="T77">IF(OR($B77="",$C77="",$E77=""),"",IF(OR(T$8&lt;$E77,T$8-$E77&gt;=12),0,$C77*INDEX(Fondsen!$F$5:$Q$30,MATCH($B77,Fondsen!$A$5:$A$30,0),T$8-$E77+1)))</f>
        <v/>
      </c>
      <c r="U77" s="31" t="str">
        <f t="array" ref="U77">IF(OR($B77="",$C77="",$E77=""),"",IF(OR(U$8&lt;$E77,U$8-$E77&gt;=12),0,$C77*INDEX(Fondsen!$F$5:$Q$30,MATCH($B77,Fondsen!$A$5:$A$30,0),U$8-$E77+1)))</f>
        <v/>
      </c>
      <c r="V77" s="30" t="str">
        <f t="array" ref="V77">IF(OR($B77="",$C77="",$E77=""),"",IF(OR(V$8&lt;$E77,V$8-$E77&gt;=12),0,$C77*INDEX(Fondsen!$F$5:$Q$30,MATCH($B77,Fondsen!$A$5:$A$30,0),V$8-$E77+1)))</f>
        <v/>
      </c>
      <c r="W77" s="31" t="str">
        <f t="array" ref="W77">IF(OR($B77="",$C77="",$E77=""),"",IF(OR(W$8&lt;$E77,W$8-$E77&gt;=12),0,$C77*INDEX(Fondsen!$F$5:$Q$30,MATCH($B77,Fondsen!$A$5:$A$30,0),W$8-$E77+1)))</f>
        <v/>
      </c>
      <c r="X77" s="30" t="str">
        <f t="array" ref="X77">IF(OR($B77="",$C77="",$E77=""),"",IF(OR(X$8&lt;$E77,X$8-$E77&gt;=12),0,$C77*INDEX(Fondsen!$F$5:$Q$30,MATCH($B77,Fondsen!$A$5:$A$30,0),X$8-$E77+1)))</f>
        <v/>
      </c>
      <c r="Y77" s="31" t="str">
        <f t="array" ref="Y77">IF(OR($B77="",$C77="",$E77=""),"",IF(OR(Y$8&lt;$E77,Y$8-$E77&gt;=12),0,$C77*INDEX(Fondsen!$F$5:$Q$30,MATCH($B77,Fondsen!$A$5:$A$30,0),Y$8-$E77+1)))</f>
        <v/>
      </c>
      <c r="Z77" s="30" t="str">
        <f t="array" ref="Z77">IF(OR($B77="",$C77="",$E77=""),"",IF(OR(Z$8&lt;$E77,Z$8-$E77&gt;=12),0,$C77*INDEX(Fondsen!$F$5:$Q$30,MATCH($B77,Fondsen!$A$5:$A$30,0),Z$8-$E77+1)))</f>
        <v/>
      </c>
      <c r="AA77" s="31" t="str">
        <f t="array" ref="AA77">IF(OR($B77="",$C77="",$E77=""),"",IF(OR(AA$8&lt;$E77,AA$8-$E77&gt;=12),0,$C77*INDEX(Fondsen!$F$5:$Q$30,MATCH($B77,Fondsen!$A$5:$A$30,0),AA$8-$E77+1)))</f>
        <v/>
      </c>
      <c r="AB77" s="30" t="str">
        <f t="array" ref="AB77">IF(OR($B77="",$C77="",$E77=""),"",IF(OR(AB$8&lt;$E77,AB$8-$E77&gt;=12),0,$C77*INDEX(Fondsen!$F$5:$Q$30,MATCH($B77,Fondsen!$A$5:$A$30,0),AB$8-$E77+1)))</f>
        <v/>
      </c>
      <c r="AC77" s="31" t="str">
        <f t="array" ref="AC77">IF(OR($B77="",$C77="",$E77=""),"",IF(OR(AC$8&lt;$E77,AC$8-$E77&gt;=12),0,$C77*INDEX(Fondsen!$F$5:$Q$30,MATCH($B77,Fondsen!$A$5:$A$30,0),AC$8-$E77+1)))</f>
        <v/>
      </c>
      <c r="AD77" s="30" t="str">
        <f t="array" ref="AD77">IF(OR($B77="",$C77="",$E77=""),"",IF(OR(AD$8&lt;$E77,AD$8-$E77&gt;=12),0,$C77*INDEX(Fondsen!$F$5:$Q$30,MATCH($B77,Fondsen!$A$5:$A$30,0),AD$8-$E77+1)))</f>
        <v/>
      </c>
      <c r="AE77" s="31" t="str">
        <f t="array" ref="AE77">IF(OR($B77="",$C77="",$E77=""),"",IF(OR(AE$8&lt;$E77,AE$8-$E77&gt;=12),0,$C77*INDEX(Fondsen!$F$5:$Q$30,MATCH($B77,Fondsen!$A$5:$A$30,0),AE$8-$E77+1)))</f>
        <v/>
      </c>
      <c r="AF77" s="30" t="str">
        <f t="array" ref="AF77">IF(OR($B77="",$C77="",$E77=""),"",IF(OR(AF$8&lt;$E77,AF$8-$E77&gt;=12),0,$C77*INDEX(Fondsen!$F$5:$Q$30,MATCH($B77,Fondsen!$A$5:$A$30,0),AF$8-$E77+1)))</f>
        <v/>
      </c>
      <c r="AG77" s="31" t="str">
        <f t="array" ref="AG77">IF(OR($B77="",$C77="",$E77=""),"",IF(OR(AG$8&lt;$E77,AG$8-$E77&gt;=12),0,$C77*INDEX(Fondsen!$F$5:$Q$30,MATCH($B77,Fondsen!$A$5:$A$30,0),AG$8-$E77+1)))</f>
        <v/>
      </c>
      <c r="AH77" s="30" t="str">
        <f t="array" ref="AH77">IF(OR($B77="",$C77="",$E77=""),"",IF(OR(AH$8&lt;$E77,AH$8-$E77&gt;=12),0,$C77*INDEX(Fondsen!$F$5:$Q$30,MATCH($B77,Fondsen!$A$5:$A$30,0),AH$8-$E77+1)))</f>
        <v/>
      </c>
      <c r="AI77" s="31" t="str">
        <f t="array" ref="AI77">IF(OR($B77="",$C77="",$E77=""),"",IF(OR(AI$8&lt;$E77,AI$8-$E77&gt;=12),0,$C77*INDEX(Fondsen!$F$5:$Q$30,MATCH($B77,Fondsen!$A$5:$A$30,0),AI$8-$E77+1)))</f>
        <v/>
      </c>
      <c r="AJ77" s="30" t="str">
        <f t="array" ref="AJ77">IF(OR($B77="",$C77="",$E77=""),"",IF(OR(AJ$8&lt;$E77,AJ$8-$E77&gt;=12),0,$C77*INDEX(Fondsen!$F$5:$Q$30,MATCH($B77,Fondsen!$A$5:$A$30,0),AJ$8-$E77+1)))</f>
        <v/>
      </c>
      <c r="AK77" s="31" t="str">
        <f t="array" ref="AK77">IF(OR($B77="",$C77="",$E77=""),"",IF(OR(AK$8&lt;$E77,AK$8-$E77&gt;=12),0,$C77*INDEX(Fondsen!$F$5:$Q$30,MATCH($B77,Fondsen!$A$5:$A$30,0),AK$8-$E77+1)))</f>
        <v/>
      </c>
      <c r="AL77" s="30" t="str">
        <f t="array" ref="AL77">IF(OR($B77="",$C77="",$E77=""),"",IF(OR(AL$8&lt;$E77,AL$8-$E77&gt;=12),0,$C77*INDEX(Fondsen!$F$5:$Q$30,MATCH($B77,Fondsen!$A$5:$A$30,0),AL$8-$E77+1)))</f>
        <v/>
      </c>
      <c r="AM77" s="31" t="str">
        <f t="array" ref="AM77">IF(OR($B77="",$C77="",$E77=""),"",IF(OR(AM$8&lt;$E77,AM$8-$E77&gt;=12),0,$C77*INDEX(Fondsen!$F$5:$Q$30,MATCH($B77,Fondsen!$A$5:$A$30,0),AM$8-$E77+1)))</f>
        <v/>
      </c>
      <c r="AN77" s="30" t="str">
        <f t="array" ref="AN77">IF(OR($B77="",$C77="",$E77=""),"",IF(OR(AN$8&lt;$E77,AN$8-$E77&gt;=12),0,$C77*INDEX(Fondsen!$F$5:$Q$30,MATCH($B77,Fondsen!$A$5:$A$30,0),AN$8-$E77+1)))</f>
        <v/>
      </c>
      <c r="AO77" s="31" t="str">
        <f t="array" ref="AO77">IF(OR($B77="",$C77="",$E77=""),"",IF(OR(AO$8&lt;$E77,AO$8-$E77&gt;=12),0,$C77*INDEX(Fondsen!$F$5:$Q$30,MATCH($B77,Fondsen!$A$5:$A$30,0),AO$8-$E77+1)))</f>
        <v/>
      </c>
      <c r="AP77" s="30" t="str">
        <f t="array" ref="AP77">IF(OR($B77="",$C77="",$E77=""),"",IF(OR(AP$8&lt;$E77,AP$8-$E77&gt;=12),0,$C77*INDEX(Fondsen!$F$5:$Q$30,MATCH($B77,Fondsen!$A$5:$A$30,0),AP$8-$E77+1)))</f>
        <v/>
      </c>
      <c r="AQ77" s="31" t="str">
        <f t="array" ref="AQ77">IF(OR($B77="",$C77="",$E77=""),"",IF(OR(AQ$8&lt;$E77,AQ$8-$E77&gt;=12),0,$C77*INDEX(Fondsen!$F$5:$Q$30,MATCH($B77,Fondsen!$A$5:$A$30,0),AQ$8-$E77+1)))</f>
        <v/>
      </c>
      <c r="AR77" s="30" t="str">
        <f t="array" ref="AR77">IF(OR($B77="",$C77="",$E77=""),"",IF(OR(AR$8&lt;$E77,AR$8-$E77&gt;=12),0,$C77*INDEX(Fondsen!$F$5:$Q$30,MATCH($B77,Fondsen!$A$5:$A$30,0),AR$8-$E77+1)))</f>
        <v/>
      </c>
      <c r="AS77" s="31" t="str">
        <f t="array" ref="AS77">IF(OR($B77="",$C77="",$E77=""),"",IF(OR(AS$8&lt;$E77,AS$8-$E77&gt;=12),0,$C77*INDEX(Fondsen!$F$5:$Q$30,MATCH($B77,Fondsen!$A$5:$A$30,0),AS$8-$E77+1)))</f>
        <v/>
      </c>
      <c r="AT77" s="45"/>
    </row>
    <row r="78" ht="24.0" customHeight="1" outlineLevel="1">
      <c r="A78" s="33" t="str">
        <f>IF(B78="","",IFERROR(VLOOKUP(B78,Fondsen!$A$5:$B$30,2,FALSE()),""))</f>
        <v/>
      </c>
      <c r="B78" s="34"/>
      <c r="C78" s="35"/>
      <c r="D78" s="46" t="s">
        <v>11</v>
      </c>
      <c r="E78" s="37"/>
      <c r="F78" s="38" t="str">
        <f t="array" ref="F78">IF(OR($B78="",$C78="",$E78=""),"",IF(OR(F$8&lt;$E78,F$8-$E78&gt;=12),0,$C78*INDEX(Fondsen!$F$5:$Q$30,MATCH($B78,Fondsen!$A$5:$A$30,0),F$8-$E78+1)))</f>
        <v/>
      </c>
      <c r="G78" s="39" t="str">
        <f t="array" ref="G78">IF(OR($B78="",$C78="",$E78=""),"",IF(OR(G$8&lt;$E78,G$8-$E78&gt;=12),0,$C78*INDEX(Fondsen!$F$5:$Q$30,MATCH($B78,Fondsen!$A$5:$A$30,0),G$8-$E78+1)))</f>
        <v/>
      </c>
      <c r="H78" s="38" t="str">
        <f t="array" ref="H78">IF(OR($B78="",$C78="",$E78=""),"",IF(OR(H$8&lt;$E78,H$8-$E78&gt;=12),0,$C78*INDEX(Fondsen!$F$5:$Q$30,MATCH($B78,Fondsen!$A$5:$A$30,0),H$8-$E78+1)))</f>
        <v/>
      </c>
      <c r="I78" s="39" t="str">
        <f t="array" ref="I78">IF(OR($B78="",$C78="",$E78=""),"",IF(OR(I$8&lt;$E78,I$8-$E78&gt;=12),0,$C78*INDEX(Fondsen!$F$5:$Q$30,MATCH($B78,Fondsen!$A$5:$A$30,0),I$8-$E78+1)))</f>
        <v/>
      </c>
      <c r="J78" s="38" t="str">
        <f t="array" ref="J78">IF(OR($B78="",$C78="",$E78=""),"",IF(OR(J$8&lt;$E78,J$8-$E78&gt;=12),0,$C78*INDEX(Fondsen!$F$5:$Q$30,MATCH($B78,Fondsen!$A$5:$A$30,0),J$8-$E78+1)))</f>
        <v/>
      </c>
      <c r="K78" s="39" t="str">
        <f t="array" ref="K78">IF(OR($B78="",$C78="",$E78=""),"",IF(OR(K$8&lt;$E78,K$8-$E78&gt;=12),0,$C78*INDEX(Fondsen!$F$5:$Q$30,MATCH($B78,Fondsen!$A$5:$A$30,0),K$8-$E78+1)))</f>
        <v/>
      </c>
      <c r="L78" s="38" t="str">
        <f t="array" ref="L78">IF(OR($B78="",$C78="",$E78=""),"",IF(OR(L$8&lt;$E78,L$8-$E78&gt;=12),0,$C78*INDEX(Fondsen!$F$5:$Q$30,MATCH($B78,Fondsen!$A$5:$A$30,0),L$8-$E78+1)))</f>
        <v/>
      </c>
      <c r="M78" s="39" t="str">
        <f t="array" ref="M78">IF(OR($B78="",$C78="",$E78=""),"",IF(OR(M$8&lt;$E78,M$8-$E78&gt;=12),0,$C78*INDEX(Fondsen!$F$5:$Q$30,MATCH($B78,Fondsen!$A$5:$A$30,0),M$8-$E78+1)))</f>
        <v/>
      </c>
      <c r="N78" s="38" t="str">
        <f t="array" ref="N78">IF(OR($B78="",$C78="",$E78=""),"",IF(OR(N$8&lt;$E78,N$8-$E78&gt;=12),0,$C78*INDEX(Fondsen!$F$5:$Q$30,MATCH($B78,Fondsen!$A$5:$A$30,0),N$8-$E78+1)))</f>
        <v/>
      </c>
      <c r="O78" s="39" t="str">
        <f t="array" ref="O78">IF(OR($B78="",$C78="",$E78=""),"",IF(OR(O$8&lt;$E78,O$8-$E78&gt;=12),0,$C78*INDEX(Fondsen!$F$5:$Q$30,MATCH($B78,Fondsen!$A$5:$A$30,0),O$8-$E78+1)))</f>
        <v/>
      </c>
      <c r="P78" s="38" t="str">
        <f t="array" ref="P78">IF(OR($B78="",$C78="",$E78=""),"",IF(OR(P$8&lt;$E78,P$8-$E78&gt;=12),0,$C78*INDEX(Fondsen!$F$5:$Q$30,MATCH($B78,Fondsen!$A$5:$A$30,0),P$8-$E78+1)))</f>
        <v/>
      </c>
      <c r="Q78" s="39" t="str">
        <f t="array" ref="Q78">IF(OR($B78="",$C78="",$E78=""),"",IF(OR(Q$8&lt;$E78,Q$8-$E78&gt;=12),0,$C78*INDEX(Fondsen!$F$5:$Q$30,MATCH($B78,Fondsen!$A$5:$A$30,0),Q$8-$E78+1)))</f>
        <v/>
      </c>
      <c r="R78" s="38" t="str">
        <f t="array" ref="R78">IF(OR($B78="",$C78="",$E78=""),"",IF(OR(R$8&lt;$E78,R$8-$E78&gt;=12),0,$C78*INDEX(Fondsen!$F$5:$Q$30,MATCH($B78,Fondsen!$A$5:$A$30,0),R$8-$E78+1)))</f>
        <v/>
      </c>
      <c r="S78" s="39" t="str">
        <f t="array" ref="S78">IF(OR($B78="",$C78="",$E78=""),"",IF(OR(S$8&lt;$E78,S$8-$E78&gt;=12),0,$C78*INDEX(Fondsen!$F$5:$Q$30,MATCH($B78,Fondsen!$A$5:$A$30,0),S$8-$E78+1)))</f>
        <v/>
      </c>
      <c r="T78" s="38" t="str">
        <f t="array" ref="T78">IF(OR($B78="",$C78="",$E78=""),"",IF(OR(T$8&lt;$E78,T$8-$E78&gt;=12),0,$C78*INDEX(Fondsen!$F$5:$Q$30,MATCH($B78,Fondsen!$A$5:$A$30,0),T$8-$E78+1)))</f>
        <v/>
      </c>
      <c r="U78" s="39" t="str">
        <f t="array" ref="U78">IF(OR($B78="",$C78="",$E78=""),"",IF(OR(U$8&lt;$E78,U$8-$E78&gt;=12),0,$C78*INDEX(Fondsen!$F$5:$Q$30,MATCH($B78,Fondsen!$A$5:$A$30,0),U$8-$E78+1)))</f>
        <v/>
      </c>
      <c r="V78" s="38" t="str">
        <f t="array" ref="V78">IF(OR($B78="",$C78="",$E78=""),"",IF(OR(V$8&lt;$E78,V$8-$E78&gt;=12),0,$C78*INDEX(Fondsen!$F$5:$Q$30,MATCH($B78,Fondsen!$A$5:$A$30,0),V$8-$E78+1)))</f>
        <v/>
      </c>
      <c r="W78" s="39" t="str">
        <f t="array" ref="W78">IF(OR($B78="",$C78="",$E78=""),"",IF(OR(W$8&lt;$E78,W$8-$E78&gt;=12),0,$C78*INDEX(Fondsen!$F$5:$Q$30,MATCH($B78,Fondsen!$A$5:$A$30,0),W$8-$E78+1)))</f>
        <v/>
      </c>
      <c r="X78" s="38" t="str">
        <f t="array" ref="X78">IF(OR($B78="",$C78="",$E78=""),"",IF(OR(X$8&lt;$E78,X$8-$E78&gt;=12),0,$C78*INDEX(Fondsen!$F$5:$Q$30,MATCH($B78,Fondsen!$A$5:$A$30,0),X$8-$E78+1)))</f>
        <v/>
      </c>
      <c r="Y78" s="39" t="str">
        <f t="array" ref="Y78">IF(OR($B78="",$C78="",$E78=""),"",IF(OR(Y$8&lt;$E78,Y$8-$E78&gt;=12),0,$C78*INDEX(Fondsen!$F$5:$Q$30,MATCH($B78,Fondsen!$A$5:$A$30,0),Y$8-$E78+1)))</f>
        <v/>
      </c>
      <c r="Z78" s="38" t="str">
        <f t="array" ref="Z78">IF(OR($B78="",$C78="",$E78=""),"",IF(OR(Z$8&lt;$E78,Z$8-$E78&gt;=12),0,$C78*INDEX(Fondsen!$F$5:$Q$30,MATCH($B78,Fondsen!$A$5:$A$30,0),Z$8-$E78+1)))</f>
        <v/>
      </c>
      <c r="AA78" s="39" t="str">
        <f t="array" ref="AA78">IF(OR($B78="",$C78="",$E78=""),"",IF(OR(AA$8&lt;$E78,AA$8-$E78&gt;=12),0,$C78*INDEX(Fondsen!$F$5:$Q$30,MATCH($B78,Fondsen!$A$5:$A$30,0),AA$8-$E78+1)))</f>
        <v/>
      </c>
      <c r="AB78" s="38" t="str">
        <f t="array" ref="AB78">IF(OR($B78="",$C78="",$E78=""),"",IF(OR(AB$8&lt;$E78,AB$8-$E78&gt;=12),0,$C78*INDEX(Fondsen!$F$5:$Q$30,MATCH($B78,Fondsen!$A$5:$A$30,0),AB$8-$E78+1)))</f>
        <v/>
      </c>
      <c r="AC78" s="39" t="str">
        <f t="array" ref="AC78">IF(OR($B78="",$C78="",$E78=""),"",IF(OR(AC$8&lt;$E78,AC$8-$E78&gt;=12),0,$C78*INDEX(Fondsen!$F$5:$Q$30,MATCH($B78,Fondsen!$A$5:$A$30,0),AC$8-$E78+1)))</f>
        <v/>
      </c>
      <c r="AD78" s="38" t="str">
        <f t="array" ref="AD78">IF(OR($B78="",$C78="",$E78=""),"",IF(OR(AD$8&lt;$E78,AD$8-$E78&gt;=12),0,$C78*INDEX(Fondsen!$F$5:$Q$30,MATCH($B78,Fondsen!$A$5:$A$30,0),AD$8-$E78+1)))</f>
        <v/>
      </c>
      <c r="AE78" s="39" t="str">
        <f t="array" ref="AE78">IF(OR($B78="",$C78="",$E78=""),"",IF(OR(AE$8&lt;$E78,AE$8-$E78&gt;=12),0,$C78*INDEX(Fondsen!$F$5:$Q$30,MATCH($B78,Fondsen!$A$5:$A$30,0),AE$8-$E78+1)))</f>
        <v/>
      </c>
      <c r="AF78" s="38" t="str">
        <f t="array" ref="AF78">IF(OR($B78="",$C78="",$E78=""),"",IF(OR(AF$8&lt;$E78,AF$8-$E78&gt;=12),0,$C78*INDEX(Fondsen!$F$5:$Q$30,MATCH($B78,Fondsen!$A$5:$A$30,0),AF$8-$E78+1)))</f>
        <v/>
      </c>
      <c r="AG78" s="39" t="str">
        <f t="array" ref="AG78">IF(OR($B78="",$C78="",$E78=""),"",IF(OR(AG$8&lt;$E78,AG$8-$E78&gt;=12),0,$C78*INDEX(Fondsen!$F$5:$Q$30,MATCH($B78,Fondsen!$A$5:$A$30,0),AG$8-$E78+1)))</f>
        <v/>
      </c>
      <c r="AH78" s="38" t="str">
        <f t="array" ref="AH78">IF(OR($B78="",$C78="",$E78=""),"",IF(OR(AH$8&lt;$E78,AH$8-$E78&gt;=12),0,$C78*INDEX(Fondsen!$F$5:$Q$30,MATCH($B78,Fondsen!$A$5:$A$30,0),AH$8-$E78+1)))</f>
        <v/>
      </c>
      <c r="AI78" s="39" t="str">
        <f t="array" ref="AI78">IF(OR($B78="",$C78="",$E78=""),"",IF(OR(AI$8&lt;$E78,AI$8-$E78&gt;=12),0,$C78*INDEX(Fondsen!$F$5:$Q$30,MATCH($B78,Fondsen!$A$5:$A$30,0),AI$8-$E78+1)))</f>
        <v/>
      </c>
      <c r="AJ78" s="38" t="str">
        <f t="array" ref="AJ78">IF(OR($B78="",$C78="",$E78=""),"",IF(OR(AJ$8&lt;$E78,AJ$8-$E78&gt;=12),0,$C78*INDEX(Fondsen!$F$5:$Q$30,MATCH($B78,Fondsen!$A$5:$A$30,0),AJ$8-$E78+1)))</f>
        <v/>
      </c>
      <c r="AK78" s="39" t="str">
        <f t="array" ref="AK78">IF(OR($B78="",$C78="",$E78=""),"",IF(OR(AK$8&lt;$E78,AK$8-$E78&gt;=12),0,$C78*INDEX(Fondsen!$F$5:$Q$30,MATCH($B78,Fondsen!$A$5:$A$30,0),AK$8-$E78+1)))</f>
        <v/>
      </c>
      <c r="AL78" s="38" t="str">
        <f t="array" ref="AL78">IF(OR($B78="",$C78="",$E78=""),"",IF(OR(AL$8&lt;$E78,AL$8-$E78&gt;=12),0,$C78*INDEX(Fondsen!$F$5:$Q$30,MATCH($B78,Fondsen!$A$5:$A$30,0),AL$8-$E78+1)))</f>
        <v/>
      </c>
      <c r="AM78" s="39" t="str">
        <f t="array" ref="AM78">IF(OR($B78="",$C78="",$E78=""),"",IF(OR(AM$8&lt;$E78,AM$8-$E78&gt;=12),0,$C78*INDEX(Fondsen!$F$5:$Q$30,MATCH($B78,Fondsen!$A$5:$A$30,0),AM$8-$E78+1)))</f>
        <v/>
      </c>
      <c r="AN78" s="38" t="str">
        <f t="array" ref="AN78">IF(OR($B78="",$C78="",$E78=""),"",IF(OR(AN$8&lt;$E78,AN$8-$E78&gt;=12),0,$C78*INDEX(Fondsen!$F$5:$Q$30,MATCH($B78,Fondsen!$A$5:$A$30,0),AN$8-$E78+1)))</f>
        <v/>
      </c>
      <c r="AO78" s="39" t="str">
        <f t="array" ref="AO78">IF(OR($B78="",$C78="",$E78=""),"",IF(OR(AO$8&lt;$E78,AO$8-$E78&gt;=12),0,$C78*INDEX(Fondsen!$F$5:$Q$30,MATCH($B78,Fondsen!$A$5:$A$30,0),AO$8-$E78+1)))</f>
        <v/>
      </c>
      <c r="AP78" s="38" t="str">
        <f t="array" ref="AP78">IF(OR($B78="",$C78="",$E78=""),"",IF(OR(AP$8&lt;$E78,AP$8-$E78&gt;=12),0,$C78*INDEX(Fondsen!$F$5:$Q$30,MATCH($B78,Fondsen!$A$5:$A$30,0),AP$8-$E78+1)))</f>
        <v/>
      </c>
      <c r="AQ78" s="39" t="str">
        <f t="array" ref="AQ78">IF(OR($B78="",$C78="",$E78=""),"",IF(OR(AQ$8&lt;$E78,AQ$8-$E78&gt;=12),0,$C78*INDEX(Fondsen!$F$5:$Q$30,MATCH($B78,Fondsen!$A$5:$A$30,0),AQ$8-$E78+1)))</f>
        <v/>
      </c>
      <c r="AR78" s="38" t="str">
        <f t="array" ref="AR78">IF(OR($B78="",$C78="",$E78=""),"",IF(OR(AR$8&lt;$E78,AR$8-$E78&gt;=12),0,$C78*INDEX(Fondsen!$F$5:$Q$30,MATCH($B78,Fondsen!$A$5:$A$30,0),AR$8-$E78+1)))</f>
        <v/>
      </c>
      <c r="AS78" s="39" t="str">
        <f t="array" ref="AS78">IF(OR($B78="",$C78="",$E78=""),"",IF(OR(AS$8&lt;$E78,AS$8-$E78&gt;=12),0,$C78*INDEX(Fondsen!$F$5:$Q$30,MATCH($B78,Fondsen!$A$5:$A$30,0),AS$8-$E78+1)))</f>
        <v/>
      </c>
      <c r="AT78" s="45"/>
    </row>
    <row r="79" ht="24.0" customHeight="1" outlineLevel="1">
      <c r="A79" s="47" t="str">
        <f>IF(B79="","",IFERROR(VLOOKUP(B79,Fondsen!$A$5:$B$30,2,FALSE()),""))</f>
        <v/>
      </c>
      <c r="B79" s="26"/>
      <c r="C79" s="27"/>
      <c r="D79" s="44" t="s">
        <v>11</v>
      </c>
      <c r="E79" s="29"/>
      <c r="F79" s="30" t="str">
        <f t="array" ref="F79">IF(OR($B79="",$C79="",$E79=""),"",IF(OR(F$8&lt;$E79,F$8-$E79&gt;=12),0,$C79*INDEX(Fondsen!$F$5:$Q$30,MATCH($B79,Fondsen!$A$5:$A$30,0),F$8-$E79+1)))</f>
        <v/>
      </c>
      <c r="G79" s="31" t="str">
        <f t="array" ref="G79">IF(OR($B79="",$C79="",$E79=""),"",IF(OR(G$8&lt;$E79,G$8-$E79&gt;=12),0,$C79*INDEX(Fondsen!$F$5:$Q$30,MATCH($B79,Fondsen!$A$5:$A$30,0),G$8-$E79+1)))</f>
        <v/>
      </c>
      <c r="H79" s="30" t="str">
        <f t="array" ref="H79">IF(OR($B79="",$C79="",$E79=""),"",IF(OR(H$8&lt;$E79,H$8-$E79&gt;=12),0,$C79*INDEX(Fondsen!$F$5:$Q$30,MATCH($B79,Fondsen!$A$5:$A$30,0),H$8-$E79+1)))</f>
        <v/>
      </c>
      <c r="I79" s="31" t="str">
        <f t="array" ref="I79">IF(OR($B79="",$C79="",$E79=""),"",IF(OR(I$8&lt;$E79,I$8-$E79&gt;=12),0,$C79*INDEX(Fondsen!$F$5:$Q$30,MATCH($B79,Fondsen!$A$5:$A$30,0),I$8-$E79+1)))</f>
        <v/>
      </c>
      <c r="J79" s="30" t="str">
        <f t="array" ref="J79">IF(OR($B79="",$C79="",$E79=""),"",IF(OR(J$8&lt;$E79,J$8-$E79&gt;=12),0,$C79*INDEX(Fondsen!$F$5:$Q$30,MATCH($B79,Fondsen!$A$5:$A$30,0),J$8-$E79+1)))</f>
        <v/>
      </c>
      <c r="K79" s="31" t="str">
        <f t="array" ref="K79">IF(OR($B79="",$C79="",$E79=""),"",IF(OR(K$8&lt;$E79,K$8-$E79&gt;=12),0,$C79*INDEX(Fondsen!$F$5:$Q$30,MATCH($B79,Fondsen!$A$5:$A$30,0),K$8-$E79+1)))</f>
        <v/>
      </c>
      <c r="L79" s="30" t="str">
        <f t="array" ref="L79">IF(OR($B79="",$C79="",$E79=""),"",IF(OR(L$8&lt;$E79,L$8-$E79&gt;=12),0,$C79*INDEX(Fondsen!$F$5:$Q$30,MATCH($B79,Fondsen!$A$5:$A$30,0),L$8-$E79+1)))</f>
        <v/>
      </c>
      <c r="M79" s="31" t="str">
        <f t="array" ref="M79">IF(OR($B79="",$C79="",$E79=""),"",IF(OR(M$8&lt;$E79,M$8-$E79&gt;=12),0,$C79*INDEX(Fondsen!$F$5:$Q$30,MATCH($B79,Fondsen!$A$5:$A$30,0),M$8-$E79+1)))</f>
        <v/>
      </c>
      <c r="N79" s="30" t="str">
        <f t="array" ref="N79">IF(OR($B79="",$C79="",$E79=""),"",IF(OR(N$8&lt;$E79,N$8-$E79&gt;=12),0,$C79*INDEX(Fondsen!$F$5:$Q$30,MATCH($B79,Fondsen!$A$5:$A$30,0),N$8-$E79+1)))</f>
        <v/>
      </c>
      <c r="O79" s="31" t="str">
        <f t="array" ref="O79">IF(OR($B79="",$C79="",$E79=""),"",IF(OR(O$8&lt;$E79,O$8-$E79&gt;=12),0,$C79*INDEX(Fondsen!$F$5:$Q$30,MATCH($B79,Fondsen!$A$5:$A$30,0),O$8-$E79+1)))</f>
        <v/>
      </c>
      <c r="P79" s="30" t="str">
        <f t="array" ref="P79">IF(OR($B79="",$C79="",$E79=""),"",IF(OR(P$8&lt;$E79,P$8-$E79&gt;=12),0,$C79*INDEX(Fondsen!$F$5:$Q$30,MATCH($B79,Fondsen!$A$5:$A$30,0),P$8-$E79+1)))</f>
        <v/>
      </c>
      <c r="Q79" s="31" t="str">
        <f t="array" ref="Q79">IF(OR($B79="",$C79="",$E79=""),"",IF(OR(Q$8&lt;$E79,Q$8-$E79&gt;=12),0,$C79*INDEX(Fondsen!$F$5:$Q$30,MATCH($B79,Fondsen!$A$5:$A$30,0),Q$8-$E79+1)))</f>
        <v/>
      </c>
      <c r="R79" s="30" t="str">
        <f t="array" ref="R79">IF(OR($B79="",$C79="",$E79=""),"",IF(OR(R$8&lt;$E79,R$8-$E79&gt;=12),0,$C79*INDEX(Fondsen!$F$5:$Q$30,MATCH($B79,Fondsen!$A$5:$A$30,0),R$8-$E79+1)))</f>
        <v/>
      </c>
      <c r="S79" s="31" t="str">
        <f t="array" ref="S79">IF(OR($B79="",$C79="",$E79=""),"",IF(OR(S$8&lt;$E79,S$8-$E79&gt;=12),0,$C79*INDEX(Fondsen!$F$5:$Q$30,MATCH($B79,Fondsen!$A$5:$A$30,0),S$8-$E79+1)))</f>
        <v/>
      </c>
      <c r="T79" s="30" t="str">
        <f t="array" ref="T79">IF(OR($B79="",$C79="",$E79=""),"",IF(OR(T$8&lt;$E79,T$8-$E79&gt;=12),0,$C79*INDEX(Fondsen!$F$5:$Q$30,MATCH($B79,Fondsen!$A$5:$A$30,0),T$8-$E79+1)))</f>
        <v/>
      </c>
      <c r="U79" s="31" t="str">
        <f t="array" ref="U79">IF(OR($B79="",$C79="",$E79=""),"",IF(OR(U$8&lt;$E79,U$8-$E79&gt;=12),0,$C79*INDEX(Fondsen!$F$5:$Q$30,MATCH($B79,Fondsen!$A$5:$A$30,0),U$8-$E79+1)))</f>
        <v/>
      </c>
      <c r="V79" s="30" t="str">
        <f t="array" ref="V79">IF(OR($B79="",$C79="",$E79=""),"",IF(OR(V$8&lt;$E79,V$8-$E79&gt;=12),0,$C79*INDEX(Fondsen!$F$5:$Q$30,MATCH($B79,Fondsen!$A$5:$A$30,0),V$8-$E79+1)))</f>
        <v/>
      </c>
      <c r="W79" s="31" t="str">
        <f t="array" ref="W79">IF(OR($B79="",$C79="",$E79=""),"",IF(OR(W$8&lt;$E79,W$8-$E79&gt;=12),0,$C79*INDEX(Fondsen!$F$5:$Q$30,MATCH($B79,Fondsen!$A$5:$A$30,0),W$8-$E79+1)))</f>
        <v/>
      </c>
      <c r="X79" s="30" t="str">
        <f t="array" ref="X79">IF(OR($B79="",$C79="",$E79=""),"",IF(OR(X$8&lt;$E79,X$8-$E79&gt;=12),0,$C79*INDEX(Fondsen!$F$5:$Q$30,MATCH($B79,Fondsen!$A$5:$A$30,0),X$8-$E79+1)))</f>
        <v/>
      </c>
      <c r="Y79" s="31" t="str">
        <f t="array" ref="Y79">IF(OR($B79="",$C79="",$E79=""),"",IF(OR(Y$8&lt;$E79,Y$8-$E79&gt;=12),0,$C79*INDEX(Fondsen!$F$5:$Q$30,MATCH($B79,Fondsen!$A$5:$A$30,0),Y$8-$E79+1)))</f>
        <v/>
      </c>
      <c r="Z79" s="30" t="str">
        <f t="array" ref="Z79">IF(OR($B79="",$C79="",$E79=""),"",IF(OR(Z$8&lt;$E79,Z$8-$E79&gt;=12),0,$C79*INDEX(Fondsen!$F$5:$Q$30,MATCH($B79,Fondsen!$A$5:$A$30,0),Z$8-$E79+1)))</f>
        <v/>
      </c>
      <c r="AA79" s="31" t="str">
        <f t="array" ref="AA79">IF(OR($B79="",$C79="",$E79=""),"",IF(OR(AA$8&lt;$E79,AA$8-$E79&gt;=12),0,$C79*INDEX(Fondsen!$F$5:$Q$30,MATCH($B79,Fondsen!$A$5:$A$30,0),AA$8-$E79+1)))</f>
        <v/>
      </c>
      <c r="AB79" s="30" t="str">
        <f t="array" ref="AB79">IF(OR($B79="",$C79="",$E79=""),"",IF(OR(AB$8&lt;$E79,AB$8-$E79&gt;=12),0,$C79*INDEX(Fondsen!$F$5:$Q$30,MATCH($B79,Fondsen!$A$5:$A$30,0),AB$8-$E79+1)))</f>
        <v/>
      </c>
      <c r="AC79" s="31" t="str">
        <f t="array" ref="AC79">IF(OR($B79="",$C79="",$E79=""),"",IF(OR(AC$8&lt;$E79,AC$8-$E79&gt;=12),0,$C79*INDEX(Fondsen!$F$5:$Q$30,MATCH($B79,Fondsen!$A$5:$A$30,0),AC$8-$E79+1)))</f>
        <v/>
      </c>
      <c r="AD79" s="30" t="str">
        <f t="array" ref="AD79">IF(OR($B79="",$C79="",$E79=""),"",IF(OR(AD$8&lt;$E79,AD$8-$E79&gt;=12),0,$C79*INDEX(Fondsen!$F$5:$Q$30,MATCH($B79,Fondsen!$A$5:$A$30,0),AD$8-$E79+1)))</f>
        <v/>
      </c>
      <c r="AE79" s="31" t="str">
        <f t="array" ref="AE79">IF(OR($B79="",$C79="",$E79=""),"",IF(OR(AE$8&lt;$E79,AE$8-$E79&gt;=12),0,$C79*INDEX(Fondsen!$F$5:$Q$30,MATCH($B79,Fondsen!$A$5:$A$30,0),AE$8-$E79+1)))</f>
        <v/>
      </c>
      <c r="AF79" s="30" t="str">
        <f t="array" ref="AF79">IF(OR($B79="",$C79="",$E79=""),"",IF(OR(AF$8&lt;$E79,AF$8-$E79&gt;=12),0,$C79*INDEX(Fondsen!$F$5:$Q$30,MATCH($B79,Fondsen!$A$5:$A$30,0),AF$8-$E79+1)))</f>
        <v/>
      </c>
      <c r="AG79" s="31" t="str">
        <f t="array" ref="AG79">IF(OR($B79="",$C79="",$E79=""),"",IF(OR(AG$8&lt;$E79,AG$8-$E79&gt;=12),0,$C79*INDEX(Fondsen!$F$5:$Q$30,MATCH($B79,Fondsen!$A$5:$A$30,0),AG$8-$E79+1)))</f>
        <v/>
      </c>
      <c r="AH79" s="30" t="str">
        <f t="array" ref="AH79">IF(OR($B79="",$C79="",$E79=""),"",IF(OR(AH$8&lt;$E79,AH$8-$E79&gt;=12),0,$C79*INDEX(Fondsen!$F$5:$Q$30,MATCH($B79,Fondsen!$A$5:$A$30,0),AH$8-$E79+1)))</f>
        <v/>
      </c>
      <c r="AI79" s="31" t="str">
        <f t="array" ref="AI79">IF(OR($B79="",$C79="",$E79=""),"",IF(OR(AI$8&lt;$E79,AI$8-$E79&gt;=12),0,$C79*INDEX(Fondsen!$F$5:$Q$30,MATCH($B79,Fondsen!$A$5:$A$30,0),AI$8-$E79+1)))</f>
        <v/>
      </c>
      <c r="AJ79" s="30" t="str">
        <f t="array" ref="AJ79">IF(OR($B79="",$C79="",$E79=""),"",IF(OR(AJ$8&lt;$E79,AJ$8-$E79&gt;=12),0,$C79*INDEX(Fondsen!$F$5:$Q$30,MATCH($B79,Fondsen!$A$5:$A$30,0),AJ$8-$E79+1)))</f>
        <v/>
      </c>
      <c r="AK79" s="31" t="str">
        <f t="array" ref="AK79">IF(OR($B79="",$C79="",$E79=""),"",IF(OR(AK$8&lt;$E79,AK$8-$E79&gt;=12),0,$C79*INDEX(Fondsen!$F$5:$Q$30,MATCH($B79,Fondsen!$A$5:$A$30,0),AK$8-$E79+1)))</f>
        <v/>
      </c>
      <c r="AL79" s="30" t="str">
        <f t="array" ref="AL79">IF(OR($B79="",$C79="",$E79=""),"",IF(OR(AL$8&lt;$E79,AL$8-$E79&gt;=12),0,$C79*INDEX(Fondsen!$F$5:$Q$30,MATCH($B79,Fondsen!$A$5:$A$30,0),AL$8-$E79+1)))</f>
        <v/>
      </c>
      <c r="AM79" s="31" t="str">
        <f t="array" ref="AM79">IF(OR($B79="",$C79="",$E79=""),"",IF(OR(AM$8&lt;$E79,AM$8-$E79&gt;=12),0,$C79*INDEX(Fondsen!$F$5:$Q$30,MATCH($B79,Fondsen!$A$5:$A$30,0),AM$8-$E79+1)))</f>
        <v/>
      </c>
      <c r="AN79" s="30" t="str">
        <f t="array" ref="AN79">IF(OR($B79="",$C79="",$E79=""),"",IF(OR(AN$8&lt;$E79,AN$8-$E79&gt;=12),0,$C79*INDEX(Fondsen!$F$5:$Q$30,MATCH($B79,Fondsen!$A$5:$A$30,0),AN$8-$E79+1)))</f>
        <v/>
      </c>
      <c r="AO79" s="31" t="str">
        <f t="array" ref="AO79">IF(OR($B79="",$C79="",$E79=""),"",IF(OR(AO$8&lt;$E79,AO$8-$E79&gt;=12),0,$C79*INDEX(Fondsen!$F$5:$Q$30,MATCH($B79,Fondsen!$A$5:$A$30,0),AO$8-$E79+1)))</f>
        <v/>
      </c>
      <c r="AP79" s="30" t="str">
        <f t="array" ref="AP79">IF(OR($B79="",$C79="",$E79=""),"",IF(OR(AP$8&lt;$E79,AP$8-$E79&gt;=12),0,$C79*INDEX(Fondsen!$F$5:$Q$30,MATCH($B79,Fondsen!$A$5:$A$30,0),AP$8-$E79+1)))</f>
        <v/>
      </c>
      <c r="AQ79" s="31" t="str">
        <f t="array" ref="AQ79">IF(OR($B79="",$C79="",$E79=""),"",IF(OR(AQ$8&lt;$E79,AQ$8-$E79&gt;=12),0,$C79*INDEX(Fondsen!$F$5:$Q$30,MATCH($B79,Fondsen!$A$5:$A$30,0),AQ$8-$E79+1)))</f>
        <v/>
      </c>
      <c r="AR79" s="30" t="str">
        <f t="array" ref="AR79">IF(OR($B79="",$C79="",$E79=""),"",IF(OR(AR$8&lt;$E79,AR$8-$E79&gt;=12),0,$C79*INDEX(Fondsen!$F$5:$Q$30,MATCH($B79,Fondsen!$A$5:$A$30,0),AR$8-$E79+1)))</f>
        <v/>
      </c>
      <c r="AS79" s="31" t="str">
        <f t="array" ref="AS79">IF(OR($B79="",$C79="",$E79=""),"",IF(OR(AS$8&lt;$E79,AS$8-$E79&gt;=12),0,$C79*INDEX(Fondsen!$F$5:$Q$30,MATCH($B79,Fondsen!$A$5:$A$30,0),AS$8-$E79+1)))</f>
        <v/>
      </c>
      <c r="AT79" s="45"/>
    </row>
    <row r="80" ht="24.0" customHeight="1" outlineLevel="1">
      <c r="A80" s="33" t="str">
        <f>IF(B80="","",IFERROR(VLOOKUP(B80,Fondsen!$A$5:$B$30,2,FALSE()),""))</f>
        <v/>
      </c>
      <c r="B80" s="34"/>
      <c r="C80" s="35"/>
      <c r="D80" s="46" t="s">
        <v>11</v>
      </c>
      <c r="E80" s="37"/>
      <c r="F80" s="38" t="str">
        <f t="array" ref="F80">IF(OR($B80="",$C80="",$E80=""),"",IF(OR(F$8&lt;$E80,F$8-$E80&gt;=12),0,$C80*INDEX(Fondsen!$F$5:$Q$30,MATCH($B80,Fondsen!$A$5:$A$30,0),F$8-$E80+1)))</f>
        <v/>
      </c>
      <c r="G80" s="39" t="str">
        <f t="array" ref="G80">IF(OR($B80="",$C80="",$E80=""),"",IF(OR(G$8&lt;$E80,G$8-$E80&gt;=12),0,$C80*INDEX(Fondsen!$F$5:$Q$30,MATCH($B80,Fondsen!$A$5:$A$30,0),G$8-$E80+1)))</f>
        <v/>
      </c>
      <c r="H80" s="38" t="str">
        <f t="array" ref="H80">IF(OR($B80="",$C80="",$E80=""),"",IF(OR(H$8&lt;$E80,H$8-$E80&gt;=12),0,$C80*INDEX(Fondsen!$F$5:$Q$30,MATCH($B80,Fondsen!$A$5:$A$30,0),H$8-$E80+1)))</f>
        <v/>
      </c>
      <c r="I80" s="39" t="str">
        <f t="array" ref="I80">IF(OR($B80="",$C80="",$E80=""),"",IF(OR(I$8&lt;$E80,I$8-$E80&gt;=12),0,$C80*INDEX(Fondsen!$F$5:$Q$30,MATCH($B80,Fondsen!$A$5:$A$30,0),I$8-$E80+1)))</f>
        <v/>
      </c>
      <c r="J80" s="38" t="str">
        <f t="array" ref="J80">IF(OR($B80="",$C80="",$E80=""),"",IF(OR(J$8&lt;$E80,J$8-$E80&gt;=12),0,$C80*INDEX(Fondsen!$F$5:$Q$30,MATCH($B80,Fondsen!$A$5:$A$30,0),J$8-$E80+1)))</f>
        <v/>
      </c>
      <c r="K80" s="39" t="str">
        <f t="array" ref="K80">IF(OR($B80="",$C80="",$E80=""),"",IF(OR(K$8&lt;$E80,K$8-$E80&gt;=12),0,$C80*INDEX(Fondsen!$F$5:$Q$30,MATCH($B80,Fondsen!$A$5:$A$30,0),K$8-$E80+1)))</f>
        <v/>
      </c>
      <c r="L80" s="38" t="str">
        <f t="array" ref="L80">IF(OR($B80="",$C80="",$E80=""),"",IF(OR(L$8&lt;$E80,L$8-$E80&gt;=12),0,$C80*INDEX(Fondsen!$F$5:$Q$30,MATCH($B80,Fondsen!$A$5:$A$30,0),L$8-$E80+1)))</f>
        <v/>
      </c>
      <c r="M80" s="39" t="str">
        <f t="array" ref="M80">IF(OR($B80="",$C80="",$E80=""),"",IF(OR(M$8&lt;$E80,M$8-$E80&gt;=12),0,$C80*INDEX(Fondsen!$F$5:$Q$30,MATCH($B80,Fondsen!$A$5:$A$30,0),M$8-$E80+1)))</f>
        <v/>
      </c>
      <c r="N80" s="38" t="str">
        <f t="array" ref="N80">IF(OR($B80="",$C80="",$E80=""),"",IF(OR(N$8&lt;$E80,N$8-$E80&gt;=12),0,$C80*INDEX(Fondsen!$F$5:$Q$30,MATCH($B80,Fondsen!$A$5:$A$30,0),N$8-$E80+1)))</f>
        <v/>
      </c>
      <c r="O80" s="39" t="str">
        <f t="array" ref="O80">IF(OR($B80="",$C80="",$E80=""),"",IF(OR(O$8&lt;$E80,O$8-$E80&gt;=12),0,$C80*INDEX(Fondsen!$F$5:$Q$30,MATCH($B80,Fondsen!$A$5:$A$30,0),O$8-$E80+1)))</f>
        <v/>
      </c>
      <c r="P80" s="38" t="str">
        <f t="array" ref="P80">IF(OR($B80="",$C80="",$E80=""),"",IF(OR(P$8&lt;$E80,P$8-$E80&gt;=12),0,$C80*INDEX(Fondsen!$F$5:$Q$30,MATCH($B80,Fondsen!$A$5:$A$30,0),P$8-$E80+1)))</f>
        <v/>
      </c>
      <c r="Q80" s="39" t="str">
        <f t="array" ref="Q80">IF(OR($B80="",$C80="",$E80=""),"",IF(OR(Q$8&lt;$E80,Q$8-$E80&gt;=12),0,$C80*INDEX(Fondsen!$F$5:$Q$30,MATCH($B80,Fondsen!$A$5:$A$30,0),Q$8-$E80+1)))</f>
        <v/>
      </c>
      <c r="R80" s="38" t="str">
        <f t="array" ref="R80">IF(OR($B80="",$C80="",$E80=""),"",IF(OR(R$8&lt;$E80,R$8-$E80&gt;=12),0,$C80*INDEX(Fondsen!$F$5:$Q$30,MATCH($B80,Fondsen!$A$5:$A$30,0),R$8-$E80+1)))</f>
        <v/>
      </c>
      <c r="S80" s="39" t="str">
        <f t="array" ref="S80">IF(OR($B80="",$C80="",$E80=""),"",IF(OR(S$8&lt;$E80,S$8-$E80&gt;=12),0,$C80*INDEX(Fondsen!$F$5:$Q$30,MATCH($B80,Fondsen!$A$5:$A$30,0),S$8-$E80+1)))</f>
        <v/>
      </c>
      <c r="T80" s="38" t="str">
        <f t="array" ref="T80">IF(OR($B80="",$C80="",$E80=""),"",IF(OR(T$8&lt;$E80,T$8-$E80&gt;=12),0,$C80*INDEX(Fondsen!$F$5:$Q$30,MATCH($B80,Fondsen!$A$5:$A$30,0),T$8-$E80+1)))</f>
        <v/>
      </c>
      <c r="U80" s="39" t="str">
        <f t="array" ref="U80">IF(OR($B80="",$C80="",$E80=""),"",IF(OR(U$8&lt;$E80,U$8-$E80&gt;=12),0,$C80*INDEX(Fondsen!$F$5:$Q$30,MATCH($B80,Fondsen!$A$5:$A$30,0),U$8-$E80+1)))</f>
        <v/>
      </c>
      <c r="V80" s="38" t="str">
        <f t="array" ref="V80">IF(OR($B80="",$C80="",$E80=""),"",IF(OR(V$8&lt;$E80,V$8-$E80&gt;=12),0,$C80*INDEX(Fondsen!$F$5:$Q$30,MATCH($B80,Fondsen!$A$5:$A$30,0),V$8-$E80+1)))</f>
        <v/>
      </c>
      <c r="W80" s="39" t="str">
        <f t="array" ref="W80">IF(OR($B80="",$C80="",$E80=""),"",IF(OR(W$8&lt;$E80,W$8-$E80&gt;=12),0,$C80*INDEX(Fondsen!$F$5:$Q$30,MATCH($B80,Fondsen!$A$5:$A$30,0),W$8-$E80+1)))</f>
        <v/>
      </c>
      <c r="X80" s="38" t="str">
        <f t="array" ref="X80">IF(OR($B80="",$C80="",$E80=""),"",IF(OR(X$8&lt;$E80,X$8-$E80&gt;=12),0,$C80*INDEX(Fondsen!$F$5:$Q$30,MATCH($B80,Fondsen!$A$5:$A$30,0),X$8-$E80+1)))</f>
        <v/>
      </c>
      <c r="Y80" s="39" t="str">
        <f t="array" ref="Y80">IF(OR($B80="",$C80="",$E80=""),"",IF(OR(Y$8&lt;$E80,Y$8-$E80&gt;=12),0,$C80*INDEX(Fondsen!$F$5:$Q$30,MATCH($B80,Fondsen!$A$5:$A$30,0),Y$8-$E80+1)))</f>
        <v/>
      </c>
      <c r="Z80" s="38" t="str">
        <f t="array" ref="Z80">IF(OR($B80="",$C80="",$E80=""),"",IF(OR(Z$8&lt;$E80,Z$8-$E80&gt;=12),0,$C80*INDEX(Fondsen!$F$5:$Q$30,MATCH($B80,Fondsen!$A$5:$A$30,0),Z$8-$E80+1)))</f>
        <v/>
      </c>
      <c r="AA80" s="39" t="str">
        <f t="array" ref="AA80">IF(OR($B80="",$C80="",$E80=""),"",IF(OR(AA$8&lt;$E80,AA$8-$E80&gt;=12),0,$C80*INDEX(Fondsen!$F$5:$Q$30,MATCH($B80,Fondsen!$A$5:$A$30,0),AA$8-$E80+1)))</f>
        <v/>
      </c>
      <c r="AB80" s="38" t="str">
        <f t="array" ref="AB80">IF(OR($B80="",$C80="",$E80=""),"",IF(OR(AB$8&lt;$E80,AB$8-$E80&gt;=12),0,$C80*INDEX(Fondsen!$F$5:$Q$30,MATCH($B80,Fondsen!$A$5:$A$30,0),AB$8-$E80+1)))</f>
        <v/>
      </c>
      <c r="AC80" s="39" t="str">
        <f t="array" ref="AC80">IF(OR($B80="",$C80="",$E80=""),"",IF(OR(AC$8&lt;$E80,AC$8-$E80&gt;=12),0,$C80*INDEX(Fondsen!$F$5:$Q$30,MATCH($B80,Fondsen!$A$5:$A$30,0),AC$8-$E80+1)))</f>
        <v/>
      </c>
      <c r="AD80" s="38" t="str">
        <f t="array" ref="AD80">IF(OR($B80="",$C80="",$E80=""),"",IF(OR(AD$8&lt;$E80,AD$8-$E80&gt;=12),0,$C80*INDEX(Fondsen!$F$5:$Q$30,MATCH($B80,Fondsen!$A$5:$A$30,0),AD$8-$E80+1)))</f>
        <v/>
      </c>
      <c r="AE80" s="39" t="str">
        <f t="array" ref="AE80">IF(OR($B80="",$C80="",$E80=""),"",IF(OR(AE$8&lt;$E80,AE$8-$E80&gt;=12),0,$C80*INDEX(Fondsen!$F$5:$Q$30,MATCH($B80,Fondsen!$A$5:$A$30,0),AE$8-$E80+1)))</f>
        <v/>
      </c>
      <c r="AF80" s="38" t="str">
        <f t="array" ref="AF80">IF(OR($B80="",$C80="",$E80=""),"",IF(OR(AF$8&lt;$E80,AF$8-$E80&gt;=12),0,$C80*INDEX(Fondsen!$F$5:$Q$30,MATCH($B80,Fondsen!$A$5:$A$30,0),AF$8-$E80+1)))</f>
        <v/>
      </c>
      <c r="AG80" s="39" t="str">
        <f t="array" ref="AG80">IF(OR($B80="",$C80="",$E80=""),"",IF(OR(AG$8&lt;$E80,AG$8-$E80&gt;=12),0,$C80*INDEX(Fondsen!$F$5:$Q$30,MATCH($B80,Fondsen!$A$5:$A$30,0),AG$8-$E80+1)))</f>
        <v/>
      </c>
      <c r="AH80" s="38" t="str">
        <f t="array" ref="AH80">IF(OR($B80="",$C80="",$E80=""),"",IF(OR(AH$8&lt;$E80,AH$8-$E80&gt;=12),0,$C80*INDEX(Fondsen!$F$5:$Q$30,MATCH($B80,Fondsen!$A$5:$A$30,0),AH$8-$E80+1)))</f>
        <v/>
      </c>
      <c r="AI80" s="39" t="str">
        <f t="array" ref="AI80">IF(OR($B80="",$C80="",$E80=""),"",IF(OR(AI$8&lt;$E80,AI$8-$E80&gt;=12),0,$C80*INDEX(Fondsen!$F$5:$Q$30,MATCH($B80,Fondsen!$A$5:$A$30,0),AI$8-$E80+1)))</f>
        <v/>
      </c>
      <c r="AJ80" s="38" t="str">
        <f t="array" ref="AJ80">IF(OR($B80="",$C80="",$E80=""),"",IF(OR(AJ$8&lt;$E80,AJ$8-$E80&gt;=12),0,$C80*INDEX(Fondsen!$F$5:$Q$30,MATCH($B80,Fondsen!$A$5:$A$30,0),AJ$8-$E80+1)))</f>
        <v/>
      </c>
      <c r="AK80" s="39" t="str">
        <f t="array" ref="AK80">IF(OR($B80="",$C80="",$E80=""),"",IF(OR(AK$8&lt;$E80,AK$8-$E80&gt;=12),0,$C80*INDEX(Fondsen!$F$5:$Q$30,MATCH($B80,Fondsen!$A$5:$A$30,0),AK$8-$E80+1)))</f>
        <v/>
      </c>
      <c r="AL80" s="38" t="str">
        <f t="array" ref="AL80">IF(OR($B80="",$C80="",$E80=""),"",IF(OR(AL$8&lt;$E80,AL$8-$E80&gt;=12),0,$C80*INDEX(Fondsen!$F$5:$Q$30,MATCH($B80,Fondsen!$A$5:$A$30,0),AL$8-$E80+1)))</f>
        <v/>
      </c>
      <c r="AM80" s="39" t="str">
        <f t="array" ref="AM80">IF(OR($B80="",$C80="",$E80=""),"",IF(OR(AM$8&lt;$E80,AM$8-$E80&gt;=12),0,$C80*INDEX(Fondsen!$F$5:$Q$30,MATCH($B80,Fondsen!$A$5:$A$30,0),AM$8-$E80+1)))</f>
        <v/>
      </c>
      <c r="AN80" s="38" t="str">
        <f t="array" ref="AN80">IF(OR($B80="",$C80="",$E80=""),"",IF(OR(AN$8&lt;$E80,AN$8-$E80&gt;=12),0,$C80*INDEX(Fondsen!$F$5:$Q$30,MATCH($B80,Fondsen!$A$5:$A$30,0),AN$8-$E80+1)))</f>
        <v/>
      </c>
      <c r="AO80" s="39" t="str">
        <f t="array" ref="AO80">IF(OR($B80="",$C80="",$E80=""),"",IF(OR(AO$8&lt;$E80,AO$8-$E80&gt;=12),0,$C80*INDEX(Fondsen!$F$5:$Q$30,MATCH($B80,Fondsen!$A$5:$A$30,0),AO$8-$E80+1)))</f>
        <v/>
      </c>
      <c r="AP80" s="38" t="str">
        <f t="array" ref="AP80">IF(OR($B80="",$C80="",$E80=""),"",IF(OR(AP$8&lt;$E80,AP$8-$E80&gt;=12),0,$C80*INDEX(Fondsen!$F$5:$Q$30,MATCH($B80,Fondsen!$A$5:$A$30,0),AP$8-$E80+1)))</f>
        <v/>
      </c>
      <c r="AQ80" s="39" t="str">
        <f t="array" ref="AQ80">IF(OR($B80="",$C80="",$E80=""),"",IF(OR(AQ$8&lt;$E80,AQ$8-$E80&gt;=12),0,$C80*INDEX(Fondsen!$F$5:$Q$30,MATCH($B80,Fondsen!$A$5:$A$30,0),AQ$8-$E80+1)))</f>
        <v/>
      </c>
      <c r="AR80" s="38" t="str">
        <f t="array" ref="AR80">IF(OR($B80="",$C80="",$E80=""),"",IF(OR(AR$8&lt;$E80,AR$8-$E80&gt;=12),0,$C80*INDEX(Fondsen!$F$5:$Q$30,MATCH($B80,Fondsen!$A$5:$A$30,0),AR$8-$E80+1)))</f>
        <v/>
      </c>
      <c r="AS80" s="39" t="str">
        <f t="array" ref="AS80">IF(OR($B80="",$C80="",$E80=""),"",IF(OR(AS$8&lt;$E80,AS$8-$E80&gt;=12),0,$C80*INDEX(Fondsen!$F$5:$Q$30,MATCH($B80,Fondsen!$A$5:$A$30,0),AS$8-$E80+1)))</f>
        <v/>
      </c>
      <c r="AT80" s="45"/>
    </row>
    <row r="81" ht="24.0" customHeight="1" outlineLevel="1">
      <c r="A81" s="47" t="str">
        <f>IF(B81="","",IFERROR(VLOOKUP(B81,Fondsen!$A$5:$B$30,2,FALSE()),""))</f>
        <v/>
      </c>
      <c r="B81" s="26"/>
      <c r="C81" s="27"/>
      <c r="D81" s="44" t="s">
        <v>11</v>
      </c>
      <c r="E81" s="29"/>
      <c r="F81" s="30" t="str">
        <f t="array" ref="F81">IF(OR($B81="",$C81="",$E81=""),"",IF(OR(F$8&lt;$E81,F$8-$E81&gt;=12),0,$C81*INDEX(Fondsen!$F$5:$Q$30,MATCH($B81,Fondsen!$A$5:$A$30,0),F$8-$E81+1)))</f>
        <v/>
      </c>
      <c r="G81" s="31" t="str">
        <f t="array" ref="G81">IF(OR($B81="",$C81="",$E81=""),"",IF(OR(G$8&lt;$E81,G$8-$E81&gt;=12),0,$C81*INDEX(Fondsen!$F$5:$Q$30,MATCH($B81,Fondsen!$A$5:$A$30,0),G$8-$E81+1)))</f>
        <v/>
      </c>
      <c r="H81" s="30" t="str">
        <f t="array" ref="H81">IF(OR($B81="",$C81="",$E81=""),"",IF(OR(H$8&lt;$E81,H$8-$E81&gt;=12),0,$C81*INDEX(Fondsen!$F$5:$Q$30,MATCH($B81,Fondsen!$A$5:$A$30,0),H$8-$E81+1)))</f>
        <v/>
      </c>
      <c r="I81" s="31" t="str">
        <f t="array" ref="I81">IF(OR($B81="",$C81="",$E81=""),"",IF(OR(I$8&lt;$E81,I$8-$E81&gt;=12),0,$C81*INDEX(Fondsen!$F$5:$Q$30,MATCH($B81,Fondsen!$A$5:$A$30,0),I$8-$E81+1)))</f>
        <v/>
      </c>
      <c r="J81" s="30" t="str">
        <f t="array" ref="J81">IF(OR($B81="",$C81="",$E81=""),"",IF(OR(J$8&lt;$E81,J$8-$E81&gt;=12),0,$C81*INDEX(Fondsen!$F$5:$Q$30,MATCH($B81,Fondsen!$A$5:$A$30,0),J$8-$E81+1)))</f>
        <v/>
      </c>
      <c r="K81" s="31" t="str">
        <f t="array" ref="K81">IF(OR($B81="",$C81="",$E81=""),"",IF(OR(K$8&lt;$E81,K$8-$E81&gt;=12),0,$C81*INDEX(Fondsen!$F$5:$Q$30,MATCH($B81,Fondsen!$A$5:$A$30,0),K$8-$E81+1)))</f>
        <v/>
      </c>
      <c r="L81" s="30" t="str">
        <f t="array" ref="L81">IF(OR($B81="",$C81="",$E81=""),"",IF(OR(L$8&lt;$E81,L$8-$E81&gt;=12),0,$C81*INDEX(Fondsen!$F$5:$Q$30,MATCH($B81,Fondsen!$A$5:$A$30,0),L$8-$E81+1)))</f>
        <v/>
      </c>
      <c r="M81" s="31" t="str">
        <f t="array" ref="M81">IF(OR($B81="",$C81="",$E81=""),"",IF(OR(M$8&lt;$E81,M$8-$E81&gt;=12),0,$C81*INDEX(Fondsen!$F$5:$Q$30,MATCH($B81,Fondsen!$A$5:$A$30,0),M$8-$E81+1)))</f>
        <v/>
      </c>
      <c r="N81" s="30" t="str">
        <f t="array" ref="N81">IF(OR($B81="",$C81="",$E81=""),"",IF(OR(N$8&lt;$E81,N$8-$E81&gt;=12),0,$C81*INDEX(Fondsen!$F$5:$Q$30,MATCH($B81,Fondsen!$A$5:$A$30,0),N$8-$E81+1)))</f>
        <v/>
      </c>
      <c r="O81" s="31" t="str">
        <f t="array" ref="O81">IF(OR($B81="",$C81="",$E81=""),"",IF(OR(O$8&lt;$E81,O$8-$E81&gt;=12),0,$C81*INDEX(Fondsen!$F$5:$Q$30,MATCH($B81,Fondsen!$A$5:$A$30,0),O$8-$E81+1)))</f>
        <v/>
      </c>
      <c r="P81" s="30" t="str">
        <f t="array" ref="P81">IF(OR($B81="",$C81="",$E81=""),"",IF(OR(P$8&lt;$E81,P$8-$E81&gt;=12),0,$C81*INDEX(Fondsen!$F$5:$Q$30,MATCH($B81,Fondsen!$A$5:$A$30,0),P$8-$E81+1)))</f>
        <v/>
      </c>
      <c r="Q81" s="31" t="str">
        <f t="array" ref="Q81">IF(OR($B81="",$C81="",$E81=""),"",IF(OR(Q$8&lt;$E81,Q$8-$E81&gt;=12),0,$C81*INDEX(Fondsen!$F$5:$Q$30,MATCH($B81,Fondsen!$A$5:$A$30,0),Q$8-$E81+1)))</f>
        <v/>
      </c>
      <c r="R81" s="30" t="str">
        <f t="array" ref="R81">IF(OR($B81="",$C81="",$E81=""),"",IF(OR(R$8&lt;$E81,R$8-$E81&gt;=12),0,$C81*INDEX(Fondsen!$F$5:$Q$30,MATCH($B81,Fondsen!$A$5:$A$30,0),R$8-$E81+1)))</f>
        <v/>
      </c>
      <c r="S81" s="31" t="str">
        <f t="array" ref="S81">IF(OR($B81="",$C81="",$E81=""),"",IF(OR(S$8&lt;$E81,S$8-$E81&gt;=12),0,$C81*INDEX(Fondsen!$F$5:$Q$30,MATCH($B81,Fondsen!$A$5:$A$30,0),S$8-$E81+1)))</f>
        <v/>
      </c>
      <c r="T81" s="30" t="str">
        <f t="array" ref="T81">IF(OR($B81="",$C81="",$E81=""),"",IF(OR(T$8&lt;$E81,T$8-$E81&gt;=12),0,$C81*INDEX(Fondsen!$F$5:$Q$30,MATCH($B81,Fondsen!$A$5:$A$30,0),T$8-$E81+1)))</f>
        <v/>
      </c>
      <c r="U81" s="31" t="str">
        <f t="array" ref="U81">IF(OR($B81="",$C81="",$E81=""),"",IF(OR(U$8&lt;$E81,U$8-$E81&gt;=12),0,$C81*INDEX(Fondsen!$F$5:$Q$30,MATCH($B81,Fondsen!$A$5:$A$30,0),U$8-$E81+1)))</f>
        <v/>
      </c>
      <c r="V81" s="30" t="str">
        <f t="array" ref="V81">IF(OR($B81="",$C81="",$E81=""),"",IF(OR(V$8&lt;$E81,V$8-$E81&gt;=12),0,$C81*INDEX(Fondsen!$F$5:$Q$30,MATCH($B81,Fondsen!$A$5:$A$30,0),V$8-$E81+1)))</f>
        <v/>
      </c>
      <c r="W81" s="31" t="str">
        <f t="array" ref="W81">IF(OR($B81="",$C81="",$E81=""),"",IF(OR(W$8&lt;$E81,W$8-$E81&gt;=12),0,$C81*INDEX(Fondsen!$F$5:$Q$30,MATCH($B81,Fondsen!$A$5:$A$30,0),W$8-$E81+1)))</f>
        <v/>
      </c>
      <c r="X81" s="30" t="str">
        <f t="array" ref="X81">IF(OR($B81="",$C81="",$E81=""),"",IF(OR(X$8&lt;$E81,X$8-$E81&gt;=12),0,$C81*INDEX(Fondsen!$F$5:$Q$30,MATCH($B81,Fondsen!$A$5:$A$30,0),X$8-$E81+1)))</f>
        <v/>
      </c>
      <c r="Y81" s="31" t="str">
        <f t="array" ref="Y81">IF(OR($B81="",$C81="",$E81=""),"",IF(OR(Y$8&lt;$E81,Y$8-$E81&gt;=12),0,$C81*INDEX(Fondsen!$F$5:$Q$30,MATCH($B81,Fondsen!$A$5:$A$30,0),Y$8-$E81+1)))</f>
        <v/>
      </c>
      <c r="Z81" s="30" t="str">
        <f t="array" ref="Z81">IF(OR($B81="",$C81="",$E81=""),"",IF(OR(Z$8&lt;$E81,Z$8-$E81&gt;=12),0,$C81*INDEX(Fondsen!$F$5:$Q$30,MATCH($B81,Fondsen!$A$5:$A$30,0),Z$8-$E81+1)))</f>
        <v/>
      </c>
      <c r="AA81" s="31" t="str">
        <f t="array" ref="AA81">IF(OR($B81="",$C81="",$E81=""),"",IF(OR(AA$8&lt;$E81,AA$8-$E81&gt;=12),0,$C81*INDEX(Fondsen!$F$5:$Q$30,MATCH($B81,Fondsen!$A$5:$A$30,0),AA$8-$E81+1)))</f>
        <v/>
      </c>
      <c r="AB81" s="30" t="str">
        <f t="array" ref="AB81">IF(OR($B81="",$C81="",$E81=""),"",IF(OR(AB$8&lt;$E81,AB$8-$E81&gt;=12),0,$C81*INDEX(Fondsen!$F$5:$Q$30,MATCH($B81,Fondsen!$A$5:$A$30,0),AB$8-$E81+1)))</f>
        <v/>
      </c>
      <c r="AC81" s="31" t="str">
        <f t="array" ref="AC81">IF(OR($B81="",$C81="",$E81=""),"",IF(OR(AC$8&lt;$E81,AC$8-$E81&gt;=12),0,$C81*INDEX(Fondsen!$F$5:$Q$30,MATCH($B81,Fondsen!$A$5:$A$30,0),AC$8-$E81+1)))</f>
        <v/>
      </c>
      <c r="AD81" s="30" t="str">
        <f t="array" ref="AD81">IF(OR($B81="",$C81="",$E81=""),"",IF(OR(AD$8&lt;$E81,AD$8-$E81&gt;=12),0,$C81*INDEX(Fondsen!$F$5:$Q$30,MATCH($B81,Fondsen!$A$5:$A$30,0),AD$8-$E81+1)))</f>
        <v/>
      </c>
      <c r="AE81" s="31" t="str">
        <f t="array" ref="AE81">IF(OR($B81="",$C81="",$E81=""),"",IF(OR(AE$8&lt;$E81,AE$8-$E81&gt;=12),0,$C81*INDEX(Fondsen!$F$5:$Q$30,MATCH($B81,Fondsen!$A$5:$A$30,0),AE$8-$E81+1)))</f>
        <v/>
      </c>
      <c r="AF81" s="30" t="str">
        <f t="array" ref="AF81">IF(OR($B81="",$C81="",$E81=""),"",IF(OR(AF$8&lt;$E81,AF$8-$E81&gt;=12),0,$C81*INDEX(Fondsen!$F$5:$Q$30,MATCH($B81,Fondsen!$A$5:$A$30,0),AF$8-$E81+1)))</f>
        <v/>
      </c>
      <c r="AG81" s="31" t="str">
        <f t="array" ref="AG81">IF(OR($B81="",$C81="",$E81=""),"",IF(OR(AG$8&lt;$E81,AG$8-$E81&gt;=12),0,$C81*INDEX(Fondsen!$F$5:$Q$30,MATCH($B81,Fondsen!$A$5:$A$30,0),AG$8-$E81+1)))</f>
        <v/>
      </c>
      <c r="AH81" s="30" t="str">
        <f t="array" ref="AH81">IF(OR($B81="",$C81="",$E81=""),"",IF(OR(AH$8&lt;$E81,AH$8-$E81&gt;=12),0,$C81*INDEX(Fondsen!$F$5:$Q$30,MATCH($B81,Fondsen!$A$5:$A$30,0),AH$8-$E81+1)))</f>
        <v/>
      </c>
      <c r="AI81" s="31" t="str">
        <f t="array" ref="AI81">IF(OR($B81="",$C81="",$E81=""),"",IF(OR(AI$8&lt;$E81,AI$8-$E81&gt;=12),0,$C81*INDEX(Fondsen!$F$5:$Q$30,MATCH($B81,Fondsen!$A$5:$A$30,0),AI$8-$E81+1)))</f>
        <v/>
      </c>
      <c r="AJ81" s="30" t="str">
        <f t="array" ref="AJ81">IF(OR($B81="",$C81="",$E81=""),"",IF(OR(AJ$8&lt;$E81,AJ$8-$E81&gt;=12),0,$C81*INDEX(Fondsen!$F$5:$Q$30,MATCH($B81,Fondsen!$A$5:$A$30,0),AJ$8-$E81+1)))</f>
        <v/>
      </c>
      <c r="AK81" s="31" t="str">
        <f t="array" ref="AK81">IF(OR($B81="",$C81="",$E81=""),"",IF(OR(AK$8&lt;$E81,AK$8-$E81&gt;=12),0,$C81*INDEX(Fondsen!$F$5:$Q$30,MATCH($B81,Fondsen!$A$5:$A$30,0),AK$8-$E81+1)))</f>
        <v/>
      </c>
      <c r="AL81" s="30" t="str">
        <f t="array" ref="AL81">IF(OR($B81="",$C81="",$E81=""),"",IF(OR(AL$8&lt;$E81,AL$8-$E81&gt;=12),0,$C81*INDEX(Fondsen!$F$5:$Q$30,MATCH($B81,Fondsen!$A$5:$A$30,0),AL$8-$E81+1)))</f>
        <v/>
      </c>
      <c r="AM81" s="31" t="str">
        <f t="array" ref="AM81">IF(OR($B81="",$C81="",$E81=""),"",IF(OR(AM$8&lt;$E81,AM$8-$E81&gt;=12),0,$C81*INDEX(Fondsen!$F$5:$Q$30,MATCH($B81,Fondsen!$A$5:$A$30,0),AM$8-$E81+1)))</f>
        <v/>
      </c>
      <c r="AN81" s="30" t="str">
        <f t="array" ref="AN81">IF(OR($B81="",$C81="",$E81=""),"",IF(OR(AN$8&lt;$E81,AN$8-$E81&gt;=12),0,$C81*INDEX(Fondsen!$F$5:$Q$30,MATCH($B81,Fondsen!$A$5:$A$30,0),AN$8-$E81+1)))</f>
        <v/>
      </c>
      <c r="AO81" s="31" t="str">
        <f t="array" ref="AO81">IF(OR($B81="",$C81="",$E81=""),"",IF(OR(AO$8&lt;$E81,AO$8-$E81&gt;=12),0,$C81*INDEX(Fondsen!$F$5:$Q$30,MATCH($B81,Fondsen!$A$5:$A$30,0),AO$8-$E81+1)))</f>
        <v/>
      </c>
      <c r="AP81" s="30" t="str">
        <f t="array" ref="AP81">IF(OR($B81="",$C81="",$E81=""),"",IF(OR(AP$8&lt;$E81,AP$8-$E81&gt;=12),0,$C81*INDEX(Fondsen!$F$5:$Q$30,MATCH($B81,Fondsen!$A$5:$A$30,0),AP$8-$E81+1)))</f>
        <v/>
      </c>
      <c r="AQ81" s="31" t="str">
        <f t="array" ref="AQ81">IF(OR($B81="",$C81="",$E81=""),"",IF(OR(AQ$8&lt;$E81,AQ$8-$E81&gt;=12),0,$C81*INDEX(Fondsen!$F$5:$Q$30,MATCH($B81,Fondsen!$A$5:$A$30,0),AQ$8-$E81+1)))</f>
        <v/>
      </c>
      <c r="AR81" s="30" t="str">
        <f t="array" ref="AR81">IF(OR($B81="",$C81="",$E81=""),"",IF(OR(AR$8&lt;$E81,AR$8-$E81&gt;=12),0,$C81*INDEX(Fondsen!$F$5:$Q$30,MATCH($B81,Fondsen!$A$5:$A$30,0),AR$8-$E81+1)))</f>
        <v/>
      </c>
      <c r="AS81" s="31" t="str">
        <f t="array" ref="AS81">IF(OR($B81="",$C81="",$E81=""),"",IF(OR(AS$8&lt;$E81,AS$8-$E81&gt;=12),0,$C81*INDEX(Fondsen!$F$5:$Q$30,MATCH($B81,Fondsen!$A$5:$A$30,0),AS$8-$E81+1)))</f>
        <v/>
      </c>
      <c r="AT81" s="45"/>
    </row>
    <row r="82" ht="24.0" customHeight="1" outlineLevel="1">
      <c r="A82" s="33" t="str">
        <f>IF(B82="","",IFERROR(VLOOKUP(B82,Fondsen!$A$5:$B$30,2,FALSE()),""))</f>
        <v/>
      </c>
      <c r="B82" s="34"/>
      <c r="C82" s="35"/>
      <c r="D82" s="46" t="s">
        <v>11</v>
      </c>
      <c r="E82" s="37"/>
      <c r="F82" s="38" t="str">
        <f t="array" ref="F82">IF(OR($B82="",$C82="",$E82=""),"",IF(OR(F$8&lt;$E82,F$8-$E82&gt;=12),0,$C82*INDEX(Fondsen!$F$5:$Q$30,MATCH($B82,Fondsen!$A$5:$A$30,0),F$8-$E82+1)))</f>
        <v/>
      </c>
      <c r="G82" s="39" t="str">
        <f t="array" ref="G82">IF(OR($B82="",$C82="",$E82=""),"",IF(OR(G$8&lt;$E82,G$8-$E82&gt;=12),0,$C82*INDEX(Fondsen!$F$5:$Q$30,MATCH($B82,Fondsen!$A$5:$A$30,0),G$8-$E82+1)))</f>
        <v/>
      </c>
      <c r="H82" s="38" t="str">
        <f t="array" ref="H82">IF(OR($B82="",$C82="",$E82=""),"",IF(OR(H$8&lt;$E82,H$8-$E82&gt;=12),0,$C82*INDEX(Fondsen!$F$5:$Q$30,MATCH($B82,Fondsen!$A$5:$A$30,0),H$8-$E82+1)))</f>
        <v/>
      </c>
      <c r="I82" s="39" t="str">
        <f t="array" ref="I82">IF(OR($B82="",$C82="",$E82=""),"",IF(OR(I$8&lt;$E82,I$8-$E82&gt;=12),0,$C82*INDEX(Fondsen!$F$5:$Q$30,MATCH($B82,Fondsen!$A$5:$A$30,0),I$8-$E82+1)))</f>
        <v/>
      </c>
      <c r="J82" s="38" t="str">
        <f t="array" ref="J82">IF(OR($B82="",$C82="",$E82=""),"",IF(OR(J$8&lt;$E82,J$8-$E82&gt;=12),0,$C82*INDEX(Fondsen!$F$5:$Q$30,MATCH($B82,Fondsen!$A$5:$A$30,0),J$8-$E82+1)))</f>
        <v/>
      </c>
      <c r="K82" s="39" t="str">
        <f t="array" ref="K82">IF(OR($B82="",$C82="",$E82=""),"",IF(OR(K$8&lt;$E82,K$8-$E82&gt;=12),0,$C82*INDEX(Fondsen!$F$5:$Q$30,MATCH($B82,Fondsen!$A$5:$A$30,0),K$8-$E82+1)))</f>
        <v/>
      </c>
      <c r="L82" s="38" t="str">
        <f t="array" ref="L82">IF(OR($B82="",$C82="",$E82=""),"",IF(OR(L$8&lt;$E82,L$8-$E82&gt;=12),0,$C82*INDEX(Fondsen!$F$5:$Q$30,MATCH($B82,Fondsen!$A$5:$A$30,0),L$8-$E82+1)))</f>
        <v/>
      </c>
      <c r="M82" s="39" t="str">
        <f t="array" ref="M82">IF(OR($B82="",$C82="",$E82=""),"",IF(OR(M$8&lt;$E82,M$8-$E82&gt;=12),0,$C82*INDEX(Fondsen!$F$5:$Q$30,MATCH($B82,Fondsen!$A$5:$A$30,0),M$8-$E82+1)))</f>
        <v/>
      </c>
      <c r="N82" s="38" t="str">
        <f t="array" ref="N82">IF(OR($B82="",$C82="",$E82=""),"",IF(OR(N$8&lt;$E82,N$8-$E82&gt;=12),0,$C82*INDEX(Fondsen!$F$5:$Q$30,MATCH($B82,Fondsen!$A$5:$A$30,0),N$8-$E82+1)))</f>
        <v/>
      </c>
      <c r="O82" s="39" t="str">
        <f t="array" ref="O82">IF(OR($B82="",$C82="",$E82=""),"",IF(OR(O$8&lt;$E82,O$8-$E82&gt;=12),0,$C82*INDEX(Fondsen!$F$5:$Q$30,MATCH($B82,Fondsen!$A$5:$A$30,0),O$8-$E82+1)))</f>
        <v/>
      </c>
      <c r="P82" s="38" t="str">
        <f t="array" ref="P82">IF(OR($B82="",$C82="",$E82=""),"",IF(OR(P$8&lt;$E82,P$8-$E82&gt;=12),0,$C82*INDEX(Fondsen!$F$5:$Q$30,MATCH($B82,Fondsen!$A$5:$A$30,0),P$8-$E82+1)))</f>
        <v/>
      </c>
      <c r="Q82" s="39" t="str">
        <f t="array" ref="Q82">IF(OR($B82="",$C82="",$E82=""),"",IF(OR(Q$8&lt;$E82,Q$8-$E82&gt;=12),0,$C82*INDEX(Fondsen!$F$5:$Q$30,MATCH($B82,Fondsen!$A$5:$A$30,0),Q$8-$E82+1)))</f>
        <v/>
      </c>
      <c r="R82" s="38" t="str">
        <f t="array" ref="R82">IF(OR($B82="",$C82="",$E82=""),"",IF(OR(R$8&lt;$E82,R$8-$E82&gt;=12),0,$C82*INDEX(Fondsen!$F$5:$Q$30,MATCH($B82,Fondsen!$A$5:$A$30,0),R$8-$E82+1)))</f>
        <v/>
      </c>
      <c r="S82" s="39" t="str">
        <f t="array" ref="S82">IF(OR($B82="",$C82="",$E82=""),"",IF(OR(S$8&lt;$E82,S$8-$E82&gt;=12),0,$C82*INDEX(Fondsen!$F$5:$Q$30,MATCH($B82,Fondsen!$A$5:$A$30,0),S$8-$E82+1)))</f>
        <v/>
      </c>
      <c r="T82" s="38" t="str">
        <f t="array" ref="T82">IF(OR($B82="",$C82="",$E82=""),"",IF(OR(T$8&lt;$E82,T$8-$E82&gt;=12),0,$C82*INDEX(Fondsen!$F$5:$Q$30,MATCH($B82,Fondsen!$A$5:$A$30,0),T$8-$E82+1)))</f>
        <v/>
      </c>
      <c r="U82" s="39" t="str">
        <f t="array" ref="U82">IF(OR($B82="",$C82="",$E82=""),"",IF(OR(U$8&lt;$E82,U$8-$E82&gt;=12),0,$C82*INDEX(Fondsen!$F$5:$Q$30,MATCH($B82,Fondsen!$A$5:$A$30,0),U$8-$E82+1)))</f>
        <v/>
      </c>
      <c r="V82" s="38" t="str">
        <f t="array" ref="V82">IF(OR($B82="",$C82="",$E82=""),"",IF(OR(V$8&lt;$E82,V$8-$E82&gt;=12),0,$C82*INDEX(Fondsen!$F$5:$Q$30,MATCH($B82,Fondsen!$A$5:$A$30,0),V$8-$E82+1)))</f>
        <v/>
      </c>
      <c r="W82" s="39" t="str">
        <f t="array" ref="W82">IF(OR($B82="",$C82="",$E82=""),"",IF(OR(W$8&lt;$E82,W$8-$E82&gt;=12),0,$C82*INDEX(Fondsen!$F$5:$Q$30,MATCH($B82,Fondsen!$A$5:$A$30,0),W$8-$E82+1)))</f>
        <v/>
      </c>
      <c r="X82" s="38" t="str">
        <f t="array" ref="X82">IF(OR($B82="",$C82="",$E82=""),"",IF(OR(X$8&lt;$E82,X$8-$E82&gt;=12),0,$C82*INDEX(Fondsen!$F$5:$Q$30,MATCH($B82,Fondsen!$A$5:$A$30,0),X$8-$E82+1)))</f>
        <v/>
      </c>
      <c r="Y82" s="39" t="str">
        <f t="array" ref="Y82">IF(OR($B82="",$C82="",$E82=""),"",IF(OR(Y$8&lt;$E82,Y$8-$E82&gt;=12),0,$C82*INDEX(Fondsen!$F$5:$Q$30,MATCH($B82,Fondsen!$A$5:$A$30,0),Y$8-$E82+1)))</f>
        <v/>
      </c>
      <c r="Z82" s="38" t="str">
        <f t="array" ref="Z82">IF(OR($B82="",$C82="",$E82=""),"",IF(OR(Z$8&lt;$E82,Z$8-$E82&gt;=12),0,$C82*INDEX(Fondsen!$F$5:$Q$30,MATCH($B82,Fondsen!$A$5:$A$30,0),Z$8-$E82+1)))</f>
        <v/>
      </c>
      <c r="AA82" s="39" t="str">
        <f t="array" ref="AA82">IF(OR($B82="",$C82="",$E82=""),"",IF(OR(AA$8&lt;$E82,AA$8-$E82&gt;=12),0,$C82*INDEX(Fondsen!$F$5:$Q$30,MATCH($B82,Fondsen!$A$5:$A$30,0),AA$8-$E82+1)))</f>
        <v/>
      </c>
      <c r="AB82" s="38" t="str">
        <f t="array" ref="AB82">IF(OR($B82="",$C82="",$E82=""),"",IF(OR(AB$8&lt;$E82,AB$8-$E82&gt;=12),0,$C82*INDEX(Fondsen!$F$5:$Q$30,MATCH($B82,Fondsen!$A$5:$A$30,0),AB$8-$E82+1)))</f>
        <v/>
      </c>
      <c r="AC82" s="39" t="str">
        <f t="array" ref="AC82">IF(OR($B82="",$C82="",$E82=""),"",IF(OR(AC$8&lt;$E82,AC$8-$E82&gt;=12),0,$C82*INDEX(Fondsen!$F$5:$Q$30,MATCH($B82,Fondsen!$A$5:$A$30,0),AC$8-$E82+1)))</f>
        <v/>
      </c>
      <c r="AD82" s="38" t="str">
        <f t="array" ref="AD82">IF(OR($B82="",$C82="",$E82=""),"",IF(OR(AD$8&lt;$E82,AD$8-$E82&gt;=12),0,$C82*INDEX(Fondsen!$F$5:$Q$30,MATCH($B82,Fondsen!$A$5:$A$30,0),AD$8-$E82+1)))</f>
        <v/>
      </c>
      <c r="AE82" s="39" t="str">
        <f t="array" ref="AE82">IF(OR($B82="",$C82="",$E82=""),"",IF(OR(AE$8&lt;$E82,AE$8-$E82&gt;=12),0,$C82*INDEX(Fondsen!$F$5:$Q$30,MATCH($B82,Fondsen!$A$5:$A$30,0),AE$8-$E82+1)))</f>
        <v/>
      </c>
      <c r="AF82" s="38" t="str">
        <f t="array" ref="AF82">IF(OR($B82="",$C82="",$E82=""),"",IF(OR(AF$8&lt;$E82,AF$8-$E82&gt;=12),0,$C82*INDEX(Fondsen!$F$5:$Q$30,MATCH($B82,Fondsen!$A$5:$A$30,0),AF$8-$E82+1)))</f>
        <v/>
      </c>
      <c r="AG82" s="39" t="str">
        <f t="array" ref="AG82">IF(OR($B82="",$C82="",$E82=""),"",IF(OR(AG$8&lt;$E82,AG$8-$E82&gt;=12),0,$C82*INDEX(Fondsen!$F$5:$Q$30,MATCH($B82,Fondsen!$A$5:$A$30,0),AG$8-$E82+1)))</f>
        <v/>
      </c>
      <c r="AH82" s="38" t="str">
        <f t="array" ref="AH82">IF(OR($B82="",$C82="",$E82=""),"",IF(OR(AH$8&lt;$E82,AH$8-$E82&gt;=12),0,$C82*INDEX(Fondsen!$F$5:$Q$30,MATCH($B82,Fondsen!$A$5:$A$30,0),AH$8-$E82+1)))</f>
        <v/>
      </c>
      <c r="AI82" s="39" t="str">
        <f t="array" ref="AI82">IF(OR($B82="",$C82="",$E82=""),"",IF(OR(AI$8&lt;$E82,AI$8-$E82&gt;=12),0,$C82*INDEX(Fondsen!$F$5:$Q$30,MATCH($B82,Fondsen!$A$5:$A$30,0),AI$8-$E82+1)))</f>
        <v/>
      </c>
      <c r="AJ82" s="38" t="str">
        <f t="array" ref="AJ82">IF(OR($B82="",$C82="",$E82=""),"",IF(OR(AJ$8&lt;$E82,AJ$8-$E82&gt;=12),0,$C82*INDEX(Fondsen!$F$5:$Q$30,MATCH($B82,Fondsen!$A$5:$A$30,0),AJ$8-$E82+1)))</f>
        <v/>
      </c>
      <c r="AK82" s="39" t="str">
        <f t="array" ref="AK82">IF(OR($B82="",$C82="",$E82=""),"",IF(OR(AK$8&lt;$E82,AK$8-$E82&gt;=12),0,$C82*INDEX(Fondsen!$F$5:$Q$30,MATCH($B82,Fondsen!$A$5:$A$30,0),AK$8-$E82+1)))</f>
        <v/>
      </c>
      <c r="AL82" s="38" t="str">
        <f t="array" ref="AL82">IF(OR($B82="",$C82="",$E82=""),"",IF(OR(AL$8&lt;$E82,AL$8-$E82&gt;=12),0,$C82*INDEX(Fondsen!$F$5:$Q$30,MATCH($B82,Fondsen!$A$5:$A$30,0),AL$8-$E82+1)))</f>
        <v/>
      </c>
      <c r="AM82" s="39" t="str">
        <f t="array" ref="AM82">IF(OR($B82="",$C82="",$E82=""),"",IF(OR(AM$8&lt;$E82,AM$8-$E82&gt;=12),0,$C82*INDEX(Fondsen!$F$5:$Q$30,MATCH($B82,Fondsen!$A$5:$A$30,0),AM$8-$E82+1)))</f>
        <v/>
      </c>
      <c r="AN82" s="38" t="str">
        <f t="array" ref="AN82">IF(OR($B82="",$C82="",$E82=""),"",IF(OR(AN$8&lt;$E82,AN$8-$E82&gt;=12),0,$C82*INDEX(Fondsen!$F$5:$Q$30,MATCH($B82,Fondsen!$A$5:$A$30,0),AN$8-$E82+1)))</f>
        <v/>
      </c>
      <c r="AO82" s="39" t="str">
        <f t="array" ref="AO82">IF(OR($B82="",$C82="",$E82=""),"",IF(OR(AO$8&lt;$E82,AO$8-$E82&gt;=12),0,$C82*INDEX(Fondsen!$F$5:$Q$30,MATCH($B82,Fondsen!$A$5:$A$30,0),AO$8-$E82+1)))</f>
        <v/>
      </c>
      <c r="AP82" s="38" t="str">
        <f t="array" ref="AP82">IF(OR($B82="",$C82="",$E82=""),"",IF(OR(AP$8&lt;$E82,AP$8-$E82&gt;=12),0,$C82*INDEX(Fondsen!$F$5:$Q$30,MATCH($B82,Fondsen!$A$5:$A$30,0),AP$8-$E82+1)))</f>
        <v/>
      </c>
      <c r="AQ82" s="39" t="str">
        <f t="array" ref="AQ82">IF(OR($B82="",$C82="",$E82=""),"",IF(OR(AQ$8&lt;$E82,AQ$8-$E82&gt;=12),0,$C82*INDEX(Fondsen!$F$5:$Q$30,MATCH($B82,Fondsen!$A$5:$A$30,0),AQ$8-$E82+1)))</f>
        <v/>
      </c>
      <c r="AR82" s="38" t="str">
        <f t="array" ref="AR82">IF(OR($B82="",$C82="",$E82=""),"",IF(OR(AR$8&lt;$E82,AR$8-$E82&gt;=12),0,$C82*INDEX(Fondsen!$F$5:$Q$30,MATCH($B82,Fondsen!$A$5:$A$30,0),AR$8-$E82+1)))</f>
        <v/>
      </c>
      <c r="AS82" s="39" t="str">
        <f t="array" ref="AS82">IF(OR($B82="",$C82="",$E82=""),"",IF(OR(AS$8&lt;$E82,AS$8-$E82&gt;=12),0,$C82*INDEX(Fondsen!$F$5:$Q$30,MATCH($B82,Fondsen!$A$5:$A$30,0),AS$8-$E82+1)))</f>
        <v/>
      </c>
      <c r="AT82" s="45"/>
    </row>
    <row r="83" ht="24.0" customHeight="1" outlineLevel="1">
      <c r="A83" s="47" t="str">
        <f>IF(B83="","",IFERROR(VLOOKUP(B83,Fondsen!$A$5:$B$30,2,FALSE()),""))</f>
        <v/>
      </c>
      <c r="B83" s="26"/>
      <c r="C83" s="27"/>
      <c r="D83" s="44" t="s">
        <v>11</v>
      </c>
      <c r="E83" s="29"/>
      <c r="F83" s="30" t="str">
        <f t="array" ref="F83">IF(OR($B83="",$C83="",$E83=""),"",IF(OR(F$8&lt;$E83,F$8-$E83&gt;=12),0,$C83*INDEX(Fondsen!$F$5:$Q$30,MATCH($B83,Fondsen!$A$5:$A$30,0),F$8-$E83+1)))</f>
        <v/>
      </c>
      <c r="G83" s="31" t="str">
        <f t="array" ref="G83">IF(OR($B83="",$C83="",$E83=""),"",IF(OR(G$8&lt;$E83,G$8-$E83&gt;=12),0,$C83*INDEX(Fondsen!$F$5:$Q$30,MATCH($B83,Fondsen!$A$5:$A$30,0),G$8-$E83+1)))</f>
        <v/>
      </c>
      <c r="H83" s="30" t="str">
        <f t="array" ref="H83">IF(OR($B83="",$C83="",$E83=""),"",IF(OR(H$8&lt;$E83,H$8-$E83&gt;=12),0,$C83*INDEX(Fondsen!$F$5:$Q$30,MATCH($B83,Fondsen!$A$5:$A$30,0),H$8-$E83+1)))</f>
        <v/>
      </c>
      <c r="I83" s="31" t="str">
        <f t="array" ref="I83">IF(OR($B83="",$C83="",$E83=""),"",IF(OR(I$8&lt;$E83,I$8-$E83&gt;=12),0,$C83*INDEX(Fondsen!$F$5:$Q$30,MATCH($B83,Fondsen!$A$5:$A$30,0),I$8-$E83+1)))</f>
        <v/>
      </c>
      <c r="J83" s="30" t="str">
        <f t="array" ref="J83">IF(OR($B83="",$C83="",$E83=""),"",IF(OR(J$8&lt;$E83,J$8-$E83&gt;=12),0,$C83*INDEX(Fondsen!$F$5:$Q$30,MATCH($B83,Fondsen!$A$5:$A$30,0),J$8-$E83+1)))</f>
        <v/>
      </c>
      <c r="K83" s="31" t="str">
        <f t="array" ref="K83">IF(OR($B83="",$C83="",$E83=""),"",IF(OR(K$8&lt;$E83,K$8-$E83&gt;=12),0,$C83*INDEX(Fondsen!$F$5:$Q$30,MATCH($B83,Fondsen!$A$5:$A$30,0),K$8-$E83+1)))</f>
        <v/>
      </c>
      <c r="L83" s="30" t="str">
        <f t="array" ref="L83">IF(OR($B83="",$C83="",$E83=""),"",IF(OR(L$8&lt;$E83,L$8-$E83&gt;=12),0,$C83*INDEX(Fondsen!$F$5:$Q$30,MATCH($B83,Fondsen!$A$5:$A$30,0),L$8-$E83+1)))</f>
        <v/>
      </c>
      <c r="M83" s="31" t="str">
        <f t="array" ref="M83">IF(OR($B83="",$C83="",$E83=""),"",IF(OR(M$8&lt;$E83,M$8-$E83&gt;=12),0,$C83*INDEX(Fondsen!$F$5:$Q$30,MATCH($B83,Fondsen!$A$5:$A$30,0),M$8-$E83+1)))</f>
        <v/>
      </c>
      <c r="N83" s="30" t="str">
        <f t="array" ref="N83">IF(OR($B83="",$C83="",$E83=""),"",IF(OR(N$8&lt;$E83,N$8-$E83&gt;=12),0,$C83*INDEX(Fondsen!$F$5:$Q$30,MATCH($B83,Fondsen!$A$5:$A$30,0),N$8-$E83+1)))</f>
        <v/>
      </c>
      <c r="O83" s="31" t="str">
        <f t="array" ref="O83">IF(OR($B83="",$C83="",$E83=""),"",IF(OR(O$8&lt;$E83,O$8-$E83&gt;=12),0,$C83*INDEX(Fondsen!$F$5:$Q$30,MATCH($B83,Fondsen!$A$5:$A$30,0),O$8-$E83+1)))</f>
        <v/>
      </c>
      <c r="P83" s="30" t="str">
        <f t="array" ref="P83">IF(OR($B83="",$C83="",$E83=""),"",IF(OR(P$8&lt;$E83,P$8-$E83&gt;=12),0,$C83*INDEX(Fondsen!$F$5:$Q$30,MATCH($B83,Fondsen!$A$5:$A$30,0),P$8-$E83+1)))</f>
        <v/>
      </c>
      <c r="Q83" s="31" t="str">
        <f t="array" ref="Q83">IF(OR($B83="",$C83="",$E83=""),"",IF(OR(Q$8&lt;$E83,Q$8-$E83&gt;=12),0,$C83*INDEX(Fondsen!$F$5:$Q$30,MATCH($B83,Fondsen!$A$5:$A$30,0),Q$8-$E83+1)))</f>
        <v/>
      </c>
      <c r="R83" s="30" t="str">
        <f t="array" ref="R83">IF(OR($B83="",$C83="",$E83=""),"",IF(OR(R$8&lt;$E83,R$8-$E83&gt;=12),0,$C83*INDEX(Fondsen!$F$5:$Q$30,MATCH($B83,Fondsen!$A$5:$A$30,0),R$8-$E83+1)))</f>
        <v/>
      </c>
      <c r="S83" s="31" t="str">
        <f t="array" ref="S83">IF(OR($B83="",$C83="",$E83=""),"",IF(OR(S$8&lt;$E83,S$8-$E83&gt;=12),0,$C83*INDEX(Fondsen!$F$5:$Q$30,MATCH($B83,Fondsen!$A$5:$A$30,0),S$8-$E83+1)))</f>
        <v/>
      </c>
      <c r="T83" s="30" t="str">
        <f t="array" ref="T83">IF(OR($B83="",$C83="",$E83=""),"",IF(OR(T$8&lt;$E83,T$8-$E83&gt;=12),0,$C83*INDEX(Fondsen!$F$5:$Q$30,MATCH($B83,Fondsen!$A$5:$A$30,0),T$8-$E83+1)))</f>
        <v/>
      </c>
      <c r="U83" s="31" t="str">
        <f t="array" ref="U83">IF(OR($B83="",$C83="",$E83=""),"",IF(OR(U$8&lt;$E83,U$8-$E83&gt;=12),0,$C83*INDEX(Fondsen!$F$5:$Q$30,MATCH($B83,Fondsen!$A$5:$A$30,0),U$8-$E83+1)))</f>
        <v/>
      </c>
      <c r="V83" s="30" t="str">
        <f t="array" ref="V83">IF(OR($B83="",$C83="",$E83=""),"",IF(OR(V$8&lt;$E83,V$8-$E83&gt;=12),0,$C83*INDEX(Fondsen!$F$5:$Q$30,MATCH($B83,Fondsen!$A$5:$A$30,0),V$8-$E83+1)))</f>
        <v/>
      </c>
      <c r="W83" s="31" t="str">
        <f t="array" ref="W83">IF(OR($B83="",$C83="",$E83=""),"",IF(OR(W$8&lt;$E83,W$8-$E83&gt;=12),0,$C83*INDEX(Fondsen!$F$5:$Q$30,MATCH($B83,Fondsen!$A$5:$A$30,0),W$8-$E83+1)))</f>
        <v/>
      </c>
      <c r="X83" s="30" t="str">
        <f t="array" ref="X83">IF(OR($B83="",$C83="",$E83=""),"",IF(OR(X$8&lt;$E83,X$8-$E83&gt;=12),0,$C83*INDEX(Fondsen!$F$5:$Q$30,MATCH($B83,Fondsen!$A$5:$A$30,0),X$8-$E83+1)))</f>
        <v/>
      </c>
      <c r="Y83" s="31" t="str">
        <f t="array" ref="Y83">IF(OR($B83="",$C83="",$E83=""),"",IF(OR(Y$8&lt;$E83,Y$8-$E83&gt;=12),0,$C83*INDEX(Fondsen!$F$5:$Q$30,MATCH($B83,Fondsen!$A$5:$A$30,0),Y$8-$E83+1)))</f>
        <v/>
      </c>
      <c r="Z83" s="30" t="str">
        <f t="array" ref="Z83">IF(OR($B83="",$C83="",$E83=""),"",IF(OR(Z$8&lt;$E83,Z$8-$E83&gt;=12),0,$C83*INDEX(Fondsen!$F$5:$Q$30,MATCH($B83,Fondsen!$A$5:$A$30,0),Z$8-$E83+1)))</f>
        <v/>
      </c>
      <c r="AA83" s="31" t="str">
        <f t="array" ref="AA83">IF(OR($B83="",$C83="",$E83=""),"",IF(OR(AA$8&lt;$E83,AA$8-$E83&gt;=12),0,$C83*INDEX(Fondsen!$F$5:$Q$30,MATCH($B83,Fondsen!$A$5:$A$30,0),AA$8-$E83+1)))</f>
        <v/>
      </c>
      <c r="AB83" s="30" t="str">
        <f t="array" ref="AB83">IF(OR($B83="",$C83="",$E83=""),"",IF(OR(AB$8&lt;$E83,AB$8-$E83&gt;=12),0,$C83*INDEX(Fondsen!$F$5:$Q$30,MATCH($B83,Fondsen!$A$5:$A$30,0),AB$8-$E83+1)))</f>
        <v/>
      </c>
      <c r="AC83" s="31" t="str">
        <f t="array" ref="AC83">IF(OR($B83="",$C83="",$E83=""),"",IF(OR(AC$8&lt;$E83,AC$8-$E83&gt;=12),0,$C83*INDEX(Fondsen!$F$5:$Q$30,MATCH($B83,Fondsen!$A$5:$A$30,0),AC$8-$E83+1)))</f>
        <v/>
      </c>
      <c r="AD83" s="30" t="str">
        <f t="array" ref="AD83">IF(OR($B83="",$C83="",$E83=""),"",IF(OR(AD$8&lt;$E83,AD$8-$E83&gt;=12),0,$C83*INDEX(Fondsen!$F$5:$Q$30,MATCH($B83,Fondsen!$A$5:$A$30,0),AD$8-$E83+1)))</f>
        <v/>
      </c>
      <c r="AE83" s="31" t="str">
        <f t="array" ref="AE83">IF(OR($B83="",$C83="",$E83=""),"",IF(OR(AE$8&lt;$E83,AE$8-$E83&gt;=12),0,$C83*INDEX(Fondsen!$F$5:$Q$30,MATCH($B83,Fondsen!$A$5:$A$30,0),AE$8-$E83+1)))</f>
        <v/>
      </c>
      <c r="AF83" s="30" t="str">
        <f t="array" ref="AF83">IF(OR($B83="",$C83="",$E83=""),"",IF(OR(AF$8&lt;$E83,AF$8-$E83&gt;=12),0,$C83*INDEX(Fondsen!$F$5:$Q$30,MATCH($B83,Fondsen!$A$5:$A$30,0),AF$8-$E83+1)))</f>
        <v/>
      </c>
      <c r="AG83" s="31" t="str">
        <f t="array" ref="AG83">IF(OR($B83="",$C83="",$E83=""),"",IF(OR(AG$8&lt;$E83,AG$8-$E83&gt;=12),0,$C83*INDEX(Fondsen!$F$5:$Q$30,MATCH($B83,Fondsen!$A$5:$A$30,0),AG$8-$E83+1)))</f>
        <v/>
      </c>
      <c r="AH83" s="30" t="str">
        <f t="array" ref="AH83">IF(OR($B83="",$C83="",$E83=""),"",IF(OR(AH$8&lt;$E83,AH$8-$E83&gt;=12),0,$C83*INDEX(Fondsen!$F$5:$Q$30,MATCH($B83,Fondsen!$A$5:$A$30,0),AH$8-$E83+1)))</f>
        <v/>
      </c>
      <c r="AI83" s="31" t="str">
        <f t="array" ref="AI83">IF(OR($B83="",$C83="",$E83=""),"",IF(OR(AI$8&lt;$E83,AI$8-$E83&gt;=12),0,$C83*INDEX(Fondsen!$F$5:$Q$30,MATCH($B83,Fondsen!$A$5:$A$30,0),AI$8-$E83+1)))</f>
        <v/>
      </c>
      <c r="AJ83" s="30" t="str">
        <f t="array" ref="AJ83">IF(OR($B83="",$C83="",$E83=""),"",IF(OR(AJ$8&lt;$E83,AJ$8-$E83&gt;=12),0,$C83*INDEX(Fondsen!$F$5:$Q$30,MATCH($B83,Fondsen!$A$5:$A$30,0),AJ$8-$E83+1)))</f>
        <v/>
      </c>
      <c r="AK83" s="31" t="str">
        <f t="array" ref="AK83">IF(OR($B83="",$C83="",$E83=""),"",IF(OR(AK$8&lt;$E83,AK$8-$E83&gt;=12),0,$C83*INDEX(Fondsen!$F$5:$Q$30,MATCH($B83,Fondsen!$A$5:$A$30,0),AK$8-$E83+1)))</f>
        <v/>
      </c>
      <c r="AL83" s="30" t="str">
        <f t="array" ref="AL83">IF(OR($B83="",$C83="",$E83=""),"",IF(OR(AL$8&lt;$E83,AL$8-$E83&gt;=12),0,$C83*INDEX(Fondsen!$F$5:$Q$30,MATCH($B83,Fondsen!$A$5:$A$30,0),AL$8-$E83+1)))</f>
        <v/>
      </c>
      <c r="AM83" s="31" t="str">
        <f t="array" ref="AM83">IF(OR($B83="",$C83="",$E83=""),"",IF(OR(AM$8&lt;$E83,AM$8-$E83&gt;=12),0,$C83*INDEX(Fondsen!$F$5:$Q$30,MATCH($B83,Fondsen!$A$5:$A$30,0),AM$8-$E83+1)))</f>
        <v/>
      </c>
      <c r="AN83" s="30" t="str">
        <f t="array" ref="AN83">IF(OR($B83="",$C83="",$E83=""),"",IF(OR(AN$8&lt;$E83,AN$8-$E83&gt;=12),0,$C83*INDEX(Fondsen!$F$5:$Q$30,MATCH($B83,Fondsen!$A$5:$A$30,0),AN$8-$E83+1)))</f>
        <v/>
      </c>
      <c r="AO83" s="31" t="str">
        <f t="array" ref="AO83">IF(OR($B83="",$C83="",$E83=""),"",IF(OR(AO$8&lt;$E83,AO$8-$E83&gt;=12),0,$C83*INDEX(Fondsen!$F$5:$Q$30,MATCH($B83,Fondsen!$A$5:$A$30,0),AO$8-$E83+1)))</f>
        <v/>
      </c>
      <c r="AP83" s="30" t="str">
        <f t="array" ref="AP83">IF(OR($B83="",$C83="",$E83=""),"",IF(OR(AP$8&lt;$E83,AP$8-$E83&gt;=12),0,$C83*INDEX(Fondsen!$F$5:$Q$30,MATCH($B83,Fondsen!$A$5:$A$30,0),AP$8-$E83+1)))</f>
        <v/>
      </c>
      <c r="AQ83" s="31" t="str">
        <f t="array" ref="AQ83">IF(OR($B83="",$C83="",$E83=""),"",IF(OR(AQ$8&lt;$E83,AQ$8-$E83&gt;=12),0,$C83*INDEX(Fondsen!$F$5:$Q$30,MATCH($B83,Fondsen!$A$5:$A$30,0),AQ$8-$E83+1)))</f>
        <v/>
      </c>
      <c r="AR83" s="30" t="str">
        <f t="array" ref="AR83">IF(OR($B83="",$C83="",$E83=""),"",IF(OR(AR$8&lt;$E83,AR$8-$E83&gt;=12),0,$C83*INDEX(Fondsen!$F$5:$Q$30,MATCH($B83,Fondsen!$A$5:$A$30,0),AR$8-$E83+1)))</f>
        <v/>
      </c>
      <c r="AS83" s="31" t="str">
        <f t="array" ref="AS83">IF(OR($B83="",$C83="",$E83=""),"",IF(OR(AS$8&lt;$E83,AS$8-$E83&gt;=12),0,$C83*INDEX(Fondsen!$F$5:$Q$30,MATCH($B83,Fondsen!$A$5:$A$30,0),AS$8-$E83+1)))</f>
        <v/>
      </c>
      <c r="AT83" s="45"/>
    </row>
    <row r="84" ht="24.0" customHeight="1" outlineLevel="1">
      <c r="A84" s="33" t="str">
        <f>IF(B84="","",IFERROR(VLOOKUP(B84,Fondsen!$A$5:$B$30,2,FALSE()),""))</f>
        <v/>
      </c>
      <c r="B84" s="34"/>
      <c r="C84" s="35"/>
      <c r="D84" s="46" t="s">
        <v>11</v>
      </c>
      <c r="E84" s="37"/>
      <c r="F84" s="38" t="str">
        <f t="array" ref="F84">IF(OR($B84="",$C84="",$E84=""),"",IF(OR(F$8&lt;$E84,F$8-$E84&gt;=12),0,$C84*INDEX(Fondsen!$F$5:$Q$30,MATCH($B84,Fondsen!$A$5:$A$30,0),F$8-$E84+1)))</f>
        <v/>
      </c>
      <c r="G84" s="39" t="str">
        <f t="array" ref="G84">IF(OR($B84="",$C84="",$E84=""),"",IF(OR(G$8&lt;$E84,G$8-$E84&gt;=12),0,$C84*INDEX(Fondsen!$F$5:$Q$30,MATCH($B84,Fondsen!$A$5:$A$30,0),G$8-$E84+1)))</f>
        <v/>
      </c>
      <c r="H84" s="38" t="str">
        <f t="array" ref="H84">IF(OR($B84="",$C84="",$E84=""),"",IF(OR(H$8&lt;$E84,H$8-$E84&gt;=12),0,$C84*INDEX(Fondsen!$F$5:$Q$30,MATCH($B84,Fondsen!$A$5:$A$30,0),H$8-$E84+1)))</f>
        <v/>
      </c>
      <c r="I84" s="39" t="str">
        <f t="array" ref="I84">IF(OR($B84="",$C84="",$E84=""),"",IF(OR(I$8&lt;$E84,I$8-$E84&gt;=12),0,$C84*INDEX(Fondsen!$F$5:$Q$30,MATCH($B84,Fondsen!$A$5:$A$30,0),I$8-$E84+1)))</f>
        <v/>
      </c>
      <c r="J84" s="38" t="str">
        <f t="array" ref="J84">IF(OR($B84="",$C84="",$E84=""),"",IF(OR(J$8&lt;$E84,J$8-$E84&gt;=12),0,$C84*INDEX(Fondsen!$F$5:$Q$30,MATCH($B84,Fondsen!$A$5:$A$30,0),J$8-$E84+1)))</f>
        <v/>
      </c>
      <c r="K84" s="39" t="str">
        <f t="array" ref="K84">IF(OR($B84="",$C84="",$E84=""),"",IF(OR(K$8&lt;$E84,K$8-$E84&gt;=12),0,$C84*INDEX(Fondsen!$F$5:$Q$30,MATCH($B84,Fondsen!$A$5:$A$30,0),K$8-$E84+1)))</f>
        <v/>
      </c>
      <c r="L84" s="38" t="str">
        <f t="array" ref="L84">IF(OR($B84="",$C84="",$E84=""),"",IF(OR(L$8&lt;$E84,L$8-$E84&gt;=12),0,$C84*INDEX(Fondsen!$F$5:$Q$30,MATCH($B84,Fondsen!$A$5:$A$30,0),L$8-$E84+1)))</f>
        <v/>
      </c>
      <c r="M84" s="39" t="str">
        <f t="array" ref="M84">IF(OR($B84="",$C84="",$E84=""),"",IF(OR(M$8&lt;$E84,M$8-$E84&gt;=12),0,$C84*INDEX(Fondsen!$F$5:$Q$30,MATCH($B84,Fondsen!$A$5:$A$30,0),M$8-$E84+1)))</f>
        <v/>
      </c>
      <c r="N84" s="38" t="str">
        <f t="array" ref="N84">IF(OR($B84="",$C84="",$E84=""),"",IF(OR(N$8&lt;$E84,N$8-$E84&gt;=12),0,$C84*INDEX(Fondsen!$F$5:$Q$30,MATCH($B84,Fondsen!$A$5:$A$30,0),N$8-$E84+1)))</f>
        <v/>
      </c>
      <c r="O84" s="39" t="str">
        <f t="array" ref="O84">IF(OR($B84="",$C84="",$E84=""),"",IF(OR(O$8&lt;$E84,O$8-$E84&gt;=12),0,$C84*INDEX(Fondsen!$F$5:$Q$30,MATCH($B84,Fondsen!$A$5:$A$30,0),O$8-$E84+1)))</f>
        <v/>
      </c>
      <c r="P84" s="38" t="str">
        <f t="array" ref="P84">IF(OR($B84="",$C84="",$E84=""),"",IF(OR(P$8&lt;$E84,P$8-$E84&gt;=12),0,$C84*INDEX(Fondsen!$F$5:$Q$30,MATCH($B84,Fondsen!$A$5:$A$30,0),P$8-$E84+1)))</f>
        <v/>
      </c>
      <c r="Q84" s="39" t="str">
        <f t="array" ref="Q84">IF(OR($B84="",$C84="",$E84=""),"",IF(OR(Q$8&lt;$E84,Q$8-$E84&gt;=12),0,$C84*INDEX(Fondsen!$F$5:$Q$30,MATCH($B84,Fondsen!$A$5:$A$30,0),Q$8-$E84+1)))</f>
        <v/>
      </c>
      <c r="R84" s="38" t="str">
        <f t="array" ref="R84">IF(OR($B84="",$C84="",$E84=""),"",IF(OR(R$8&lt;$E84,R$8-$E84&gt;=12),0,$C84*INDEX(Fondsen!$F$5:$Q$30,MATCH($B84,Fondsen!$A$5:$A$30,0),R$8-$E84+1)))</f>
        <v/>
      </c>
      <c r="S84" s="39" t="str">
        <f t="array" ref="S84">IF(OR($B84="",$C84="",$E84=""),"",IF(OR(S$8&lt;$E84,S$8-$E84&gt;=12),0,$C84*INDEX(Fondsen!$F$5:$Q$30,MATCH($B84,Fondsen!$A$5:$A$30,0),S$8-$E84+1)))</f>
        <v/>
      </c>
      <c r="T84" s="38" t="str">
        <f t="array" ref="T84">IF(OR($B84="",$C84="",$E84=""),"",IF(OR(T$8&lt;$E84,T$8-$E84&gt;=12),0,$C84*INDEX(Fondsen!$F$5:$Q$30,MATCH($B84,Fondsen!$A$5:$A$30,0),T$8-$E84+1)))</f>
        <v/>
      </c>
      <c r="U84" s="39" t="str">
        <f t="array" ref="U84">IF(OR($B84="",$C84="",$E84=""),"",IF(OR(U$8&lt;$E84,U$8-$E84&gt;=12),0,$C84*INDEX(Fondsen!$F$5:$Q$30,MATCH($B84,Fondsen!$A$5:$A$30,0),U$8-$E84+1)))</f>
        <v/>
      </c>
      <c r="V84" s="38" t="str">
        <f t="array" ref="V84">IF(OR($B84="",$C84="",$E84=""),"",IF(OR(V$8&lt;$E84,V$8-$E84&gt;=12),0,$C84*INDEX(Fondsen!$F$5:$Q$30,MATCH($B84,Fondsen!$A$5:$A$30,0),V$8-$E84+1)))</f>
        <v/>
      </c>
      <c r="W84" s="39" t="str">
        <f t="array" ref="W84">IF(OR($B84="",$C84="",$E84=""),"",IF(OR(W$8&lt;$E84,W$8-$E84&gt;=12),0,$C84*INDEX(Fondsen!$F$5:$Q$30,MATCH($B84,Fondsen!$A$5:$A$30,0),W$8-$E84+1)))</f>
        <v/>
      </c>
      <c r="X84" s="38" t="str">
        <f t="array" ref="X84">IF(OR($B84="",$C84="",$E84=""),"",IF(OR(X$8&lt;$E84,X$8-$E84&gt;=12),0,$C84*INDEX(Fondsen!$F$5:$Q$30,MATCH($B84,Fondsen!$A$5:$A$30,0),X$8-$E84+1)))</f>
        <v/>
      </c>
      <c r="Y84" s="39" t="str">
        <f t="array" ref="Y84">IF(OR($B84="",$C84="",$E84=""),"",IF(OR(Y$8&lt;$E84,Y$8-$E84&gt;=12),0,$C84*INDEX(Fondsen!$F$5:$Q$30,MATCH($B84,Fondsen!$A$5:$A$30,0),Y$8-$E84+1)))</f>
        <v/>
      </c>
      <c r="Z84" s="38" t="str">
        <f t="array" ref="Z84">IF(OR($B84="",$C84="",$E84=""),"",IF(OR(Z$8&lt;$E84,Z$8-$E84&gt;=12),0,$C84*INDEX(Fondsen!$F$5:$Q$30,MATCH($B84,Fondsen!$A$5:$A$30,0),Z$8-$E84+1)))</f>
        <v/>
      </c>
      <c r="AA84" s="39" t="str">
        <f t="array" ref="AA84">IF(OR($B84="",$C84="",$E84=""),"",IF(OR(AA$8&lt;$E84,AA$8-$E84&gt;=12),0,$C84*INDEX(Fondsen!$F$5:$Q$30,MATCH($B84,Fondsen!$A$5:$A$30,0),AA$8-$E84+1)))</f>
        <v/>
      </c>
      <c r="AB84" s="38" t="str">
        <f t="array" ref="AB84">IF(OR($B84="",$C84="",$E84=""),"",IF(OR(AB$8&lt;$E84,AB$8-$E84&gt;=12),0,$C84*INDEX(Fondsen!$F$5:$Q$30,MATCH($B84,Fondsen!$A$5:$A$30,0),AB$8-$E84+1)))</f>
        <v/>
      </c>
      <c r="AC84" s="39" t="str">
        <f t="array" ref="AC84">IF(OR($B84="",$C84="",$E84=""),"",IF(OR(AC$8&lt;$E84,AC$8-$E84&gt;=12),0,$C84*INDEX(Fondsen!$F$5:$Q$30,MATCH($B84,Fondsen!$A$5:$A$30,0),AC$8-$E84+1)))</f>
        <v/>
      </c>
      <c r="AD84" s="38" t="str">
        <f t="array" ref="AD84">IF(OR($B84="",$C84="",$E84=""),"",IF(OR(AD$8&lt;$E84,AD$8-$E84&gt;=12),0,$C84*INDEX(Fondsen!$F$5:$Q$30,MATCH($B84,Fondsen!$A$5:$A$30,0),AD$8-$E84+1)))</f>
        <v/>
      </c>
      <c r="AE84" s="39" t="str">
        <f t="array" ref="AE84">IF(OR($B84="",$C84="",$E84=""),"",IF(OR(AE$8&lt;$E84,AE$8-$E84&gt;=12),0,$C84*INDEX(Fondsen!$F$5:$Q$30,MATCH($B84,Fondsen!$A$5:$A$30,0),AE$8-$E84+1)))</f>
        <v/>
      </c>
      <c r="AF84" s="38" t="str">
        <f t="array" ref="AF84">IF(OR($B84="",$C84="",$E84=""),"",IF(OR(AF$8&lt;$E84,AF$8-$E84&gt;=12),0,$C84*INDEX(Fondsen!$F$5:$Q$30,MATCH($B84,Fondsen!$A$5:$A$30,0),AF$8-$E84+1)))</f>
        <v/>
      </c>
      <c r="AG84" s="39" t="str">
        <f t="array" ref="AG84">IF(OR($B84="",$C84="",$E84=""),"",IF(OR(AG$8&lt;$E84,AG$8-$E84&gt;=12),0,$C84*INDEX(Fondsen!$F$5:$Q$30,MATCH($B84,Fondsen!$A$5:$A$30,0),AG$8-$E84+1)))</f>
        <v/>
      </c>
      <c r="AH84" s="38" t="str">
        <f t="array" ref="AH84">IF(OR($B84="",$C84="",$E84=""),"",IF(OR(AH$8&lt;$E84,AH$8-$E84&gt;=12),0,$C84*INDEX(Fondsen!$F$5:$Q$30,MATCH($B84,Fondsen!$A$5:$A$30,0),AH$8-$E84+1)))</f>
        <v/>
      </c>
      <c r="AI84" s="39" t="str">
        <f t="array" ref="AI84">IF(OR($B84="",$C84="",$E84=""),"",IF(OR(AI$8&lt;$E84,AI$8-$E84&gt;=12),0,$C84*INDEX(Fondsen!$F$5:$Q$30,MATCH($B84,Fondsen!$A$5:$A$30,0),AI$8-$E84+1)))</f>
        <v/>
      </c>
      <c r="AJ84" s="38" t="str">
        <f t="array" ref="AJ84">IF(OR($B84="",$C84="",$E84=""),"",IF(OR(AJ$8&lt;$E84,AJ$8-$E84&gt;=12),0,$C84*INDEX(Fondsen!$F$5:$Q$30,MATCH($B84,Fondsen!$A$5:$A$30,0),AJ$8-$E84+1)))</f>
        <v/>
      </c>
      <c r="AK84" s="39" t="str">
        <f t="array" ref="AK84">IF(OR($B84="",$C84="",$E84=""),"",IF(OR(AK$8&lt;$E84,AK$8-$E84&gt;=12),0,$C84*INDEX(Fondsen!$F$5:$Q$30,MATCH($B84,Fondsen!$A$5:$A$30,0),AK$8-$E84+1)))</f>
        <v/>
      </c>
      <c r="AL84" s="38" t="str">
        <f t="array" ref="AL84">IF(OR($B84="",$C84="",$E84=""),"",IF(OR(AL$8&lt;$E84,AL$8-$E84&gt;=12),0,$C84*INDEX(Fondsen!$F$5:$Q$30,MATCH($B84,Fondsen!$A$5:$A$30,0),AL$8-$E84+1)))</f>
        <v/>
      </c>
      <c r="AM84" s="39" t="str">
        <f t="array" ref="AM84">IF(OR($B84="",$C84="",$E84=""),"",IF(OR(AM$8&lt;$E84,AM$8-$E84&gt;=12),0,$C84*INDEX(Fondsen!$F$5:$Q$30,MATCH($B84,Fondsen!$A$5:$A$30,0),AM$8-$E84+1)))</f>
        <v/>
      </c>
      <c r="AN84" s="38" t="str">
        <f t="array" ref="AN84">IF(OR($B84="",$C84="",$E84=""),"",IF(OR(AN$8&lt;$E84,AN$8-$E84&gt;=12),0,$C84*INDEX(Fondsen!$F$5:$Q$30,MATCH($B84,Fondsen!$A$5:$A$30,0),AN$8-$E84+1)))</f>
        <v/>
      </c>
      <c r="AO84" s="39" t="str">
        <f t="array" ref="AO84">IF(OR($B84="",$C84="",$E84=""),"",IF(OR(AO$8&lt;$E84,AO$8-$E84&gt;=12),0,$C84*INDEX(Fondsen!$F$5:$Q$30,MATCH($B84,Fondsen!$A$5:$A$30,0),AO$8-$E84+1)))</f>
        <v/>
      </c>
      <c r="AP84" s="38" t="str">
        <f t="array" ref="AP84">IF(OR($B84="",$C84="",$E84=""),"",IF(OR(AP$8&lt;$E84,AP$8-$E84&gt;=12),0,$C84*INDEX(Fondsen!$F$5:$Q$30,MATCH($B84,Fondsen!$A$5:$A$30,0),AP$8-$E84+1)))</f>
        <v/>
      </c>
      <c r="AQ84" s="39" t="str">
        <f t="array" ref="AQ84">IF(OR($B84="",$C84="",$E84=""),"",IF(OR(AQ$8&lt;$E84,AQ$8-$E84&gt;=12),0,$C84*INDEX(Fondsen!$F$5:$Q$30,MATCH($B84,Fondsen!$A$5:$A$30,0),AQ$8-$E84+1)))</f>
        <v/>
      </c>
      <c r="AR84" s="38" t="str">
        <f t="array" ref="AR84">IF(OR($B84="",$C84="",$E84=""),"",IF(OR(AR$8&lt;$E84,AR$8-$E84&gt;=12),0,$C84*INDEX(Fondsen!$F$5:$Q$30,MATCH($B84,Fondsen!$A$5:$A$30,0),AR$8-$E84+1)))</f>
        <v/>
      </c>
      <c r="AS84" s="39" t="str">
        <f t="array" ref="AS84">IF(OR($B84="",$C84="",$E84=""),"",IF(OR(AS$8&lt;$E84,AS$8-$E84&gt;=12),0,$C84*INDEX(Fondsen!$F$5:$Q$30,MATCH($B84,Fondsen!$A$5:$A$30,0),AS$8-$E84+1)))</f>
        <v/>
      </c>
      <c r="AT84" s="45"/>
    </row>
    <row r="85" ht="24.0" customHeight="1" outlineLevel="1">
      <c r="A85" s="47" t="str">
        <f>IF(B85="","",IFERROR(VLOOKUP(B85,Fondsen!$A$5:$B$30,2,FALSE()),""))</f>
        <v/>
      </c>
      <c r="B85" s="26"/>
      <c r="C85" s="27"/>
      <c r="D85" s="44" t="s">
        <v>11</v>
      </c>
      <c r="E85" s="29"/>
      <c r="F85" s="30" t="str">
        <f t="array" ref="F85">IF(OR($B85="",$C85="",$E85=""),"",IF(OR(F$8&lt;$E85,F$8-$E85&gt;=12),0,$C85*INDEX(Fondsen!$F$5:$Q$30,MATCH($B85,Fondsen!$A$5:$A$30,0),F$8-$E85+1)))</f>
        <v/>
      </c>
      <c r="G85" s="31" t="str">
        <f t="array" ref="G85">IF(OR($B85="",$C85="",$E85=""),"",IF(OR(G$8&lt;$E85,G$8-$E85&gt;=12),0,$C85*INDEX(Fondsen!$F$5:$Q$30,MATCH($B85,Fondsen!$A$5:$A$30,0),G$8-$E85+1)))</f>
        <v/>
      </c>
      <c r="H85" s="30" t="str">
        <f t="array" ref="H85">IF(OR($B85="",$C85="",$E85=""),"",IF(OR(H$8&lt;$E85,H$8-$E85&gt;=12),0,$C85*INDEX(Fondsen!$F$5:$Q$30,MATCH($B85,Fondsen!$A$5:$A$30,0),H$8-$E85+1)))</f>
        <v/>
      </c>
      <c r="I85" s="31" t="str">
        <f t="array" ref="I85">IF(OR($B85="",$C85="",$E85=""),"",IF(OR(I$8&lt;$E85,I$8-$E85&gt;=12),0,$C85*INDEX(Fondsen!$F$5:$Q$30,MATCH($B85,Fondsen!$A$5:$A$30,0),I$8-$E85+1)))</f>
        <v/>
      </c>
      <c r="J85" s="30" t="str">
        <f t="array" ref="J85">IF(OR($B85="",$C85="",$E85=""),"",IF(OR(J$8&lt;$E85,J$8-$E85&gt;=12),0,$C85*INDEX(Fondsen!$F$5:$Q$30,MATCH($B85,Fondsen!$A$5:$A$30,0),J$8-$E85+1)))</f>
        <v/>
      </c>
      <c r="K85" s="31" t="str">
        <f t="array" ref="K85">IF(OR($B85="",$C85="",$E85=""),"",IF(OR(K$8&lt;$E85,K$8-$E85&gt;=12),0,$C85*INDEX(Fondsen!$F$5:$Q$30,MATCH($B85,Fondsen!$A$5:$A$30,0),K$8-$E85+1)))</f>
        <v/>
      </c>
      <c r="L85" s="30" t="str">
        <f t="array" ref="L85">IF(OR($B85="",$C85="",$E85=""),"",IF(OR(L$8&lt;$E85,L$8-$E85&gt;=12),0,$C85*INDEX(Fondsen!$F$5:$Q$30,MATCH($B85,Fondsen!$A$5:$A$30,0),L$8-$E85+1)))</f>
        <v/>
      </c>
      <c r="M85" s="31" t="str">
        <f t="array" ref="M85">IF(OR($B85="",$C85="",$E85=""),"",IF(OR(M$8&lt;$E85,M$8-$E85&gt;=12),0,$C85*INDEX(Fondsen!$F$5:$Q$30,MATCH($B85,Fondsen!$A$5:$A$30,0),M$8-$E85+1)))</f>
        <v/>
      </c>
      <c r="N85" s="30" t="str">
        <f t="array" ref="N85">IF(OR($B85="",$C85="",$E85=""),"",IF(OR(N$8&lt;$E85,N$8-$E85&gt;=12),0,$C85*INDEX(Fondsen!$F$5:$Q$30,MATCH($B85,Fondsen!$A$5:$A$30,0),N$8-$E85+1)))</f>
        <v/>
      </c>
      <c r="O85" s="31" t="str">
        <f t="array" ref="O85">IF(OR($B85="",$C85="",$E85=""),"",IF(OR(O$8&lt;$E85,O$8-$E85&gt;=12),0,$C85*INDEX(Fondsen!$F$5:$Q$30,MATCH($B85,Fondsen!$A$5:$A$30,0),O$8-$E85+1)))</f>
        <v/>
      </c>
      <c r="P85" s="30" t="str">
        <f t="array" ref="P85">IF(OR($B85="",$C85="",$E85=""),"",IF(OR(P$8&lt;$E85,P$8-$E85&gt;=12),0,$C85*INDEX(Fondsen!$F$5:$Q$30,MATCH($B85,Fondsen!$A$5:$A$30,0),P$8-$E85+1)))</f>
        <v/>
      </c>
      <c r="Q85" s="31" t="str">
        <f t="array" ref="Q85">IF(OR($B85="",$C85="",$E85=""),"",IF(OR(Q$8&lt;$E85,Q$8-$E85&gt;=12),0,$C85*INDEX(Fondsen!$F$5:$Q$30,MATCH($B85,Fondsen!$A$5:$A$30,0),Q$8-$E85+1)))</f>
        <v/>
      </c>
      <c r="R85" s="30" t="str">
        <f t="array" ref="R85">IF(OR($B85="",$C85="",$E85=""),"",IF(OR(R$8&lt;$E85,R$8-$E85&gt;=12),0,$C85*INDEX(Fondsen!$F$5:$Q$30,MATCH($B85,Fondsen!$A$5:$A$30,0),R$8-$E85+1)))</f>
        <v/>
      </c>
      <c r="S85" s="31" t="str">
        <f t="array" ref="S85">IF(OR($B85="",$C85="",$E85=""),"",IF(OR(S$8&lt;$E85,S$8-$E85&gt;=12),0,$C85*INDEX(Fondsen!$F$5:$Q$30,MATCH($B85,Fondsen!$A$5:$A$30,0),S$8-$E85+1)))</f>
        <v/>
      </c>
      <c r="T85" s="30" t="str">
        <f t="array" ref="T85">IF(OR($B85="",$C85="",$E85=""),"",IF(OR(T$8&lt;$E85,T$8-$E85&gt;=12),0,$C85*INDEX(Fondsen!$F$5:$Q$30,MATCH($B85,Fondsen!$A$5:$A$30,0),T$8-$E85+1)))</f>
        <v/>
      </c>
      <c r="U85" s="31" t="str">
        <f t="array" ref="U85">IF(OR($B85="",$C85="",$E85=""),"",IF(OR(U$8&lt;$E85,U$8-$E85&gt;=12),0,$C85*INDEX(Fondsen!$F$5:$Q$30,MATCH($B85,Fondsen!$A$5:$A$30,0),U$8-$E85+1)))</f>
        <v/>
      </c>
      <c r="V85" s="30" t="str">
        <f t="array" ref="V85">IF(OR($B85="",$C85="",$E85=""),"",IF(OR(V$8&lt;$E85,V$8-$E85&gt;=12),0,$C85*INDEX(Fondsen!$F$5:$Q$30,MATCH($B85,Fondsen!$A$5:$A$30,0),V$8-$E85+1)))</f>
        <v/>
      </c>
      <c r="W85" s="31" t="str">
        <f t="array" ref="W85">IF(OR($B85="",$C85="",$E85=""),"",IF(OR(W$8&lt;$E85,W$8-$E85&gt;=12),0,$C85*INDEX(Fondsen!$F$5:$Q$30,MATCH($B85,Fondsen!$A$5:$A$30,0),W$8-$E85+1)))</f>
        <v/>
      </c>
      <c r="X85" s="30" t="str">
        <f t="array" ref="X85">IF(OR($B85="",$C85="",$E85=""),"",IF(OR(X$8&lt;$E85,X$8-$E85&gt;=12),0,$C85*INDEX(Fondsen!$F$5:$Q$30,MATCH($B85,Fondsen!$A$5:$A$30,0),X$8-$E85+1)))</f>
        <v/>
      </c>
      <c r="Y85" s="31" t="str">
        <f t="array" ref="Y85">IF(OR($B85="",$C85="",$E85=""),"",IF(OR(Y$8&lt;$E85,Y$8-$E85&gt;=12),0,$C85*INDEX(Fondsen!$F$5:$Q$30,MATCH($B85,Fondsen!$A$5:$A$30,0),Y$8-$E85+1)))</f>
        <v/>
      </c>
      <c r="Z85" s="30" t="str">
        <f t="array" ref="Z85">IF(OR($B85="",$C85="",$E85=""),"",IF(OR(Z$8&lt;$E85,Z$8-$E85&gt;=12),0,$C85*INDEX(Fondsen!$F$5:$Q$30,MATCH($B85,Fondsen!$A$5:$A$30,0),Z$8-$E85+1)))</f>
        <v/>
      </c>
      <c r="AA85" s="31" t="str">
        <f t="array" ref="AA85">IF(OR($B85="",$C85="",$E85=""),"",IF(OR(AA$8&lt;$E85,AA$8-$E85&gt;=12),0,$C85*INDEX(Fondsen!$F$5:$Q$30,MATCH($B85,Fondsen!$A$5:$A$30,0),AA$8-$E85+1)))</f>
        <v/>
      </c>
      <c r="AB85" s="30" t="str">
        <f t="array" ref="AB85">IF(OR($B85="",$C85="",$E85=""),"",IF(OR(AB$8&lt;$E85,AB$8-$E85&gt;=12),0,$C85*INDEX(Fondsen!$F$5:$Q$30,MATCH($B85,Fondsen!$A$5:$A$30,0),AB$8-$E85+1)))</f>
        <v/>
      </c>
      <c r="AC85" s="31" t="str">
        <f t="array" ref="AC85">IF(OR($B85="",$C85="",$E85=""),"",IF(OR(AC$8&lt;$E85,AC$8-$E85&gt;=12),0,$C85*INDEX(Fondsen!$F$5:$Q$30,MATCH($B85,Fondsen!$A$5:$A$30,0),AC$8-$E85+1)))</f>
        <v/>
      </c>
      <c r="AD85" s="30" t="str">
        <f t="array" ref="AD85">IF(OR($B85="",$C85="",$E85=""),"",IF(OR(AD$8&lt;$E85,AD$8-$E85&gt;=12),0,$C85*INDEX(Fondsen!$F$5:$Q$30,MATCH($B85,Fondsen!$A$5:$A$30,0),AD$8-$E85+1)))</f>
        <v/>
      </c>
      <c r="AE85" s="31" t="str">
        <f t="array" ref="AE85">IF(OR($B85="",$C85="",$E85=""),"",IF(OR(AE$8&lt;$E85,AE$8-$E85&gt;=12),0,$C85*INDEX(Fondsen!$F$5:$Q$30,MATCH($B85,Fondsen!$A$5:$A$30,0),AE$8-$E85+1)))</f>
        <v/>
      </c>
      <c r="AF85" s="30" t="str">
        <f t="array" ref="AF85">IF(OR($B85="",$C85="",$E85=""),"",IF(OR(AF$8&lt;$E85,AF$8-$E85&gt;=12),0,$C85*INDEX(Fondsen!$F$5:$Q$30,MATCH($B85,Fondsen!$A$5:$A$30,0),AF$8-$E85+1)))</f>
        <v/>
      </c>
      <c r="AG85" s="31" t="str">
        <f t="array" ref="AG85">IF(OR($B85="",$C85="",$E85=""),"",IF(OR(AG$8&lt;$E85,AG$8-$E85&gt;=12),0,$C85*INDEX(Fondsen!$F$5:$Q$30,MATCH($B85,Fondsen!$A$5:$A$30,0),AG$8-$E85+1)))</f>
        <v/>
      </c>
      <c r="AH85" s="30" t="str">
        <f t="array" ref="AH85">IF(OR($B85="",$C85="",$E85=""),"",IF(OR(AH$8&lt;$E85,AH$8-$E85&gt;=12),0,$C85*INDEX(Fondsen!$F$5:$Q$30,MATCH($B85,Fondsen!$A$5:$A$30,0),AH$8-$E85+1)))</f>
        <v/>
      </c>
      <c r="AI85" s="31" t="str">
        <f t="array" ref="AI85">IF(OR($B85="",$C85="",$E85=""),"",IF(OR(AI$8&lt;$E85,AI$8-$E85&gt;=12),0,$C85*INDEX(Fondsen!$F$5:$Q$30,MATCH($B85,Fondsen!$A$5:$A$30,0),AI$8-$E85+1)))</f>
        <v/>
      </c>
      <c r="AJ85" s="30" t="str">
        <f t="array" ref="AJ85">IF(OR($B85="",$C85="",$E85=""),"",IF(OR(AJ$8&lt;$E85,AJ$8-$E85&gt;=12),0,$C85*INDEX(Fondsen!$F$5:$Q$30,MATCH($B85,Fondsen!$A$5:$A$30,0),AJ$8-$E85+1)))</f>
        <v/>
      </c>
      <c r="AK85" s="31" t="str">
        <f t="array" ref="AK85">IF(OR($B85="",$C85="",$E85=""),"",IF(OR(AK$8&lt;$E85,AK$8-$E85&gt;=12),0,$C85*INDEX(Fondsen!$F$5:$Q$30,MATCH($B85,Fondsen!$A$5:$A$30,0),AK$8-$E85+1)))</f>
        <v/>
      </c>
      <c r="AL85" s="30" t="str">
        <f t="array" ref="AL85">IF(OR($B85="",$C85="",$E85=""),"",IF(OR(AL$8&lt;$E85,AL$8-$E85&gt;=12),0,$C85*INDEX(Fondsen!$F$5:$Q$30,MATCH($B85,Fondsen!$A$5:$A$30,0),AL$8-$E85+1)))</f>
        <v/>
      </c>
      <c r="AM85" s="31" t="str">
        <f t="array" ref="AM85">IF(OR($B85="",$C85="",$E85=""),"",IF(OR(AM$8&lt;$E85,AM$8-$E85&gt;=12),0,$C85*INDEX(Fondsen!$F$5:$Q$30,MATCH($B85,Fondsen!$A$5:$A$30,0),AM$8-$E85+1)))</f>
        <v/>
      </c>
      <c r="AN85" s="30" t="str">
        <f t="array" ref="AN85">IF(OR($B85="",$C85="",$E85=""),"",IF(OR(AN$8&lt;$E85,AN$8-$E85&gt;=12),0,$C85*INDEX(Fondsen!$F$5:$Q$30,MATCH($B85,Fondsen!$A$5:$A$30,0),AN$8-$E85+1)))</f>
        <v/>
      </c>
      <c r="AO85" s="31" t="str">
        <f t="array" ref="AO85">IF(OR($B85="",$C85="",$E85=""),"",IF(OR(AO$8&lt;$E85,AO$8-$E85&gt;=12),0,$C85*INDEX(Fondsen!$F$5:$Q$30,MATCH($B85,Fondsen!$A$5:$A$30,0),AO$8-$E85+1)))</f>
        <v/>
      </c>
      <c r="AP85" s="30" t="str">
        <f t="array" ref="AP85">IF(OR($B85="",$C85="",$E85=""),"",IF(OR(AP$8&lt;$E85,AP$8-$E85&gt;=12),0,$C85*INDEX(Fondsen!$F$5:$Q$30,MATCH($B85,Fondsen!$A$5:$A$30,0),AP$8-$E85+1)))</f>
        <v/>
      </c>
      <c r="AQ85" s="31" t="str">
        <f t="array" ref="AQ85">IF(OR($B85="",$C85="",$E85=""),"",IF(OR(AQ$8&lt;$E85,AQ$8-$E85&gt;=12),0,$C85*INDEX(Fondsen!$F$5:$Q$30,MATCH($B85,Fondsen!$A$5:$A$30,0),AQ$8-$E85+1)))</f>
        <v/>
      </c>
      <c r="AR85" s="30" t="str">
        <f t="array" ref="AR85">IF(OR($B85="",$C85="",$E85=""),"",IF(OR(AR$8&lt;$E85,AR$8-$E85&gt;=12),0,$C85*INDEX(Fondsen!$F$5:$Q$30,MATCH($B85,Fondsen!$A$5:$A$30,0),AR$8-$E85+1)))</f>
        <v/>
      </c>
      <c r="AS85" s="31" t="str">
        <f t="array" ref="AS85">IF(OR($B85="",$C85="",$E85=""),"",IF(OR(AS$8&lt;$E85,AS$8-$E85&gt;=12),0,$C85*INDEX(Fondsen!$F$5:$Q$30,MATCH($B85,Fondsen!$A$5:$A$30,0),AS$8-$E85+1)))</f>
        <v/>
      </c>
      <c r="AT85" s="45"/>
    </row>
    <row r="86" ht="24.0" customHeight="1" outlineLevel="1">
      <c r="A86" s="33" t="str">
        <f>IF(B86="","",IFERROR(VLOOKUP(B86,Fondsen!$A$5:$B$30,2,FALSE()),""))</f>
        <v/>
      </c>
      <c r="B86" s="34"/>
      <c r="C86" s="35"/>
      <c r="D86" s="46" t="s">
        <v>11</v>
      </c>
      <c r="E86" s="37"/>
      <c r="F86" s="38" t="str">
        <f t="array" ref="F86">IF(OR($B86="",$C86="",$E86=""),"",IF(OR(F$8&lt;$E86,F$8-$E86&gt;=12),0,$C86*INDEX(Fondsen!$F$5:$Q$30,MATCH($B86,Fondsen!$A$5:$A$30,0),F$8-$E86+1)))</f>
        <v/>
      </c>
      <c r="G86" s="39" t="str">
        <f t="array" ref="G86">IF(OR($B86="",$C86="",$E86=""),"",IF(OR(G$8&lt;$E86,G$8-$E86&gt;=12),0,$C86*INDEX(Fondsen!$F$5:$Q$30,MATCH($B86,Fondsen!$A$5:$A$30,0),G$8-$E86+1)))</f>
        <v/>
      </c>
      <c r="H86" s="38" t="str">
        <f t="array" ref="H86">IF(OR($B86="",$C86="",$E86=""),"",IF(OR(H$8&lt;$E86,H$8-$E86&gt;=12),0,$C86*INDEX(Fondsen!$F$5:$Q$30,MATCH($B86,Fondsen!$A$5:$A$30,0),H$8-$E86+1)))</f>
        <v/>
      </c>
      <c r="I86" s="39" t="str">
        <f t="array" ref="I86">IF(OR($B86="",$C86="",$E86=""),"",IF(OR(I$8&lt;$E86,I$8-$E86&gt;=12),0,$C86*INDEX(Fondsen!$F$5:$Q$30,MATCH($B86,Fondsen!$A$5:$A$30,0),I$8-$E86+1)))</f>
        <v/>
      </c>
      <c r="J86" s="38" t="str">
        <f t="array" ref="J86">IF(OR($B86="",$C86="",$E86=""),"",IF(OR(J$8&lt;$E86,J$8-$E86&gt;=12),0,$C86*INDEX(Fondsen!$F$5:$Q$30,MATCH($B86,Fondsen!$A$5:$A$30,0),J$8-$E86+1)))</f>
        <v/>
      </c>
      <c r="K86" s="39" t="str">
        <f t="array" ref="K86">IF(OR($B86="",$C86="",$E86=""),"",IF(OR(K$8&lt;$E86,K$8-$E86&gt;=12),0,$C86*INDEX(Fondsen!$F$5:$Q$30,MATCH($B86,Fondsen!$A$5:$A$30,0),K$8-$E86+1)))</f>
        <v/>
      </c>
      <c r="L86" s="38" t="str">
        <f t="array" ref="L86">IF(OR($B86="",$C86="",$E86=""),"",IF(OR(L$8&lt;$E86,L$8-$E86&gt;=12),0,$C86*INDEX(Fondsen!$F$5:$Q$30,MATCH($B86,Fondsen!$A$5:$A$30,0),L$8-$E86+1)))</f>
        <v/>
      </c>
      <c r="M86" s="39" t="str">
        <f t="array" ref="M86">IF(OR($B86="",$C86="",$E86=""),"",IF(OR(M$8&lt;$E86,M$8-$E86&gt;=12),0,$C86*INDEX(Fondsen!$F$5:$Q$30,MATCH($B86,Fondsen!$A$5:$A$30,0),M$8-$E86+1)))</f>
        <v/>
      </c>
      <c r="N86" s="38" t="str">
        <f t="array" ref="N86">IF(OR($B86="",$C86="",$E86=""),"",IF(OR(N$8&lt;$E86,N$8-$E86&gt;=12),0,$C86*INDEX(Fondsen!$F$5:$Q$30,MATCH($B86,Fondsen!$A$5:$A$30,0),N$8-$E86+1)))</f>
        <v/>
      </c>
      <c r="O86" s="39" t="str">
        <f t="array" ref="O86">IF(OR($B86="",$C86="",$E86=""),"",IF(OR(O$8&lt;$E86,O$8-$E86&gt;=12),0,$C86*INDEX(Fondsen!$F$5:$Q$30,MATCH($B86,Fondsen!$A$5:$A$30,0),O$8-$E86+1)))</f>
        <v/>
      </c>
      <c r="P86" s="38" t="str">
        <f t="array" ref="P86">IF(OR($B86="",$C86="",$E86=""),"",IF(OR(P$8&lt;$E86,P$8-$E86&gt;=12),0,$C86*INDEX(Fondsen!$F$5:$Q$30,MATCH($B86,Fondsen!$A$5:$A$30,0),P$8-$E86+1)))</f>
        <v/>
      </c>
      <c r="Q86" s="39" t="str">
        <f t="array" ref="Q86">IF(OR($B86="",$C86="",$E86=""),"",IF(OR(Q$8&lt;$E86,Q$8-$E86&gt;=12),0,$C86*INDEX(Fondsen!$F$5:$Q$30,MATCH($B86,Fondsen!$A$5:$A$30,0),Q$8-$E86+1)))</f>
        <v/>
      </c>
      <c r="R86" s="38" t="str">
        <f t="array" ref="R86">IF(OR($B86="",$C86="",$E86=""),"",IF(OR(R$8&lt;$E86,R$8-$E86&gt;=12),0,$C86*INDEX(Fondsen!$F$5:$Q$30,MATCH($B86,Fondsen!$A$5:$A$30,0),R$8-$E86+1)))</f>
        <v/>
      </c>
      <c r="S86" s="39" t="str">
        <f t="array" ref="S86">IF(OR($B86="",$C86="",$E86=""),"",IF(OR(S$8&lt;$E86,S$8-$E86&gt;=12),0,$C86*INDEX(Fondsen!$F$5:$Q$30,MATCH($B86,Fondsen!$A$5:$A$30,0),S$8-$E86+1)))</f>
        <v/>
      </c>
      <c r="T86" s="38" t="str">
        <f t="array" ref="T86">IF(OR($B86="",$C86="",$E86=""),"",IF(OR(T$8&lt;$E86,T$8-$E86&gt;=12),0,$C86*INDEX(Fondsen!$F$5:$Q$30,MATCH($B86,Fondsen!$A$5:$A$30,0),T$8-$E86+1)))</f>
        <v/>
      </c>
      <c r="U86" s="39" t="str">
        <f t="array" ref="U86">IF(OR($B86="",$C86="",$E86=""),"",IF(OR(U$8&lt;$E86,U$8-$E86&gt;=12),0,$C86*INDEX(Fondsen!$F$5:$Q$30,MATCH($B86,Fondsen!$A$5:$A$30,0),U$8-$E86+1)))</f>
        <v/>
      </c>
      <c r="V86" s="38" t="str">
        <f t="array" ref="V86">IF(OR($B86="",$C86="",$E86=""),"",IF(OR(V$8&lt;$E86,V$8-$E86&gt;=12),0,$C86*INDEX(Fondsen!$F$5:$Q$30,MATCH($B86,Fondsen!$A$5:$A$30,0),V$8-$E86+1)))</f>
        <v/>
      </c>
      <c r="W86" s="39" t="str">
        <f t="array" ref="W86">IF(OR($B86="",$C86="",$E86=""),"",IF(OR(W$8&lt;$E86,W$8-$E86&gt;=12),0,$C86*INDEX(Fondsen!$F$5:$Q$30,MATCH($B86,Fondsen!$A$5:$A$30,0),W$8-$E86+1)))</f>
        <v/>
      </c>
      <c r="X86" s="38" t="str">
        <f t="array" ref="X86">IF(OR($B86="",$C86="",$E86=""),"",IF(OR(X$8&lt;$E86,X$8-$E86&gt;=12),0,$C86*INDEX(Fondsen!$F$5:$Q$30,MATCH($B86,Fondsen!$A$5:$A$30,0),X$8-$E86+1)))</f>
        <v/>
      </c>
      <c r="Y86" s="39" t="str">
        <f t="array" ref="Y86">IF(OR($B86="",$C86="",$E86=""),"",IF(OR(Y$8&lt;$E86,Y$8-$E86&gt;=12),0,$C86*INDEX(Fondsen!$F$5:$Q$30,MATCH($B86,Fondsen!$A$5:$A$30,0),Y$8-$E86+1)))</f>
        <v/>
      </c>
      <c r="Z86" s="38" t="str">
        <f t="array" ref="Z86">IF(OR($B86="",$C86="",$E86=""),"",IF(OR(Z$8&lt;$E86,Z$8-$E86&gt;=12),0,$C86*INDEX(Fondsen!$F$5:$Q$30,MATCH($B86,Fondsen!$A$5:$A$30,0),Z$8-$E86+1)))</f>
        <v/>
      </c>
      <c r="AA86" s="39" t="str">
        <f t="array" ref="AA86">IF(OR($B86="",$C86="",$E86=""),"",IF(OR(AA$8&lt;$E86,AA$8-$E86&gt;=12),0,$C86*INDEX(Fondsen!$F$5:$Q$30,MATCH($B86,Fondsen!$A$5:$A$30,0),AA$8-$E86+1)))</f>
        <v/>
      </c>
      <c r="AB86" s="38" t="str">
        <f t="array" ref="AB86">IF(OR($B86="",$C86="",$E86=""),"",IF(OR(AB$8&lt;$E86,AB$8-$E86&gt;=12),0,$C86*INDEX(Fondsen!$F$5:$Q$30,MATCH($B86,Fondsen!$A$5:$A$30,0),AB$8-$E86+1)))</f>
        <v/>
      </c>
      <c r="AC86" s="39" t="str">
        <f t="array" ref="AC86">IF(OR($B86="",$C86="",$E86=""),"",IF(OR(AC$8&lt;$E86,AC$8-$E86&gt;=12),0,$C86*INDEX(Fondsen!$F$5:$Q$30,MATCH($B86,Fondsen!$A$5:$A$30,0),AC$8-$E86+1)))</f>
        <v/>
      </c>
      <c r="AD86" s="38" t="str">
        <f t="array" ref="AD86">IF(OR($B86="",$C86="",$E86=""),"",IF(OR(AD$8&lt;$E86,AD$8-$E86&gt;=12),0,$C86*INDEX(Fondsen!$F$5:$Q$30,MATCH($B86,Fondsen!$A$5:$A$30,0),AD$8-$E86+1)))</f>
        <v/>
      </c>
      <c r="AE86" s="39" t="str">
        <f t="array" ref="AE86">IF(OR($B86="",$C86="",$E86=""),"",IF(OR(AE$8&lt;$E86,AE$8-$E86&gt;=12),0,$C86*INDEX(Fondsen!$F$5:$Q$30,MATCH($B86,Fondsen!$A$5:$A$30,0),AE$8-$E86+1)))</f>
        <v/>
      </c>
      <c r="AF86" s="38" t="str">
        <f t="array" ref="AF86">IF(OR($B86="",$C86="",$E86=""),"",IF(OR(AF$8&lt;$E86,AF$8-$E86&gt;=12),0,$C86*INDEX(Fondsen!$F$5:$Q$30,MATCH($B86,Fondsen!$A$5:$A$30,0),AF$8-$E86+1)))</f>
        <v/>
      </c>
      <c r="AG86" s="39" t="str">
        <f t="array" ref="AG86">IF(OR($B86="",$C86="",$E86=""),"",IF(OR(AG$8&lt;$E86,AG$8-$E86&gt;=12),0,$C86*INDEX(Fondsen!$F$5:$Q$30,MATCH($B86,Fondsen!$A$5:$A$30,0),AG$8-$E86+1)))</f>
        <v/>
      </c>
      <c r="AH86" s="38" t="str">
        <f t="array" ref="AH86">IF(OR($B86="",$C86="",$E86=""),"",IF(OR(AH$8&lt;$E86,AH$8-$E86&gt;=12),0,$C86*INDEX(Fondsen!$F$5:$Q$30,MATCH($B86,Fondsen!$A$5:$A$30,0),AH$8-$E86+1)))</f>
        <v/>
      </c>
      <c r="AI86" s="39" t="str">
        <f t="array" ref="AI86">IF(OR($B86="",$C86="",$E86=""),"",IF(OR(AI$8&lt;$E86,AI$8-$E86&gt;=12),0,$C86*INDEX(Fondsen!$F$5:$Q$30,MATCH($B86,Fondsen!$A$5:$A$30,0),AI$8-$E86+1)))</f>
        <v/>
      </c>
      <c r="AJ86" s="38" t="str">
        <f t="array" ref="AJ86">IF(OR($B86="",$C86="",$E86=""),"",IF(OR(AJ$8&lt;$E86,AJ$8-$E86&gt;=12),0,$C86*INDEX(Fondsen!$F$5:$Q$30,MATCH($B86,Fondsen!$A$5:$A$30,0),AJ$8-$E86+1)))</f>
        <v/>
      </c>
      <c r="AK86" s="39" t="str">
        <f t="array" ref="AK86">IF(OR($B86="",$C86="",$E86=""),"",IF(OR(AK$8&lt;$E86,AK$8-$E86&gt;=12),0,$C86*INDEX(Fondsen!$F$5:$Q$30,MATCH($B86,Fondsen!$A$5:$A$30,0),AK$8-$E86+1)))</f>
        <v/>
      </c>
      <c r="AL86" s="38" t="str">
        <f t="array" ref="AL86">IF(OR($B86="",$C86="",$E86=""),"",IF(OR(AL$8&lt;$E86,AL$8-$E86&gt;=12),0,$C86*INDEX(Fondsen!$F$5:$Q$30,MATCH($B86,Fondsen!$A$5:$A$30,0),AL$8-$E86+1)))</f>
        <v/>
      </c>
      <c r="AM86" s="39" t="str">
        <f t="array" ref="AM86">IF(OR($B86="",$C86="",$E86=""),"",IF(OR(AM$8&lt;$E86,AM$8-$E86&gt;=12),0,$C86*INDEX(Fondsen!$F$5:$Q$30,MATCH($B86,Fondsen!$A$5:$A$30,0),AM$8-$E86+1)))</f>
        <v/>
      </c>
      <c r="AN86" s="38" t="str">
        <f t="array" ref="AN86">IF(OR($B86="",$C86="",$E86=""),"",IF(OR(AN$8&lt;$E86,AN$8-$E86&gt;=12),0,$C86*INDEX(Fondsen!$F$5:$Q$30,MATCH($B86,Fondsen!$A$5:$A$30,0),AN$8-$E86+1)))</f>
        <v/>
      </c>
      <c r="AO86" s="39" t="str">
        <f t="array" ref="AO86">IF(OR($B86="",$C86="",$E86=""),"",IF(OR(AO$8&lt;$E86,AO$8-$E86&gt;=12),0,$C86*INDEX(Fondsen!$F$5:$Q$30,MATCH($B86,Fondsen!$A$5:$A$30,0),AO$8-$E86+1)))</f>
        <v/>
      </c>
      <c r="AP86" s="38" t="str">
        <f t="array" ref="AP86">IF(OR($B86="",$C86="",$E86=""),"",IF(OR(AP$8&lt;$E86,AP$8-$E86&gt;=12),0,$C86*INDEX(Fondsen!$F$5:$Q$30,MATCH($B86,Fondsen!$A$5:$A$30,0),AP$8-$E86+1)))</f>
        <v/>
      </c>
      <c r="AQ86" s="39" t="str">
        <f t="array" ref="AQ86">IF(OR($B86="",$C86="",$E86=""),"",IF(OR(AQ$8&lt;$E86,AQ$8-$E86&gt;=12),0,$C86*INDEX(Fondsen!$F$5:$Q$30,MATCH($B86,Fondsen!$A$5:$A$30,0),AQ$8-$E86+1)))</f>
        <v/>
      </c>
      <c r="AR86" s="38" t="str">
        <f t="array" ref="AR86">IF(OR($B86="",$C86="",$E86=""),"",IF(OR(AR$8&lt;$E86,AR$8-$E86&gt;=12),0,$C86*INDEX(Fondsen!$F$5:$Q$30,MATCH($B86,Fondsen!$A$5:$A$30,0),AR$8-$E86+1)))</f>
        <v/>
      </c>
      <c r="AS86" s="39" t="str">
        <f t="array" ref="AS86">IF(OR($B86="",$C86="",$E86=""),"",IF(OR(AS$8&lt;$E86,AS$8-$E86&gt;=12),0,$C86*INDEX(Fondsen!$F$5:$Q$30,MATCH($B86,Fondsen!$A$5:$A$30,0),AS$8-$E86+1)))</f>
        <v/>
      </c>
      <c r="AT86" s="45"/>
    </row>
    <row r="87" ht="24.0" customHeight="1" outlineLevel="1">
      <c r="A87" s="47" t="str">
        <f>IF(B87="","",IFERROR(VLOOKUP(B87,Fondsen!$A$5:$B$30,2,FALSE()),""))</f>
        <v/>
      </c>
      <c r="B87" s="26"/>
      <c r="C87" s="27"/>
      <c r="D87" s="44" t="s">
        <v>11</v>
      </c>
      <c r="E87" s="29"/>
      <c r="F87" s="30" t="str">
        <f t="array" ref="F87">IF(OR($B87="",$C87="",$E87=""),"",IF(OR(F$8&lt;$E87,F$8-$E87&gt;=12),0,$C87*INDEX(Fondsen!$F$5:$Q$30,MATCH($B87,Fondsen!$A$5:$A$30,0),F$8-$E87+1)))</f>
        <v/>
      </c>
      <c r="G87" s="31" t="str">
        <f t="array" ref="G87">IF(OR($B87="",$C87="",$E87=""),"",IF(OR(G$8&lt;$E87,G$8-$E87&gt;=12),0,$C87*INDEX(Fondsen!$F$5:$Q$30,MATCH($B87,Fondsen!$A$5:$A$30,0),G$8-$E87+1)))</f>
        <v/>
      </c>
      <c r="H87" s="30" t="str">
        <f t="array" ref="H87">IF(OR($B87="",$C87="",$E87=""),"",IF(OR(H$8&lt;$E87,H$8-$E87&gt;=12),0,$C87*INDEX(Fondsen!$F$5:$Q$30,MATCH($B87,Fondsen!$A$5:$A$30,0),H$8-$E87+1)))</f>
        <v/>
      </c>
      <c r="I87" s="31" t="str">
        <f t="array" ref="I87">IF(OR($B87="",$C87="",$E87=""),"",IF(OR(I$8&lt;$E87,I$8-$E87&gt;=12),0,$C87*INDEX(Fondsen!$F$5:$Q$30,MATCH($B87,Fondsen!$A$5:$A$30,0),I$8-$E87+1)))</f>
        <v/>
      </c>
      <c r="J87" s="30" t="str">
        <f t="array" ref="J87">IF(OR($B87="",$C87="",$E87=""),"",IF(OR(J$8&lt;$E87,J$8-$E87&gt;=12),0,$C87*INDEX(Fondsen!$F$5:$Q$30,MATCH($B87,Fondsen!$A$5:$A$30,0),J$8-$E87+1)))</f>
        <v/>
      </c>
      <c r="K87" s="31" t="str">
        <f t="array" ref="K87">IF(OR($B87="",$C87="",$E87=""),"",IF(OR(K$8&lt;$E87,K$8-$E87&gt;=12),0,$C87*INDEX(Fondsen!$F$5:$Q$30,MATCH($B87,Fondsen!$A$5:$A$30,0),K$8-$E87+1)))</f>
        <v/>
      </c>
      <c r="L87" s="30" t="str">
        <f t="array" ref="L87">IF(OR($B87="",$C87="",$E87=""),"",IF(OR(L$8&lt;$E87,L$8-$E87&gt;=12),0,$C87*INDEX(Fondsen!$F$5:$Q$30,MATCH($B87,Fondsen!$A$5:$A$30,0),L$8-$E87+1)))</f>
        <v/>
      </c>
      <c r="M87" s="31" t="str">
        <f t="array" ref="M87">IF(OR($B87="",$C87="",$E87=""),"",IF(OR(M$8&lt;$E87,M$8-$E87&gt;=12),0,$C87*INDEX(Fondsen!$F$5:$Q$30,MATCH($B87,Fondsen!$A$5:$A$30,0),M$8-$E87+1)))</f>
        <v/>
      </c>
      <c r="N87" s="30" t="str">
        <f t="array" ref="N87">IF(OR($B87="",$C87="",$E87=""),"",IF(OR(N$8&lt;$E87,N$8-$E87&gt;=12),0,$C87*INDEX(Fondsen!$F$5:$Q$30,MATCH($B87,Fondsen!$A$5:$A$30,0),N$8-$E87+1)))</f>
        <v/>
      </c>
      <c r="O87" s="31" t="str">
        <f t="array" ref="O87">IF(OR($B87="",$C87="",$E87=""),"",IF(OR(O$8&lt;$E87,O$8-$E87&gt;=12),0,$C87*INDEX(Fondsen!$F$5:$Q$30,MATCH($B87,Fondsen!$A$5:$A$30,0),O$8-$E87+1)))</f>
        <v/>
      </c>
      <c r="P87" s="30" t="str">
        <f t="array" ref="P87">IF(OR($B87="",$C87="",$E87=""),"",IF(OR(P$8&lt;$E87,P$8-$E87&gt;=12),0,$C87*INDEX(Fondsen!$F$5:$Q$30,MATCH($B87,Fondsen!$A$5:$A$30,0),P$8-$E87+1)))</f>
        <v/>
      </c>
      <c r="Q87" s="31" t="str">
        <f t="array" ref="Q87">IF(OR($B87="",$C87="",$E87=""),"",IF(OR(Q$8&lt;$E87,Q$8-$E87&gt;=12),0,$C87*INDEX(Fondsen!$F$5:$Q$30,MATCH($B87,Fondsen!$A$5:$A$30,0),Q$8-$E87+1)))</f>
        <v/>
      </c>
      <c r="R87" s="30" t="str">
        <f t="array" ref="R87">IF(OR($B87="",$C87="",$E87=""),"",IF(OR(R$8&lt;$E87,R$8-$E87&gt;=12),0,$C87*INDEX(Fondsen!$F$5:$Q$30,MATCH($B87,Fondsen!$A$5:$A$30,0),R$8-$E87+1)))</f>
        <v/>
      </c>
      <c r="S87" s="31" t="str">
        <f t="array" ref="S87">IF(OR($B87="",$C87="",$E87=""),"",IF(OR(S$8&lt;$E87,S$8-$E87&gt;=12),0,$C87*INDEX(Fondsen!$F$5:$Q$30,MATCH($B87,Fondsen!$A$5:$A$30,0),S$8-$E87+1)))</f>
        <v/>
      </c>
      <c r="T87" s="30" t="str">
        <f t="array" ref="T87">IF(OR($B87="",$C87="",$E87=""),"",IF(OR(T$8&lt;$E87,T$8-$E87&gt;=12),0,$C87*INDEX(Fondsen!$F$5:$Q$30,MATCH($B87,Fondsen!$A$5:$A$30,0),T$8-$E87+1)))</f>
        <v/>
      </c>
      <c r="U87" s="31" t="str">
        <f t="array" ref="U87">IF(OR($B87="",$C87="",$E87=""),"",IF(OR(U$8&lt;$E87,U$8-$E87&gt;=12),0,$C87*INDEX(Fondsen!$F$5:$Q$30,MATCH($B87,Fondsen!$A$5:$A$30,0),U$8-$E87+1)))</f>
        <v/>
      </c>
      <c r="V87" s="30" t="str">
        <f t="array" ref="V87">IF(OR($B87="",$C87="",$E87=""),"",IF(OR(V$8&lt;$E87,V$8-$E87&gt;=12),0,$C87*INDEX(Fondsen!$F$5:$Q$30,MATCH($B87,Fondsen!$A$5:$A$30,0),V$8-$E87+1)))</f>
        <v/>
      </c>
      <c r="W87" s="31" t="str">
        <f t="array" ref="W87">IF(OR($B87="",$C87="",$E87=""),"",IF(OR(W$8&lt;$E87,W$8-$E87&gt;=12),0,$C87*INDEX(Fondsen!$F$5:$Q$30,MATCH($B87,Fondsen!$A$5:$A$30,0),W$8-$E87+1)))</f>
        <v/>
      </c>
      <c r="X87" s="30" t="str">
        <f t="array" ref="X87">IF(OR($B87="",$C87="",$E87=""),"",IF(OR(X$8&lt;$E87,X$8-$E87&gt;=12),0,$C87*INDEX(Fondsen!$F$5:$Q$30,MATCH($B87,Fondsen!$A$5:$A$30,0),X$8-$E87+1)))</f>
        <v/>
      </c>
      <c r="Y87" s="31" t="str">
        <f t="array" ref="Y87">IF(OR($B87="",$C87="",$E87=""),"",IF(OR(Y$8&lt;$E87,Y$8-$E87&gt;=12),0,$C87*INDEX(Fondsen!$F$5:$Q$30,MATCH($B87,Fondsen!$A$5:$A$30,0),Y$8-$E87+1)))</f>
        <v/>
      </c>
      <c r="Z87" s="30" t="str">
        <f t="array" ref="Z87">IF(OR($B87="",$C87="",$E87=""),"",IF(OR(Z$8&lt;$E87,Z$8-$E87&gt;=12),0,$C87*INDEX(Fondsen!$F$5:$Q$30,MATCH($B87,Fondsen!$A$5:$A$30,0),Z$8-$E87+1)))</f>
        <v/>
      </c>
      <c r="AA87" s="31" t="str">
        <f t="array" ref="AA87">IF(OR($B87="",$C87="",$E87=""),"",IF(OR(AA$8&lt;$E87,AA$8-$E87&gt;=12),0,$C87*INDEX(Fondsen!$F$5:$Q$30,MATCH($B87,Fondsen!$A$5:$A$30,0),AA$8-$E87+1)))</f>
        <v/>
      </c>
      <c r="AB87" s="30" t="str">
        <f t="array" ref="AB87">IF(OR($B87="",$C87="",$E87=""),"",IF(OR(AB$8&lt;$E87,AB$8-$E87&gt;=12),0,$C87*INDEX(Fondsen!$F$5:$Q$30,MATCH($B87,Fondsen!$A$5:$A$30,0),AB$8-$E87+1)))</f>
        <v/>
      </c>
      <c r="AC87" s="31" t="str">
        <f t="array" ref="AC87">IF(OR($B87="",$C87="",$E87=""),"",IF(OR(AC$8&lt;$E87,AC$8-$E87&gt;=12),0,$C87*INDEX(Fondsen!$F$5:$Q$30,MATCH($B87,Fondsen!$A$5:$A$30,0),AC$8-$E87+1)))</f>
        <v/>
      </c>
      <c r="AD87" s="30" t="str">
        <f t="array" ref="AD87">IF(OR($B87="",$C87="",$E87=""),"",IF(OR(AD$8&lt;$E87,AD$8-$E87&gt;=12),0,$C87*INDEX(Fondsen!$F$5:$Q$30,MATCH($B87,Fondsen!$A$5:$A$30,0),AD$8-$E87+1)))</f>
        <v/>
      </c>
      <c r="AE87" s="31" t="str">
        <f t="array" ref="AE87">IF(OR($B87="",$C87="",$E87=""),"",IF(OR(AE$8&lt;$E87,AE$8-$E87&gt;=12),0,$C87*INDEX(Fondsen!$F$5:$Q$30,MATCH($B87,Fondsen!$A$5:$A$30,0),AE$8-$E87+1)))</f>
        <v/>
      </c>
      <c r="AF87" s="30" t="str">
        <f t="array" ref="AF87">IF(OR($B87="",$C87="",$E87=""),"",IF(OR(AF$8&lt;$E87,AF$8-$E87&gt;=12),0,$C87*INDEX(Fondsen!$F$5:$Q$30,MATCH($B87,Fondsen!$A$5:$A$30,0),AF$8-$E87+1)))</f>
        <v/>
      </c>
      <c r="AG87" s="31" t="str">
        <f t="array" ref="AG87">IF(OR($B87="",$C87="",$E87=""),"",IF(OR(AG$8&lt;$E87,AG$8-$E87&gt;=12),0,$C87*INDEX(Fondsen!$F$5:$Q$30,MATCH($B87,Fondsen!$A$5:$A$30,0),AG$8-$E87+1)))</f>
        <v/>
      </c>
      <c r="AH87" s="30" t="str">
        <f t="array" ref="AH87">IF(OR($B87="",$C87="",$E87=""),"",IF(OR(AH$8&lt;$E87,AH$8-$E87&gt;=12),0,$C87*INDEX(Fondsen!$F$5:$Q$30,MATCH($B87,Fondsen!$A$5:$A$30,0),AH$8-$E87+1)))</f>
        <v/>
      </c>
      <c r="AI87" s="31" t="str">
        <f t="array" ref="AI87">IF(OR($B87="",$C87="",$E87=""),"",IF(OR(AI$8&lt;$E87,AI$8-$E87&gt;=12),0,$C87*INDEX(Fondsen!$F$5:$Q$30,MATCH($B87,Fondsen!$A$5:$A$30,0),AI$8-$E87+1)))</f>
        <v/>
      </c>
      <c r="AJ87" s="30" t="str">
        <f t="array" ref="AJ87">IF(OR($B87="",$C87="",$E87=""),"",IF(OR(AJ$8&lt;$E87,AJ$8-$E87&gt;=12),0,$C87*INDEX(Fondsen!$F$5:$Q$30,MATCH($B87,Fondsen!$A$5:$A$30,0),AJ$8-$E87+1)))</f>
        <v/>
      </c>
      <c r="AK87" s="31" t="str">
        <f t="array" ref="AK87">IF(OR($B87="",$C87="",$E87=""),"",IF(OR(AK$8&lt;$E87,AK$8-$E87&gt;=12),0,$C87*INDEX(Fondsen!$F$5:$Q$30,MATCH($B87,Fondsen!$A$5:$A$30,0),AK$8-$E87+1)))</f>
        <v/>
      </c>
      <c r="AL87" s="30" t="str">
        <f t="array" ref="AL87">IF(OR($B87="",$C87="",$E87=""),"",IF(OR(AL$8&lt;$E87,AL$8-$E87&gt;=12),0,$C87*INDEX(Fondsen!$F$5:$Q$30,MATCH($B87,Fondsen!$A$5:$A$30,0),AL$8-$E87+1)))</f>
        <v/>
      </c>
      <c r="AM87" s="31" t="str">
        <f t="array" ref="AM87">IF(OR($B87="",$C87="",$E87=""),"",IF(OR(AM$8&lt;$E87,AM$8-$E87&gt;=12),0,$C87*INDEX(Fondsen!$F$5:$Q$30,MATCH($B87,Fondsen!$A$5:$A$30,0),AM$8-$E87+1)))</f>
        <v/>
      </c>
      <c r="AN87" s="30" t="str">
        <f t="array" ref="AN87">IF(OR($B87="",$C87="",$E87=""),"",IF(OR(AN$8&lt;$E87,AN$8-$E87&gt;=12),0,$C87*INDEX(Fondsen!$F$5:$Q$30,MATCH($B87,Fondsen!$A$5:$A$30,0),AN$8-$E87+1)))</f>
        <v/>
      </c>
      <c r="AO87" s="31" t="str">
        <f t="array" ref="AO87">IF(OR($B87="",$C87="",$E87=""),"",IF(OR(AO$8&lt;$E87,AO$8-$E87&gt;=12),0,$C87*INDEX(Fondsen!$F$5:$Q$30,MATCH($B87,Fondsen!$A$5:$A$30,0),AO$8-$E87+1)))</f>
        <v/>
      </c>
      <c r="AP87" s="30" t="str">
        <f t="array" ref="AP87">IF(OR($B87="",$C87="",$E87=""),"",IF(OR(AP$8&lt;$E87,AP$8-$E87&gt;=12),0,$C87*INDEX(Fondsen!$F$5:$Q$30,MATCH($B87,Fondsen!$A$5:$A$30,0),AP$8-$E87+1)))</f>
        <v/>
      </c>
      <c r="AQ87" s="31" t="str">
        <f t="array" ref="AQ87">IF(OR($B87="",$C87="",$E87=""),"",IF(OR(AQ$8&lt;$E87,AQ$8-$E87&gt;=12),0,$C87*INDEX(Fondsen!$F$5:$Q$30,MATCH($B87,Fondsen!$A$5:$A$30,0),AQ$8-$E87+1)))</f>
        <v/>
      </c>
      <c r="AR87" s="30" t="str">
        <f t="array" ref="AR87">IF(OR($B87="",$C87="",$E87=""),"",IF(OR(AR$8&lt;$E87,AR$8-$E87&gt;=12),0,$C87*INDEX(Fondsen!$F$5:$Q$30,MATCH($B87,Fondsen!$A$5:$A$30,0),AR$8-$E87+1)))</f>
        <v/>
      </c>
      <c r="AS87" s="31" t="str">
        <f t="array" ref="AS87">IF(OR($B87="",$C87="",$E87=""),"",IF(OR(AS$8&lt;$E87,AS$8-$E87&gt;=12),0,$C87*INDEX(Fondsen!$F$5:$Q$30,MATCH($B87,Fondsen!$A$5:$A$30,0),AS$8-$E87+1)))</f>
        <v/>
      </c>
      <c r="AT87" s="45"/>
    </row>
    <row r="88" ht="24.0" customHeight="1" outlineLevel="1">
      <c r="A88" s="33" t="str">
        <f>IF(B88="","",IFERROR(VLOOKUP(B88,Fondsen!$A$5:$B$30,2,FALSE()),""))</f>
        <v/>
      </c>
      <c r="B88" s="34"/>
      <c r="C88" s="35"/>
      <c r="D88" s="46" t="s">
        <v>11</v>
      </c>
      <c r="E88" s="37"/>
      <c r="F88" s="38" t="str">
        <f t="array" ref="F88">IF(OR($B88="",$C88="",$E88=""),"",IF(OR(F$8&lt;$E88,F$8-$E88&gt;=12),0,$C88*INDEX(Fondsen!$F$5:$Q$30,MATCH($B88,Fondsen!$A$5:$A$30,0),F$8-$E88+1)))</f>
        <v/>
      </c>
      <c r="G88" s="39" t="str">
        <f t="array" ref="G88">IF(OR($B88="",$C88="",$E88=""),"",IF(OR(G$8&lt;$E88,G$8-$E88&gt;=12),0,$C88*INDEX(Fondsen!$F$5:$Q$30,MATCH($B88,Fondsen!$A$5:$A$30,0),G$8-$E88+1)))</f>
        <v/>
      </c>
      <c r="H88" s="38" t="str">
        <f t="array" ref="H88">IF(OR($B88="",$C88="",$E88=""),"",IF(OR(H$8&lt;$E88,H$8-$E88&gt;=12),0,$C88*INDEX(Fondsen!$F$5:$Q$30,MATCH($B88,Fondsen!$A$5:$A$30,0),H$8-$E88+1)))</f>
        <v/>
      </c>
      <c r="I88" s="39" t="str">
        <f t="array" ref="I88">IF(OR($B88="",$C88="",$E88=""),"",IF(OR(I$8&lt;$E88,I$8-$E88&gt;=12),0,$C88*INDEX(Fondsen!$F$5:$Q$30,MATCH($B88,Fondsen!$A$5:$A$30,0),I$8-$E88+1)))</f>
        <v/>
      </c>
      <c r="J88" s="38" t="str">
        <f t="array" ref="J88">IF(OR($B88="",$C88="",$E88=""),"",IF(OR(J$8&lt;$E88,J$8-$E88&gt;=12),0,$C88*INDEX(Fondsen!$F$5:$Q$30,MATCH($B88,Fondsen!$A$5:$A$30,0),J$8-$E88+1)))</f>
        <v/>
      </c>
      <c r="K88" s="39" t="str">
        <f t="array" ref="K88">IF(OR($B88="",$C88="",$E88=""),"",IF(OR(K$8&lt;$E88,K$8-$E88&gt;=12),0,$C88*INDEX(Fondsen!$F$5:$Q$30,MATCH($B88,Fondsen!$A$5:$A$30,0),K$8-$E88+1)))</f>
        <v/>
      </c>
      <c r="L88" s="38" t="str">
        <f t="array" ref="L88">IF(OR($B88="",$C88="",$E88=""),"",IF(OR(L$8&lt;$E88,L$8-$E88&gt;=12),0,$C88*INDEX(Fondsen!$F$5:$Q$30,MATCH($B88,Fondsen!$A$5:$A$30,0),L$8-$E88+1)))</f>
        <v/>
      </c>
      <c r="M88" s="39" t="str">
        <f t="array" ref="M88">IF(OR($B88="",$C88="",$E88=""),"",IF(OR(M$8&lt;$E88,M$8-$E88&gt;=12),0,$C88*INDEX(Fondsen!$F$5:$Q$30,MATCH($B88,Fondsen!$A$5:$A$30,0),M$8-$E88+1)))</f>
        <v/>
      </c>
      <c r="N88" s="38" t="str">
        <f t="array" ref="N88">IF(OR($B88="",$C88="",$E88=""),"",IF(OR(N$8&lt;$E88,N$8-$E88&gt;=12),0,$C88*INDEX(Fondsen!$F$5:$Q$30,MATCH($B88,Fondsen!$A$5:$A$30,0),N$8-$E88+1)))</f>
        <v/>
      </c>
      <c r="O88" s="39" t="str">
        <f t="array" ref="O88">IF(OR($B88="",$C88="",$E88=""),"",IF(OR(O$8&lt;$E88,O$8-$E88&gt;=12),0,$C88*INDEX(Fondsen!$F$5:$Q$30,MATCH($B88,Fondsen!$A$5:$A$30,0),O$8-$E88+1)))</f>
        <v/>
      </c>
      <c r="P88" s="38" t="str">
        <f t="array" ref="P88">IF(OR($B88="",$C88="",$E88=""),"",IF(OR(P$8&lt;$E88,P$8-$E88&gt;=12),0,$C88*INDEX(Fondsen!$F$5:$Q$30,MATCH($B88,Fondsen!$A$5:$A$30,0),P$8-$E88+1)))</f>
        <v/>
      </c>
      <c r="Q88" s="39" t="str">
        <f t="array" ref="Q88">IF(OR($B88="",$C88="",$E88=""),"",IF(OR(Q$8&lt;$E88,Q$8-$E88&gt;=12),0,$C88*INDEX(Fondsen!$F$5:$Q$30,MATCH($B88,Fondsen!$A$5:$A$30,0),Q$8-$E88+1)))</f>
        <v/>
      </c>
      <c r="R88" s="38" t="str">
        <f t="array" ref="R88">IF(OR($B88="",$C88="",$E88=""),"",IF(OR(R$8&lt;$E88,R$8-$E88&gt;=12),0,$C88*INDEX(Fondsen!$F$5:$Q$30,MATCH($B88,Fondsen!$A$5:$A$30,0),R$8-$E88+1)))</f>
        <v/>
      </c>
      <c r="S88" s="39" t="str">
        <f t="array" ref="S88">IF(OR($B88="",$C88="",$E88=""),"",IF(OR(S$8&lt;$E88,S$8-$E88&gt;=12),0,$C88*INDEX(Fondsen!$F$5:$Q$30,MATCH($B88,Fondsen!$A$5:$A$30,0),S$8-$E88+1)))</f>
        <v/>
      </c>
      <c r="T88" s="38" t="str">
        <f t="array" ref="T88">IF(OR($B88="",$C88="",$E88=""),"",IF(OR(T$8&lt;$E88,T$8-$E88&gt;=12),0,$C88*INDEX(Fondsen!$F$5:$Q$30,MATCH($B88,Fondsen!$A$5:$A$30,0),T$8-$E88+1)))</f>
        <v/>
      </c>
      <c r="U88" s="39" t="str">
        <f t="array" ref="U88">IF(OR($B88="",$C88="",$E88=""),"",IF(OR(U$8&lt;$E88,U$8-$E88&gt;=12),0,$C88*INDEX(Fondsen!$F$5:$Q$30,MATCH($B88,Fondsen!$A$5:$A$30,0),U$8-$E88+1)))</f>
        <v/>
      </c>
      <c r="V88" s="38" t="str">
        <f t="array" ref="V88">IF(OR($B88="",$C88="",$E88=""),"",IF(OR(V$8&lt;$E88,V$8-$E88&gt;=12),0,$C88*INDEX(Fondsen!$F$5:$Q$30,MATCH($B88,Fondsen!$A$5:$A$30,0),V$8-$E88+1)))</f>
        <v/>
      </c>
      <c r="W88" s="39" t="str">
        <f t="array" ref="W88">IF(OR($B88="",$C88="",$E88=""),"",IF(OR(W$8&lt;$E88,W$8-$E88&gt;=12),0,$C88*INDEX(Fondsen!$F$5:$Q$30,MATCH($B88,Fondsen!$A$5:$A$30,0),W$8-$E88+1)))</f>
        <v/>
      </c>
      <c r="X88" s="38" t="str">
        <f t="array" ref="X88">IF(OR($B88="",$C88="",$E88=""),"",IF(OR(X$8&lt;$E88,X$8-$E88&gt;=12),0,$C88*INDEX(Fondsen!$F$5:$Q$30,MATCH($B88,Fondsen!$A$5:$A$30,0),X$8-$E88+1)))</f>
        <v/>
      </c>
      <c r="Y88" s="39" t="str">
        <f t="array" ref="Y88">IF(OR($B88="",$C88="",$E88=""),"",IF(OR(Y$8&lt;$E88,Y$8-$E88&gt;=12),0,$C88*INDEX(Fondsen!$F$5:$Q$30,MATCH($B88,Fondsen!$A$5:$A$30,0),Y$8-$E88+1)))</f>
        <v/>
      </c>
      <c r="Z88" s="38" t="str">
        <f t="array" ref="Z88">IF(OR($B88="",$C88="",$E88=""),"",IF(OR(Z$8&lt;$E88,Z$8-$E88&gt;=12),0,$C88*INDEX(Fondsen!$F$5:$Q$30,MATCH($B88,Fondsen!$A$5:$A$30,0),Z$8-$E88+1)))</f>
        <v/>
      </c>
      <c r="AA88" s="39" t="str">
        <f t="array" ref="AA88">IF(OR($B88="",$C88="",$E88=""),"",IF(OR(AA$8&lt;$E88,AA$8-$E88&gt;=12),0,$C88*INDEX(Fondsen!$F$5:$Q$30,MATCH($B88,Fondsen!$A$5:$A$30,0),AA$8-$E88+1)))</f>
        <v/>
      </c>
      <c r="AB88" s="38" t="str">
        <f t="array" ref="AB88">IF(OR($B88="",$C88="",$E88=""),"",IF(OR(AB$8&lt;$E88,AB$8-$E88&gt;=12),0,$C88*INDEX(Fondsen!$F$5:$Q$30,MATCH($B88,Fondsen!$A$5:$A$30,0),AB$8-$E88+1)))</f>
        <v/>
      </c>
      <c r="AC88" s="39" t="str">
        <f t="array" ref="AC88">IF(OR($B88="",$C88="",$E88=""),"",IF(OR(AC$8&lt;$E88,AC$8-$E88&gt;=12),0,$C88*INDEX(Fondsen!$F$5:$Q$30,MATCH($B88,Fondsen!$A$5:$A$30,0),AC$8-$E88+1)))</f>
        <v/>
      </c>
      <c r="AD88" s="38" t="str">
        <f t="array" ref="AD88">IF(OR($B88="",$C88="",$E88=""),"",IF(OR(AD$8&lt;$E88,AD$8-$E88&gt;=12),0,$C88*INDEX(Fondsen!$F$5:$Q$30,MATCH($B88,Fondsen!$A$5:$A$30,0),AD$8-$E88+1)))</f>
        <v/>
      </c>
      <c r="AE88" s="39" t="str">
        <f t="array" ref="AE88">IF(OR($B88="",$C88="",$E88=""),"",IF(OR(AE$8&lt;$E88,AE$8-$E88&gt;=12),0,$C88*INDEX(Fondsen!$F$5:$Q$30,MATCH($B88,Fondsen!$A$5:$A$30,0),AE$8-$E88+1)))</f>
        <v/>
      </c>
      <c r="AF88" s="38" t="str">
        <f t="array" ref="AF88">IF(OR($B88="",$C88="",$E88=""),"",IF(OR(AF$8&lt;$E88,AF$8-$E88&gt;=12),0,$C88*INDEX(Fondsen!$F$5:$Q$30,MATCH($B88,Fondsen!$A$5:$A$30,0),AF$8-$E88+1)))</f>
        <v/>
      </c>
      <c r="AG88" s="39" t="str">
        <f t="array" ref="AG88">IF(OR($B88="",$C88="",$E88=""),"",IF(OR(AG$8&lt;$E88,AG$8-$E88&gt;=12),0,$C88*INDEX(Fondsen!$F$5:$Q$30,MATCH($B88,Fondsen!$A$5:$A$30,0),AG$8-$E88+1)))</f>
        <v/>
      </c>
      <c r="AH88" s="38" t="str">
        <f t="array" ref="AH88">IF(OR($B88="",$C88="",$E88=""),"",IF(OR(AH$8&lt;$E88,AH$8-$E88&gt;=12),0,$C88*INDEX(Fondsen!$F$5:$Q$30,MATCH($B88,Fondsen!$A$5:$A$30,0),AH$8-$E88+1)))</f>
        <v/>
      </c>
      <c r="AI88" s="39" t="str">
        <f t="array" ref="AI88">IF(OR($B88="",$C88="",$E88=""),"",IF(OR(AI$8&lt;$E88,AI$8-$E88&gt;=12),0,$C88*INDEX(Fondsen!$F$5:$Q$30,MATCH($B88,Fondsen!$A$5:$A$30,0),AI$8-$E88+1)))</f>
        <v/>
      </c>
      <c r="AJ88" s="38" t="str">
        <f t="array" ref="AJ88">IF(OR($B88="",$C88="",$E88=""),"",IF(OR(AJ$8&lt;$E88,AJ$8-$E88&gt;=12),0,$C88*INDEX(Fondsen!$F$5:$Q$30,MATCH($B88,Fondsen!$A$5:$A$30,0),AJ$8-$E88+1)))</f>
        <v/>
      </c>
      <c r="AK88" s="39" t="str">
        <f t="array" ref="AK88">IF(OR($B88="",$C88="",$E88=""),"",IF(OR(AK$8&lt;$E88,AK$8-$E88&gt;=12),0,$C88*INDEX(Fondsen!$F$5:$Q$30,MATCH($B88,Fondsen!$A$5:$A$30,0),AK$8-$E88+1)))</f>
        <v/>
      </c>
      <c r="AL88" s="38" t="str">
        <f t="array" ref="AL88">IF(OR($B88="",$C88="",$E88=""),"",IF(OR(AL$8&lt;$E88,AL$8-$E88&gt;=12),0,$C88*INDEX(Fondsen!$F$5:$Q$30,MATCH($B88,Fondsen!$A$5:$A$30,0),AL$8-$E88+1)))</f>
        <v/>
      </c>
      <c r="AM88" s="39" t="str">
        <f t="array" ref="AM88">IF(OR($B88="",$C88="",$E88=""),"",IF(OR(AM$8&lt;$E88,AM$8-$E88&gt;=12),0,$C88*INDEX(Fondsen!$F$5:$Q$30,MATCH($B88,Fondsen!$A$5:$A$30,0),AM$8-$E88+1)))</f>
        <v/>
      </c>
      <c r="AN88" s="38" t="str">
        <f t="array" ref="AN88">IF(OR($B88="",$C88="",$E88=""),"",IF(OR(AN$8&lt;$E88,AN$8-$E88&gt;=12),0,$C88*INDEX(Fondsen!$F$5:$Q$30,MATCH($B88,Fondsen!$A$5:$A$30,0),AN$8-$E88+1)))</f>
        <v/>
      </c>
      <c r="AO88" s="39" t="str">
        <f t="array" ref="AO88">IF(OR($B88="",$C88="",$E88=""),"",IF(OR(AO$8&lt;$E88,AO$8-$E88&gt;=12),0,$C88*INDEX(Fondsen!$F$5:$Q$30,MATCH($B88,Fondsen!$A$5:$A$30,0),AO$8-$E88+1)))</f>
        <v/>
      </c>
      <c r="AP88" s="38" t="str">
        <f t="array" ref="AP88">IF(OR($B88="",$C88="",$E88=""),"",IF(OR(AP$8&lt;$E88,AP$8-$E88&gt;=12),0,$C88*INDEX(Fondsen!$F$5:$Q$30,MATCH($B88,Fondsen!$A$5:$A$30,0),AP$8-$E88+1)))</f>
        <v/>
      </c>
      <c r="AQ88" s="39" t="str">
        <f t="array" ref="AQ88">IF(OR($B88="",$C88="",$E88=""),"",IF(OR(AQ$8&lt;$E88,AQ$8-$E88&gt;=12),0,$C88*INDEX(Fondsen!$F$5:$Q$30,MATCH($B88,Fondsen!$A$5:$A$30,0),AQ$8-$E88+1)))</f>
        <v/>
      </c>
      <c r="AR88" s="38" t="str">
        <f t="array" ref="AR88">IF(OR($B88="",$C88="",$E88=""),"",IF(OR(AR$8&lt;$E88,AR$8-$E88&gt;=12),0,$C88*INDEX(Fondsen!$F$5:$Q$30,MATCH($B88,Fondsen!$A$5:$A$30,0),AR$8-$E88+1)))</f>
        <v/>
      </c>
      <c r="AS88" s="39" t="str">
        <f t="array" ref="AS88">IF(OR($B88="",$C88="",$E88=""),"",IF(OR(AS$8&lt;$E88,AS$8-$E88&gt;=12),0,$C88*INDEX(Fondsen!$F$5:$Q$30,MATCH($B88,Fondsen!$A$5:$A$30,0),AS$8-$E88+1)))</f>
        <v/>
      </c>
      <c r="AT88" s="45"/>
    </row>
    <row r="89" ht="24.0" customHeight="1" outlineLevel="1">
      <c r="A89" s="47" t="str">
        <f>IF(B89="","",IFERROR(VLOOKUP(B89,Fondsen!$A$5:$B$30,2,FALSE()),""))</f>
        <v/>
      </c>
      <c r="B89" s="26"/>
      <c r="C89" s="27"/>
      <c r="D89" s="44" t="s">
        <v>11</v>
      </c>
      <c r="E89" s="29"/>
      <c r="F89" s="30" t="str">
        <f t="array" ref="F89">IF(OR($B89="",$C89="",$E89=""),"",IF(OR(F$8&lt;$E89,F$8-$E89&gt;=12),0,$C89*INDEX(Fondsen!$F$5:$Q$30,MATCH($B89,Fondsen!$A$5:$A$30,0),F$8-$E89+1)))</f>
        <v/>
      </c>
      <c r="G89" s="31" t="str">
        <f t="array" ref="G89">IF(OR($B89="",$C89="",$E89=""),"",IF(OR(G$8&lt;$E89,G$8-$E89&gt;=12),0,$C89*INDEX(Fondsen!$F$5:$Q$30,MATCH($B89,Fondsen!$A$5:$A$30,0),G$8-$E89+1)))</f>
        <v/>
      </c>
      <c r="H89" s="30" t="str">
        <f t="array" ref="H89">IF(OR($B89="",$C89="",$E89=""),"",IF(OR(H$8&lt;$E89,H$8-$E89&gt;=12),0,$C89*INDEX(Fondsen!$F$5:$Q$30,MATCH($B89,Fondsen!$A$5:$A$30,0),H$8-$E89+1)))</f>
        <v/>
      </c>
      <c r="I89" s="31" t="str">
        <f t="array" ref="I89">IF(OR($B89="",$C89="",$E89=""),"",IF(OR(I$8&lt;$E89,I$8-$E89&gt;=12),0,$C89*INDEX(Fondsen!$F$5:$Q$30,MATCH($B89,Fondsen!$A$5:$A$30,0),I$8-$E89+1)))</f>
        <v/>
      </c>
      <c r="J89" s="30" t="str">
        <f t="array" ref="J89">IF(OR($B89="",$C89="",$E89=""),"",IF(OR(J$8&lt;$E89,J$8-$E89&gt;=12),0,$C89*INDEX(Fondsen!$F$5:$Q$30,MATCH($B89,Fondsen!$A$5:$A$30,0),J$8-$E89+1)))</f>
        <v/>
      </c>
      <c r="K89" s="31" t="str">
        <f t="array" ref="K89">IF(OR($B89="",$C89="",$E89=""),"",IF(OR(K$8&lt;$E89,K$8-$E89&gt;=12),0,$C89*INDEX(Fondsen!$F$5:$Q$30,MATCH($B89,Fondsen!$A$5:$A$30,0),K$8-$E89+1)))</f>
        <v/>
      </c>
      <c r="L89" s="30" t="str">
        <f t="array" ref="L89">IF(OR($B89="",$C89="",$E89=""),"",IF(OR(L$8&lt;$E89,L$8-$E89&gt;=12),0,$C89*INDEX(Fondsen!$F$5:$Q$30,MATCH($B89,Fondsen!$A$5:$A$30,0),L$8-$E89+1)))</f>
        <v/>
      </c>
      <c r="M89" s="31" t="str">
        <f t="array" ref="M89">IF(OR($B89="",$C89="",$E89=""),"",IF(OR(M$8&lt;$E89,M$8-$E89&gt;=12),0,$C89*INDEX(Fondsen!$F$5:$Q$30,MATCH($B89,Fondsen!$A$5:$A$30,0),M$8-$E89+1)))</f>
        <v/>
      </c>
      <c r="N89" s="30" t="str">
        <f t="array" ref="N89">IF(OR($B89="",$C89="",$E89=""),"",IF(OR(N$8&lt;$E89,N$8-$E89&gt;=12),0,$C89*INDEX(Fondsen!$F$5:$Q$30,MATCH($B89,Fondsen!$A$5:$A$30,0),N$8-$E89+1)))</f>
        <v/>
      </c>
      <c r="O89" s="31" t="str">
        <f t="array" ref="O89">IF(OR($B89="",$C89="",$E89=""),"",IF(OR(O$8&lt;$E89,O$8-$E89&gt;=12),0,$C89*INDEX(Fondsen!$F$5:$Q$30,MATCH($B89,Fondsen!$A$5:$A$30,0),O$8-$E89+1)))</f>
        <v/>
      </c>
      <c r="P89" s="30" t="str">
        <f t="array" ref="P89">IF(OR($B89="",$C89="",$E89=""),"",IF(OR(P$8&lt;$E89,P$8-$E89&gt;=12),0,$C89*INDEX(Fondsen!$F$5:$Q$30,MATCH($B89,Fondsen!$A$5:$A$30,0),P$8-$E89+1)))</f>
        <v/>
      </c>
      <c r="Q89" s="31" t="str">
        <f t="array" ref="Q89">IF(OR($B89="",$C89="",$E89=""),"",IF(OR(Q$8&lt;$E89,Q$8-$E89&gt;=12),0,$C89*INDEX(Fondsen!$F$5:$Q$30,MATCH($B89,Fondsen!$A$5:$A$30,0),Q$8-$E89+1)))</f>
        <v/>
      </c>
      <c r="R89" s="30" t="str">
        <f t="array" ref="R89">IF(OR($B89="",$C89="",$E89=""),"",IF(OR(R$8&lt;$E89,R$8-$E89&gt;=12),0,$C89*INDEX(Fondsen!$F$5:$Q$30,MATCH($B89,Fondsen!$A$5:$A$30,0),R$8-$E89+1)))</f>
        <v/>
      </c>
      <c r="S89" s="31" t="str">
        <f t="array" ref="S89">IF(OR($B89="",$C89="",$E89=""),"",IF(OR(S$8&lt;$E89,S$8-$E89&gt;=12),0,$C89*INDEX(Fondsen!$F$5:$Q$30,MATCH($B89,Fondsen!$A$5:$A$30,0),S$8-$E89+1)))</f>
        <v/>
      </c>
      <c r="T89" s="30" t="str">
        <f t="array" ref="T89">IF(OR($B89="",$C89="",$E89=""),"",IF(OR(T$8&lt;$E89,T$8-$E89&gt;=12),0,$C89*INDEX(Fondsen!$F$5:$Q$30,MATCH($B89,Fondsen!$A$5:$A$30,0),T$8-$E89+1)))</f>
        <v/>
      </c>
      <c r="U89" s="31" t="str">
        <f t="array" ref="U89">IF(OR($B89="",$C89="",$E89=""),"",IF(OR(U$8&lt;$E89,U$8-$E89&gt;=12),0,$C89*INDEX(Fondsen!$F$5:$Q$30,MATCH($B89,Fondsen!$A$5:$A$30,0),U$8-$E89+1)))</f>
        <v/>
      </c>
      <c r="V89" s="30" t="str">
        <f t="array" ref="V89">IF(OR($B89="",$C89="",$E89=""),"",IF(OR(V$8&lt;$E89,V$8-$E89&gt;=12),0,$C89*INDEX(Fondsen!$F$5:$Q$30,MATCH($B89,Fondsen!$A$5:$A$30,0),V$8-$E89+1)))</f>
        <v/>
      </c>
      <c r="W89" s="31" t="str">
        <f t="array" ref="W89">IF(OR($B89="",$C89="",$E89=""),"",IF(OR(W$8&lt;$E89,W$8-$E89&gt;=12),0,$C89*INDEX(Fondsen!$F$5:$Q$30,MATCH($B89,Fondsen!$A$5:$A$30,0),W$8-$E89+1)))</f>
        <v/>
      </c>
      <c r="X89" s="30" t="str">
        <f t="array" ref="X89">IF(OR($B89="",$C89="",$E89=""),"",IF(OR(X$8&lt;$E89,X$8-$E89&gt;=12),0,$C89*INDEX(Fondsen!$F$5:$Q$30,MATCH($B89,Fondsen!$A$5:$A$30,0),X$8-$E89+1)))</f>
        <v/>
      </c>
      <c r="Y89" s="31" t="str">
        <f t="array" ref="Y89">IF(OR($B89="",$C89="",$E89=""),"",IF(OR(Y$8&lt;$E89,Y$8-$E89&gt;=12),0,$C89*INDEX(Fondsen!$F$5:$Q$30,MATCH($B89,Fondsen!$A$5:$A$30,0),Y$8-$E89+1)))</f>
        <v/>
      </c>
      <c r="Z89" s="30" t="str">
        <f t="array" ref="Z89">IF(OR($B89="",$C89="",$E89=""),"",IF(OR(Z$8&lt;$E89,Z$8-$E89&gt;=12),0,$C89*INDEX(Fondsen!$F$5:$Q$30,MATCH($B89,Fondsen!$A$5:$A$30,0),Z$8-$E89+1)))</f>
        <v/>
      </c>
      <c r="AA89" s="31" t="str">
        <f t="array" ref="AA89">IF(OR($B89="",$C89="",$E89=""),"",IF(OR(AA$8&lt;$E89,AA$8-$E89&gt;=12),0,$C89*INDEX(Fondsen!$F$5:$Q$30,MATCH($B89,Fondsen!$A$5:$A$30,0),AA$8-$E89+1)))</f>
        <v/>
      </c>
      <c r="AB89" s="30" t="str">
        <f t="array" ref="AB89">IF(OR($B89="",$C89="",$E89=""),"",IF(OR(AB$8&lt;$E89,AB$8-$E89&gt;=12),0,$C89*INDEX(Fondsen!$F$5:$Q$30,MATCH($B89,Fondsen!$A$5:$A$30,0),AB$8-$E89+1)))</f>
        <v/>
      </c>
      <c r="AC89" s="31" t="str">
        <f t="array" ref="AC89">IF(OR($B89="",$C89="",$E89=""),"",IF(OR(AC$8&lt;$E89,AC$8-$E89&gt;=12),0,$C89*INDEX(Fondsen!$F$5:$Q$30,MATCH($B89,Fondsen!$A$5:$A$30,0),AC$8-$E89+1)))</f>
        <v/>
      </c>
      <c r="AD89" s="30" t="str">
        <f t="array" ref="AD89">IF(OR($B89="",$C89="",$E89=""),"",IF(OR(AD$8&lt;$E89,AD$8-$E89&gt;=12),0,$C89*INDEX(Fondsen!$F$5:$Q$30,MATCH($B89,Fondsen!$A$5:$A$30,0),AD$8-$E89+1)))</f>
        <v/>
      </c>
      <c r="AE89" s="31" t="str">
        <f t="array" ref="AE89">IF(OR($B89="",$C89="",$E89=""),"",IF(OR(AE$8&lt;$E89,AE$8-$E89&gt;=12),0,$C89*INDEX(Fondsen!$F$5:$Q$30,MATCH($B89,Fondsen!$A$5:$A$30,0),AE$8-$E89+1)))</f>
        <v/>
      </c>
      <c r="AF89" s="30" t="str">
        <f t="array" ref="AF89">IF(OR($B89="",$C89="",$E89=""),"",IF(OR(AF$8&lt;$E89,AF$8-$E89&gt;=12),0,$C89*INDEX(Fondsen!$F$5:$Q$30,MATCH($B89,Fondsen!$A$5:$A$30,0),AF$8-$E89+1)))</f>
        <v/>
      </c>
      <c r="AG89" s="31" t="str">
        <f t="array" ref="AG89">IF(OR($B89="",$C89="",$E89=""),"",IF(OR(AG$8&lt;$E89,AG$8-$E89&gt;=12),0,$C89*INDEX(Fondsen!$F$5:$Q$30,MATCH($B89,Fondsen!$A$5:$A$30,0),AG$8-$E89+1)))</f>
        <v/>
      </c>
      <c r="AH89" s="30" t="str">
        <f t="array" ref="AH89">IF(OR($B89="",$C89="",$E89=""),"",IF(OR(AH$8&lt;$E89,AH$8-$E89&gt;=12),0,$C89*INDEX(Fondsen!$F$5:$Q$30,MATCH($B89,Fondsen!$A$5:$A$30,0),AH$8-$E89+1)))</f>
        <v/>
      </c>
      <c r="AI89" s="31" t="str">
        <f t="array" ref="AI89">IF(OR($B89="",$C89="",$E89=""),"",IF(OR(AI$8&lt;$E89,AI$8-$E89&gt;=12),0,$C89*INDEX(Fondsen!$F$5:$Q$30,MATCH($B89,Fondsen!$A$5:$A$30,0),AI$8-$E89+1)))</f>
        <v/>
      </c>
      <c r="AJ89" s="30" t="str">
        <f t="array" ref="AJ89">IF(OR($B89="",$C89="",$E89=""),"",IF(OR(AJ$8&lt;$E89,AJ$8-$E89&gt;=12),0,$C89*INDEX(Fondsen!$F$5:$Q$30,MATCH($B89,Fondsen!$A$5:$A$30,0),AJ$8-$E89+1)))</f>
        <v/>
      </c>
      <c r="AK89" s="31" t="str">
        <f t="array" ref="AK89">IF(OR($B89="",$C89="",$E89=""),"",IF(OR(AK$8&lt;$E89,AK$8-$E89&gt;=12),0,$C89*INDEX(Fondsen!$F$5:$Q$30,MATCH($B89,Fondsen!$A$5:$A$30,0),AK$8-$E89+1)))</f>
        <v/>
      </c>
      <c r="AL89" s="30" t="str">
        <f t="array" ref="AL89">IF(OR($B89="",$C89="",$E89=""),"",IF(OR(AL$8&lt;$E89,AL$8-$E89&gt;=12),0,$C89*INDEX(Fondsen!$F$5:$Q$30,MATCH($B89,Fondsen!$A$5:$A$30,0),AL$8-$E89+1)))</f>
        <v/>
      </c>
      <c r="AM89" s="31" t="str">
        <f t="array" ref="AM89">IF(OR($B89="",$C89="",$E89=""),"",IF(OR(AM$8&lt;$E89,AM$8-$E89&gt;=12),0,$C89*INDEX(Fondsen!$F$5:$Q$30,MATCH($B89,Fondsen!$A$5:$A$30,0),AM$8-$E89+1)))</f>
        <v/>
      </c>
      <c r="AN89" s="30" t="str">
        <f t="array" ref="AN89">IF(OR($B89="",$C89="",$E89=""),"",IF(OR(AN$8&lt;$E89,AN$8-$E89&gt;=12),0,$C89*INDEX(Fondsen!$F$5:$Q$30,MATCH($B89,Fondsen!$A$5:$A$30,0),AN$8-$E89+1)))</f>
        <v/>
      </c>
      <c r="AO89" s="31" t="str">
        <f t="array" ref="AO89">IF(OR($B89="",$C89="",$E89=""),"",IF(OR(AO$8&lt;$E89,AO$8-$E89&gt;=12),0,$C89*INDEX(Fondsen!$F$5:$Q$30,MATCH($B89,Fondsen!$A$5:$A$30,0),AO$8-$E89+1)))</f>
        <v/>
      </c>
      <c r="AP89" s="30" t="str">
        <f t="array" ref="AP89">IF(OR($B89="",$C89="",$E89=""),"",IF(OR(AP$8&lt;$E89,AP$8-$E89&gt;=12),0,$C89*INDEX(Fondsen!$F$5:$Q$30,MATCH($B89,Fondsen!$A$5:$A$30,0),AP$8-$E89+1)))</f>
        <v/>
      </c>
      <c r="AQ89" s="31" t="str">
        <f t="array" ref="AQ89">IF(OR($B89="",$C89="",$E89=""),"",IF(OR(AQ$8&lt;$E89,AQ$8-$E89&gt;=12),0,$C89*INDEX(Fondsen!$F$5:$Q$30,MATCH($B89,Fondsen!$A$5:$A$30,0),AQ$8-$E89+1)))</f>
        <v/>
      </c>
      <c r="AR89" s="30" t="str">
        <f t="array" ref="AR89">IF(OR($B89="",$C89="",$E89=""),"",IF(OR(AR$8&lt;$E89,AR$8-$E89&gt;=12),0,$C89*INDEX(Fondsen!$F$5:$Q$30,MATCH($B89,Fondsen!$A$5:$A$30,0),AR$8-$E89+1)))</f>
        <v/>
      </c>
      <c r="AS89" s="31" t="str">
        <f t="array" ref="AS89">IF(OR($B89="",$C89="",$E89=""),"",IF(OR(AS$8&lt;$E89,AS$8-$E89&gt;=12),0,$C89*INDEX(Fondsen!$F$5:$Q$30,MATCH($B89,Fondsen!$A$5:$A$30,0),AS$8-$E89+1)))</f>
        <v/>
      </c>
      <c r="AT89" s="45"/>
    </row>
    <row r="90" ht="24.0" customHeight="1" outlineLevel="1">
      <c r="A90" s="33" t="str">
        <f>IF(B90="","",IFERROR(VLOOKUP(B90,Fondsen!$A$5:$B$30,2,FALSE()),""))</f>
        <v/>
      </c>
      <c r="B90" s="34"/>
      <c r="C90" s="35"/>
      <c r="D90" s="46" t="s">
        <v>11</v>
      </c>
      <c r="E90" s="37"/>
      <c r="F90" s="38" t="str">
        <f t="array" ref="F90">IF(OR($B90="",$C90="",$E90=""),"",IF(OR(F$8&lt;$E90,F$8-$E90&gt;=12),0,$C90*INDEX(Fondsen!$F$5:$Q$30,MATCH($B90,Fondsen!$A$5:$A$30,0),F$8-$E90+1)))</f>
        <v/>
      </c>
      <c r="G90" s="39" t="str">
        <f t="array" ref="G90">IF(OR($B90="",$C90="",$E90=""),"",IF(OR(G$8&lt;$E90,G$8-$E90&gt;=12),0,$C90*INDEX(Fondsen!$F$5:$Q$30,MATCH($B90,Fondsen!$A$5:$A$30,0),G$8-$E90+1)))</f>
        <v/>
      </c>
      <c r="H90" s="38" t="str">
        <f t="array" ref="H90">IF(OR($B90="",$C90="",$E90=""),"",IF(OR(H$8&lt;$E90,H$8-$E90&gt;=12),0,$C90*INDEX(Fondsen!$F$5:$Q$30,MATCH($B90,Fondsen!$A$5:$A$30,0),H$8-$E90+1)))</f>
        <v/>
      </c>
      <c r="I90" s="39" t="str">
        <f t="array" ref="I90">IF(OR($B90="",$C90="",$E90=""),"",IF(OR(I$8&lt;$E90,I$8-$E90&gt;=12),0,$C90*INDEX(Fondsen!$F$5:$Q$30,MATCH($B90,Fondsen!$A$5:$A$30,0),I$8-$E90+1)))</f>
        <v/>
      </c>
      <c r="J90" s="38" t="str">
        <f t="array" ref="J90">IF(OR($B90="",$C90="",$E90=""),"",IF(OR(J$8&lt;$E90,J$8-$E90&gt;=12),0,$C90*INDEX(Fondsen!$F$5:$Q$30,MATCH($B90,Fondsen!$A$5:$A$30,0),J$8-$E90+1)))</f>
        <v/>
      </c>
      <c r="K90" s="39" t="str">
        <f t="array" ref="K90">IF(OR($B90="",$C90="",$E90=""),"",IF(OR(K$8&lt;$E90,K$8-$E90&gt;=12),0,$C90*INDEX(Fondsen!$F$5:$Q$30,MATCH($B90,Fondsen!$A$5:$A$30,0),K$8-$E90+1)))</f>
        <v/>
      </c>
      <c r="L90" s="38" t="str">
        <f t="array" ref="L90">IF(OR($B90="",$C90="",$E90=""),"",IF(OR(L$8&lt;$E90,L$8-$E90&gt;=12),0,$C90*INDEX(Fondsen!$F$5:$Q$30,MATCH($B90,Fondsen!$A$5:$A$30,0),L$8-$E90+1)))</f>
        <v/>
      </c>
      <c r="M90" s="39" t="str">
        <f t="array" ref="M90">IF(OR($B90="",$C90="",$E90=""),"",IF(OR(M$8&lt;$E90,M$8-$E90&gt;=12),0,$C90*INDEX(Fondsen!$F$5:$Q$30,MATCH($B90,Fondsen!$A$5:$A$30,0),M$8-$E90+1)))</f>
        <v/>
      </c>
      <c r="N90" s="38" t="str">
        <f t="array" ref="N90">IF(OR($B90="",$C90="",$E90=""),"",IF(OR(N$8&lt;$E90,N$8-$E90&gt;=12),0,$C90*INDEX(Fondsen!$F$5:$Q$30,MATCH($B90,Fondsen!$A$5:$A$30,0),N$8-$E90+1)))</f>
        <v/>
      </c>
      <c r="O90" s="39" t="str">
        <f t="array" ref="O90">IF(OR($B90="",$C90="",$E90=""),"",IF(OR(O$8&lt;$E90,O$8-$E90&gt;=12),0,$C90*INDEX(Fondsen!$F$5:$Q$30,MATCH($B90,Fondsen!$A$5:$A$30,0),O$8-$E90+1)))</f>
        <v/>
      </c>
      <c r="P90" s="38" t="str">
        <f t="array" ref="P90">IF(OR($B90="",$C90="",$E90=""),"",IF(OR(P$8&lt;$E90,P$8-$E90&gt;=12),0,$C90*INDEX(Fondsen!$F$5:$Q$30,MATCH($B90,Fondsen!$A$5:$A$30,0),P$8-$E90+1)))</f>
        <v/>
      </c>
      <c r="Q90" s="39" t="str">
        <f t="array" ref="Q90">IF(OR($B90="",$C90="",$E90=""),"",IF(OR(Q$8&lt;$E90,Q$8-$E90&gt;=12),0,$C90*INDEX(Fondsen!$F$5:$Q$30,MATCH($B90,Fondsen!$A$5:$A$30,0),Q$8-$E90+1)))</f>
        <v/>
      </c>
      <c r="R90" s="38" t="str">
        <f t="array" ref="R90">IF(OR($B90="",$C90="",$E90=""),"",IF(OR(R$8&lt;$E90,R$8-$E90&gt;=12),0,$C90*INDEX(Fondsen!$F$5:$Q$30,MATCH($B90,Fondsen!$A$5:$A$30,0),R$8-$E90+1)))</f>
        <v/>
      </c>
      <c r="S90" s="39" t="str">
        <f t="array" ref="S90">IF(OR($B90="",$C90="",$E90=""),"",IF(OR(S$8&lt;$E90,S$8-$E90&gt;=12),0,$C90*INDEX(Fondsen!$F$5:$Q$30,MATCH($B90,Fondsen!$A$5:$A$30,0),S$8-$E90+1)))</f>
        <v/>
      </c>
      <c r="T90" s="38" t="str">
        <f t="array" ref="T90">IF(OR($B90="",$C90="",$E90=""),"",IF(OR(T$8&lt;$E90,T$8-$E90&gt;=12),0,$C90*INDEX(Fondsen!$F$5:$Q$30,MATCH($B90,Fondsen!$A$5:$A$30,0),T$8-$E90+1)))</f>
        <v/>
      </c>
      <c r="U90" s="39" t="str">
        <f t="array" ref="U90">IF(OR($B90="",$C90="",$E90=""),"",IF(OR(U$8&lt;$E90,U$8-$E90&gt;=12),0,$C90*INDEX(Fondsen!$F$5:$Q$30,MATCH($B90,Fondsen!$A$5:$A$30,0),U$8-$E90+1)))</f>
        <v/>
      </c>
      <c r="V90" s="38" t="str">
        <f t="array" ref="V90">IF(OR($B90="",$C90="",$E90=""),"",IF(OR(V$8&lt;$E90,V$8-$E90&gt;=12),0,$C90*INDEX(Fondsen!$F$5:$Q$30,MATCH($B90,Fondsen!$A$5:$A$30,0),V$8-$E90+1)))</f>
        <v/>
      </c>
      <c r="W90" s="39" t="str">
        <f t="array" ref="W90">IF(OR($B90="",$C90="",$E90=""),"",IF(OR(W$8&lt;$E90,W$8-$E90&gt;=12),0,$C90*INDEX(Fondsen!$F$5:$Q$30,MATCH($B90,Fondsen!$A$5:$A$30,0),W$8-$E90+1)))</f>
        <v/>
      </c>
      <c r="X90" s="38" t="str">
        <f t="array" ref="X90">IF(OR($B90="",$C90="",$E90=""),"",IF(OR(X$8&lt;$E90,X$8-$E90&gt;=12),0,$C90*INDEX(Fondsen!$F$5:$Q$30,MATCH($B90,Fondsen!$A$5:$A$30,0),X$8-$E90+1)))</f>
        <v/>
      </c>
      <c r="Y90" s="39" t="str">
        <f t="array" ref="Y90">IF(OR($B90="",$C90="",$E90=""),"",IF(OR(Y$8&lt;$E90,Y$8-$E90&gt;=12),0,$C90*INDEX(Fondsen!$F$5:$Q$30,MATCH($B90,Fondsen!$A$5:$A$30,0),Y$8-$E90+1)))</f>
        <v/>
      </c>
      <c r="Z90" s="38" t="str">
        <f t="array" ref="Z90">IF(OR($B90="",$C90="",$E90=""),"",IF(OR(Z$8&lt;$E90,Z$8-$E90&gt;=12),0,$C90*INDEX(Fondsen!$F$5:$Q$30,MATCH($B90,Fondsen!$A$5:$A$30,0),Z$8-$E90+1)))</f>
        <v/>
      </c>
      <c r="AA90" s="39" t="str">
        <f t="array" ref="AA90">IF(OR($B90="",$C90="",$E90=""),"",IF(OR(AA$8&lt;$E90,AA$8-$E90&gt;=12),0,$C90*INDEX(Fondsen!$F$5:$Q$30,MATCH($B90,Fondsen!$A$5:$A$30,0),AA$8-$E90+1)))</f>
        <v/>
      </c>
      <c r="AB90" s="38" t="str">
        <f t="array" ref="AB90">IF(OR($B90="",$C90="",$E90=""),"",IF(OR(AB$8&lt;$E90,AB$8-$E90&gt;=12),0,$C90*INDEX(Fondsen!$F$5:$Q$30,MATCH($B90,Fondsen!$A$5:$A$30,0),AB$8-$E90+1)))</f>
        <v/>
      </c>
      <c r="AC90" s="39" t="str">
        <f t="array" ref="AC90">IF(OR($B90="",$C90="",$E90=""),"",IF(OR(AC$8&lt;$E90,AC$8-$E90&gt;=12),0,$C90*INDEX(Fondsen!$F$5:$Q$30,MATCH($B90,Fondsen!$A$5:$A$30,0),AC$8-$E90+1)))</f>
        <v/>
      </c>
      <c r="AD90" s="38" t="str">
        <f t="array" ref="AD90">IF(OR($B90="",$C90="",$E90=""),"",IF(OR(AD$8&lt;$E90,AD$8-$E90&gt;=12),0,$C90*INDEX(Fondsen!$F$5:$Q$30,MATCH($B90,Fondsen!$A$5:$A$30,0),AD$8-$E90+1)))</f>
        <v/>
      </c>
      <c r="AE90" s="39" t="str">
        <f t="array" ref="AE90">IF(OR($B90="",$C90="",$E90=""),"",IF(OR(AE$8&lt;$E90,AE$8-$E90&gt;=12),0,$C90*INDEX(Fondsen!$F$5:$Q$30,MATCH($B90,Fondsen!$A$5:$A$30,0),AE$8-$E90+1)))</f>
        <v/>
      </c>
      <c r="AF90" s="38" t="str">
        <f t="array" ref="AF90">IF(OR($B90="",$C90="",$E90=""),"",IF(OR(AF$8&lt;$E90,AF$8-$E90&gt;=12),0,$C90*INDEX(Fondsen!$F$5:$Q$30,MATCH($B90,Fondsen!$A$5:$A$30,0),AF$8-$E90+1)))</f>
        <v/>
      </c>
      <c r="AG90" s="39" t="str">
        <f t="array" ref="AG90">IF(OR($B90="",$C90="",$E90=""),"",IF(OR(AG$8&lt;$E90,AG$8-$E90&gt;=12),0,$C90*INDEX(Fondsen!$F$5:$Q$30,MATCH($B90,Fondsen!$A$5:$A$30,0),AG$8-$E90+1)))</f>
        <v/>
      </c>
      <c r="AH90" s="38" t="str">
        <f t="array" ref="AH90">IF(OR($B90="",$C90="",$E90=""),"",IF(OR(AH$8&lt;$E90,AH$8-$E90&gt;=12),0,$C90*INDEX(Fondsen!$F$5:$Q$30,MATCH($B90,Fondsen!$A$5:$A$30,0),AH$8-$E90+1)))</f>
        <v/>
      </c>
      <c r="AI90" s="39" t="str">
        <f t="array" ref="AI90">IF(OR($B90="",$C90="",$E90=""),"",IF(OR(AI$8&lt;$E90,AI$8-$E90&gt;=12),0,$C90*INDEX(Fondsen!$F$5:$Q$30,MATCH($B90,Fondsen!$A$5:$A$30,0),AI$8-$E90+1)))</f>
        <v/>
      </c>
      <c r="AJ90" s="38" t="str">
        <f t="array" ref="AJ90">IF(OR($B90="",$C90="",$E90=""),"",IF(OR(AJ$8&lt;$E90,AJ$8-$E90&gt;=12),0,$C90*INDEX(Fondsen!$F$5:$Q$30,MATCH($B90,Fondsen!$A$5:$A$30,0),AJ$8-$E90+1)))</f>
        <v/>
      </c>
      <c r="AK90" s="39" t="str">
        <f t="array" ref="AK90">IF(OR($B90="",$C90="",$E90=""),"",IF(OR(AK$8&lt;$E90,AK$8-$E90&gt;=12),0,$C90*INDEX(Fondsen!$F$5:$Q$30,MATCH($B90,Fondsen!$A$5:$A$30,0),AK$8-$E90+1)))</f>
        <v/>
      </c>
      <c r="AL90" s="38" t="str">
        <f t="array" ref="AL90">IF(OR($B90="",$C90="",$E90=""),"",IF(OR(AL$8&lt;$E90,AL$8-$E90&gt;=12),0,$C90*INDEX(Fondsen!$F$5:$Q$30,MATCH($B90,Fondsen!$A$5:$A$30,0),AL$8-$E90+1)))</f>
        <v/>
      </c>
      <c r="AM90" s="39" t="str">
        <f t="array" ref="AM90">IF(OR($B90="",$C90="",$E90=""),"",IF(OR(AM$8&lt;$E90,AM$8-$E90&gt;=12),0,$C90*INDEX(Fondsen!$F$5:$Q$30,MATCH($B90,Fondsen!$A$5:$A$30,0),AM$8-$E90+1)))</f>
        <v/>
      </c>
      <c r="AN90" s="38" t="str">
        <f t="array" ref="AN90">IF(OR($B90="",$C90="",$E90=""),"",IF(OR(AN$8&lt;$E90,AN$8-$E90&gt;=12),0,$C90*INDEX(Fondsen!$F$5:$Q$30,MATCH($B90,Fondsen!$A$5:$A$30,0),AN$8-$E90+1)))</f>
        <v/>
      </c>
      <c r="AO90" s="39" t="str">
        <f t="array" ref="AO90">IF(OR($B90="",$C90="",$E90=""),"",IF(OR(AO$8&lt;$E90,AO$8-$E90&gt;=12),0,$C90*INDEX(Fondsen!$F$5:$Q$30,MATCH($B90,Fondsen!$A$5:$A$30,0),AO$8-$E90+1)))</f>
        <v/>
      </c>
      <c r="AP90" s="38" t="str">
        <f t="array" ref="AP90">IF(OR($B90="",$C90="",$E90=""),"",IF(OR(AP$8&lt;$E90,AP$8-$E90&gt;=12),0,$C90*INDEX(Fondsen!$F$5:$Q$30,MATCH($B90,Fondsen!$A$5:$A$30,0),AP$8-$E90+1)))</f>
        <v/>
      </c>
      <c r="AQ90" s="39" t="str">
        <f t="array" ref="AQ90">IF(OR($B90="",$C90="",$E90=""),"",IF(OR(AQ$8&lt;$E90,AQ$8-$E90&gt;=12),0,$C90*INDEX(Fondsen!$F$5:$Q$30,MATCH($B90,Fondsen!$A$5:$A$30,0),AQ$8-$E90+1)))</f>
        <v/>
      </c>
      <c r="AR90" s="38" t="str">
        <f t="array" ref="AR90">IF(OR($B90="",$C90="",$E90=""),"",IF(OR(AR$8&lt;$E90,AR$8-$E90&gt;=12),0,$C90*INDEX(Fondsen!$F$5:$Q$30,MATCH($B90,Fondsen!$A$5:$A$30,0),AR$8-$E90+1)))</f>
        <v/>
      </c>
      <c r="AS90" s="39" t="str">
        <f t="array" ref="AS90">IF(OR($B90="",$C90="",$E90=""),"",IF(OR(AS$8&lt;$E90,AS$8-$E90&gt;=12),0,$C90*INDEX(Fondsen!$F$5:$Q$30,MATCH($B90,Fondsen!$A$5:$A$30,0),AS$8-$E90+1)))</f>
        <v/>
      </c>
      <c r="AT90" s="45"/>
    </row>
    <row r="91" ht="24.0" customHeight="1" outlineLevel="1">
      <c r="A91" s="47" t="str">
        <f>IF(B91="","",IFERROR(VLOOKUP(B91,Fondsen!$A$5:$B$30,2,FALSE()),""))</f>
        <v/>
      </c>
      <c r="B91" s="26"/>
      <c r="C91" s="27"/>
      <c r="D91" s="44" t="s">
        <v>11</v>
      </c>
      <c r="E91" s="29"/>
      <c r="F91" s="30" t="str">
        <f t="array" ref="F91">IF(OR($B91="",$C91="",$E91=""),"",IF(OR(F$8&lt;$E91,F$8-$E91&gt;=12),0,$C91*INDEX(Fondsen!$F$5:$Q$30,MATCH($B91,Fondsen!$A$5:$A$30,0),F$8-$E91+1)))</f>
        <v/>
      </c>
      <c r="G91" s="31" t="str">
        <f t="array" ref="G91">IF(OR($B91="",$C91="",$E91=""),"",IF(OR(G$8&lt;$E91,G$8-$E91&gt;=12),0,$C91*INDEX(Fondsen!$F$5:$Q$30,MATCH($B91,Fondsen!$A$5:$A$30,0),G$8-$E91+1)))</f>
        <v/>
      </c>
      <c r="H91" s="30" t="str">
        <f t="array" ref="H91">IF(OR($B91="",$C91="",$E91=""),"",IF(OR(H$8&lt;$E91,H$8-$E91&gt;=12),0,$C91*INDEX(Fondsen!$F$5:$Q$30,MATCH($B91,Fondsen!$A$5:$A$30,0),H$8-$E91+1)))</f>
        <v/>
      </c>
      <c r="I91" s="31" t="str">
        <f t="array" ref="I91">IF(OR($B91="",$C91="",$E91=""),"",IF(OR(I$8&lt;$E91,I$8-$E91&gt;=12),0,$C91*INDEX(Fondsen!$F$5:$Q$30,MATCH($B91,Fondsen!$A$5:$A$30,0),I$8-$E91+1)))</f>
        <v/>
      </c>
      <c r="J91" s="30" t="str">
        <f t="array" ref="J91">IF(OR($B91="",$C91="",$E91=""),"",IF(OR(J$8&lt;$E91,J$8-$E91&gt;=12),0,$C91*INDEX(Fondsen!$F$5:$Q$30,MATCH($B91,Fondsen!$A$5:$A$30,0),J$8-$E91+1)))</f>
        <v/>
      </c>
      <c r="K91" s="31" t="str">
        <f t="array" ref="K91">IF(OR($B91="",$C91="",$E91=""),"",IF(OR(K$8&lt;$E91,K$8-$E91&gt;=12),0,$C91*INDEX(Fondsen!$F$5:$Q$30,MATCH($B91,Fondsen!$A$5:$A$30,0),K$8-$E91+1)))</f>
        <v/>
      </c>
      <c r="L91" s="30" t="str">
        <f t="array" ref="L91">IF(OR($B91="",$C91="",$E91=""),"",IF(OR(L$8&lt;$E91,L$8-$E91&gt;=12),0,$C91*INDEX(Fondsen!$F$5:$Q$30,MATCH($B91,Fondsen!$A$5:$A$30,0),L$8-$E91+1)))</f>
        <v/>
      </c>
      <c r="M91" s="31" t="str">
        <f t="array" ref="M91">IF(OR($B91="",$C91="",$E91=""),"",IF(OR(M$8&lt;$E91,M$8-$E91&gt;=12),0,$C91*INDEX(Fondsen!$F$5:$Q$30,MATCH($B91,Fondsen!$A$5:$A$30,0),M$8-$E91+1)))</f>
        <v/>
      </c>
      <c r="N91" s="30" t="str">
        <f t="array" ref="N91">IF(OR($B91="",$C91="",$E91=""),"",IF(OR(N$8&lt;$E91,N$8-$E91&gt;=12),0,$C91*INDEX(Fondsen!$F$5:$Q$30,MATCH($B91,Fondsen!$A$5:$A$30,0),N$8-$E91+1)))</f>
        <v/>
      </c>
      <c r="O91" s="31" t="str">
        <f t="array" ref="O91">IF(OR($B91="",$C91="",$E91=""),"",IF(OR(O$8&lt;$E91,O$8-$E91&gt;=12),0,$C91*INDEX(Fondsen!$F$5:$Q$30,MATCH($B91,Fondsen!$A$5:$A$30,0),O$8-$E91+1)))</f>
        <v/>
      </c>
      <c r="P91" s="30" t="str">
        <f t="array" ref="P91">IF(OR($B91="",$C91="",$E91=""),"",IF(OR(P$8&lt;$E91,P$8-$E91&gt;=12),0,$C91*INDEX(Fondsen!$F$5:$Q$30,MATCH($B91,Fondsen!$A$5:$A$30,0),P$8-$E91+1)))</f>
        <v/>
      </c>
      <c r="Q91" s="31" t="str">
        <f t="array" ref="Q91">IF(OR($B91="",$C91="",$E91=""),"",IF(OR(Q$8&lt;$E91,Q$8-$E91&gt;=12),0,$C91*INDEX(Fondsen!$F$5:$Q$30,MATCH($B91,Fondsen!$A$5:$A$30,0),Q$8-$E91+1)))</f>
        <v/>
      </c>
      <c r="R91" s="30" t="str">
        <f t="array" ref="R91">IF(OR($B91="",$C91="",$E91=""),"",IF(OR(R$8&lt;$E91,R$8-$E91&gt;=12),0,$C91*INDEX(Fondsen!$F$5:$Q$30,MATCH($B91,Fondsen!$A$5:$A$30,0),R$8-$E91+1)))</f>
        <v/>
      </c>
      <c r="S91" s="31" t="str">
        <f t="array" ref="S91">IF(OR($B91="",$C91="",$E91=""),"",IF(OR(S$8&lt;$E91,S$8-$E91&gt;=12),0,$C91*INDEX(Fondsen!$F$5:$Q$30,MATCH($B91,Fondsen!$A$5:$A$30,0),S$8-$E91+1)))</f>
        <v/>
      </c>
      <c r="T91" s="30" t="str">
        <f t="array" ref="T91">IF(OR($B91="",$C91="",$E91=""),"",IF(OR(T$8&lt;$E91,T$8-$E91&gt;=12),0,$C91*INDEX(Fondsen!$F$5:$Q$30,MATCH($B91,Fondsen!$A$5:$A$30,0),T$8-$E91+1)))</f>
        <v/>
      </c>
      <c r="U91" s="31" t="str">
        <f t="array" ref="U91">IF(OR($B91="",$C91="",$E91=""),"",IF(OR(U$8&lt;$E91,U$8-$E91&gt;=12),0,$C91*INDEX(Fondsen!$F$5:$Q$30,MATCH($B91,Fondsen!$A$5:$A$30,0),U$8-$E91+1)))</f>
        <v/>
      </c>
      <c r="V91" s="30" t="str">
        <f t="array" ref="V91">IF(OR($B91="",$C91="",$E91=""),"",IF(OR(V$8&lt;$E91,V$8-$E91&gt;=12),0,$C91*INDEX(Fondsen!$F$5:$Q$30,MATCH($B91,Fondsen!$A$5:$A$30,0),V$8-$E91+1)))</f>
        <v/>
      </c>
      <c r="W91" s="31" t="str">
        <f t="array" ref="W91">IF(OR($B91="",$C91="",$E91=""),"",IF(OR(W$8&lt;$E91,W$8-$E91&gt;=12),0,$C91*INDEX(Fondsen!$F$5:$Q$30,MATCH($B91,Fondsen!$A$5:$A$30,0),W$8-$E91+1)))</f>
        <v/>
      </c>
      <c r="X91" s="30" t="str">
        <f t="array" ref="X91">IF(OR($B91="",$C91="",$E91=""),"",IF(OR(X$8&lt;$E91,X$8-$E91&gt;=12),0,$C91*INDEX(Fondsen!$F$5:$Q$30,MATCH($B91,Fondsen!$A$5:$A$30,0),X$8-$E91+1)))</f>
        <v/>
      </c>
      <c r="Y91" s="31" t="str">
        <f t="array" ref="Y91">IF(OR($B91="",$C91="",$E91=""),"",IF(OR(Y$8&lt;$E91,Y$8-$E91&gt;=12),0,$C91*INDEX(Fondsen!$F$5:$Q$30,MATCH($B91,Fondsen!$A$5:$A$30,0),Y$8-$E91+1)))</f>
        <v/>
      </c>
      <c r="Z91" s="30" t="str">
        <f t="array" ref="Z91">IF(OR($B91="",$C91="",$E91=""),"",IF(OR(Z$8&lt;$E91,Z$8-$E91&gt;=12),0,$C91*INDEX(Fondsen!$F$5:$Q$30,MATCH($B91,Fondsen!$A$5:$A$30,0),Z$8-$E91+1)))</f>
        <v/>
      </c>
      <c r="AA91" s="31" t="str">
        <f t="array" ref="AA91">IF(OR($B91="",$C91="",$E91=""),"",IF(OR(AA$8&lt;$E91,AA$8-$E91&gt;=12),0,$C91*INDEX(Fondsen!$F$5:$Q$30,MATCH($B91,Fondsen!$A$5:$A$30,0),AA$8-$E91+1)))</f>
        <v/>
      </c>
      <c r="AB91" s="30" t="str">
        <f t="array" ref="AB91">IF(OR($B91="",$C91="",$E91=""),"",IF(OR(AB$8&lt;$E91,AB$8-$E91&gt;=12),0,$C91*INDEX(Fondsen!$F$5:$Q$30,MATCH($B91,Fondsen!$A$5:$A$30,0),AB$8-$E91+1)))</f>
        <v/>
      </c>
      <c r="AC91" s="31" t="str">
        <f t="array" ref="AC91">IF(OR($B91="",$C91="",$E91=""),"",IF(OR(AC$8&lt;$E91,AC$8-$E91&gt;=12),0,$C91*INDEX(Fondsen!$F$5:$Q$30,MATCH($B91,Fondsen!$A$5:$A$30,0),AC$8-$E91+1)))</f>
        <v/>
      </c>
      <c r="AD91" s="30" t="str">
        <f t="array" ref="AD91">IF(OR($B91="",$C91="",$E91=""),"",IF(OR(AD$8&lt;$E91,AD$8-$E91&gt;=12),0,$C91*INDEX(Fondsen!$F$5:$Q$30,MATCH($B91,Fondsen!$A$5:$A$30,0),AD$8-$E91+1)))</f>
        <v/>
      </c>
      <c r="AE91" s="31" t="str">
        <f t="array" ref="AE91">IF(OR($B91="",$C91="",$E91=""),"",IF(OR(AE$8&lt;$E91,AE$8-$E91&gt;=12),0,$C91*INDEX(Fondsen!$F$5:$Q$30,MATCH($B91,Fondsen!$A$5:$A$30,0),AE$8-$E91+1)))</f>
        <v/>
      </c>
      <c r="AF91" s="30" t="str">
        <f t="array" ref="AF91">IF(OR($B91="",$C91="",$E91=""),"",IF(OR(AF$8&lt;$E91,AF$8-$E91&gt;=12),0,$C91*INDEX(Fondsen!$F$5:$Q$30,MATCH($B91,Fondsen!$A$5:$A$30,0),AF$8-$E91+1)))</f>
        <v/>
      </c>
      <c r="AG91" s="31" t="str">
        <f t="array" ref="AG91">IF(OR($B91="",$C91="",$E91=""),"",IF(OR(AG$8&lt;$E91,AG$8-$E91&gt;=12),0,$C91*INDEX(Fondsen!$F$5:$Q$30,MATCH($B91,Fondsen!$A$5:$A$30,0),AG$8-$E91+1)))</f>
        <v/>
      </c>
      <c r="AH91" s="30" t="str">
        <f t="array" ref="AH91">IF(OR($B91="",$C91="",$E91=""),"",IF(OR(AH$8&lt;$E91,AH$8-$E91&gt;=12),0,$C91*INDEX(Fondsen!$F$5:$Q$30,MATCH($B91,Fondsen!$A$5:$A$30,0),AH$8-$E91+1)))</f>
        <v/>
      </c>
      <c r="AI91" s="31" t="str">
        <f t="array" ref="AI91">IF(OR($B91="",$C91="",$E91=""),"",IF(OR(AI$8&lt;$E91,AI$8-$E91&gt;=12),0,$C91*INDEX(Fondsen!$F$5:$Q$30,MATCH($B91,Fondsen!$A$5:$A$30,0),AI$8-$E91+1)))</f>
        <v/>
      </c>
      <c r="AJ91" s="30" t="str">
        <f t="array" ref="AJ91">IF(OR($B91="",$C91="",$E91=""),"",IF(OR(AJ$8&lt;$E91,AJ$8-$E91&gt;=12),0,$C91*INDEX(Fondsen!$F$5:$Q$30,MATCH($B91,Fondsen!$A$5:$A$30,0),AJ$8-$E91+1)))</f>
        <v/>
      </c>
      <c r="AK91" s="31" t="str">
        <f t="array" ref="AK91">IF(OR($B91="",$C91="",$E91=""),"",IF(OR(AK$8&lt;$E91,AK$8-$E91&gt;=12),0,$C91*INDEX(Fondsen!$F$5:$Q$30,MATCH($B91,Fondsen!$A$5:$A$30,0),AK$8-$E91+1)))</f>
        <v/>
      </c>
      <c r="AL91" s="30" t="str">
        <f t="array" ref="AL91">IF(OR($B91="",$C91="",$E91=""),"",IF(OR(AL$8&lt;$E91,AL$8-$E91&gt;=12),0,$C91*INDEX(Fondsen!$F$5:$Q$30,MATCH($B91,Fondsen!$A$5:$A$30,0),AL$8-$E91+1)))</f>
        <v/>
      </c>
      <c r="AM91" s="31" t="str">
        <f t="array" ref="AM91">IF(OR($B91="",$C91="",$E91=""),"",IF(OR(AM$8&lt;$E91,AM$8-$E91&gt;=12),0,$C91*INDEX(Fondsen!$F$5:$Q$30,MATCH($B91,Fondsen!$A$5:$A$30,0),AM$8-$E91+1)))</f>
        <v/>
      </c>
      <c r="AN91" s="30" t="str">
        <f t="array" ref="AN91">IF(OR($B91="",$C91="",$E91=""),"",IF(OR(AN$8&lt;$E91,AN$8-$E91&gt;=12),0,$C91*INDEX(Fondsen!$F$5:$Q$30,MATCH($B91,Fondsen!$A$5:$A$30,0),AN$8-$E91+1)))</f>
        <v/>
      </c>
      <c r="AO91" s="31" t="str">
        <f t="array" ref="AO91">IF(OR($B91="",$C91="",$E91=""),"",IF(OR(AO$8&lt;$E91,AO$8-$E91&gt;=12),0,$C91*INDEX(Fondsen!$F$5:$Q$30,MATCH($B91,Fondsen!$A$5:$A$30,0),AO$8-$E91+1)))</f>
        <v/>
      </c>
      <c r="AP91" s="30" t="str">
        <f t="array" ref="AP91">IF(OR($B91="",$C91="",$E91=""),"",IF(OR(AP$8&lt;$E91,AP$8-$E91&gt;=12),0,$C91*INDEX(Fondsen!$F$5:$Q$30,MATCH($B91,Fondsen!$A$5:$A$30,0),AP$8-$E91+1)))</f>
        <v/>
      </c>
      <c r="AQ91" s="31" t="str">
        <f t="array" ref="AQ91">IF(OR($B91="",$C91="",$E91=""),"",IF(OR(AQ$8&lt;$E91,AQ$8-$E91&gt;=12),0,$C91*INDEX(Fondsen!$F$5:$Q$30,MATCH($B91,Fondsen!$A$5:$A$30,0),AQ$8-$E91+1)))</f>
        <v/>
      </c>
      <c r="AR91" s="30" t="str">
        <f t="array" ref="AR91">IF(OR($B91="",$C91="",$E91=""),"",IF(OR(AR$8&lt;$E91,AR$8-$E91&gt;=12),0,$C91*INDEX(Fondsen!$F$5:$Q$30,MATCH($B91,Fondsen!$A$5:$A$30,0),AR$8-$E91+1)))</f>
        <v/>
      </c>
      <c r="AS91" s="31" t="str">
        <f t="array" ref="AS91">IF(OR($B91="",$C91="",$E91=""),"",IF(OR(AS$8&lt;$E91,AS$8-$E91&gt;=12),0,$C91*INDEX(Fondsen!$F$5:$Q$30,MATCH($B91,Fondsen!$A$5:$A$30,0),AS$8-$E91+1)))</f>
        <v/>
      </c>
      <c r="AT91" s="45"/>
    </row>
    <row r="92" ht="24.0" customHeight="1" outlineLevel="1">
      <c r="A92" s="33" t="str">
        <f>IF(B92="","",IFERROR(VLOOKUP(B92,Fondsen!$A$5:$B$30,2,FALSE()),""))</f>
        <v/>
      </c>
      <c r="B92" s="34"/>
      <c r="C92" s="35"/>
      <c r="D92" s="46" t="s">
        <v>11</v>
      </c>
      <c r="E92" s="37"/>
      <c r="F92" s="38" t="str">
        <f t="array" ref="F92">IF(OR($B92="",$C92="",$E92=""),"",IF(OR(F$8&lt;$E92,F$8-$E92&gt;=12),0,$C92*INDEX(Fondsen!$F$5:$Q$30,MATCH($B92,Fondsen!$A$5:$A$30,0),F$8-$E92+1)))</f>
        <v/>
      </c>
      <c r="G92" s="39" t="str">
        <f t="array" ref="G92">IF(OR($B92="",$C92="",$E92=""),"",IF(OR(G$8&lt;$E92,G$8-$E92&gt;=12),0,$C92*INDEX(Fondsen!$F$5:$Q$30,MATCH($B92,Fondsen!$A$5:$A$30,0),G$8-$E92+1)))</f>
        <v/>
      </c>
      <c r="H92" s="38" t="str">
        <f t="array" ref="H92">IF(OR($B92="",$C92="",$E92=""),"",IF(OR(H$8&lt;$E92,H$8-$E92&gt;=12),0,$C92*INDEX(Fondsen!$F$5:$Q$30,MATCH($B92,Fondsen!$A$5:$A$30,0),H$8-$E92+1)))</f>
        <v/>
      </c>
      <c r="I92" s="39" t="str">
        <f t="array" ref="I92">IF(OR($B92="",$C92="",$E92=""),"",IF(OR(I$8&lt;$E92,I$8-$E92&gt;=12),0,$C92*INDEX(Fondsen!$F$5:$Q$30,MATCH($B92,Fondsen!$A$5:$A$30,0),I$8-$E92+1)))</f>
        <v/>
      </c>
      <c r="J92" s="38" t="str">
        <f t="array" ref="J92">IF(OR($B92="",$C92="",$E92=""),"",IF(OR(J$8&lt;$E92,J$8-$E92&gt;=12),0,$C92*INDEX(Fondsen!$F$5:$Q$30,MATCH($B92,Fondsen!$A$5:$A$30,0),J$8-$E92+1)))</f>
        <v/>
      </c>
      <c r="K92" s="39" t="str">
        <f t="array" ref="K92">IF(OR($B92="",$C92="",$E92=""),"",IF(OR(K$8&lt;$E92,K$8-$E92&gt;=12),0,$C92*INDEX(Fondsen!$F$5:$Q$30,MATCH($B92,Fondsen!$A$5:$A$30,0),K$8-$E92+1)))</f>
        <v/>
      </c>
      <c r="L92" s="38" t="str">
        <f t="array" ref="L92">IF(OR($B92="",$C92="",$E92=""),"",IF(OR(L$8&lt;$E92,L$8-$E92&gt;=12),0,$C92*INDEX(Fondsen!$F$5:$Q$30,MATCH($B92,Fondsen!$A$5:$A$30,0),L$8-$E92+1)))</f>
        <v/>
      </c>
      <c r="M92" s="39" t="str">
        <f t="array" ref="M92">IF(OR($B92="",$C92="",$E92=""),"",IF(OR(M$8&lt;$E92,M$8-$E92&gt;=12),0,$C92*INDEX(Fondsen!$F$5:$Q$30,MATCH($B92,Fondsen!$A$5:$A$30,0),M$8-$E92+1)))</f>
        <v/>
      </c>
      <c r="N92" s="38" t="str">
        <f t="array" ref="N92">IF(OR($B92="",$C92="",$E92=""),"",IF(OR(N$8&lt;$E92,N$8-$E92&gt;=12),0,$C92*INDEX(Fondsen!$F$5:$Q$30,MATCH($B92,Fondsen!$A$5:$A$30,0),N$8-$E92+1)))</f>
        <v/>
      </c>
      <c r="O92" s="39" t="str">
        <f t="array" ref="O92">IF(OR($B92="",$C92="",$E92=""),"",IF(OR(O$8&lt;$E92,O$8-$E92&gt;=12),0,$C92*INDEX(Fondsen!$F$5:$Q$30,MATCH($B92,Fondsen!$A$5:$A$30,0),O$8-$E92+1)))</f>
        <v/>
      </c>
      <c r="P92" s="38" t="str">
        <f t="array" ref="P92">IF(OR($B92="",$C92="",$E92=""),"",IF(OR(P$8&lt;$E92,P$8-$E92&gt;=12),0,$C92*INDEX(Fondsen!$F$5:$Q$30,MATCH($B92,Fondsen!$A$5:$A$30,0),P$8-$E92+1)))</f>
        <v/>
      </c>
      <c r="Q92" s="39" t="str">
        <f t="array" ref="Q92">IF(OR($B92="",$C92="",$E92=""),"",IF(OR(Q$8&lt;$E92,Q$8-$E92&gt;=12),0,$C92*INDEX(Fondsen!$F$5:$Q$30,MATCH($B92,Fondsen!$A$5:$A$30,0),Q$8-$E92+1)))</f>
        <v/>
      </c>
      <c r="R92" s="38" t="str">
        <f t="array" ref="R92">IF(OR($B92="",$C92="",$E92=""),"",IF(OR(R$8&lt;$E92,R$8-$E92&gt;=12),0,$C92*INDEX(Fondsen!$F$5:$Q$30,MATCH($B92,Fondsen!$A$5:$A$30,0),R$8-$E92+1)))</f>
        <v/>
      </c>
      <c r="S92" s="39" t="str">
        <f t="array" ref="S92">IF(OR($B92="",$C92="",$E92=""),"",IF(OR(S$8&lt;$E92,S$8-$E92&gt;=12),0,$C92*INDEX(Fondsen!$F$5:$Q$30,MATCH($B92,Fondsen!$A$5:$A$30,0),S$8-$E92+1)))</f>
        <v/>
      </c>
      <c r="T92" s="38" t="str">
        <f t="array" ref="T92">IF(OR($B92="",$C92="",$E92=""),"",IF(OR(T$8&lt;$E92,T$8-$E92&gt;=12),0,$C92*INDEX(Fondsen!$F$5:$Q$30,MATCH($B92,Fondsen!$A$5:$A$30,0),T$8-$E92+1)))</f>
        <v/>
      </c>
      <c r="U92" s="39" t="str">
        <f t="array" ref="U92">IF(OR($B92="",$C92="",$E92=""),"",IF(OR(U$8&lt;$E92,U$8-$E92&gt;=12),0,$C92*INDEX(Fondsen!$F$5:$Q$30,MATCH($B92,Fondsen!$A$5:$A$30,0),U$8-$E92+1)))</f>
        <v/>
      </c>
      <c r="V92" s="38" t="str">
        <f t="array" ref="V92">IF(OR($B92="",$C92="",$E92=""),"",IF(OR(V$8&lt;$E92,V$8-$E92&gt;=12),0,$C92*INDEX(Fondsen!$F$5:$Q$30,MATCH($B92,Fondsen!$A$5:$A$30,0),V$8-$E92+1)))</f>
        <v/>
      </c>
      <c r="W92" s="39" t="str">
        <f t="array" ref="W92">IF(OR($B92="",$C92="",$E92=""),"",IF(OR(W$8&lt;$E92,W$8-$E92&gt;=12),0,$C92*INDEX(Fondsen!$F$5:$Q$30,MATCH($B92,Fondsen!$A$5:$A$30,0),W$8-$E92+1)))</f>
        <v/>
      </c>
      <c r="X92" s="38" t="str">
        <f t="array" ref="X92">IF(OR($B92="",$C92="",$E92=""),"",IF(OR(X$8&lt;$E92,X$8-$E92&gt;=12),0,$C92*INDEX(Fondsen!$F$5:$Q$30,MATCH($B92,Fondsen!$A$5:$A$30,0),X$8-$E92+1)))</f>
        <v/>
      </c>
      <c r="Y92" s="39" t="str">
        <f t="array" ref="Y92">IF(OR($B92="",$C92="",$E92=""),"",IF(OR(Y$8&lt;$E92,Y$8-$E92&gt;=12),0,$C92*INDEX(Fondsen!$F$5:$Q$30,MATCH($B92,Fondsen!$A$5:$A$30,0),Y$8-$E92+1)))</f>
        <v/>
      </c>
      <c r="Z92" s="38" t="str">
        <f t="array" ref="Z92">IF(OR($B92="",$C92="",$E92=""),"",IF(OR(Z$8&lt;$E92,Z$8-$E92&gt;=12),0,$C92*INDEX(Fondsen!$F$5:$Q$30,MATCH($B92,Fondsen!$A$5:$A$30,0),Z$8-$E92+1)))</f>
        <v/>
      </c>
      <c r="AA92" s="39" t="str">
        <f t="array" ref="AA92">IF(OR($B92="",$C92="",$E92=""),"",IF(OR(AA$8&lt;$E92,AA$8-$E92&gt;=12),0,$C92*INDEX(Fondsen!$F$5:$Q$30,MATCH($B92,Fondsen!$A$5:$A$30,0),AA$8-$E92+1)))</f>
        <v/>
      </c>
      <c r="AB92" s="38" t="str">
        <f t="array" ref="AB92">IF(OR($B92="",$C92="",$E92=""),"",IF(OR(AB$8&lt;$E92,AB$8-$E92&gt;=12),0,$C92*INDEX(Fondsen!$F$5:$Q$30,MATCH($B92,Fondsen!$A$5:$A$30,0),AB$8-$E92+1)))</f>
        <v/>
      </c>
      <c r="AC92" s="39" t="str">
        <f t="array" ref="AC92">IF(OR($B92="",$C92="",$E92=""),"",IF(OR(AC$8&lt;$E92,AC$8-$E92&gt;=12),0,$C92*INDEX(Fondsen!$F$5:$Q$30,MATCH($B92,Fondsen!$A$5:$A$30,0),AC$8-$E92+1)))</f>
        <v/>
      </c>
      <c r="AD92" s="38" t="str">
        <f t="array" ref="AD92">IF(OR($B92="",$C92="",$E92=""),"",IF(OR(AD$8&lt;$E92,AD$8-$E92&gt;=12),0,$C92*INDEX(Fondsen!$F$5:$Q$30,MATCH($B92,Fondsen!$A$5:$A$30,0),AD$8-$E92+1)))</f>
        <v/>
      </c>
      <c r="AE92" s="39" t="str">
        <f t="array" ref="AE92">IF(OR($B92="",$C92="",$E92=""),"",IF(OR(AE$8&lt;$E92,AE$8-$E92&gt;=12),0,$C92*INDEX(Fondsen!$F$5:$Q$30,MATCH($B92,Fondsen!$A$5:$A$30,0),AE$8-$E92+1)))</f>
        <v/>
      </c>
      <c r="AF92" s="38" t="str">
        <f t="array" ref="AF92">IF(OR($B92="",$C92="",$E92=""),"",IF(OR(AF$8&lt;$E92,AF$8-$E92&gt;=12),0,$C92*INDEX(Fondsen!$F$5:$Q$30,MATCH($B92,Fondsen!$A$5:$A$30,0),AF$8-$E92+1)))</f>
        <v/>
      </c>
      <c r="AG92" s="39" t="str">
        <f t="array" ref="AG92">IF(OR($B92="",$C92="",$E92=""),"",IF(OR(AG$8&lt;$E92,AG$8-$E92&gt;=12),0,$C92*INDEX(Fondsen!$F$5:$Q$30,MATCH($B92,Fondsen!$A$5:$A$30,0),AG$8-$E92+1)))</f>
        <v/>
      </c>
      <c r="AH92" s="38" t="str">
        <f t="array" ref="AH92">IF(OR($B92="",$C92="",$E92=""),"",IF(OR(AH$8&lt;$E92,AH$8-$E92&gt;=12),0,$C92*INDEX(Fondsen!$F$5:$Q$30,MATCH($B92,Fondsen!$A$5:$A$30,0),AH$8-$E92+1)))</f>
        <v/>
      </c>
      <c r="AI92" s="39" t="str">
        <f t="array" ref="AI92">IF(OR($B92="",$C92="",$E92=""),"",IF(OR(AI$8&lt;$E92,AI$8-$E92&gt;=12),0,$C92*INDEX(Fondsen!$F$5:$Q$30,MATCH($B92,Fondsen!$A$5:$A$30,0),AI$8-$E92+1)))</f>
        <v/>
      </c>
      <c r="AJ92" s="38" t="str">
        <f t="array" ref="AJ92">IF(OR($B92="",$C92="",$E92=""),"",IF(OR(AJ$8&lt;$E92,AJ$8-$E92&gt;=12),0,$C92*INDEX(Fondsen!$F$5:$Q$30,MATCH($B92,Fondsen!$A$5:$A$30,0),AJ$8-$E92+1)))</f>
        <v/>
      </c>
      <c r="AK92" s="39" t="str">
        <f t="array" ref="AK92">IF(OR($B92="",$C92="",$E92=""),"",IF(OR(AK$8&lt;$E92,AK$8-$E92&gt;=12),0,$C92*INDEX(Fondsen!$F$5:$Q$30,MATCH($B92,Fondsen!$A$5:$A$30,0),AK$8-$E92+1)))</f>
        <v/>
      </c>
      <c r="AL92" s="38" t="str">
        <f t="array" ref="AL92">IF(OR($B92="",$C92="",$E92=""),"",IF(OR(AL$8&lt;$E92,AL$8-$E92&gt;=12),0,$C92*INDEX(Fondsen!$F$5:$Q$30,MATCH($B92,Fondsen!$A$5:$A$30,0),AL$8-$E92+1)))</f>
        <v/>
      </c>
      <c r="AM92" s="39" t="str">
        <f t="array" ref="AM92">IF(OR($B92="",$C92="",$E92=""),"",IF(OR(AM$8&lt;$E92,AM$8-$E92&gt;=12),0,$C92*INDEX(Fondsen!$F$5:$Q$30,MATCH($B92,Fondsen!$A$5:$A$30,0),AM$8-$E92+1)))</f>
        <v/>
      </c>
      <c r="AN92" s="38" t="str">
        <f t="array" ref="AN92">IF(OR($B92="",$C92="",$E92=""),"",IF(OR(AN$8&lt;$E92,AN$8-$E92&gt;=12),0,$C92*INDEX(Fondsen!$F$5:$Q$30,MATCH($B92,Fondsen!$A$5:$A$30,0),AN$8-$E92+1)))</f>
        <v/>
      </c>
      <c r="AO92" s="39" t="str">
        <f t="array" ref="AO92">IF(OR($B92="",$C92="",$E92=""),"",IF(OR(AO$8&lt;$E92,AO$8-$E92&gt;=12),0,$C92*INDEX(Fondsen!$F$5:$Q$30,MATCH($B92,Fondsen!$A$5:$A$30,0),AO$8-$E92+1)))</f>
        <v/>
      </c>
      <c r="AP92" s="38" t="str">
        <f t="array" ref="AP92">IF(OR($B92="",$C92="",$E92=""),"",IF(OR(AP$8&lt;$E92,AP$8-$E92&gt;=12),0,$C92*INDEX(Fondsen!$F$5:$Q$30,MATCH($B92,Fondsen!$A$5:$A$30,0),AP$8-$E92+1)))</f>
        <v/>
      </c>
      <c r="AQ92" s="39" t="str">
        <f t="array" ref="AQ92">IF(OR($B92="",$C92="",$E92=""),"",IF(OR(AQ$8&lt;$E92,AQ$8-$E92&gt;=12),0,$C92*INDEX(Fondsen!$F$5:$Q$30,MATCH($B92,Fondsen!$A$5:$A$30,0),AQ$8-$E92+1)))</f>
        <v/>
      </c>
      <c r="AR92" s="38" t="str">
        <f t="array" ref="AR92">IF(OR($B92="",$C92="",$E92=""),"",IF(OR(AR$8&lt;$E92,AR$8-$E92&gt;=12),0,$C92*INDEX(Fondsen!$F$5:$Q$30,MATCH($B92,Fondsen!$A$5:$A$30,0),AR$8-$E92+1)))</f>
        <v/>
      </c>
      <c r="AS92" s="39" t="str">
        <f t="array" ref="AS92">IF(OR($B92="",$C92="",$E92=""),"",IF(OR(AS$8&lt;$E92,AS$8-$E92&gt;=12),0,$C92*INDEX(Fondsen!$F$5:$Q$30,MATCH($B92,Fondsen!$A$5:$A$30,0),AS$8-$E92+1)))</f>
        <v/>
      </c>
      <c r="AT92" s="45"/>
    </row>
    <row r="93" ht="24.0" customHeight="1" outlineLevel="1">
      <c r="A93" s="47" t="str">
        <f>IF(B93="","",IFERROR(VLOOKUP(B93,Fondsen!$A$5:$B$30,2,FALSE()),""))</f>
        <v/>
      </c>
      <c r="B93" s="26"/>
      <c r="C93" s="27"/>
      <c r="D93" s="44" t="s">
        <v>11</v>
      </c>
      <c r="E93" s="29"/>
      <c r="F93" s="30" t="str">
        <f t="array" ref="F93">IF(OR($B93="",$C93="",$E93=""),"",IF(OR(F$8&lt;$E93,F$8-$E93&gt;=12),0,$C93*INDEX(Fondsen!$F$5:$Q$30,MATCH($B93,Fondsen!$A$5:$A$30,0),F$8-$E93+1)))</f>
        <v/>
      </c>
      <c r="G93" s="31" t="str">
        <f t="array" ref="G93">IF(OR($B93="",$C93="",$E93=""),"",IF(OR(G$8&lt;$E93,G$8-$E93&gt;=12),0,$C93*INDEX(Fondsen!$F$5:$Q$30,MATCH($B93,Fondsen!$A$5:$A$30,0),G$8-$E93+1)))</f>
        <v/>
      </c>
      <c r="H93" s="30" t="str">
        <f t="array" ref="H93">IF(OR($B93="",$C93="",$E93=""),"",IF(OR(H$8&lt;$E93,H$8-$E93&gt;=12),0,$C93*INDEX(Fondsen!$F$5:$Q$30,MATCH($B93,Fondsen!$A$5:$A$30,0),H$8-$E93+1)))</f>
        <v/>
      </c>
      <c r="I93" s="31" t="str">
        <f t="array" ref="I93">IF(OR($B93="",$C93="",$E93=""),"",IF(OR(I$8&lt;$E93,I$8-$E93&gt;=12),0,$C93*INDEX(Fondsen!$F$5:$Q$30,MATCH($B93,Fondsen!$A$5:$A$30,0),I$8-$E93+1)))</f>
        <v/>
      </c>
      <c r="J93" s="30" t="str">
        <f t="array" ref="J93">IF(OR($B93="",$C93="",$E93=""),"",IF(OR(J$8&lt;$E93,J$8-$E93&gt;=12),0,$C93*INDEX(Fondsen!$F$5:$Q$30,MATCH($B93,Fondsen!$A$5:$A$30,0),J$8-$E93+1)))</f>
        <v/>
      </c>
      <c r="K93" s="31" t="str">
        <f t="array" ref="K93">IF(OR($B93="",$C93="",$E93=""),"",IF(OR(K$8&lt;$E93,K$8-$E93&gt;=12),0,$C93*INDEX(Fondsen!$F$5:$Q$30,MATCH($B93,Fondsen!$A$5:$A$30,0),K$8-$E93+1)))</f>
        <v/>
      </c>
      <c r="L93" s="30" t="str">
        <f t="array" ref="L93">IF(OR($B93="",$C93="",$E93=""),"",IF(OR(L$8&lt;$E93,L$8-$E93&gt;=12),0,$C93*INDEX(Fondsen!$F$5:$Q$30,MATCH($B93,Fondsen!$A$5:$A$30,0),L$8-$E93+1)))</f>
        <v/>
      </c>
      <c r="M93" s="31" t="str">
        <f t="array" ref="M93">IF(OR($B93="",$C93="",$E93=""),"",IF(OR(M$8&lt;$E93,M$8-$E93&gt;=12),0,$C93*INDEX(Fondsen!$F$5:$Q$30,MATCH($B93,Fondsen!$A$5:$A$30,0),M$8-$E93+1)))</f>
        <v/>
      </c>
      <c r="N93" s="30" t="str">
        <f t="array" ref="N93">IF(OR($B93="",$C93="",$E93=""),"",IF(OR(N$8&lt;$E93,N$8-$E93&gt;=12),0,$C93*INDEX(Fondsen!$F$5:$Q$30,MATCH($B93,Fondsen!$A$5:$A$30,0),N$8-$E93+1)))</f>
        <v/>
      </c>
      <c r="O93" s="31" t="str">
        <f t="array" ref="O93">IF(OR($B93="",$C93="",$E93=""),"",IF(OR(O$8&lt;$E93,O$8-$E93&gt;=12),0,$C93*INDEX(Fondsen!$F$5:$Q$30,MATCH($B93,Fondsen!$A$5:$A$30,0),O$8-$E93+1)))</f>
        <v/>
      </c>
      <c r="P93" s="30" t="str">
        <f t="array" ref="P93">IF(OR($B93="",$C93="",$E93=""),"",IF(OR(P$8&lt;$E93,P$8-$E93&gt;=12),0,$C93*INDEX(Fondsen!$F$5:$Q$30,MATCH($B93,Fondsen!$A$5:$A$30,0),P$8-$E93+1)))</f>
        <v/>
      </c>
      <c r="Q93" s="31" t="str">
        <f t="array" ref="Q93">IF(OR($B93="",$C93="",$E93=""),"",IF(OR(Q$8&lt;$E93,Q$8-$E93&gt;=12),0,$C93*INDEX(Fondsen!$F$5:$Q$30,MATCH($B93,Fondsen!$A$5:$A$30,0),Q$8-$E93+1)))</f>
        <v/>
      </c>
      <c r="R93" s="30" t="str">
        <f t="array" ref="R93">IF(OR($B93="",$C93="",$E93=""),"",IF(OR(R$8&lt;$E93,R$8-$E93&gt;=12),0,$C93*INDEX(Fondsen!$F$5:$Q$30,MATCH($B93,Fondsen!$A$5:$A$30,0),R$8-$E93+1)))</f>
        <v/>
      </c>
      <c r="S93" s="31" t="str">
        <f t="array" ref="S93">IF(OR($B93="",$C93="",$E93=""),"",IF(OR(S$8&lt;$E93,S$8-$E93&gt;=12),0,$C93*INDEX(Fondsen!$F$5:$Q$30,MATCH($B93,Fondsen!$A$5:$A$30,0),S$8-$E93+1)))</f>
        <v/>
      </c>
      <c r="T93" s="30" t="str">
        <f t="array" ref="T93">IF(OR($B93="",$C93="",$E93=""),"",IF(OR(T$8&lt;$E93,T$8-$E93&gt;=12),0,$C93*INDEX(Fondsen!$F$5:$Q$30,MATCH($B93,Fondsen!$A$5:$A$30,0),T$8-$E93+1)))</f>
        <v/>
      </c>
      <c r="U93" s="31" t="str">
        <f t="array" ref="U93">IF(OR($B93="",$C93="",$E93=""),"",IF(OR(U$8&lt;$E93,U$8-$E93&gt;=12),0,$C93*INDEX(Fondsen!$F$5:$Q$30,MATCH($B93,Fondsen!$A$5:$A$30,0),U$8-$E93+1)))</f>
        <v/>
      </c>
      <c r="V93" s="30" t="str">
        <f t="array" ref="V93">IF(OR($B93="",$C93="",$E93=""),"",IF(OR(V$8&lt;$E93,V$8-$E93&gt;=12),0,$C93*INDEX(Fondsen!$F$5:$Q$30,MATCH($B93,Fondsen!$A$5:$A$30,0),V$8-$E93+1)))</f>
        <v/>
      </c>
      <c r="W93" s="31" t="str">
        <f t="array" ref="W93">IF(OR($B93="",$C93="",$E93=""),"",IF(OR(W$8&lt;$E93,W$8-$E93&gt;=12),0,$C93*INDEX(Fondsen!$F$5:$Q$30,MATCH($B93,Fondsen!$A$5:$A$30,0),W$8-$E93+1)))</f>
        <v/>
      </c>
      <c r="X93" s="30" t="str">
        <f t="array" ref="X93">IF(OR($B93="",$C93="",$E93=""),"",IF(OR(X$8&lt;$E93,X$8-$E93&gt;=12),0,$C93*INDEX(Fondsen!$F$5:$Q$30,MATCH($B93,Fondsen!$A$5:$A$30,0),X$8-$E93+1)))</f>
        <v/>
      </c>
      <c r="Y93" s="31" t="str">
        <f t="array" ref="Y93">IF(OR($B93="",$C93="",$E93=""),"",IF(OR(Y$8&lt;$E93,Y$8-$E93&gt;=12),0,$C93*INDEX(Fondsen!$F$5:$Q$30,MATCH($B93,Fondsen!$A$5:$A$30,0),Y$8-$E93+1)))</f>
        <v/>
      </c>
      <c r="Z93" s="30" t="str">
        <f t="array" ref="Z93">IF(OR($B93="",$C93="",$E93=""),"",IF(OR(Z$8&lt;$E93,Z$8-$E93&gt;=12),0,$C93*INDEX(Fondsen!$F$5:$Q$30,MATCH($B93,Fondsen!$A$5:$A$30,0),Z$8-$E93+1)))</f>
        <v/>
      </c>
      <c r="AA93" s="31" t="str">
        <f t="array" ref="AA93">IF(OR($B93="",$C93="",$E93=""),"",IF(OR(AA$8&lt;$E93,AA$8-$E93&gt;=12),0,$C93*INDEX(Fondsen!$F$5:$Q$30,MATCH($B93,Fondsen!$A$5:$A$30,0),AA$8-$E93+1)))</f>
        <v/>
      </c>
      <c r="AB93" s="30" t="str">
        <f t="array" ref="AB93">IF(OR($B93="",$C93="",$E93=""),"",IF(OR(AB$8&lt;$E93,AB$8-$E93&gt;=12),0,$C93*INDEX(Fondsen!$F$5:$Q$30,MATCH($B93,Fondsen!$A$5:$A$30,0),AB$8-$E93+1)))</f>
        <v/>
      </c>
      <c r="AC93" s="31" t="str">
        <f t="array" ref="AC93">IF(OR($B93="",$C93="",$E93=""),"",IF(OR(AC$8&lt;$E93,AC$8-$E93&gt;=12),0,$C93*INDEX(Fondsen!$F$5:$Q$30,MATCH($B93,Fondsen!$A$5:$A$30,0),AC$8-$E93+1)))</f>
        <v/>
      </c>
      <c r="AD93" s="30" t="str">
        <f t="array" ref="AD93">IF(OR($B93="",$C93="",$E93=""),"",IF(OR(AD$8&lt;$E93,AD$8-$E93&gt;=12),0,$C93*INDEX(Fondsen!$F$5:$Q$30,MATCH($B93,Fondsen!$A$5:$A$30,0),AD$8-$E93+1)))</f>
        <v/>
      </c>
      <c r="AE93" s="31" t="str">
        <f t="array" ref="AE93">IF(OR($B93="",$C93="",$E93=""),"",IF(OR(AE$8&lt;$E93,AE$8-$E93&gt;=12),0,$C93*INDEX(Fondsen!$F$5:$Q$30,MATCH($B93,Fondsen!$A$5:$A$30,0),AE$8-$E93+1)))</f>
        <v/>
      </c>
      <c r="AF93" s="30" t="str">
        <f t="array" ref="AF93">IF(OR($B93="",$C93="",$E93=""),"",IF(OR(AF$8&lt;$E93,AF$8-$E93&gt;=12),0,$C93*INDEX(Fondsen!$F$5:$Q$30,MATCH($B93,Fondsen!$A$5:$A$30,0),AF$8-$E93+1)))</f>
        <v/>
      </c>
      <c r="AG93" s="31" t="str">
        <f t="array" ref="AG93">IF(OR($B93="",$C93="",$E93=""),"",IF(OR(AG$8&lt;$E93,AG$8-$E93&gt;=12),0,$C93*INDEX(Fondsen!$F$5:$Q$30,MATCH($B93,Fondsen!$A$5:$A$30,0),AG$8-$E93+1)))</f>
        <v/>
      </c>
      <c r="AH93" s="30" t="str">
        <f t="array" ref="AH93">IF(OR($B93="",$C93="",$E93=""),"",IF(OR(AH$8&lt;$E93,AH$8-$E93&gt;=12),0,$C93*INDEX(Fondsen!$F$5:$Q$30,MATCH($B93,Fondsen!$A$5:$A$30,0),AH$8-$E93+1)))</f>
        <v/>
      </c>
      <c r="AI93" s="31" t="str">
        <f t="array" ref="AI93">IF(OR($B93="",$C93="",$E93=""),"",IF(OR(AI$8&lt;$E93,AI$8-$E93&gt;=12),0,$C93*INDEX(Fondsen!$F$5:$Q$30,MATCH($B93,Fondsen!$A$5:$A$30,0),AI$8-$E93+1)))</f>
        <v/>
      </c>
      <c r="AJ93" s="30" t="str">
        <f t="array" ref="AJ93">IF(OR($B93="",$C93="",$E93=""),"",IF(OR(AJ$8&lt;$E93,AJ$8-$E93&gt;=12),0,$C93*INDEX(Fondsen!$F$5:$Q$30,MATCH($B93,Fondsen!$A$5:$A$30,0),AJ$8-$E93+1)))</f>
        <v/>
      </c>
      <c r="AK93" s="31" t="str">
        <f t="array" ref="AK93">IF(OR($B93="",$C93="",$E93=""),"",IF(OR(AK$8&lt;$E93,AK$8-$E93&gt;=12),0,$C93*INDEX(Fondsen!$F$5:$Q$30,MATCH($B93,Fondsen!$A$5:$A$30,0),AK$8-$E93+1)))</f>
        <v/>
      </c>
      <c r="AL93" s="30" t="str">
        <f t="array" ref="AL93">IF(OR($B93="",$C93="",$E93=""),"",IF(OR(AL$8&lt;$E93,AL$8-$E93&gt;=12),0,$C93*INDEX(Fondsen!$F$5:$Q$30,MATCH($B93,Fondsen!$A$5:$A$30,0),AL$8-$E93+1)))</f>
        <v/>
      </c>
      <c r="AM93" s="31" t="str">
        <f t="array" ref="AM93">IF(OR($B93="",$C93="",$E93=""),"",IF(OR(AM$8&lt;$E93,AM$8-$E93&gt;=12),0,$C93*INDEX(Fondsen!$F$5:$Q$30,MATCH($B93,Fondsen!$A$5:$A$30,0),AM$8-$E93+1)))</f>
        <v/>
      </c>
      <c r="AN93" s="30" t="str">
        <f t="array" ref="AN93">IF(OR($B93="",$C93="",$E93=""),"",IF(OR(AN$8&lt;$E93,AN$8-$E93&gt;=12),0,$C93*INDEX(Fondsen!$F$5:$Q$30,MATCH($B93,Fondsen!$A$5:$A$30,0),AN$8-$E93+1)))</f>
        <v/>
      </c>
      <c r="AO93" s="31" t="str">
        <f t="array" ref="AO93">IF(OR($B93="",$C93="",$E93=""),"",IF(OR(AO$8&lt;$E93,AO$8-$E93&gt;=12),0,$C93*INDEX(Fondsen!$F$5:$Q$30,MATCH($B93,Fondsen!$A$5:$A$30,0),AO$8-$E93+1)))</f>
        <v/>
      </c>
      <c r="AP93" s="30" t="str">
        <f t="array" ref="AP93">IF(OR($B93="",$C93="",$E93=""),"",IF(OR(AP$8&lt;$E93,AP$8-$E93&gt;=12),0,$C93*INDEX(Fondsen!$F$5:$Q$30,MATCH($B93,Fondsen!$A$5:$A$30,0),AP$8-$E93+1)))</f>
        <v/>
      </c>
      <c r="AQ93" s="31" t="str">
        <f t="array" ref="AQ93">IF(OR($B93="",$C93="",$E93=""),"",IF(OR(AQ$8&lt;$E93,AQ$8-$E93&gt;=12),0,$C93*INDEX(Fondsen!$F$5:$Q$30,MATCH($B93,Fondsen!$A$5:$A$30,0),AQ$8-$E93+1)))</f>
        <v/>
      </c>
      <c r="AR93" s="30" t="str">
        <f t="array" ref="AR93">IF(OR($B93="",$C93="",$E93=""),"",IF(OR(AR$8&lt;$E93,AR$8-$E93&gt;=12),0,$C93*INDEX(Fondsen!$F$5:$Q$30,MATCH($B93,Fondsen!$A$5:$A$30,0),AR$8-$E93+1)))</f>
        <v/>
      </c>
      <c r="AS93" s="31" t="str">
        <f t="array" ref="AS93">IF(OR($B93="",$C93="",$E93=""),"",IF(OR(AS$8&lt;$E93,AS$8-$E93&gt;=12),0,$C93*INDEX(Fondsen!$F$5:$Q$30,MATCH($B93,Fondsen!$A$5:$A$30,0),AS$8-$E93+1)))</f>
        <v/>
      </c>
      <c r="AT93" s="45"/>
    </row>
    <row r="94" ht="24.0" customHeight="1" outlineLevel="1">
      <c r="A94" s="33" t="str">
        <f>IF(B94="","",IFERROR(VLOOKUP(B94,Fondsen!$A$5:$B$30,2,FALSE()),""))</f>
        <v/>
      </c>
      <c r="B94" s="34"/>
      <c r="C94" s="35"/>
      <c r="D94" s="46" t="s">
        <v>11</v>
      </c>
      <c r="E94" s="37"/>
      <c r="F94" s="38" t="str">
        <f t="array" ref="F94">IF(OR($B94="",$C94="",$E94=""),"",IF(OR(F$8&lt;$E94,F$8-$E94&gt;=12),0,$C94*INDEX(Fondsen!$F$5:$Q$30,MATCH($B94,Fondsen!$A$5:$A$30,0),F$8-$E94+1)))</f>
        <v/>
      </c>
      <c r="G94" s="39" t="str">
        <f t="array" ref="G94">IF(OR($B94="",$C94="",$E94=""),"",IF(OR(G$8&lt;$E94,G$8-$E94&gt;=12),0,$C94*INDEX(Fondsen!$F$5:$Q$30,MATCH($B94,Fondsen!$A$5:$A$30,0),G$8-$E94+1)))</f>
        <v/>
      </c>
      <c r="H94" s="38" t="str">
        <f t="array" ref="H94">IF(OR($B94="",$C94="",$E94=""),"",IF(OR(H$8&lt;$E94,H$8-$E94&gt;=12),0,$C94*INDEX(Fondsen!$F$5:$Q$30,MATCH($B94,Fondsen!$A$5:$A$30,0),H$8-$E94+1)))</f>
        <v/>
      </c>
      <c r="I94" s="39" t="str">
        <f t="array" ref="I94">IF(OR($B94="",$C94="",$E94=""),"",IF(OR(I$8&lt;$E94,I$8-$E94&gt;=12),0,$C94*INDEX(Fondsen!$F$5:$Q$30,MATCH($B94,Fondsen!$A$5:$A$30,0),I$8-$E94+1)))</f>
        <v/>
      </c>
      <c r="J94" s="38" t="str">
        <f t="array" ref="J94">IF(OR($B94="",$C94="",$E94=""),"",IF(OR(J$8&lt;$E94,J$8-$E94&gt;=12),0,$C94*INDEX(Fondsen!$F$5:$Q$30,MATCH($B94,Fondsen!$A$5:$A$30,0),J$8-$E94+1)))</f>
        <v/>
      </c>
      <c r="K94" s="39" t="str">
        <f t="array" ref="K94">IF(OR($B94="",$C94="",$E94=""),"",IF(OR(K$8&lt;$E94,K$8-$E94&gt;=12),0,$C94*INDEX(Fondsen!$F$5:$Q$30,MATCH($B94,Fondsen!$A$5:$A$30,0),K$8-$E94+1)))</f>
        <v/>
      </c>
      <c r="L94" s="38" t="str">
        <f t="array" ref="L94">IF(OR($B94="",$C94="",$E94=""),"",IF(OR(L$8&lt;$E94,L$8-$E94&gt;=12),0,$C94*INDEX(Fondsen!$F$5:$Q$30,MATCH($B94,Fondsen!$A$5:$A$30,0),L$8-$E94+1)))</f>
        <v/>
      </c>
      <c r="M94" s="39" t="str">
        <f t="array" ref="M94">IF(OR($B94="",$C94="",$E94=""),"",IF(OR(M$8&lt;$E94,M$8-$E94&gt;=12),0,$C94*INDEX(Fondsen!$F$5:$Q$30,MATCH($B94,Fondsen!$A$5:$A$30,0),M$8-$E94+1)))</f>
        <v/>
      </c>
      <c r="N94" s="38" t="str">
        <f t="array" ref="N94">IF(OR($B94="",$C94="",$E94=""),"",IF(OR(N$8&lt;$E94,N$8-$E94&gt;=12),0,$C94*INDEX(Fondsen!$F$5:$Q$30,MATCH($B94,Fondsen!$A$5:$A$30,0),N$8-$E94+1)))</f>
        <v/>
      </c>
      <c r="O94" s="39" t="str">
        <f t="array" ref="O94">IF(OR($B94="",$C94="",$E94=""),"",IF(OR(O$8&lt;$E94,O$8-$E94&gt;=12),0,$C94*INDEX(Fondsen!$F$5:$Q$30,MATCH($B94,Fondsen!$A$5:$A$30,0),O$8-$E94+1)))</f>
        <v/>
      </c>
      <c r="P94" s="38" t="str">
        <f t="array" ref="P94">IF(OR($B94="",$C94="",$E94=""),"",IF(OR(P$8&lt;$E94,P$8-$E94&gt;=12),0,$C94*INDEX(Fondsen!$F$5:$Q$30,MATCH($B94,Fondsen!$A$5:$A$30,0),P$8-$E94+1)))</f>
        <v/>
      </c>
      <c r="Q94" s="39" t="str">
        <f t="array" ref="Q94">IF(OR($B94="",$C94="",$E94=""),"",IF(OR(Q$8&lt;$E94,Q$8-$E94&gt;=12),0,$C94*INDEX(Fondsen!$F$5:$Q$30,MATCH($B94,Fondsen!$A$5:$A$30,0),Q$8-$E94+1)))</f>
        <v/>
      </c>
      <c r="R94" s="38" t="str">
        <f t="array" ref="R94">IF(OR($B94="",$C94="",$E94=""),"",IF(OR(R$8&lt;$E94,R$8-$E94&gt;=12),0,$C94*INDEX(Fondsen!$F$5:$Q$30,MATCH($B94,Fondsen!$A$5:$A$30,0),R$8-$E94+1)))</f>
        <v/>
      </c>
      <c r="S94" s="39" t="str">
        <f t="array" ref="S94">IF(OR($B94="",$C94="",$E94=""),"",IF(OR(S$8&lt;$E94,S$8-$E94&gt;=12),0,$C94*INDEX(Fondsen!$F$5:$Q$30,MATCH($B94,Fondsen!$A$5:$A$30,0),S$8-$E94+1)))</f>
        <v/>
      </c>
      <c r="T94" s="38" t="str">
        <f t="array" ref="T94">IF(OR($B94="",$C94="",$E94=""),"",IF(OR(T$8&lt;$E94,T$8-$E94&gt;=12),0,$C94*INDEX(Fondsen!$F$5:$Q$30,MATCH($B94,Fondsen!$A$5:$A$30,0),T$8-$E94+1)))</f>
        <v/>
      </c>
      <c r="U94" s="39" t="str">
        <f t="array" ref="U94">IF(OR($B94="",$C94="",$E94=""),"",IF(OR(U$8&lt;$E94,U$8-$E94&gt;=12),0,$C94*INDEX(Fondsen!$F$5:$Q$30,MATCH($B94,Fondsen!$A$5:$A$30,0),U$8-$E94+1)))</f>
        <v/>
      </c>
      <c r="V94" s="38" t="str">
        <f t="array" ref="V94">IF(OR($B94="",$C94="",$E94=""),"",IF(OR(V$8&lt;$E94,V$8-$E94&gt;=12),0,$C94*INDEX(Fondsen!$F$5:$Q$30,MATCH($B94,Fondsen!$A$5:$A$30,0),V$8-$E94+1)))</f>
        <v/>
      </c>
      <c r="W94" s="39" t="str">
        <f t="array" ref="W94">IF(OR($B94="",$C94="",$E94=""),"",IF(OR(W$8&lt;$E94,W$8-$E94&gt;=12),0,$C94*INDEX(Fondsen!$F$5:$Q$30,MATCH($B94,Fondsen!$A$5:$A$30,0),W$8-$E94+1)))</f>
        <v/>
      </c>
      <c r="X94" s="38" t="str">
        <f t="array" ref="X94">IF(OR($B94="",$C94="",$E94=""),"",IF(OR(X$8&lt;$E94,X$8-$E94&gt;=12),0,$C94*INDEX(Fondsen!$F$5:$Q$30,MATCH($B94,Fondsen!$A$5:$A$30,0),X$8-$E94+1)))</f>
        <v/>
      </c>
      <c r="Y94" s="39" t="str">
        <f t="array" ref="Y94">IF(OR($B94="",$C94="",$E94=""),"",IF(OR(Y$8&lt;$E94,Y$8-$E94&gt;=12),0,$C94*INDEX(Fondsen!$F$5:$Q$30,MATCH($B94,Fondsen!$A$5:$A$30,0),Y$8-$E94+1)))</f>
        <v/>
      </c>
      <c r="Z94" s="38" t="str">
        <f t="array" ref="Z94">IF(OR($B94="",$C94="",$E94=""),"",IF(OR(Z$8&lt;$E94,Z$8-$E94&gt;=12),0,$C94*INDEX(Fondsen!$F$5:$Q$30,MATCH($B94,Fondsen!$A$5:$A$30,0),Z$8-$E94+1)))</f>
        <v/>
      </c>
      <c r="AA94" s="39" t="str">
        <f t="array" ref="AA94">IF(OR($B94="",$C94="",$E94=""),"",IF(OR(AA$8&lt;$E94,AA$8-$E94&gt;=12),0,$C94*INDEX(Fondsen!$F$5:$Q$30,MATCH($B94,Fondsen!$A$5:$A$30,0),AA$8-$E94+1)))</f>
        <v/>
      </c>
      <c r="AB94" s="38" t="str">
        <f t="array" ref="AB94">IF(OR($B94="",$C94="",$E94=""),"",IF(OR(AB$8&lt;$E94,AB$8-$E94&gt;=12),0,$C94*INDEX(Fondsen!$F$5:$Q$30,MATCH($B94,Fondsen!$A$5:$A$30,0),AB$8-$E94+1)))</f>
        <v/>
      </c>
      <c r="AC94" s="39" t="str">
        <f t="array" ref="AC94">IF(OR($B94="",$C94="",$E94=""),"",IF(OR(AC$8&lt;$E94,AC$8-$E94&gt;=12),0,$C94*INDEX(Fondsen!$F$5:$Q$30,MATCH($B94,Fondsen!$A$5:$A$30,0),AC$8-$E94+1)))</f>
        <v/>
      </c>
      <c r="AD94" s="38" t="str">
        <f t="array" ref="AD94">IF(OR($B94="",$C94="",$E94=""),"",IF(OR(AD$8&lt;$E94,AD$8-$E94&gt;=12),0,$C94*INDEX(Fondsen!$F$5:$Q$30,MATCH($B94,Fondsen!$A$5:$A$30,0),AD$8-$E94+1)))</f>
        <v/>
      </c>
      <c r="AE94" s="39" t="str">
        <f t="array" ref="AE94">IF(OR($B94="",$C94="",$E94=""),"",IF(OR(AE$8&lt;$E94,AE$8-$E94&gt;=12),0,$C94*INDEX(Fondsen!$F$5:$Q$30,MATCH($B94,Fondsen!$A$5:$A$30,0),AE$8-$E94+1)))</f>
        <v/>
      </c>
      <c r="AF94" s="38" t="str">
        <f t="array" ref="AF94">IF(OR($B94="",$C94="",$E94=""),"",IF(OR(AF$8&lt;$E94,AF$8-$E94&gt;=12),0,$C94*INDEX(Fondsen!$F$5:$Q$30,MATCH($B94,Fondsen!$A$5:$A$30,0),AF$8-$E94+1)))</f>
        <v/>
      </c>
      <c r="AG94" s="39" t="str">
        <f t="array" ref="AG94">IF(OR($B94="",$C94="",$E94=""),"",IF(OR(AG$8&lt;$E94,AG$8-$E94&gt;=12),0,$C94*INDEX(Fondsen!$F$5:$Q$30,MATCH($B94,Fondsen!$A$5:$A$30,0),AG$8-$E94+1)))</f>
        <v/>
      </c>
      <c r="AH94" s="38" t="str">
        <f t="array" ref="AH94">IF(OR($B94="",$C94="",$E94=""),"",IF(OR(AH$8&lt;$E94,AH$8-$E94&gt;=12),0,$C94*INDEX(Fondsen!$F$5:$Q$30,MATCH($B94,Fondsen!$A$5:$A$30,0),AH$8-$E94+1)))</f>
        <v/>
      </c>
      <c r="AI94" s="39" t="str">
        <f t="array" ref="AI94">IF(OR($B94="",$C94="",$E94=""),"",IF(OR(AI$8&lt;$E94,AI$8-$E94&gt;=12),0,$C94*INDEX(Fondsen!$F$5:$Q$30,MATCH($B94,Fondsen!$A$5:$A$30,0),AI$8-$E94+1)))</f>
        <v/>
      </c>
      <c r="AJ94" s="38" t="str">
        <f t="array" ref="AJ94">IF(OR($B94="",$C94="",$E94=""),"",IF(OR(AJ$8&lt;$E94,AJ$8-$E94&gt;=12),0,$C94*INDEX(Fondsen!$F$5:$Q$30,MATCH($B94,Fondsen!$A$5:$A$30,0),AJ$8-$E94+1)))</f>
        <v/>
      </c>
      <c r="AK94" s="39" t="str">
        <f t="array" ref="AK94">IF(OR($B94="",$C94="",$E94=""),"",IF(OR(AK$8&lt;$E94,AK$8-$E94&gt;=12),0,$C94*INDEX(Fondsen!$F$5:$Q$30,MATCH($B94,Fondsen!$A$5:$A$30,0),AK$8-$E94+1)))</f>
        <v/>
      </c>
      <c r="AL94" s="38" t="str">
        <f t="array" ref="AL94">IF(OR($B94="",$C94="",$E94=""),"",IF(OR(AL$8&lt;$E94,AL$8-$E94&gt;=12),0,$C94*INDEX(Fondsen!$F$5:$Q$30,MATCH($B94,Fondsen!$A$5:$A$30,0),AL$8-$E94+1)))</f>
        <v/>
      </c>
      <c r="AM94" s="39" t="str">
        <f t="array" ref="AM94">IF(OR($B94="",$C94="",$E94=""),"",IF(OR(AM$8&lt;$E94,AM$8-$E94&gt;=12),0,$C94*INDEX(Fondsen!$F$5:$Q$30,MATCH($B94,Fondsen!$A$5:$A$30,0),AM$8-$E94+1)))</f>
        <v/>
      </c>
      <c r="AN94" s="38" t="str">
        <f t="array" ref="AN94">IF(OR($B94="",$C94="",$E94=""),"",IF(OR(AN$8&lt;$E94,AN$8-$E94&gt;=12),0,$C94*INDEX(Fondsen!$F$5:$Q$30,MATCH($B94,Fondsen!$A$5:$A$30,0),AN$8-$E94+1)))</f>
        <v/>
      </c>
      <c r="AO94" s="39" t="str">
        <f t="array" ref="AO94">IF(OR($B94="",$C94="",$E94=""),"",IF(OR(AO$8&lt;$E94,AO$8-$E94&gt;=12),0,$C94*INDEX(Fondsen!$F$5:$Q$30,MATCH($B94,Fondsen!$A$5:$A$30,0),AO$8-$E94+1)))</f>
        <v/>
      </c>
      <c r="AP94" s="38" t="str">
        <f t="array" ref="AP94">IF(OR($B94="",$C94="",$E94=""),"",IF(OR(AP$8&lt;$E94,AP$8-$E94&gt;=12),0,$C94*INDEX(Fondsen!$F$5:$Q$30,MATCH($B94,Fondsen!$A$5:$A$30,0),AP$8-$E94+1)))</f>
        <v/>
      </c>
      <c r="AQ94" s="39" t="str">
        <f t="array" ref="AQ94">IF(OR($B94="",$C94="",$E94=""),"",IF(OR(AQ$8&lt;$E94,AQ$8-$E94&gt;=12),0,$C94*INDEX(Fondsen!$F$5:$Q$30,MATCH($B94,Fondsen!$A$5:$A$30,0),AQ$8-$E94+1)))</f>
        <v/>
      </c>
      <c r="AR94" s="38" t="str">
        <f t="array" ref="AR94">IF(OR($B94="",$C94="",$E94=""),"",IF(OR(AR$8&lt;$E94,AR$8-$E94&gt;=12),0,$C94*INDEX(Fondsen!$F$5:$Q$30,MATCH($B94,Fondsen!$A$5:$A$30,0),AR$8-$E94+1)))</f>
        <v/>
      </c>
      <c r="AS94" s="39" t="str">
        <f t="array" ref="AS94">IF(OR($B94="",$C94="",$E94=""),"",IF(OR(AS$8&lt;$E94,AS$8-$E94&gt;=12),0,$C94*INDEX(Fondsen!$F$5:$Q$30,MATCH($B94,Fondsen!$A$5:$A$30,0),AS$8-$E94+1)))</f>
        <v/>
      </c>
      <c r="AT94" s="45"/>
    </row>
    <row r="95" ht="24.0" customHeight="1" outlineLevel="1">
      <c r="A95" s="47" t="str">
        <f>IF(B95="","",IFERROR(VLOOKUP(B95,Fondsen!$A$5:$B$30,2,FALSE()),""))</f>
        <v/>
      </c>
      <c r="B95" s="26"/>
      <c r="C95" s="27"/>
      <c r="D95" s="44" t="s">
        <v>11</v>
      </c>
      <c r="E95" s="29"/>
      <c r="F95" s="30" t="str">
        <f t="array" ref="F95">IF(OR($B95="",$C95="",$E95=""),"",IF(OR(F$8&lt;$E95,F$8-$E95&gt;=12),0,$C95*INDEX(Fondsen!$F$5:$Q$30,MATCH($B95,Fondsen!$A$5:$A$30,0),F$8-$E95+1)))</f>
        <v/>
      </c>
      <c r="G95" s="31" t="str">
        <f t="array" ref="G95">IF(OR($B95="",$C95="",$E95=""),"",IF(OR(G$8&lt;$E95,G$8-$E95&gt;=12),0,$C95*INDEX(Fondsen!$F$5:$Q$30,MATCH($B95,Fondsen!$A$5:$A$30,0),G$8-$E95+1)))</f>
        <v/>
      </c>
      <c r="H95" s="30" t="str">
        <f t="array" ref="H95">IF(OR($B95="",$C95="",$E95=""),"",IF(OR(H$8&lt;$E95,H$8-$E95&gt;=12),0,$C95*INDEX(Fondsen!$F$5:$Q$30,MATCH($B95,Fondsen!$A$5:$A$30,0),H$8-$E95+1)))</f>
        <v/>
      </c>
      <c r="I95" s="31" t="str">
        <f t="array" ref="I95">IF(OR($B95="",$C95="",$E95=""),"",IF(OR(I$8&lt;$E95,I$8-$E95&gt;=12),0,$C95*INDEX(Fondsen!$F$5:$Q$30,MATCH($B95,Fondsen!$A$5:$A$30,0),I$8-$E95+1)))</f>
        <v/>
      </c>
      <c r="J95" s="30" t="str">
        <f t="array" ref="J95">IF(OR($B95="",$C95="",$E95=""),"",IF(OR(J$8&lt;$E95,J$8-$E95&gt;=12),0,$C95*INDEX(Fondsen!$F$5:$Q$30,MATCH($B95,Fondsen!$A$5:$A$30,0),J$8-$E95+1)))</f>
        <v/>
      </c>
      <c r="K95" s="31" t="str">
        <f t="array" ref="K95">IF(OR($B95="",$C95="",$E95=""),"",IF(OR(K$8&lt;$E95,K$8-$E95&gt;=12),0,$C95*INDEX(Fondsen!$F$5:$Q$30,MATCH($B95,Fondsen!$A$5:$A$30,0),K$8-$E95+1)))</f>
        <v/>
      </c>
      <c r="L95" s="30" t="str">
        <f t="array" ref="L95">IF(OR($B95="",$C95="",$E95=""),"",IF(OR(L$8&lt;$E95,L$8-$E95&gt;=12),0,$C95*INDEX(Fondsen!$F$5:$Q$30,MATCH($B95,Fondsen!$A$5:$A$30,0),L$8-$E95+1)))</f>
        <v/>
      </c>
      <c r="M95" s="31" t="str">
        <f t="array" ref="M95">IF(OR($B95="",$C95="",$E95=""),"",IF(OR(M$8&lt;$E95,M$8-$E95&gt;=12),0,$C95*INDEX(Fondsen!$F$5:$Q$30,MATCH($B95,Fondsen!$A$5:$A$30,0),M$8-$E95+1)))</f>
        <v/>
      </c>
      <c r="N95" s="30" t="str">
        <f t="array" ref="N95">IF(OR($B95="",$C95="",$E95=""),"",IF(OR(N$8&lt;$E95,N$8-$E95&gt;=12),0,$C95*INDEX(Fondsen!$F$5:$Q$30,MATCH($B95,Fondsen!$A$5:$A$30,0),N$8-$E95+1)))</f>
        <v/>
      </c>
      <c r="O95" s="31" t="str">
        <f t="array" ref="O95">IF(OR($B95="",$C95="",$E95=""),"",IF(OR(O$8&lt;$E95,O$8-$E95&gt;=12),0,$C95*INDEX(Fondsen!$F$5:$Q$30,MATCH($B95,Fondsen!$A$5:$A$30,0),O$8-$E95+1)))</f>
        <v/>
      </c>
      <c r="P95" s="30" t="str">
        <f t="array" ref="P95">IF(OR($B95="",$C95="",$E95=""),"",IF(OR(P$8&lt;$E95,P$8-$E95&gt;=12),0,$C95*INDEX(Fondsen!$F$5:$Q$30,MATCH($B95,Fondsen!$A$5:$A$30,0),P$8-$E95+1)))</f>
        <v/>
      </c>
      <c r="Q95" s="31" t="str">
        <f t="array" ref="Q95">IF(OR($B95="",$C95="",$E95=""),"",IF(OR(Q$8&lt;$E95,Q$8-$E95&gt;=12),0,$C95*INDEX(Fondsen!$F$5:$Q$30,MATCH($B95,Fondsen!$A$5:$A$30,0),Q$8-$E95+1)))</f>
        <v/>
      </c>
      <c r="R95" s="30" t="str">
        <f t="array" ref="R95">IF(OR($B95="",$C95="",$E95=""),"",IF(OR(R$8&lt;$E95,R$8-$E95&gt;=12),0,$C95*INDEX(Fondsen!$F$5:$Q$30,MATCH($B95,Fondsen!$A$5:$A$30,0),R$8-$E95+1)))</f>
        <v/>
      </c>
      <c r="S95" s="31" t="str">
        <f t="array" ref="S95">IF(OR($B95="",$C95="",$E95=""),"",IF(OR(S$8&lt;$E95,S$8-$E95&gt;=12),0,$C95*INDEX(Fondsen!$F$5:$Q$30,MATCH($B95,Fondsen!$A$5:$A$30,0),S$8-$E95+1)))</f>
        <v/>
      </c>
      <c r="T95" s="30" t="str">
        <f t="array" ref="T95">IF(OR($B95="",$C95="",$E95=""),"",IF(OR(T$8&lt;$E95,T$8-$E95&gt;=12),0,$C95*INDEX(Fondsen!$F$5:$Q$30,MATCH($B95,Fondsen!$A$5:$A$30,0),T$8-$E95+1)))</f>
        <v/>
      </c>
      <c r="U95" s="31" t="str">
        <f t="array" ref="U95">IF(OR($B95="",$C95="",$E95=""),"",IF(OR(U$8&lt;$E95,U$8-$E95&gt;=12),0,$C95*INDEX(Fondsen!$F$5:$Q$30,MATCH($B95,Fondsen!$A$5:$A$30,0),U$8-$E95+1)))</f>
        <v/>
      </c>
      <c r="V95" s="30" t="str">
        <f t="array" ref="V95">IF(OR($B95="",$C95="",$E95=""),"",IF(OR(V$8&lt;$E95,V$8-$E95&gt;=12),0,$C95*INDEX(Fondsen!$F$5:$Q$30,MATCH($B95,Fondsen!$A$5:$A$30,0),V$8-$E95+1)))</f>
        <v/>
      </c>
      <c r="W95" s="31" t="str">
        <f t="array" ref="W95">IF(OR($B95="",$C95="",$E95=""),"",IF(OR(W$8&lt;$E95,W$8-$E95&gt;=12),0,$C95*INDEX(Fondsen!$F$5:$Q$30,MATCH($B95,Fondsen!$A$5:$A$30,0),W$8-$E95+1)))</f>
        <v/>
      </c>
      <c r="X95" s="30" t="str">
        <f t="array" ref="X95">IF(OR($B95="",$C95="",$E95=""),"",IF(OR(X$8&lt;$E95,X$8-$E95&gt;=12),0,$C95*INDEX(Fondsen!$F$5:$Q$30,MATCH($B95,Fondsen!$A$5:$A$30,0),X$8-$E95+1)))</f>
        <v/>
      </c>
      <c r="Y95" s="31" t="str">
        <f t="array" ref="Y95">IF(OR($B95="",$C95="",$E95=""),"",IF(OR(Y$8&lt;$E95,Y$8-$E95&gt;=12),0,$C95*INDEX(Fondsen!$F$5:$Q$30,MATCH($B95,Fondsen!$A$5:$A$30,0),Y$8-$E95+1)))</f>
        <v/>
      </c>
      <c r="Z95" s="30" t="str">
        <f t="array" ref="Z95">IF(OR($B95="",$C95="",$E95=""),"",IF(OR(Z$8&lt;$E95,Z$8-$E95&gt;=12),0,$C95*INDEX(Fondsen!$F$5:$Q$30,MATCH($B95,Fondsen!$A$5:$A$30,0),Z$8-$E95+1)))</f>
        <v/>
      </c>
      <c r="AA95" s="31" t="str">
        <f t="array" ref="AA95">IF(OR($B95="",$C95="",$E95=""),"",IF(OR(AA$8&lt;$E95,AA$8-$E95&gt;=12),0,$C95*INDEX(Fondsen!$F$5:$Q$30,MATCH($B95,Fondsen!$A$5:$A$30,0),AA$8-$E95+1)))</f>
        <v/>
      </c>
      <c r="AB95" s="30" t="str">
        <f t="array" ref="AB95">IF(OR($B95="",$C95="",$E95=""),"",IF(OR(AB$8&lt;$E95,AB$8-$E95&gt;=12),0,$C95*INDEX(Fondsen!$F$5:$Q$30,MATCH($B95,Fondsen!$A$5:$A$30,0),AB$8-$E95+1)))</f>
        <v/>
      </c>
      <c r="AC95" s="31" t="str">
        <f t="array" ref="AC95">IF(OR($B95="",$C95="",$E95=""),"",IF(OR(AC$8&lt;$E95,AC$8-$E95&gt;=12),0,$C95*INDEX(Fondsen!$F$5:$Q$30,MATCH($B95,Fondsen!$A$5:$A$30,0),AC$8-$E95+1)))</f>
        <v/>
      </c>
      <c r="AD95" s="30" t="str">
        <f t="array" ref="AD95">IF(OR($B95="",$C95="",$E95=""),"",IF(OR(AD$8&lt;$E95,AD$8-$E95&gt;=12),0,$C95*INDEX(Fondsen!$F$5:$Q$30,MATCH($B95,Fondsen!$A$5:$A$30,0),AD$8-$E95+1)))</f>
        <v/>
      </c>
      <c r="AE95" s="31" t="str">
        <f t="array" ref="AE95">IF(OR($B95="",$C95="",$E95=""),"",IF(OR(AE$8&lt;$E95,AE$8-$E95&gt;=12),0,$C95*INDEX(Fondsen!$F$5:$Q$30,MATCH($B95,Fondsen!$A$5:$A$30,0),AE$8-$E95+1)))</f>
        <v/>
      </c>
      <c r="AF95" s="30" t="str">
        <f t="array" ref="AF95">IF(OR($B95="",$C95="",$E95=""),"",IF(OR(AF$8&lt;$E95,AF$8-$E95&gt;=12),0,$C95*INDEX(Fondsen!$F$5:$Q$30,MATCH($B95,Fondsen!$A$5:$A$30,0),AF$8-$E95+1)))</f>
        <v/>
      </c>
      <c r="AG95" s="31" t="str">
        <f t="array" ref="AG95">IF(OR($B95="",$C95="",$E95=""),"",IF(OR(AG$8&lt;$E95,AG$8-$E95&gt;=12),0,$C95*INDEX(Fondsen!$F$5:$Q$30,MATCH($B95,Fondsen!$A$5:$A$30,0),AG$8-$E95+1)))</f>
        <v/>
      </c>
      <c r="AH95" s="30" t="str">
        <f t="array" ref="AH95">IF(OR($B95="",$C95="",$E95=""),"",IF(OR(AH$8&lt;$E95,AH$8-$E95&gt;=12),0,$C95*INDEX(Fondsen!$F$5:$Q$30,MATCH($B95,Fondsen!$A$5:$A$30,0),AH$8-$E95+1)))</f>
        <v/>
      </c>
      <c r="AI95" s="31" t="str">
        <f t="array" ref="AI95">IF(OR($B95="",$C95="",$E95=""),"",IF(OR(AI$8&lt;$E95,AI$8-$E95&gt;=12),0,$C95*INDEX(Fondsen!$F$5:$Q$30,MATCH($B95,Fondsen!$A$5:$A$30,0),AI$8-$E95+1)))</f>
        <v/>
      </c>
      <c r="AJ95" s="30" t="str">
        <f t="array" ref="AJ95">IF(OR($B95="",$C95="",$E95=""),"",IF(OR(AJ$8&lt;$E95,AJ$8-$E95&gt;=12),0,$C95*INDEX(Fondsen!$F$5:$Q$30,MATCH($B95,Fondsen!$A$5:$A$30,0),AJ$8-$E95+1)))</f>
        <v/>
      </c>
      <c r="AK95" s="31" t="str">
        <f t="array" ref="AK95">IF(OR($B95="",$C95="",$E95=""),"",IF(OR(AK$8&lt;$E95,AK$8-$E95&gt;=12),0,$C95*INDEX(Fondsen!$F$5:$Q$30,MATCH($B95,Fondsen!$A$5:$A$30,0),AK$8-$E95+1)))</f>
        <v/>
      </c>
      <c r="AL95" s="30" t="str">
        <f t="array" ref="AL95">IF(OR($B95="",$C95="",$E95=""),"",IF(OR(AL$8&lt;$E95,AL$8-$E95&gt;=12),0,$C95*INDEX(Fondsen!$F$5:$Q$30,MATCH($B95,Fondsen!$A$5:$A$30,0),AL$8-$E95+1)))</f>
        <v/>
      </c>
      <c r="AM95" s="31" t="str">
        <f t="array" ref="AM95">IF(OR($B95="",$C95="",$E95=""),"",IF(OR(AM$8&lt;$E95,AM$8-$E95&gt;=12),0,$C95*INDEX(Fondsen!$F$5:$Q$30,MATCH($B95,Fondsen!$A$5:$A$30,0),AM$8-$E95+1)))</f>
        <v/>
      </c>
      <c r="AN95" s="30" t="str">
        <f t="array" ref="AN95">IF(OR($B95="",$C95="",$E95=""),"",IF(OR(AN$8&lt;$E95,AN$8-$E95&gt;=12),0,$C95*INDEX(Fondsen!$F$5:$Q$30,MATCH($B95,Fondsen!$A$5:$A$30,0),AN$8-$E95+1)))</f>
        <v/>
      </c>
      <c r="AO95" s="31" t="str">
        <f t="array" ref="AO95">IF(OR($B95="",$C95="",$E95=""),"",IF(OR(AO$8&lt;$E95,AO$8-$E95&gt;=12),0,$C95*INDEX(Fondsen!$F$5:$Q$30,MATCH($B95,Fondsen!$A$5:$A$30,0),AO$8-$E95+1)))</f>
        <v/>
      </c>
      <c r="AP95" s="30" t="str">
        <f t="array" ref="AP95">IF(OR($B95="",$C95="",$E95=""),"",IF(OR(AP$8&lt;$E95,AP$8-$E95&gt;=12),0,$C95*INDEX(Fondsen!$F$5:$Q$30,MATCH($B95,Fondsen!$A$5:$A$30,0),AP$8-$E95+1)))</f>
        <v/>
      </c>
      <c r="AQ95" s="31" t="str">
        <f t="array" ref="AQ95">IF(OR($B95="",$C95="",$E95=""),"",IF(OR(AQ$8&lt;$E95,AQ$8-$E95&gt;=12),0,$C95*INDEX(Fondsen!$F$5:$Q$30,MATCH($B95,Fondsen!$A$5:$A$30,0),AQ$8-$E95+1)))</f>
        <v/>
      </c>
      <c r="AR95" s="30" t="str">
        <f t="array" ref="AR95">IF(OR($B95="",$C95="",$E95=""),"",IF(OR(AR$8&lt;$E95,AR$8-$E95&gt;=12),0,$C95*INDEX(Fondsen!$F$5:$Q$30,MATCH($B95,Fondsen!$A$5:$A$30,0),AR$8-$E95+1)))</f>
        <v/>
      </c>
      <c r="AS95" s="31" t="str">
        <f t="array" ref="AS95">IF(OR($B95="",$C95="",$E95=""),"",IF(OR(AS$8&lt;$E95,AS$8-$E95&gt;=12),0,$C95*INDEX(Fondsen!$F$5:$Q$30,MATCH($B95,Fondsen!$A$5:$A$30,0),AS$8-$E95+1)))</f>
        <v/>
      </c>
      <c r="AT95" s="45"/>
    </row>
    <row r="96" ht="24.0" customHeight="1" outlineLevel="1">
      <c r="A96" s="33" t="str">
        <f>IF(B96="","",IFERROR(VLOOKUP(B96,Fondsen!$A$5:$B$30,2,FALSE()),""))</f>
        <v/>
      </c>
      <c r="B96" s="34"/>
      <c r="C96" s="35"/>
      <c r="D96" s="46" t="s">
        <v>11</v>
      </c>
      <c r="E96" s="37"/>
      <c r="F96" s="38" t="str">
        <f t="array" ref="F96">IF(OR($B96="",$C96="",$E96=""),"",IF(OR(F$8&lt;$E96,F$8-$E96&gt;=12),0,$C96*INDEX(Fondsen!$F$5:$Q$30,MATCH($B96,Fondsen!$A$5:$A$30,0),F$8-$E96+1)))</f>
        <v/>
      </c>
      <c r="G96" s="39" t="str">
        <f t="array" ref="G96">IF(OR($B96="",$C96="",$E96=""),"",IF(OR(G$8&lt;$E96,G$8-$E96&gt;=12),0,$C96*INDEX(Fondsen!$F$5:$Q$30,MATCH($B96,Fondsen!$A$5:$A$30,0),G$8-$E96+1)))</f>
        <v/>
      </c>
      <c r="H96" s="38" t="str">
        <f t="array" ref="H96">IF(OR($B96="",$C96="",$E96=""),"",IF(OR(H$8&lt;$E96,H$8-$E96&gt;=12),0,$C96*INDEX(Fondsen!$F$5:$Q$30,MATCH($B96,Fondsen!$A$5:$A$30,0),H$8-$E96+1)))</f>
        <v/>
      </c>
      <c r="I96" s="39" t="str">
        <f t="array" ref="I96">IF(OR($B96="",$C96="",$E96=""),"",IF(OR(I$8&lt;$E96,I$8-$E96&gt;=12),0,$C96*INDEX(Fondsen!$F$5:$Q$30,MATCH($B96,Fondsen!$A$5:$A$30,0),I$8-$E96+1)))</f>
        <v/>
      </c>
      <c r="J96" s="38" t="str">
        <f t="array" ref="J96">IF(OR($B96="",$C96="",$E96=""),"",IF(OR(J$8&lt;$E96,J$8-$E96&gt;=12),0,$C96*INDEX(Fondsen!$F$5:$Q$30,MATCH($B96,Fondsen!$A$5:$A$30,0),J$8-$E96+1)))</f>
        <v/>
      </c>
      <c r="K96" s="39" t="str">
        <f t="array" ref="K96">IF(OR($B96="",$C96="",$E96=""),"",IF(OR(K$8&lt;$E96,K$8-$E96&gt;=12),0,$C96*INDEX(Fondsen!$F$5:$Q$30,MATCH($B96,Fondsen!$A$5:$A$30,0),K$8-$E96+1)))</f>
        <v/>
      </c>
      <c r="L96" s="38" t="str">
        <f t="array" ref="L96">IF(OR($B96="",$C96="",$E96=""),"",IF(OR(L$8&lt;$E96,L$8-$E96&gt;=12),0,$C96*INDEX(Fondsen!$F$5:$Q$30,MATCH($B96,Fondsen!$A$5:$A$30,0),L$8-$E96+1)))</f>
        <v/>
      </c>
      <c r="M96" s="39" t="str">
        <f t="array" ref="M96">IF(OR($B96="",$C96="",$E96=""),"",IF(OR(M$8&lt;$E96,M$8-$E96&gt;=12),0,$C96*INDEX(Fondsen!$F$5:$Q$30,MATCH($B96,Fondsen!$A$5:$A$30,0),M$8-$E96+1)))</f>
        <v/>
      </c>
      <c r="N96" s="38" t="str">
        <f t="array" ref="N96">IF(OR($B96="",$C96="",$E96=""),"",IF(OR(N$8&lt;$E96,N$8-$E96&gt;=12),0,$C96*INDEX(Fondsen!$F$5:$Q$30,MATCH($B96,Fondsen!$A$5:$A$30,0),N$8-$E96+1)))</f>
        <v/>
      </c>
      <c r="O96" s="39" t="str">
        <f t="array" ref="O96">IF(OR($B96="",$C96="",$E96=""),"",IF(OR(O$8&lt;$E96,O$8-$E96&gt;=12),0,$C96*INDEX(Fondsen!$F$5:$Q$30,MATCH($B96,Fondsen!$A$5:$A$30,0),O$8-$E96+1)))</f>
        <v/>
      </c>
      <c r="P96" s="38" t="str">
        <f t="array" ref="P96">IF(OR($B96="",$C96="",$E96=""),"",IF(OR(P$8&lt;$E96,P$8-$E96&gt;=12),0,$C96*INDEX(Fondsen!$F$5:$Q$30,MATCH($B96,Fondsen!$A$5:$A$30,0),P$8-$E96+1)))</f>
        <v/>
      </c>
      <c r="Q96" s="39" t="str">
        <f t="array" ref="Q96">IF(OR($B96="",$C96="",$E96=""),"",IF(OR(Q$8&lt;$E96,Q$8-$E96&gt;=12),0,$C96*INDEX(Fondsen!$F$5:$Q$30,MATCH($B96,Fondsen!$A$5:$A$30,0),Q$8-$E96+1)))</f>
        <v/>
      </c>
      <c r="R96" s="38" t="str">
        <f t="array" ref="R96">IF(OR($B96="",$C96="",$E96=""),"",IF(OR(R$8&lt;$E96,R$8-$E96&gt;=12),0,$C96*INDEX(Fondsen!$F$5:$Q$30,MATCH($B96,Fondsen!$A$5:$A$30,0),R$8-$E96+1)))</f>
        <v/>
      </c>
      <c r="S96" s="39" t="str">
        <f t="array" ref="S96">IF(OR($B96="",$C96="",$E96=""),"",IF(OR(S$8&lt;$E96,S$8-$E96&gt;=12),0,$C96*INDEX(Fondsen!$F$5:$Q$30,MATCH($B96,Fondsen!$A$5:$A$30,0),S$8-$E96+1)))</f>
        <v/>
      </c>
      <c r="T96" s="38" t="str">
        <f t="array" ref="T96">IF(OR($B96="",$C96="",$E96=""),"",IF(OR(T$8&lt;$E96,T$8-$E96&gt;=12),0,$C96*INDEX(Fondsen!$F$5:$Q$30,MATCH($B96,Fondsen!$A$5:$A$30,0),T$8-$E96+1)))</f>
        <v/>
      </c>
      <c r="U96" s="39" t="str">
        <f t="array" ref="U96">IF(OR($B96="",$C96="",$E96=""),"",IF(OR(U$8&lt;$E96,U$8-$E96&gt;=12),0,$C96*INDEX(Fondsen!$F$5:$Q$30,MATCH($B96,Fondsen!$A$5:$A$30,0),U$8-$E96+1)))</f>
        <v/>
      </c>
      <c r="V96" s="38" t="str">
        <f t="array" ref="V96">IF(OR($B96="",$C96="",$E96=""),"",IF(OR(V$8&lt;$E96,V$8-$E96&gt;=12),0,$C96*INDEX(Fondsen!$F$5:$Q$30,MATCH($B96,Fondsen!$A$5:$A$30,0),V$8-$E96+1)))</f>
        <v/>
      </c>
      <c r="W96" s="39" t="str">
        <f t="array" ref="W96">IF(OR($B96="",$C96="",$E96=""),"",IF(OR(W$8&lt;$E96,W$8-$E96&gt;=12),0,$C96*INDEX(Fondsen!$F$5:$Q$30,MATCH($B96,Fondsen!$A$5:$A$30,0),W$8-$E96+1)))</f>
        <v/>
      </c>
      <c r="X96" s="38" t="str">
        <f t="array" ref="X96">IF(OR($B96="",$C96="",$E96=""),"",IF(OR(X$8&lt;$E96,X$8-$E96&gt;=12),0,$C96*INDEX(Fondsen!$F$5:$Q$30,MATCH($B96,Fondsen!$A$5:$A$30,0),X$8-$E96+1)))</f>
        <v/>
      </c>
      <c r="Y96" s="39" t="str">
        <f t="array" ref="Y96">IF(OR($B96="",$C96="",$E96=""),"",IF(OR(Y$8&lt;$E96,Y$8-$E96&gt;=12),0,$C96*INDEX(Fondsen!$F$5:$Q$30,MATCH($B96,Fondsen!$A$5:$A$30,0),Y$8-$E96+1)))</f>
        <v/>
      </c>
      <c r="Z96" s="38" t="str">
        <f t="array" ref="Z96">IF(OR($B96="",$C96="",$E96=""),"",IF(OR(Z$8&lt;$E96,Z$8-$E96&gt;=12),0,$C96*INDEX(Fondsen!$F$5:$Q$30,MATCH($B96,Fondsen!$A$5:$A$30,0),Z$8-$E96+1)))</f>
        <v/>
      </c>
      <c r="AA96" s="39" t="str">
        <f t="array" ref="AA96">IF(OR($B96="",$C96="",$E96=""),"",IF(OR(AA$8&lt;$E96,AA$8-$E96&gt;=12),0,$C96*INDEX(Fondsen!$F$5:$Q$30,MATCH($B96,Fondsen!$A$5:$A$30,0),AA$8-$E96+1)))</f>
        <v/>
      </c>
      <c r="AB96" s="38" t="str">
        <f t="array" ref="AB96">IF(OR($B96="",$C96="",$E96=""),"",IF(OR(AB$8&lt;$E96,AB$8-$E96&gt;=12),0,$C96*INDEX(Fondsen!$F$5:$Q$30,MATCH($B96,Fondsen!$A$5:$A$30,0),AB$8-$E96+1)))</f>
        <v/>
      </c>
      <c r="AC96" s="39" t="str">
        <f t="array" ref="AC96">IF(OR($B96="",$C96="",$E96=""),"",IF(OR(AC$8&lt;$E96,AC$8-$E96&gt;=12),0,$C96*INDEX(Fondsen!$F$5:$Q$30,MATCH($B96,Fondsen!$A$5:$A$30,0),AC$8-$E96+1)))</f>
        <v/>
      </c>
      <c r="AD96" s="38" t="str">
        <f t="array" ref="AD96">IF(OR($B96="",$C96="",$E96=""),"",IF(OR(AD$8&lt;$E96,AD$8-$E96&gt;=12),0,$C96*INDEX(Fondsen!$F$5:$Q$30,MATCH($B96,Fondsen!$A$5:$A$30,0),AD$8-$E96+1)))</f>
        <v/>
      </c>
      <c r="AE96" s="39" t="str">
        <f t="array" ref="AE96">IF(OR($B96="",$C96="",$E96=""),"",IF(OR(AE$8&lt;$E96,AE$8-$E96&gt;=12),0,$C96*INDEX(Fondsen!$F$5:$Q$30,MATCH($B96,Fondsen!$A$5:$A$30,0),AE$8-$E96+1)))</f>
        <v/>
      </c>
      <c r="AF96" s="38" t="str">
        <f t="array" ref="AF96">IF(OR($B96="",$C96="",$E96=""),"",IF(OR(AF$8&lt;$E96,AF$8-$E96&gt;=12),0,$C96*INDEX(Fondsen!$F$5:$Q$30,MATCH($B96,Fondsen!$A$5:$A$30,0),AF$8-$E96+1)))</f>
        <v/>
      </c>
      <c r="AG96" s="39" t="str">
        <f t="array" ref="AG96">IF(OR($B96="",$C96="",$E96=""),"",IF(OR(AG$8&lt;$E96,AG$8-$E96&gt;=12),0,$C96*INDEX(Fondsen!$F$5:$Q$30,MATCH($B96,Fondsen!$A$5:$A$30,0),AG$8-$E96+1)))</f>
        <v/>
      </c>
      <c r="AH96" s="38" t="str">
        <f t="array" ref="AH96">IF(OR($B96="",$C96="",$E96=""),"",IF(OR(AH$8&lt;$E96,AH$8-$E96&gt;=12),0,$C96*INDEX(Fondsen!$F$5:$Q$30,MATCH($B96,Fondsen!$A$5:$A$30,0),AH$8-$E96+1)))</f>
        <v/>
      </c>
      <c r="AI96" s="39" t="str">
        <f t="array" ref="AI96">IF(OR($B96="",$C96="",$E96=""),"",IF(OR(AI$8&lt;$E96,AI$8-$E96&gt;=12),0,$C96*INDEX(Fondsen!$F$5:$Q$30,MATCH($B96,Fondsen!$A$5:$A$30,0),AI$8-$E96+1)))</f>
        <v/>
      </c>
      <c r="AJ96" s="38" t="str">
        <f t="array" ref="AJ96">IF(OR($B96="",$C96="",$E96=""),"",IF(OR(AJ$8&lt;$E96,AJ$8-$E96&gt;=12),0,$C96*INDEX(Fondsen!$F$5:$Q$30,MATCH($B96,Fondsen!$A$5:$A$30,0),AJ$8-$E96+1)))</f>
        <v/>
      </c>
      <c r="AK96" s="39" t="str">
        <f t="array" ref="AK96">IF(OR($B96="",$C96="",$E96=""),"",IF(OR(AK$8&lt;$E96,AK$8-$E96&gt;=12),0,$C96*INDEX(Fondsen!$F$5:$Q$30,MATCH($B96,Fondsen!$A$5:$A$30,0),AK$8-$E96+1)))</f>
        <v/>
      </c>
      <c r="AL96" s="38" t="str">
        <f t="array" ref="AL96">IF(OR($B96="",$C96="",$E96=""),"",IF(OR(AL$8&lt;$E96,AL$8-$E96&gt;=12),0,$C96*INDEX(Fondsen!$F$5:$Q$30,MATCH($B96,Fondsen!$A$5:$A$30,0),AL$8-$E96+1)))</f>
        <v/>
      </c>
      <c r="AM96" s="39" t="str">
        <f t="array" ref="AM96">IF(OR($B96="",$C96="",$E96=""),"",IF(OR(AM$8&lt;$E96,AM$8-$E96&gt;=12),0,$C96*INDEX(Fondsen!$F$5:$Q$30,MATCH($B96,Fondsen!$A$5:$A$30,0),AM$8-$E96+1)))</f>
        <v/>
      </c>
      <c r="AN96" s="38" t="str">
        <f t="array" ref="AN96">IF(OR($B96="",$C96="",$E96=""),"",IF(OR(AN$8&lt;$E96,AN$8-$E96&gt;=12),0,$C96*INDEX(Fondsen!$F$5:$Q$30,MATCH($B96,Fondsen!$A$5:$A$30,0),AN$8-$E96+1)))</f>
        <v/>
      </c>
      <c r="AO96" s="39" t="str">
        <f t="array" ref="AO96">IF(OR($B96="",$C96="",$E96=""),"",IF(OR(AO$8&lt;$E96,AO$8-$E96&gt;=12),0,$C96*INDEX(Fondsen!$F$5:$Q$30,MATCH($B96,Fondsen!$A$5:$A$30,0),AO$8-$E96+1)))</f>
        <v/>
      </c>
      <c r="AP96" s="38" t="str">
        <f t="array" ref="AP96">IF(OR($B96="",$C96="",$E96=""),"",IF(OR(AP$8&lt;$E96,AP$8-$E96&gt;=12),0,$C96*INDEX(Fondsen!$F$5:$Q$30,MATCH($B96,Fondsen!$A$5:$A$30,0),AP$8-$E96+1)))</f>
        <v/>
      </c>
      <c r="AQ96" s="39" t="str">
        <f t="array" ref="AQ96">IF(OR($B96="",$C96="",$E96=""),"",IF(OR(AQ$8&lt;$E96,AQ$8-$E96&gt;=12),0,$C96*INDEX(Fondsen!$F$5:$Q$30,MATCH($B96,Fondsen!$A$5:$A$30,0),AQ$8-$E96+1)))</f>
        <v/>
      </c>
      <c r="AR96" s="38" t="str">
        <f t="array" ref="AR96">IF(OR($B96="",$C96="",$E96=""),"",IF(OR(AR$8&lt;$E96,AR$8-$E96&gt;=12),0,$C96*INDEX(Fondsen!$F$5:$Q$30,MATCH($B96,Fondsen!$A$5:$A$30,0),AR$8-$E96+1)))</f>
        <v/>
      </c>
      <c r="AS96" s="39" t="str">
        <f t="array" ref="AS96">IF(OR($B96="",$C96="",$E96=""),"",IF(OR(AS$8&lt;$E96,AS$8-$E96&gt;=12),0,$C96*INDEX(Fondsen!$F$5:$Q$30,MATCH($B96,Fondsen!$A$5:$A$30,0),AS$8-$E96+1)))</f>
        <v/>
      </c>
      <c r="AT96" s="45"/>
    </row>
    <row r="97" ht="24.0" customHeight="1" outlineLevel="1">
      <c r="A97" s="47" t="str">
        <f>IF(B97="","",IFERROR(VLOOKUP(B97,Fondsen!$A$5:$B$30,2,FALSE()),""))</f>
        <v/>
      </c>
      <c r="B97" s="26"/>
      <c r="C97" s="27"/>
      <c r="D97" s="44" t="s">
        <v>11</v>
      </c>
      <c r="E97" s="29"/>
      <c r="F97" s="30" t="str">
        <f t="array" ref="F97">IF(OR($B97="",$C97="",$E97=""),"",IF(OR(F$8&lt;$E97,F$8-$E97&gt;=12),0,$C97*INDEX(Fondsen!$F$5:$Q$30,MATCH($B97,Fondsen!$A$5:$A$30,0),F$8-$E97+1)))</f>
        <v/>
      </c>
      <c r="G97" s="31" t="str">
        <f t="array" ref="G97">IF(OR($B97="",$C97="",$E97=""),"",IF(OR(G$8&lt;$E97,G$8-$E97&gt;=12),0,$C97*INDEX(Fondsen!$F$5:$Q$30,MATCH($B97,Fondsen!$A$5:$A$30,0),G$8-$E97+1)))</f>
        <v/>
      </c>
      <c r="H97" s="30" t="str">
        <f t="array" ref="H97">IF(OR($B97="",$C97="",$E97=""),"",IF(OR(H$8&lt;$E97,H$8-$E97&gt;=12),0,$C97*INDEX(Fondsen!$F$5:$Q$30,MATCH($B97,Fondsen!$A$5:$A$30,0),H$8-$E97+1)))</f>
        <v/>
      </c>
      <c r="I97" s="31" t="str">
        <f t="array" ref="I97">IF(OR($B97="",$C97="",$E97=""),"",IF(OR(I$8&lt;$E97,I$8-$E97&gt;=12),0,$C97*INDEX(Fondsen!$F$5:$Q$30,MATCH($B97,Fondsen!$A$5:$A$30,0),I$8-$E97+1)))</f>
        <v/>
      </c>
      <c r="J97" s="30" t="str">
        <f t="array" ref="J97">IF(OR($B97="",$C97="",$E97=""),"",IF(OR(J$8&lt;$E97,J$8-$E97&gt;=12),0,$C97*INDEX(Fondsen!$F$5:$Q$30,MATCH($B97,Fondsen!$A$5:$A$30,0),J$8-$E97+1)))</f>
        <v/>
      </c>
      <c r="K97" s="31" t="str">
        <f t="array" ref="K97">IF(OR($B97="",$C97="",$E97=""),"",IF(OR(K$8&lt;$E97,K$8-$E97&gt;=12),0,$C97*INDEX(Fondsen!$F$5:$Q$30,MATCH($B97,Fondsen!$A$5:$A$30,0),K$8-$E97+1)))</f>
        <v/>
      </c>
      <c r="L97" s="30" t="str">
        <f t="array" ref="L97">IF(OR($B97="",$C97="",$E97=""),"",IF(OR(L$8&lt;$E97,L$8-$E97&gt;=12),0,$C97*INDEX(Fondsen!$F$5:$Q$30,MATCH($B97,Fondsen!$A$5:$A$30,0),L$8-$E97+1)))</f>
        <v/>
      </c>
      <c r="M97" s="31" t="str">
        <f t="array" ref="M97">IF(OR($B97="",$C97="",$E97=""),"",IF(OR(M$8&lt;$E97,M$8-$E97&gt;=12),0,$C97*INDEX(Fondsen!$F$5:$Q$30,MATCH($B97,Fondsen!$A$5:$A$30,0),M$8-$E97+1)))</f>
        <v/>
      </c>
      <c r="N97" s="30" t="str">
        <f t="array" ref="N97">IF(OR($B97="",$C97="",$E97=""),"",IF(OR(N$8&lt;$E97,N$8-$E97&gt;=12),0,$C97*INDEX(Fondsen!$F$5:$Q$30,MATCH($B97,Fondsen!$A$5:$A$30,0),N$8-$E97+1)))</f>
        <v/>
      </c>
      <c r="O97" s="31" t="str">
        <f t="array" ref="O97">IF(OR($B97="",$C97="",$E97=""),"",IF(OR(O$8&lt;$E97,O$8-$E97&gt;=12),0,$C97*INDEX(Fondsen!$F$5:$Q$30,MATCH($B97,Fondsen!$A$5:$A$30,0),O$8-$E97+1)))</f>
        <v/>
      </c>
      <c r="P97" s="30" t="str">
        <f t="array" ref="P97">IF(OR($B97="",$C97="",$E97=""),"",IF(OR(P$8&lt;$E97,P$8-$E97&gt;=12),0,$C97*INDEX(Fondsen!$F$5:$Q$30,MATCH($B97,Fondsen!$A$5:$A$30,0),P$8-$E97+1)))</f>
        <v/>
      </c>
      <c r="Q97" s="31" t="str">
        <f t="array" ref="Q97">IF(OR($B97="",$C97="",$E97=""),"",IF(OR(Q$8&lt;$E97,Q$8-$E97&gt;=12),0,$C97*INDEX(Fondsen!$F$5:$Q$30,MATCH($B97,Fondsen!$A$5:$A$30,0),Q$8-$E97+1)))</f>
        <v/>
      </c>
      <c r="R97" s="30" t="str">
        <f t="array" ref="R97">IF(OR($B97="",$C97="",$E97=""),"",IF(OR(R$8&lt;$E97,R$8-$E97&gt;=12),0,$C97*INDEX(Fondsen!$F$5:$Q$30,MATCH($B97,Fondsen!$A$5:$A$30,0),R$8-$E97+1)))</f>
        <v/>
      </c>
      <c r="S97" s="31" t="str">
        <f t="array" ref="S97">IF(OR($B97="",$C97="",$E97=""),"",IF(OR(S$8&lt;$E97,S$8-$E97&gt;=12),0,$C97*INDEX(Fondsen!$F$5:$Q$30,MATCH($B97,Fondsen!$A$5:$A$30,0),S$8-$E97+1)))</f>
        <v/>
      </c>
      <c r="T97" s="30" t="str">
        <f t="array" ref="T97">IF(OR($B97="",$C97="",$E97=""),"",IF(OR(T$8&lt;$E97,T$8-$E97&gt;=12),0,$C97*INDEX(Fondsen!$F$5:$Q$30,MATCH($B97,Fondsen!$A$5:$A$30,0),T$8-$E97+1)))</f>
        <v/>
      </c>
      <c r="U97" s="31" t="str">
        <f t="array" ref="U97">IF(OR($B97="",$C97="",$E97=""),"",IF(OR(U$8&lt;$E97,U$8-$E97&gt;=12),0,$C97*INDEX(Fondsen!$F$5:$Q$30,MATCH($B97,Fondsen!$A$5:$A$30,0),U$8-$E97+1)))</f>
        <v/>
      </c>
      <c r="V97" s="30" t="str">
        <f t="array" ref="V97">IF(OR($B97="",$C97="",$E97=""),"",IF(OR(V$8&lt;$E97,V$8-$E97&gt;=12),0,$C97*INDEX(Fondsen!$F$5:$Q$30,MATCH($B97,Fondsen!$A$5:$A$30,0),V$8-$E97+1)))</f>
        <v/>
      </c>
      <c r="W97" s="31" t="str">
        <f t="array" ref="W97">IF(OR($B97="",$C97="",$E97=""),"",IF(OR(W$8&lt;$E97,W$8-$E97&gt;=12),0,$C97*INDEX(Fondsen!$F$5:$Q$30,MATCH($B97,Fondsen!$A$5:$A$30,0),W$8-$E97+1)))</f>
        <v/>
      </c>
      <c r="X97" s="30" t="str">
        <f t="array" ref="X97">IF(OR($B97="",$C97="",$E97=""),"",IF(OR(X$8&lt;$E97,X$8-$E97&gt;=12),0,$C97*INDEX(Fondsen!$F$5:$Q$30,MATCH($B97,Fondsen!$A$5:$A$30,0),X$8-$E97+1)))</f>
        <v/>
      </c>
      <c r="Y97" s="31" t="str">
        <f t="array" ref="Y97">IF(OR($B97="",$C97="",$E97=""),"",IF(OR(Y$8&lt;$E97,Y$8-$E97&gt;=12),0,$C97*INDEX(Fondsen!$F$5:$Q$30,MATCH($B97,Fondsen!$A$5:$A$30,0),Y$8-$E97+1)))</f>
        <v/>
      </c>
      <c r="Z97" s="30" t="str">
        <f t="array" ref="Z97">IF(OR($B97="",$C97="",$E97=""),"",IF(OR(Z$8&lt;$E97,Z$8-$E97&gt;=12),0,$C97*INDEX(Fondsen!$F$5:$Q$30,MATCH($B97,Fondsen!$A$5:$A$30,0),Z$8-$E97+1)))</f>
        <v/>
      </c>
      <c r="AA97" s="31" t="str">
        <f t="array" ref="AA97">IF(OR($B97="",$C97="",$E97=""),"",IF(OR(AA$8&lt;$E97,AA$8-$E97&gt;=12),0,$C97*INDEX(Fondsen!$F$5:$Q$30,MATCH($B97,Fondsen!$A$5:$A$30,0),AA$8-$E97+1)))</f>
        <v/>
      </c>
      <c r="AB97" s="30" t="str">
        <f t="array" ref="AB97">IF(OR($B97="",$C97="",$E97=""),"",IF(OR(AB$8&lt;$E97,AB$8-$E97&gt;=12),0,$C97*INDEX(Fondsen!$F$5:$Q$30,MATCH($B97,Fondsen!$A$5:$A$30,0),AB$8-$E97+1)))</f>
        <v/>
      </c>
      <c r="AC97" s="31" t="str">
        <f t="array" ref="AC97">IF(OR($B97="",$C97="",$E97=""),"",IF(OR(AC$8&lt;$E97,AC$8-$E97&gt;=12),0,$C97*INDEX(Fondsen!$F$5:$Q$30,MATCH($B97,Fondsen!$A$5:$A$30,0),AC$8-$E97+1)))</f>
        <v/>
      </c>
      <c r="AD97" s="30" t="str">
        <f t="array" ref="AD97">IF(OR($B97="",$C97="",$E97=""),"",IF(OR(AD$8&lt;$E97,AD$8-$E97&gt;=12),0,$C97*INDEX(Fondsen!$F$5:$Q$30,MATCH($B97,Fondsen!$A$5:$A$30,0),AD$8-$E97+1)))</f>
        <v/>
      </c>
      <c r="AE97" s="31" t="str">
        <f t="array" ref="AE97">IF(OR($B97="",$C97="",$E97=""),"",IF(OR(AE$8&lt;$E97,AE$8-$E97&gt;=12),0,$C97*INDEX(Fondsen!$F$5:$Q$30,MATCH($B97,Fondsen!$A$5:$A$30,0),AE$8-$E97+1)))</f>
        <v/>
      </c>
      <c r="AF97" s="30" t="str">
        <f t="array" ref="AF97">IF(OR($B97="",$C97="",$E97=""),"",IF(OR(AF$8&lt;$E97,AF$8-$E97&gt;=12),0,$C97*INDEX(Fondsen!$F$5:$Q$30,MATCH($B97,Fondsen!$A$5:$A$30,0),AF$8-$E97+1)))</f>
        <v/>
      </c>
      <c r="AG97" s="31" t="str">
        <f t="array" ref="AG97">IF(OR($B97="",$C97="",$E97=""),"",IF(OR(AG$8&lt;$E97,AG$8-$E97&gt;=12),0,$C97*INDEX(Fondsen!$F$5:$Q$30,MATCH($B97,Fondsen!$A$5:$A$30,0),AG$8-$E97+1)))</f>
        <v/>
      </c>
      <c r="AH97" s="30" t="str">
        <f t="array" ref="AH97">IF(OR($B97="",$C97="",$E97=""),"",IF(OR(AH$8&lt;$E97,AH$8-$E97&gt;=12),0,$C97*INDEX(Fondsen!$F$5:$Q$30,MATCH($B97,Fondsen!$A$5:$A$30,0),AH$8-$E97+1)))</f>
        <v/>
      </c>
      <c r="AI97" s="31" t="str">
        <f t="array" ref="AI97">IF(OR($B97="",$C97="",$E97=""),"",IF(OR(AI$8&lt;$E97,AI$8-$E97&gt;=12),0,$C97*INDEX(Fondsen!$F$5:$Q$30,MATCH($B97,Fondsen!$A$5:$A$30,0),AI$8-$E97+1)))</f>
        <v/>
      </c>
      <c r="AJ97" s="30" t="str">
        <f t="array" ref="AJ97">IF(OR($B97="",$C97="",$E97=""),"",IF(OR(AJ$8&lt;$E97,AJ$8-$E97&gt;=12),0,$C97*INDEX(Fondsen!$F$5:$Q$30,MATCH($B97,Fondsen!$A$5:$A$30,0),AJ$8-$E97+1)))</f>
        <v/>
      </c>
      <c r="AK97" s="31" t="str">
        <f t="array" ref="AK97">IF(OR($B97="",$C97="",$E97=""),"",IF(OR(AK$8&lt;$E97,AK$8-$E97&gt;=12),0,$C97*INDEX(Fondsen!$F$5:$Q$30,MATCH($B97,Fondsen!$A$5:$A$30,0),AK$8-$E97+1)))</f>
        <v/>
      </c>
      <c r="AL97" s="30" t="str">
        <f t="array" ref="AL97">IF(OR($B97="",$C97="",$E97=""),"",IF(OR(AL$8&lt;$E97,AL$8-$E97&gt;=12),0,$C97*INDEX(Fondsen!$F$5:$Q$30,MATCH($B97,Fondsen!$A$5:$A$30,0),AL$8-$E97+1)))</f>
        <v/>
      </c>
      <c r="AM97" s="31" t="str">
        <f t="array" ref="AM97">IF(OR($B97="",$C97="",$E97=""),"",IF(OR(AM$8&lt;$E97,AM$8-$E97&gt;=12),0,$C97*INDEX(Fondsen!$F$5:$Q$30,MATCH($B97,Fondsen!$A$5:$A$30,0),AM$8-$E97+1)))</f>
        <v/>
      </c>
      <c r="AN97" s="30" t="str">
        <f t="array" ref="AN97">IF(OR($B97="",$C97="",$E97=""),"",IF(OR(AN$8&lt;$E97,AN$8-$E97&gt;=12),0,$C97*INDEX(Fondsen!$F$5:$Q$30,MATCH($B97,Fondsen!$A$5:$A$30,0),AN$8-$E97+1)))</f>
        <v/>
      </c>
      <c r="AO97" s="31" t="str">
        <f t="array" ref="AO97">IF(OR($B97="",$C97="",$E97=""),"",IF(OR(AO$8&lt;$E97,AO$8-$E97&gt;=12),0,$C97*INDEX(Fondsen!$F$5:$Q$30,MATCH($B97,Fondsen!$A$5:$A$30,0),AO$8-$E97+1)))</f>
        <v/>
      </c>
      <c r="AP97" s="30" t="str">
        <f t="array" ref="AP97">IF(OR($B97="",$C97="",$E97=""),"",IF(OR(AP$8&lt;$E97,AP$8-$E97&gt;=12),0,$C97*INDEX(Fondsen!$F$5:$Q$30,MATCH($B97,Fondsen!$A$5:$A$30,0),AP$8-$E97+1)))</f>
        <v/>
      </c>
      <c r="AQ97" s="31" t="str">
        <f t="array" ref="AQ97">IF(OR($B97="",$C97="",$E97=""),"",IF(OR(AQ$8&lt;$E97,AQ$8-$E97&gt;=12),0,$C97*INDEX(Fondsen!$F$5:$Q$30,MATCH($B97,Fondsen!$A$5:$A$30,0),AQ$8-$E97+1)))</f>
        <v/>
      </c>
      <c r="AR97" s="30" t="str">
        <f t="array" ref="AR97">IF(OR($B97="",$C97="",$E97=""),"",IF(OR(AR$8&lt;$E97,AR$8-$E97&gt;=12),0,$C97*INDEX(Fondsen!$F$5:$Q$30,MATCH($B97,Fondsen!$A$5:$A$30,0),AR$8-$E97+1)))</f>
        <v/>
      </c>
      <c r="AS97" s="31" t="str">
        <f t="array" ref="AS97">IF(OR($B97="",$C97="",$E97=""),"",IF(OR(AS$8&lt;$E97,AS$8-$E97&gt;=12),0,$C97*INDEX(Fondsen!$F$5:$Q$30,MATCH($B97,Fondsen!$A$5:$A$30,0),AS$8-$E97+1)))</f>
        <v/>
      </c>
      <c r="AT97" s="45"/>
    </row>
    <row r="98" ht="24.0" customHeight="1" outlineLevel="1">
      <c r="A98" s="33" t="str">
        <f>IF(B98="","",IFERROR(VLOOKUP(B98,Fondsen!$A$5:$B$30,2,FALSE()),""))</f>
        <v/>
      </c>
      <c r="B98" s="34"/>
      <c r="C98" s="35"/>
      <c r="D98" s="46" t="s">
        <v>11</v>
      </c>
      <c r="E98" s="37"/>
      <c r="F98" s="38" t="str">
        <f t="array" ref="F98">IF(OR($B98="",$C98="",$E98=""),"",IF(OR(F$8&lt;$E98,F$8-$E98&gt;=12),0,$C98*INDEX(Fondsen!$F$5:$Q$30,MATCH($B98,Fondsen!$A$5:$A$30,0),F$8-$E98+1)))</f>
        <v/>
      </c>
      <c r="G98" s="39" t="str">
        <f t="array" ref="G98">IF(OR($B98="",$C98="",$E98=""),"",IF(OR(G$8&lt;$E98,G$8-$E98&gt;=12),0,$C98*INDEX(Fondsen!$F$5:$Q$30,MATCH($B98,Fondsen!$A$5:$A$30,0),G$8-$E98+1)))</f>
        <v/>
      </c>
      <c r="H98" s="38" t="str">
        <f t="array" ref="H98">IF(OR($B98="",$C98="",$E98=""),"",IF(OR(H$8&lt;$E98,H$8-$E98&gt;=12),0,$C98*INDEX(Fondsen!$F$5:$Q$30,MATCH($B98,Fondsen!$A$5:$A$30,0),H$8-$E98+1)))</f>
        <v/>
      </c>
      <c r="I98" s="39" t="str">
        <f t="array" ref="I98">IF(OR($B98="",$C98="",$E98=""),"",IF(OR(I$8&lt;$E98,I$8-$E98&gt;=12),0,$C98*INDEX(Fondsen!$F$5:$Q$30,MATCH($B98,Fondsen!$A$5:$A$30,0),I$8-$E98+1)))</f>
        <v/>
      </c>
      <c r="J98" s="38" t="str">
        <f t="array" ref="J98">IF(OR($B98="",$C98="",$E98=""),"",IF(OR(J$8&lt;$E98,J$8-$E98&gt;=12),0,$C98*INDEX(Fondsen!$F$5:$Q$30,MATCH($B98,Fondsen!$A$5:$A$30,0),J$8-$E98+1)))</f>
        <v/>
      </c>
      <c r="K98" s="39" t="str">
        <f t="array" ref="K98">IF(OR($B98="",$C98="",$E98=""),"",IF(OR(K$8&lt;$E98,K$8-$E98&gt;=12),0,$C98*INDEX(Fondsen!$F$5:$Q$30,MATCH($B98,Fondsen!$A$5:$A$30,0),K$8-$E98+1)))</f>
        <v/>
      </c>
      <c r="L98" s="38" t="str">
        <f t="array" ref="L98">IF(OR($B98="",$C98="",$E98=""),"",IF(OR(L$8&lt;$E98,L$8-$E98&gt;=12),0,$C98*INDEX(Fondsen!$F$5:$Q$30,MATCH($B98,Fondsen!$A$5:$A$30,0),L$8-$E98+1)))</f>
        <v/>
      </c>
      <c r="M98" s="39" t="str">
        <f t="array" ref="M98">IF(OR($B98="",$C98="",$E98=""),"",IF(OR(M$8&lt;$E98,M$8-$E98&gt;=12),0,$C98*INDEX(Fondsen!$F$5:$Q$30,MATCH($B98,Fondsen!$A$5:$A$30,0),M$8-$E98+1)))</f>
        <v/>
      </c>
      <c r="N98" s="38" t="str">
        <f t="array" ref="N98">IF(OR($B98="",$C98="",$E98=""),"",IF(OR(N$8&lt;$E98,N$8-$E98&gt;=12),0,$C98*INDEX(Fondsen!$F$5:$Q$30,MATCH($B98,Fondsen!$A$5:$A$30,0),N$8-$E98+1)))</f>
        <v/>
      </c>
      <c r="O98" s="39" t="str">
        <f t="array" ref="O98">IF(OR($B98="",$C98="",$E98=""),"",IF(OR(O$8&lt;$E98,O$8-$E98&gt;=12),0,$C98*INDEX(Fondsen!$F$5:$Q$30,MATCH($B98,Fondsen!$A$5:$A$30,0),O$8-$E98+1)))</f>
        <v/>
      </c>
      <c r="P98" s="38" t="str">
        <f t="array" ref="P98">IF(OR($B98="",$C98="",$E98=""),"",IF(OR(P$8&lt;$E98,P$8-$E98&gt;=12),0,$C98*INDEX(Fondsen!$F$5:$Q$30,MATCH($B98,Fondsen!$A$5:$A$30,0),P$8-$E98+1)))</f>
        <v/>
      </c>
      <c r="Q98" s="39" t="str">
        <f t="array" ref="Q98">IF(OR($B98="",$C98="",$E98=""),"",IF(OR(Q$8&lt;$E98,Q$8-$E98&gt;=12),0,$C98*INDEX(Fondsen!$F$5:$Q$30,MATCH($B98,Fondsen!$A$5:$A$30,0),Q$8-$E98+1)))</f>
        <v/>
      </c>
      <c r="R98" s="38" t="str">
        <f t="array" ref="R98">IF(OR($B98="",$C98="",$E98=""),"",IF(OR(R$8&lt;$E98,R$8-$E98&gt;=12),0,$C98*INDEX(Fondsen!$F$5:$Q$30,MATCH($B98,Fondsen!$A$5:$A$30,0),R$8-$E98+1)))</f>
        <v/>
      </c>
      <c r="S98" s="39" t="str">
        <f t="array" ref="S98">IF(OR($B98="",$C98="",$E98=""),"",IF(OR(S$8&lt;$E98,S$8-$E98&gt;=12),0,$C98*INDEX(Fondsen!$F$5:$Q$30,MATCH($B98,Fondsen!$A$5:$A$30,0),S$8-$E98+1)))</f>
        <v/>
      </c>
      <c r="T98" s="38" t="str">
        <f t="array" ref="T98">IF(OR($B98="",$C98="",$E98=""),"",IF(OR(T$8&lt;$E98,T$8-$E98&gt;=12),0,$C98*INDEX(Fondsen!$F$5:$Q$30,MATCH($B98,Fondsen!$A$5:$A$30,0),T$8-$E98+1)))</f>
        <v/>
      </c>
      <c r="U98" s="39" t="str">
        <f t="array" ref="U98">IF(OR($B98="",$C98="",$E98=""),"",IF(OR(U$8&lt;$E98,U$8-$E98&gt;=12),0,$C98*INDEX(Fondsen!$F$5:$Q$30,MATCH($B98,Fondsen!$A$5:$A$30,0),U$8-$E98+1)))</f>
        <v/>
      </c>
      <c r="V98" s="38" t="str">
        <f t="array" ref="V98">IF(OR($B98="",$C98="",$E98=""),"",IF(OR(V$8&lt;$E98,V$8-$E98&gt;=12),0,$C98*INDEX(Fondsen!$F$5:$Q$30,MATCH($B98,Fondsen!$A$5:$A$30,0),V$8-$E98+1)))</f>
        <v/>
      </c>
      <c r="W98" s="39" t="str">
        <f t="array" ref="W98">IF(OR($B98="",$C98="",$E98=""),"",IF(OR(W$8&lt;$E98,W$8-$E98&gt;=12),0,$C98*INDEX(Fondsen!$F$5:$Q$30,MATCH($B98,Fondsen!$A$5:$A$30,0),W$8-$E98+1)))</f>
        <v/>
      </c>
      <c r="X98" s="38" t="str">
        <f t="array" ref="X98">IF(OR($B98="",$C98="",$E98=""),"",IF(OR(X$8&lt;$E98,X$8-$E98&gt;=12),0,$C98*INDEX(Fondsen!$F$5:$Q$30,MATCH($B98,Fondsen!$A$5:$A$30,0),X$8-$E98+1)))</f>
        <v/>
      </c>
      <c r="Y98" s="39" t="str">
        <f t="array" ref="Y98">IF(OR($B98="",$C98="",$E98=""),"",IF(OR(Y$8&lt;$E98,Y$8-$E98&gt;=12),0,$C98*INDEX(Fondsen!$F$5:$Q$30,MATCH($B98,Fondsen!$A$5:$A$30,0),Y$8-$E98+1)))</f>
        <v/>
      </c>
      <c r="Z98" s="38" t="str">
        <f t="array" ref="Z98">IF(OR($B98="",$C98="",$E98=""),"",IF(OR(Z$8&lt;$E98,Z$8-$E98&gt;=12),0,$C98*INDEX(Fondsen!$F$5:$Q$30,MATCH($B98,Fondsen!$A$5:$A$30,0),Z$8-$E98+1)))</f>
        <v/>
      </c>
      <c r="AA98" s="39" t="str">
        <f t="array" ref="AA98">IF(OR($B98="",$C98="",$E98=""),"",IF(OR(AA$8&lt;$E98,AA$8-$E98&gt;=12),0,$C98*INDEX(Fondsen!$F$5:$Q$30,MATCH($B98,Fondsen!$A$5:$A$30,0),AA$8-$E98+1)))</f>
        <v/>
      </c>
      <c r="AB98" s="38" t="str">
        <f t="array" ref="AB98">IF(OR($B98="",$C98="",$E98=""),"",IF(OR(AB$8&lt;$E98,AB$8-$E98&gt;=12),0,$C98*INDEX(Fondsen!$F$5:$Q$30,MATCH($B98,Fondsen!$A$5:$A$30,0),AB$8-$E98+1)))</f>
        <v/>
      </c>
      <c r="AC98" s="39" t="str">
        <f t="array" ref="AC98">IF(OR($B98="",$C98="",$E98=""),"",IF(OR(AC$8&lt;$E98,AC$8-$E98&gt;=12),0,$C98*INDEX(Fondsen!$F$5:$Q$30,MATCH($B98,Fondsen!$A$5:$A$30,0),AC$8-$E98+1)))</f>
        <v/>
      </c>
      <c r="AD98" s="38" t="str">
        <f t="array" ref="AD98">IF(OR($B98="",$C98="",$E98=""),"",IF(OR(AD$8&lt;$E98,AD$8-$E98&gt;=12),0,$C98*INDEX(Fondsen!$F$5:$Q$30,MATCH($B98,Fondsen!$A$5:$A$30,0),AD$8-$E98+1)))</f>
        <v/>
      </c>
      <c r="AE98" s="39" t="str">
        <f t="array" ref="AE98">IF(OR($B98="",$C98="",$E98=""),"",IF(OR(AE$8&lt;$E98,AE$8-$E98&gt;=12),0,$C98*INDEX(Fondsen!$F$5:$Q$30,MATCH($B98,Fondsen!$A$5:$A$30,0),AE$8-$E98+1)))</f>
        <v/>
      </c>
      <c r="AF98" s="38" t="str">
        <f t="array" ref="AF98">IF(OR($B98="",$C98="",$E98=""),"",IF(OR(AF$8&lt;$E98,AF$8-$E98&gt;=12),0,$C98*INDEX(Fondsen!$F$5:$Q$30,MATCH($B98,Fondsen!$A$5:$A$30,0),AF$8-$E98+1)))</f>
        <v/>
      </c>
      <c r="AG98" s="39" t="str">
        <f t="array" ref="AG98">IF(OR($B98="",$C98="",$E98=""),"",IF(OR(AG$8&lt;$E98,AG$8-$E98&gt;=12),0,$C98*INDEX(Fondsen!$F$5:$Q$30,MATCH($B98,Fondsen!$A$5:$A$30,0),AG$8-$E98+1)))</f>
        <v/>
      </c>
      <c r="AH98" s="38" t="str">
        <f t="array" ref="AH98">IF(OR($B98="",$C98="",$E98=""),"",IF(OR(AH$8&lt;$E98,AH$8-$E98&gt;=12),0,$C98*INDEX(Fondsen!$F$5:$Q$30,MATCH($B98,Fondsen!$A$5:$A$30,0),AH$8-$E98+1)))</f>
        <v/>
      </c>
      <c r="AI98" s="39" t="str">
        <f t="array" ref="AI98">IF(OR($B98="",$C98="",$E98=""),"",IF(OR(AI$8&lt;$E98,AI$8-$E98&gt;=12),0,$C98*INDEX(Fondsen!$F$5:$Q$30,MATCH($B98,Fondsen!$A$5:$A$30,0),AI$8-$E98+1)))</f>
        <v/>
      </c>
      <c r="AJ98" s="38" t="str">
        <f t="array" ref="AJ98">IF(OR($B98="",$C98="",$E98=""),"",IF(OR(AJ$8&lt;$E98,AJ$8-$E98&gt;=12),0,$C98*INDEX(Fondsen!$F$5:$Q$30,MATCH($B98,Fondsen!$A$5:$A$30,0),AJ$8-$E98+1)))</f>
        <v/>
      </c>
      <c r="AK98" s="39" t="str">
        <f t="array" ref="AK98">IF(OR($B98="",$C98="",$E98=""),"",IF(OR(AK$8&lt;$E98,AK$8-$E98&gt;=12),0,$C98*INDEX(Fondsen!$F$5:$Q$30,MATCH($B98,Fondsen!$A$5:$A$30,0),AK$8-$E98+1)))</f>
        <v/>
      </c>
      <c r="AL98" s="38" t="str">
        <f t="array" ref="AL98">IF(OR($B98="",$C98="",$E98=""),"",IF(OR(AL$8&lt;$E98,AL$8-$E98&gt;=12),0,$C98*INDEX(Fondsen!$F$5:$Q$30,MATCH($B98,Fondsen!$A$5:$A$30,0),AL$8-$E98+1)))</f>
        <v/>
      </c>
      <c r="AM98" s="39" t="str">
        <f t="array" ref="AM98">IF(OR($B98="",$C98="",$E98=""),"",IF(OR(AM$8&lt;$E98,AM$8-$E98&gt;=12),0,$C98*INDEX(Fondsen!$F$5:$Q$30,MATCH($B98,Fondsen!$A$5:$A$30,0),AM$8-$E98+1)))</f>
        <v/>
      </c>
      <c r="AN98" s="38" t="str">
        <f t="array" ref="AN98">IF(OR($B98="",$C98="",$E98=""),"",IF(OR(AN$8&lt;$E98,AN$8-$E98&gt;=12),0,$C98*INDEX(Fondsen!$F$5:$Q$30,MATCH($B98,Fondsen!$A$5:$A$30,0),AN$8-$E98+1)))</f>
        <v/>
      </c>
      <c r="AO98" s="39" t="str">
        <f t="array" ref="AO98">IF(OR($B98="",$C98="",$E98=""),"",IF(OR(AO$8&lt;$E98,AO$8-$E98&gt;=12),0,$C98*INDEX(Fondsen!$F$5:$Q$30,MATCH($B98,Fondsen!$A$5:$A$30,0),AO$8-$E98+1)))</f>
        <v/>
      </c>
      <c r="AP98" s="38" t="str">
        <f t="array" ref="AP98">IF(OR($B98="",$C98="",$E98=""),"",IF(OR(AP$8&lt;$E98,AP$8-$E98&gt;=12),0,$C98*INDEX(Fondsen!$F$5:$Q$30,MATCH($B98,Fondsen!$A$5:$A$30,0),AP$8-$E98+1)))</f>
        <v/>
      </c>
      <c r="AQ98" s="39" t="str">
        <f t="array" ref="AQ98">IF(OR($B98="",$C98="",$E98=""),"",IF(OR(AQ$8&lt;$E98,AQ$8-$E98&gt;=12),0,$C98*INDEX(Fondsen!$F$5:$Q$30,MATCH($B98,Fondsen!$A$5:$A$30,0),AQ$8-$E98+1)))</f>
        <v/>
      </c>
      <c r="AR98" s="38" t="str">
        <f t="array" ref="AR98">IF(OR($B98="",$C98="",$E98=""),"",IF(OR(AR$8&lt;$E98,AR$8-$E98&gt;=12),0,$C98*INDEX(Fondsen!$F$5:$Q$30,MATCH($B98,Fondsen!$A$5:$A$30,0),AR$8-$E98+1)))</f>
        <v/>
      </c>
      <c r="AS98" s="39" t="str">
        <f t="array" ref="AS98">IF(OR($B98="",$C98="",$E98=""),"",IF(OR(AS$8&lt;$E98,AS$8-$E98&gt;=12),0,$C98*INDEX(Fondsen!$F$5:$Q$30,MATCH($B98,Fondsen!$A$5:$A$30,0),AS$8-$E98+1)))</f>
        <v/>
      </c>
      <c r="AT98" s="45"/>
    </row>
    <row r="99" ht="15.75" customHeight="1" outlineLevel="1">
      <c r="A99" s="48" t="str">
        <f>IF(B99="","",IFERROR(VLOOKUP(B99,Fondsen!$A$5:$B$30,2,FALSE()),""))</f>
        <v/>
      </c>
      <c r="B99" s="49"/>
      <c r="C99" s="50"/>
      <c r="D99" s="48" t="s">
        <v>11</v>
      </c>
      <c r="E99" s="51"/>
      <c r="F99" s="52" t="str">
        <f t="array" ref="F99">IF(OR($B99="",$C99="",$E99=""),"",IF(OR(F$8&lt;$E99,F$8-$E99&gt;=12),0,$C99*INDEX(Fondsen!$F$5:$Q$30,MATCH($B99,Fondsen!$A$5:$A$30,0),F$8-$E99+1)))</f>
        <v/>
      </c>
      <c r="G99" s="53" t="str">
        <f t="array" ref="G99">IF(OR($B99="",$C99="",$E99=""),"",IF(OR(G$8&lt;$E99,G$8-$E99&gt;=12),0,$C99*INDEX(Fondsen!$F$5:$Q$30,MATCH($B99,Fondsen!$A$5:$A$30,0),G$8-$E99+1)))</f>
        <v/>
      </c>
      <c r="H99" s="52" t="str">
        <f t="array" ref="H99">IF(OR($B99="",$C99="",$E99=""),"",IF(OR(H$8&lt;$E99,H$8-$E99&gt;=12),0,$C99*INDEX(Fondsen!$F$5:$Q$30,MATCH($B99,Fondsen!$A$5:$A$30,0),H$8-$E99+1)))</f>
        <v/>
      </c>
      <c r="I99" s="53" t="str">
        <f t="array" ref="I99">IF(OR($B99="",$C99="",$E99=""),"",IF(OR(I$8&lt;$E99,I$8-$E99&gt;=12),0,$C99*INDEX(Fondsen!$F$5:$Q$30,MATCH($B99,Fondsen!$A$5:$A$30,0),I$8-$E99+1)))</f>
        <v/>
      </c>
      <c r="J99" s="52" t="str">
        <f t="array" ref="J99">IF(OR($B99="",$C99="",$E99=""),"",IF(OR(J$8&lt;$E99,J$8-$E99&gt;=12),0,$C99*INDEX(Fondsen!$F$5:$Q$30,MATCH($B99,Fondsen!$A$5:$A$30,0),J$8-$E99+1)))</f>
        <v/>
      </c>
      <c r="K99" s="53" t="str">
        <f t="array" ref="K99">IF(OR($B99="",$C99="",$E99=""),"",IF(OR(K$8&lt;$E99,K$8-$E99&gt;=12),0,$C99*INDEX(Fondsen!$F$5:$Q$30,MATCH($B99,Fondsen!$A$5:$A$30,0),K$8-$E99+1)))</f>
        <v/>
      </c>
      <c r="L99" s="52" t="str">
        <f t="array" ref="L99">IF(OR($B99="",$C99="",$E99=""),"",IF(OR(L$8&lt;$E99,L$8-$E99&gt;=12),0,$C99*INDEX(Fondsen!$F$5:$Q$30,MATCH($B99,Fondsen!$A$5:$A$30,0),L$8-$E99+1)))</f>
        <v/>
      </c>
      <c r="M99" s="53" t="str">
        <f t="array" ref="M99">IF(OR($B99="",$C99="",$E99=""),"",IF(OR(M$8&lt;$E99,M$8-$E99&gt;=12),0,$C99*INDEX(Fondsen!$F$5:$Q$30,MATCH($B99,Fondsen!$A$5:$A$30,0),M$8-$E99+1)))</f>
        <v/>
      </c>
      <c r="N99" s="52" t="str">
        <f t="array" ref="N99">IF(OR($B99="",$C99="",$E99=""),"",IF(OR(N$8&lt;$E99,N$8-$E99&gt;=12),0,$C99*INDEX(Fondsen!$F$5:$Q$30,MATCH($B99,Fondsen!$A$5:$A$30,0),N$8-$E99+1)))</f>
        <v/>
      </c>
      <c r="O99" s="53" t="str">
        <f t="array" ref="O99">IF(OR($B99="",$C99="",$E99=""),"",IF(OR(O$8&lt;$E99,O$8-$E99&gt;=12),0,$C99*INDEX(Fondsen!$F$5:$Q$30,MATCH($B99,Fondsen!$A$5:$A$30,0),O$8-$E99+1)))</f>
        <v/>
      </c>
      <c r="P99" s="52" t="str">
        <f t="array" ref="P99">IF(OR($B99="",$C99="",$E99=""),"",IF(OR(P$8&lt;$E99,P$8-$E99&gt;=12),0,$C99*INDEX(Fondsen!$F$5:$Q$30,MATCH($B99,Fondsen!$A$5:$A$30,0),P$8-$E99+1)))</f>
        <v/>
      </c>
      <c r="Q99" s="53" t="str">
        <f t="array" ref="Q99">IF(OR($B99="",$C99="",$E99=""),"",IF(OR(Q$8&lt;$E99,Q$8-$E99&gt;=12),0,$C99*INDEX(Fondsen!$F$5:$Q$30,MATCH($B99,Fondsen!$A$5:$A$30,0),Q$8-$E99+1)))</f>
        <v/>
      </c>
      <c r="R99" s="52" t="str">
        <f t="array" ref="R99">IF(OR($B99="",$C99="",$E99=""),"",IF(OR(R$8&lt;$E99,R$8-$E99&gt;=12),0,$C99*INDEX(Fondsen!$F$5:$Q$30,MATCH($B99,Fondsen!$A$5:$A$30,0),R$8-$E99+1)))</f>
        <v/>
      </c>
      <c r="S99" s="53" t="str">
        <f t="array" ref="S99">IF(OR($B99="",$C99="",$E99=""),"",IF(OR(S$8&lt;$E99,S$8-$E99&gt;=12),0,$C99*INDEX(Fondsen!$F$5:$Q$30,MATCH($B99,Fondsen!$A$5:$A$30,0),S$8-$E99+1)))</f>
        <v/>
      </c>
      <c r="T99" s="52" t="str">
        <f t="array" ref="T99">IF(OR($B99="",$C99="",$E99=""),"",IF(OR(T$8&lt;$E99,T$8-$E99&gt;=12),0,$C99*INDEX(Fondsen!$F$5:$Q$30,MATCH($B99,Fondsen!$A$5:$A$30,0),T$8-$E99+1)))</f>
        <v/>
      </c>
      <c r="U99" s="53" t="str">
        <f t="array" ref="U99">IF(OR($B99="",$C99="",$E99=""),"",IF(OR(U$8&lt;$E99,U$8-$E99&gt;=12),0,$C99*INDEX(Fondsen!$F$5:$Q$30,MATCH($B99,Fondsen!$A$5:$A$30,0),U$8-$E99+1)))</f>
        <v/>
      </c>
      <c r="V99" s="52" t="str">
        <f t="array" ref="V99">IF(OR($B99="",$C99="",$E99=""),"",IF(OR(V$8&lt;$E99,V$8-$E99&gt;=12),0,$C99*INDEX(Fondsen!$F$5:$Q$30,MATCH($B99,Fondsen!$A$5:$A$30,0),V$8-$E99+1)))</f>
        <v/>
      </c>
      <c r="W99" s="53" t="str">
        <f t="array" ref="W99">IF(OR($B99="",$C99="",$E99=""),"",IF(OR(W$8&lt;$E99,W$8-$E99&gt;=12),0,$C99*INDEX(Fondsen!$F$5:$Q$30,MATCH($B99,Fondsen!$A$5:$A$30,0),W$8-$E99+1)))</f>
        <v/>
      </c>
      <c r="X99" s="52" t="str">
        <f t="array" ref="X99">IF(OR($B99="",$C99="",$E99=""),"",IF(OR(X$8&lt;$E99,X$8-$E99&gt;=12),0,$C99*INDEX(Fondsen!$F$5:$Q$30,MATCH($B99,Fondsen!$A$5:$A$30,0),X$8-$E99+1)))</f>
        <v/>
      </c>
      <c r="Y99" s="53" t="str">
        <f t="array" ref="Y99">IF(OR($B99="",$C99="",$E99=""),"",IF(OR(Y$8&lt;$E99,Y$8-$E99&gt;=12),0,$C99*INDEX(Fondsen!$F$5:$Q$30,MATCH($B99,Fondsen!$A$5:$A$30,0),Y$8-$E99+1)))</f>
        <v/>
      </c>
      <c r="Z99" s="52" t="str">
        <f t="array" ref="Z99">IF(OR($B99="",$C99="",$E99=""),"",IF(OR(Z$8&lt;$E99,Z$8-$E99&gt;=12),0,$C99*INDEX(Fondsen!$F$5:$Q$30,MATCH($B99,Fondsen!$A$5:$A$30,0),Z$8-$E99+1)))</f>
        <v/>
      </c>
      <c r="AA99" s="53" t="str">
        <f t="array" ref="AA99">IF(OR($B99="",$C99="",$E99=""),"",IF(OR(AA$8&lt;$E99,AA$8-$E99&gt;=12),0,$C99*INDEX(Fondsen!$F$5:$Q$30,MATCH($B99,Fondsen!$A$5:$A$30,0),AA$8-$E99+1)))</f>
        <v/>
      </c>
      <c r="AB99" s="52" t="str">
        <f t="array" ref="AB99">IF(OR($B99="",$C99="",$E99=""),"",IF(OR(AB$8&lt;$E99,AB$8-$E99&gt;=12),0,$C99*INDEX(Fondsen!$F$5:$Q$30,MATCH($B99,Fondsen!$A$5:$A$30,0),AB$8-$E99+1)))</f>
        <v/>
      </c>
      <c r="AC99" s="53" t="str">
        <f t="array" ref="AC99">IF(OR($B99="",$C99="",$E99=""),"",IF(OR(AC$8&lt;$E99,AC$8-$E99&gt;=12),0,$C99*INDEX(Fondsen!$F$5:$Q$30,MATCH($B99,Fondsen!$A$5:$A$30,0),AC$8-$E99+1)))</f>
        <v/>
      </c>
      <c r="AD99" s="52" t="str">
        <f t="array" ref="AD99">IF(OR($B99="",$C99="",$E99=""),"",IF(OR(AD$8&lt;$E99,AD$8-$E99&gt;=12),0,$C99*INDEX(Fondsen!$F$5:$Q$30,MATCH($B99,Fondsen!$A$5:$A$30,0),AD$8-$E99+1)))</f>
        <v/>
      </c>
      <c r="AE99" s="53" t="str">
        <f t="array" ref="AE99">IF(OR($B99="",$C99="",$E99=""),"",IF(OR(AE$8&lt;$E99,AE$8-$E99&gt;=12),0,$C99*INDEX(Fondsen!$F$5:$Q$30,MATCH($B99,Fondsen!$A$5:$A$30,0),AE$8-$E99+1)))</f>
        <v/>
      </c>
      <c r="AF99" s="52" t="str">
        <f t="array" ref="AF99">IF(OR($B99="",$C99="",$E99=""),"",IF(OR(AF$8&lt;$E99,AF$8-$E99&gt;=12),0,$C99*INDEX(Fondsen!$F$5:$Q$30,MATCH($B99,Fondsen!$A$5:$A$30,0),AF$8-$E99+1)))</f>
        <v/>
      </c>
      <c r="AG99" s="53" t="str">
        <f t="array" ref="AG99">IF(OR($B99="",$C99="",$E99=""),"",IF(OR(AG$8&lt;$E99,AG$8-$E99&gt;=12),0,$C99*INDEX(Fondsen!$F$5:$Q$30,MATCH($B99,Fondsen!$A$5:$A$30,0),AG$8-$E99+1)))</f>
        <v/>
      </c>
      <c r="AH99" s="52" t="str">
        <f t="array" ref="AH99">IF(OR($B99="",$C99="",$E99=""),"",IF(OR(AH$8&lt;$E99,AH$8-$E99&gt;=12),0,$C99*INDEX(Fondsen!$F$5:$Q$30,MATCH($B99,Fondsen!$A$5:$A$30,0),AH$8-$E99+1)))</f>
        <v/>
      </c>
      <c r="AI99" s="53" t="str">
        <f t="array" ref="AI99">IF(OR($B99="",$C99="",$E99=""),"",IF(OR(AI$8&lt;$E99,AI$8-$E99&gt;=12),0,$C99*INDEX(Fondsen!$F$5:$Q$30,MATCH($B99,Fondsen!$A$5:$A$30,0),AI$8-$E99+1)))</f>
        <v/>
      </c>
      <c r="AJ99" s="52" t="str">
        <f t="array" ref="AJ99">IF(OR($B99="",$C99="",$E99=""),"",IF(OR(AJ$8&lt;$E99,AJ$8-$E99&gt;=12),0,$C99*INDEX(Fondsen!$F$5:$Q$30,MATCH($B99,Fondsen!$A$5:$A$30,0),AJ$8-$E99+1)))</f>
        <v/>
      </c>
      <c r="AK99" s="53" t="str">
        <f t="array" ref="AK99">IF(OR($B99="",$C99="",$E99=""),"",IF(OR(AK$8&lt;$E99,AK$8-$E99&gt;=12),0,$C99*INDEX(Fondsen!$F$5:$Q$30,MATCH($B99,Fondsen!$A$5:$A$30,0),AK$8-$E99+1)))</f>
        <v/>
      </c>
      <c r="AL99" s="52" t="str">
        <f t="array" ref="AL99">IF(OR($B99="",$C99="",$E99=""),"",IF(OR(AL$8&lt;$E99,AL$8-$E99&gt;=12),0,$C99*INDEX(Fondsen!$F$5:$Q$30,MATCH($B99,Fondsen!$A$5:$A$30,0),AL$8-$E99+1)))</f>
        <v/>
      </c>
      <c r="AM99" s="53" t="str">
        <f t="array" ref="AM99">IF(OR($B99="",$C99="",$E99=""),"",IF(OR(AM$8&lt;$E99,AM$8-$E99&gt;=12),0,$C99*INDEX(Fondsen!$F$5:$Q$30,MATCH($B99,Fondsen!$A$5:$A$30,0),AM$8-$E99+1)))</f>
        <v/>
      </c>
      <c r="AN99" s="52" t="str">
        <f t="array" ref="AN99">IF(OR($B99="",$C99="",$E99=""),"",IF(OR(AN$8&lt;$E99,AN$8-$E99&gt;=12),0,$C99*INDEX(Fondsen!$F$5:$Q$30,MATCH($B99,Fondsen!$A$5:$A$30,0),AN$8-$E99+1)))</f>
        <v/>
      </c>
      <c r="AO99" s="53" t="str">
        <f t="array" ref="AO99">IF(OR($B99="",$C99="",$E99=""),"",IF(OR(AO$8&lt;$E99,AO$8-$E99&gt;=12),0,$C99*INDEX(Fondsen!$F$5:$Q$30,MATCH($B99,Fondsen!$A$5:$A$30,0),AO$8-$E99+1)))</f>
        <v/>
      </c>
      <c r="AP99" s="52" t="str">
        <f t="array" ref="AP99">IF(OR($B99="",$C99="",$E99=""),"",IF(OR(AP$8&lt;$E99,AP$8-$E99&gt;=12),0,$C99*INDEX(Fondsen!$F$5:$Q$30,MATCH($B99,Fondsen!$A$5:$A$30,0),AP$8-$E99+1)))</f>
        <v/>
      </c>
      <c r="AQ99" s="53" t="str">
        <f t="array" ref="AQ99">IF(OR($B99="",$C99="",$E99=""),"",IF(OR(AQ$8&lt;$E99,AQ$8-$E99&gt;=12),0,$C99*INDEX(Fondsen!$F$5:$Q$30,MATCH($B99,Fondsen!$A$5:$A$30,0),AQ$8-$E99+1)))</f>
        <v/>
      </c>
      <c r="AR99" s="52" t="str">
        <f t="array" ref="AR99">IF(OR($B99="",$C99="",$E99=""),"",IF(OR(AR$8&lt;$E99,AR$8-$E99&gt;=12),0,$C99*INDEX(Fondsen!$F$5:$Q$30,MATCH($B99,Fondsen!$A$5:$A$30,0),AR$8-$E99+1)))</f>
        <v/>
      </c>
      <c r="AS99" s="53" t="str">
        <f t="array" ref="AS99">IF(OR($B99="",$C99="",$E99=""),"",IF(OR(AS$8&lt;$E99,AS$8-$E99&gt;=12),0,$C99*INDEX(Fondsen!$F$5:$Q$30,MATCH($B99,Fondsen!$A$5:$A$30,0),AS$8-$E99+1)))</f>
        <v/>
      </c>
      <c r="AT99" s="3"/>
    </row>
    <row r="100" ht="15.75" customHeight="1" outlineLevel="1">
      <c r="A100" s="3"/>
      <c r="F100" s="3"/>
      <c r="G100" s="3"/>
      <c r="H100" s="3"/>
      <c r="I100" s="3"/>
      <c r="J100" s="3"/>
      <c r="K100" s="3"/>
      <c r="L100" s="3"/>
      <c r="AT100" s="3"/>
    </row>
    <row r="101" ht="15.75" customHeight="1" outlineLevel="1">
      <c r="A101" s="54" t="s">
        <v>12</v>
      </c>
      <c r="B101" s="55"/>
      <c r="C101" s="56" t="str">
        <f>C5</f>
        <v/>
      </c>
      <c r="D101" s="3"/>
      <c r="E101" s="3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</row>
    <row r="102" ht="27.75" customHeight="1">
      <c r="A102" s="58" t="s">
        <v>13</v>
      </c>
      <c r="B102" s="59"/>
      <c r="C102" s="59"/>
      <c r="D102" s="59"/>
      <c r="E102" s="60"/>
      <c r="F102" s="61">
        <f t="shared" ref="F102:AS102" si="1">$C$101-F101</f>
        <v>0</v>
      </c>
      <c r="G102" s="62">
        <f t="shared" si="1"/>
        <v>0</v>
      </c>
      <c r="H102" s="62">
        <f t="shared" si="1"/>
        <v>0</v>
      </c>
      <c r="I102" s="62">
        <f t="shared" si="1"/>
        <v>0</v>
      </c>
      <c r="J102" s="62">
        <f t="shared" si="1"/>
        <v>0</v>
      </c>
      <c r="K102" s="62">
        <f t="shared" si="1"/>
        <v>0</v>
      </c>
      <c r="L102" s="62">
        <f t="shared" si="1"/>
        <v>0</v>
      </c>
      <c r="M102" s="62">
        <f t="shared" si="1"/>
        <v>0</v>
      </c>
      <c r="N102" s="62">
        <f t="shared" si="1"/>
        <v>0</v>
      </c>
      <c r="O102" s="62">
        <f t="shared" si="1"/>
        <v>0</v>
      </c>
      <c r="P102" s="62">
        <f t="shared" si="1"/>
        <v>0</v>
      </c>
      <c r="Q102" s="62">
        <f t="shared" si="1"/>
        <v>0</v>
      </c>
      <c r="R102" s="62">
        <f t="shared" si="1"/>
        <v>0</v>
      </c>
      <c r="S102" s="62">
        <f t="shared" si="1"/>
        <v>0</v>
      </c>
      <c r="T102" s="62">
        <f t="shared" si="1"/>
        <v>0</v>
      </c>
      <c r="U102" s="62">
        <f t="shared" si="1"/>
        <v>0</v>
      </c>
      <c r="V102" s="62">
        <f t="shared" si="1"/>
        <v>0</v>
      </c>
      <c r="W102" s="62">
        <f t="shared" si="1"/>
        <v>0</v>
      </c>
      <c r="X102" s="62">
        <f t="shared" si="1"/>
        <v>0</v>
      </c>
      <c r="Y102" s="62">
        <f t="shared" si="1"/>
        <v>0</v>
      </c>
      <c r="Z102" s="62">
        <f t="shared" si="1"/>
        <v>0</v>
      </c>
      <c r="AA102" s="62">
        <f t="shared" si="1"/>
        <v>0</v>
      </c>
      <c r="AB102" s="62">
        <f t="shared" si="1"/>
        <v>0</v>
      </c>
      <c r="AC102" s="62">
        <f t="shared" si="1"/>
        <v>0</v>
      </c>
      <c r="AD102" s="62">
        <f t="shared" si="1"/>
        <v>0</v>
      </c>
      <c r="AE102" s="62">
        <f t="shared" si="1"/>
        <v>0</v>
      </c>
      <c r="AF102" s="62">
        <f t="shared" si="1"/>
        <v>0</v>
      </c>
      <c r="AG102" s="62">
        <f t="shared" si="1"/>
        <v>0</v>
      </c>
      <c r="AH102" s="62">
        <f t="shared" si="1"/>
        <v>0</v>
      </c>
      <c r="AI102" s="62">
        <f t="shared" si="1"/>
        <v>0</v>
      </c>
      <c r="AJ102" s="62">
        <f t="shared" si="1"/>
        <v>0</v>
      </c>
      <c r="AK102" s="62">
        <f t="shared" si="1"/>
        <v>0</v>
      </c>
      <c r="AL102" s="62">
        <f t="shared" si="1"/>
        <v>0</v>
      </c>
      <c r="AM102" s="62">
        <f t="shared" si="1"/>
        <v>0</v>
      </c>
      <c r="AN102" s="62">
        <f t="shared" si="1"/>
        <v>0</v>
      </c>
      <c r="AO102" s="62">
        <f t="shared" si="1"/>
        <v>0</v>
      </c>
      <c r="AP102" s="62">
        <f t="shared" si="1"/>
        <v>0</v>
      </c>
      <c r="AQ102" s="62">
        <f t="shared" si="1"/>
        <v>0</v>
      </c>
      <c r="AR102" s="62">
        <f t="shared" si="1"/>
        <v>0</v>
      </c>
      <c r="AS102" s="62">
        <f t="shared" si="1"/>
        <v>0</v>
      </c>
      <c r="AT102" s="63"/>
    </row>
    <row r="103" ht="27.75" customHeight="1">
      <c r="A103" s="64" t="s">
        <v>14</v>
      </c>
      <c r="B103" s="65"/>
      <c r="C103" s="65"/>
      <c r="D103" s="65"/>
      <c r="E103" s="66"/>
      <c r="F103" s="67">
        <f t="shared" ref="F103:AS103" si="2">SUM(F9:F99)</f>
        <v>0</v>
      </c>
      <c r="G103" s="68">
        <f t="shared" si="2"/>
        <v>0</v>
      </c>
      <c r="H103" s="68">
        <f t="shared" si="2"/>
        <v>0</v>
      </c>
      <c r="I103" s="68">
        <f t="shared" si="2"/>
        <v>0</v>
      </c>
      <c r="J103" s="68">
        <f t="shared" si="2"/>
        <v>0</v>
      </c>
      <c r="K103" s="68">
        <f t="shared" si="2"/>
        <v>0</v>
      </c>
      <c r="L103" s="68">
        <f t="shared" si="2"/>
        <v>0</v>
      </c>
      <c r="M103" s="68">
        <f t="shared" si="2"/>
        <v>0</v>
      </c>
      <c r="N103" s="68">
        <f t="shared" si="2"/>
        <v>0</v>
      </c>
      <c r="O103" s="68">
        <f t="shared" si="2"/>
        <v>0</v>
      </c>
      <c r="P103" s="68">
        <f t="shared" si="2"/>
        <v>0</v>
      </c>
      <c r="Q103" s="68">
        <f t="shared" si="2"/>
        <v>0</v>
      </c>
      <c r="R103" s="68">
        <f t="shared" si="2"/>
        <v>0</v>
      </c>
      <c r="S103" s="68">
        <f t="shared" si="2"/>
        <v>0</v>
      </c>
      <c r="T103" s="68">
        <f t="shared" si="2"/>
        <v>0</v>
      </c>
      <c r="U103" s="68">
        <f t="shared" si="2"/>
        <v>0</v>
      </c>
      <c r="V103" s="68">
        <f t="shared" si="2"/>
        <v>0</v>
      </c>
      <c r="W103" s="68">
        <f t="shared" si="2"/>
        <v>0</v>
      </c>
      <c r="X103" s="68">
        <f t="shared" si="2"/>
        <v>0</v>
      </c>
      <c r="Y103" s="68">
        <f t="shared" si="2"/>
        <v>0</v>
      </c>
      <c r="Z103" s="68">
        <f t="shared" si="2"/>
        <v>0</v>
      </c>
      <c r="AA103" s="68">
        <f t="shared" si="2"/>
        <v>0</v>
      </c>
      <c r="AB103" s="68">
        <f t="shared" si="2"/>
        <v>0</v>
      </c>
      <c r="AC103" s="68">
        <f t="shared" si="2"/>
        <v>0</v>
      </c>
      <c r="AD103" s="68">
        <f t="shared" si="2"/>
        <v>0</v>
      </c>
      <c r="AE103" s="68">
        <f t="shared" si="2"/>
        <v>0</v>
      </c>
      <c r="AF103" s="68">
        <f t="shared" si="2"/>
        <v>0</v>
      </c>
      <c r="AG103" s="68">
        <f t="shared" si="2"/>
        <v>0</v>
      </c>
      <c r="AH103" s="68">
        <f t="shared" si="2"/>
        <v>0</v>
      </c>
      <c r="AI103" s="68">
        <f t="shared" si="2"/>
        <v>0</v>
      </c>
      <c r="AJ103" s="68">
        <f t="shared" si="2"/>
        <v>0</v>
      </c>
      <c r="AK103" s="68">
        <f t="shared" si="2"/>
        <v>0</v>
      </c>
      <c r="AL103" s="68">
        <f t="shared" si="2"/>
        <v>0</v>
      </c>
      <c r="AM103" s="68">
        <f t="shared" si="2"/>
        <v>0</v>
      </c>
      <c r="AN103" s="68">
        <f t="shared" si="2"/>
        <v>0</v>
      </c>
      <c r="AO103" s="68">
        <f t="shared" si="2"/>
        <v>0</v>
      </c>
      <c r="AP103" s="68">
        <f t="shared" si="2"/>
        <v>0</v>
      </c>
      <c r="AQ103" s="68">
        <f t="shared" si="2"/>
        <v>0</v>
      </c>
      <c r="AR103" s="68">
        <f t="shared" si="2"/>
        <v>0</v>
      </c>
      <c r="AS103" s="68">
        <f t="shared" si="2"/>
        <v>0</v>
      </c>
      <c r="AT103" s="69"/>
    </row>
    <row r="104" ht="27.75" customHeight="1">
      <c r="A104" s="70" t="s">
        <v>15</v>
      </c>
      <c r="B104" s="71"/>
      <c r="C104" s="71"/>
      <c r="D104" s="71"/>
      <c r="E104" s="72"/>
      <c r="F104" s="73">
        <f>ABS(MIN(F103,0))</f>
        <v>0</v>
      </c>
      <c r="G104" s="73">
        <f t="shared" ref="G104:AS104" si="3">F104+ABS(MIN(G103,0))</f>
        <v>0</v>
      </c>
      <c r="H104" s="73">
        <f t="shared" si="3"/>
        <v>0</v>
      </c>
      <c r="I104" s="73">
        <f t="shared" si="3"/>
        <v>0</v>
      </c>
      <c r="J104" s="73">
        <f t="shared" si="3"/>
        <v>0</v>
      </c>
      <c r="K104" s="73">
        <f t="shared" si="3"/>
        <v>0</v>
      </c>
      <c r="L104" s="73">
        <f t="shared" si="3"/>
        <v>0</v>
      </c>
      <c r="M104" s="73">
        <f t="shared" si="3"/>
        <v>0</v>
      </c>
      <c r="N104" s="73">
        <f t="shared" si="3"/>
        <v>0</v>
      </c>
      <c r="O104" s="73">
        <f t="shared" si="3"/>
        <v>0</v>
      </c>
      <c r="P104" s="73">
        <f t="shared" si="3"/>
        <v>0</v>
      </c>
      <c r="Q104" s="73">
        <f t="shared" si="3"/>
        <v>0</v>
      </c>
      <c r="R104" s="73">
        <f t="shared" si="3"/>
        <v>0</v>
      </c>
      <c r="S104" s="73">
        <f t="shared" si="3"/>
        <v>0</v>
      </c>
      <c r="T104" s="73">
        <f t="shared" si="3"/>
        <v>0</v>
      </c>
      <c r="U104" s="73">
        <f t="shared" si="3"/>
        <v>0</v>
      </c>
      <c r="V104" s="73">
        <f t="shared" si="3"/>
        <v>0</v>
      </c>
      <c r="W104" s="73">
        <f t="shared" si="3"/>
        <v>0</v>
      </c>
      <c r="X104" s="73">
        <f t="shared" si="3"/>
        <v>0</v>
      </c>
      <c r="Y104" s="73">
        <f t="shared" si="3"/>
        <v>0</v>
      </c>
      <c r="Z104" s="73">
        <f t="shared" si="3"/>
        <v>0</v>
      </c>
      <c r="AA104" s="73">
        <f t="shared" si="3"/>
        <v>0</v>
      </c>
      <c r="AB104" s="73">
        <f t="shared" si="3"/>
        <v>0</v>
      </c>
      <c r="AC104" s="73">
        <f t="shared" si="3"/>
        <v>0</v>
      </c>
      <c r="AD104" s="73">
        <f t="shared" si="3"/>
        <v>0</v>
      </c>
      <c r="AE104" s="73">
        <f t="shared" si="3"/>
        <v>0</v>
      </c>
      <c r="AF104" s="73">
        <f t="shared" si="3"/>
        <v>0</v>
      </c>
      <c r="AG104" s="73">
        <f t="shared" si="3"/>
        <v>0</v>
      </c>
      <c r="AH104" s="73">
        <f t="shared" si="3"/>
        <v>0</v>
      </c>
      <c r="AI104" s="73">
        <f t="shared" si="3"/>
        <v>0</v>
      </c>
      <c r="AJ104" s="73">
        <f t="shared" si="3"/>
        <v>0</v>
      </c>
      <c r="AK104" s="73">
        <f t="shared" si="3"/>
        <v>0</v>
      </c>
      <c r="AL104" s="73">
        <f t="shared" si="3"/>
        <v>0</v>
      </c>
      <c r="AM104" s="73">
        <f t="shared" si="3"/>
        <v>0</v>
      </c>
      <c r="AN104" s="73">
        <f t="shared" si="3"/>
        <v>0</v>
      </c>
      <c r="AO104" s="73">
        <f t="shared" si="3"/>
        <v>0</v>
      </c>
      <c r="AP104" s="73">
        <f t="shared" si="3"/>
        <v>0</v>
      </c>
      <c r="AQ104" s="73">
        <f t="shared" si="3"/>
        <v>0</v>
      </c>
      <c r="AR104" s="73">
        <f t="shared" si="3"/>
        <v>0</v>
      </c>
      <c r="AS104" s="73">
        <f t="shared" si="3"/>
        <v>0</v>
      </c>
      <c r="AT104" s="74"/>
    </row>
    <row r="105" ht="15.75" customHeight="1">
      <c r="A105" s="75" t="s">
        <v>13</v>
      </c>
      <c r="B105" s="76"/>
      <c r="C105" s="76"/>
      <c r="D105" s="76"/>
      <c r="E105" s="77"/>
      <c r="F105" s="61">
        <f t="shared" ref="F105:AS105" si="4">$C$101-F104</f>
        <v>0</v>
      </c>
      <c r="G105" s="62">
        <f t="shared" si="4"/>
        <v>0</v>
      </c>
      <c r="H105" s="62">
        <f t="shared" si="4"/>
        <v>0</v>
      </c>
      <c r="I105" s="62">
        <f t="shared" si="4"/>
        <v>0</v>
      </c>
      <c r="J105" s="62">
        <f t="shared" si="4"/>
        <v>0</v>
      </c>
      <c r="K105" s="62">
        <f t="shared" si="4"/>
        <v>0</v>
      </c>
      <c r="L105" s="62">
        <f t="shared" si="4"/>
        <v>0</v>
      </c>
      <c r="M105" s="62">
        <f t="shared" si="4"/>
        <v>0</v>
      </c>
      <c r="N105" s="62">
        <f t="shared" si="4"/>
        <v>0</v>
      </c>
      <c r="O105" s="62">
        <f t="shared" si="4"/>
        <v>0</v>
      </c>
      <c r="P105" s="62">
        <f t="shared" si="4"/>
        <v>0</v>
      </c>
      <c r="Q105" s="62">
        <f t="shared" si="4"/>
        <v>0</v>
      </c>
      <c r="R105" s="62">
        <f t="shared" si="4"/>
        <v>0</v>
      </c>
      <c r="S105" s="62">
        <f t="shared" si="4"/>
        <v>0</v>
      </c>
      <c r="T105" s="62">
        <f t="shared" si="4"/>
        <v>0</v>
      </c>
      <c r="U105" s="62">
        <f t="shared" si="4"/>
        <v>0</v>
      </c>
      <c r="V105" s="62">
        <f t="shared" si="4"/>
        <v>0</v>
      </c>
      <c r="W105" s="62">
        <f t="shared" si="4"/>
        <v>0</v>
      </c>
      <c r="X105" s="62">
        <f t="shared" si="4"/>
        <v>0</v>
      </c>
      <c r="Y105" s="62">
        <f t="shared" si="4"/>
        <v>0</v>
      </c>
      <c r="Z105" s="62">
        <f t="shared" si="4"/>
        <v>0</v>
      </c>
      <c r="AA105" s="62">
        <f t="shared" si="4"/>
        <v>0</v>
      </c>
      <c r="AB105" s="62">
        <f t="shared" si="4"/>
        <v>0</v>
      </c>
      <c r="AC105" s="62">
        <f t="shared" si="4"/>
        <v>0</v>
      </c>
      <c r="AD105" s="62">
        <f t="shared" si="4"/>
        <v>0</v>
      </c>
      <c r="AE105" s="62">
        <f t="shared" si="4"/>
        <v>0</v>
      </c>
      <c r="AF105" s="62">
        <f t="shared" si="4"/>
        <v>0</v>
      </c>
      <c r="AG105" s="62">
        <f t="shared" si="4"/>
        <v>0</v>
      </c>
      <c r="AH105" s="62">
        <f t="shared" si="4"/>
        <v>0</v>
      </c>
      <c r="AI105" s="62">
        <f t="shared" si="4"/>
        <v>0</v>
      </c>
      <c r="AJ105" s="62">
        <f t="shared" si="4"/>
        <v>0</v>
      </c>
      <c r="AK105" s="62">
        <f t="shared" si="4"/>
        <v>0</v>
      </c>
      <c r="AL105" s="62">
        <f t="shared" si="4"/>
        <v>0</v>
      </c>
      <c r="AM105" s="62">
        <f t="shared" si="4"/>
        <v>0</v>
      </c>
      <c r="AN105" s="62">
        <f t="shared" si="4"/>
        <v>0</v>
      </c>
      <c r="AO105" s="62">
        <f t="shared" si="4"/>
        <v>0</v>
      </c>
      <c r="AP105" s="62">
        <f t="shared" si="4"/>
        <v>0</v>
      </c>
      <c r="AQ105" s="62">
        <f t="shared" si="4"/>
        <v>0</v>
      </c>
      <c r="AR105" s="62">
        <f t="shared" si="4"/>
        <v>0</v>
      </c>
      <c r="AS105" s="62">
        <f t="shared" si="4"/>
        <v>0</v>
      </c>
      <c r="AT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</row>
  </sheetData>
  <mergeCells count="19">
    <mergeCell ref="M1:S5"/>
    <mergeCell ref="T1:AT7"/>
    <mergeCell ref="A2:E2"/>
    <mergeCell ref="A3:E3"/>
    <mergeCell ref="C4:E4"/>
    <mergeCell ref="A7:E7"/>
    <mergeCell ref="M6:S7"/>
    <mergeCell ref="L100:AS100"/>
    <mergeCell ref="F1:L7"/>
    <mergeCell ref="A4:B4"/>
    <mergeCell ref="A5:B6"/>
    <mergeCell ref="C5:E6"/>
    <mergeCell ref="A101:B101"/>
    <mergeCell ref="A102:E102"/>
    <mergeCell ref="A103:E103"/>
    <mergeCell ref="A104:E104"/>
    <mergeCell ref="A105:E105"/>
    <mergeCell ref="A1:E1"/>
    <mergeCell ref="A100:E100"/>
  </mergeCells>
  <conditionalFormatting sqref="M6:S7 F8:AS99 AT8:AT95">
    <cfRule type="cellIs" dxfId="0" priority="1" operator="greaterThan">
      <formula>0</formula>
    </cfRule>
  </conditionalFormatting>
  <conditionalFormatting sqref="M6:S7 F8:AS99 AT8:AT95">
    <cfRule type="cellIs" dxfId="1" priority="2" operator="lessThan">
      <formula>0</formula>
    </cfRule>
  </conditionalFormatting>
  <conditionalFormatting sqref="F99:AT99">
    <cfRule type="cellIs" dxfId="0" priority="3" operator="greaterThan">
      <formula>0</formula>
    </cfRule>
  </conditionalFormatting>
  <conditionalFormatting sqref="F99:AT99">
    <cfRule type="cellIs" dxfId="1" priority="4" operator="lessThan">
      <formula>0</formula>
    </cfRule>
  </conditionalFormatting>
  <dataValidations>
    <dataValidation type="list" allowBlank="1" sqref="B9:B13 B15:B99">
      <formula1>Fondsen!$A$5:$A$30</formula1>
    </dataValidation>
    <dataValidation type="list" allowBlank="1" sqref="B14">
      <formula1>Fondsen!$A$5:$A$30</formula1>
    </dataValidation>
    <dataValidation type="list" allowBlank="1" sqref="A9:A99">
      <formula1>"PE,VC,Secondaries"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4" width="22.0"/>
    <col customWidth="1" min="5" max="6" width="8.71"/>
  </cols>
  <sheetData>
    <row r="1" ht="17.25" customHeight="1">
      <c r="A1" s="79" t="s">
        <v>16</v>
      </c>
      <c r="B1" s="78"/>
      <c r="C1" s="78"/>
      <c r="D1" s="78"/>
      <c r="E1" s="78"/>
      <c r="F1" s="78"/>
    </row>
    <row r="2" ht="15.0" customHeight="1">
      <c r="A2" s="80" t="s">
        <v>17</v>
      </c>
      <c r="B2" s="78"/>
      <c r="C2" s="78"/>
      <c r="D2" s="78"/>
      <c r="E2" s="78"/>
      <c r="F2" s="78"/>
    </row>
    <row r="3" ht="15.0" customHeight="1">
      <c r="A3" s="78"/>
      <c r="B3" s="78"/>
      <c r="C3" s="78"/>
      <c r="D3" s="78"/>
      <c r="E3" s="78"/>
      <c r="F3" s="78"/>
    </row>
    <row r="4" ht="15.0" customHeight="1">
      <c r="A4" s="81" t="s">
        <v>18</v>
      </c>
      <c r="B4" s="81" t="s">
        <v>13</v>
      </c>
      <c r="C4" s="81" t="s">
        <v>19</v>
      </c>
      <c r="D4" s="81" t="s">
        <v>20</v>
      </c>
      <c r="E4" s="78"/>
      <c r="F4" s="78"/>
    </row>
    <row r="5" ht="15.0" customHeight="1">
      <c r="A5" s="82">
        <v>2025.0</v>
      </c>
      <c r="B5" s="83">
        <f>'Cashflow Matrix'!F105</f>
        <v>0</v>
      </c>
      <c r="C5" s="83">
        <f>'Cashflow Matrix'!F104</f>
        <v>0</v>
      </c>
      <c r="D5" s="84">
        <f>'Cashflow Matrix'!F103</f>
        <v>0</v>
      </c>
      <c r="E5" s="78"/>
      <c r="F5" s="78"/>
    </row>
    <row r="6" ht="15.0" customHeight="1">
      <c r="A6" s="82">
        <v>2026.0</v>
      </c>
      <c r="B6" s="83">
        <f>'Cashflow Matrix'!G105</f>
        <v>0</v>
      </c>
      <c r="C6" s="83">
        <f>'Cashflow Matrix'!G104</f>
        <v>0</v>
      </c>
      <c r="D6" s="84">
        <f>'Cashflow Matrix'!G103</f>
        <v>0</v>
      </c>
      <c r="E6" s="78"/>
      <c r="F6" s="78"/>
    </row>
    <row r="7" ht="15.0" customHeight="1">
      <c r="A7" s="82">
        <v>2027.0</v>
      </c>
      <c r="B7" s="83">
        <f>'Cashflow Matrix'!H105</f>
        <v>0</v>
      </c>
      <c r="C7" s="83">
        <f>'Cashflow Matrix'!H104</f>
        <v>0</v>
      </c>
      <c r="D7" s="84">
        <f>'Cashflow Matrix'!H103</f>
        <v>0</v>
      </c>
      <c r="E7" s="78"/>
      <c r="F7" s="78"/>
    </row>
    <row r="8" ht="15.0" customHeight="1">
      <c r="A8" s="82">
        <v>2028.0</v>
      </c>
      <c r="B8" s="83">
        <f>'Cashflow Matrix'!I105</f>
        <v>0</v>
      </c>
      <c r="C8" s="83">
        <f>'Cashflow Matrix'!I104</f>
        <v>0</v>
      </c>
      <c r="D8" s="84">
        <f>'Cashflow Matrix'!I103</f>
        <v>0</v>
      </c>
      <c r="E8" s="78"/>
      <c r="F8" s="78"/>
    </row>
    <row r="9" ht="15.0" customHeight="1">
      <c r="A9" s="82">
        <v>2029.0</v>
      </c>
      <c r="B9" s="83">
        <f>'Cashflow Matrix'!J105</f>
        <v>0</v>
      </c>
      <c r="C9" s="83">
        <f>'Cashflow Matrix'!J104</f>
        <v>0</v>
      </c>
      <c r="D9" s="84">
        <f>'Cashflow Matrix'!J103</f>
        <v>0</v>
      </c>
      <c r="E9" s="78"/>
      <c r="F9" s="78"/>
    </row>
    <row r="10" ht="15.0" customHeight="1">
      <c r="A10" s="82">
        <v>2030.0</v>
      </c>
      <c r="B10" s="83">
        <f>'Cashflow Matrix'!K105</f>
        <v>0</v>
      </c>
      <c r="C10" s="83">
        <f>'Cashflow Matrix'!K104</f>
        <v>0</v>
      </c>
      <c r="D10" s="84">
        <f>'Cashflow Matrix'!K103</f>
        <v>0</v>
      </c>
      <c r="E10" s="78"/>
      <c r="F10" s="78"/>
    </row>
    <row r="11" ht="15.0" customHeight="1">
      <c r="A11" s="82">
        <v>2031.0</v>
      </c>
      <c r="B11" s="83">
        <f>'Cashflow Matrix'!L105</f>
        <v>0</v>
      </c>
      <c r="C11" s="83">
        <f>'Cashflow Matrix'!L104</f>
        <v>0</v>
      </c>
      <c r="D11" s="84">
        <f>'Cashflow Matrix'!L103</f>
        <v>0</v>
      </c>
      <c r="E11" s="78"/>
      <c r="F11" s="78"/>
    </row>
    <row r="12" ht="15.0" customHeight="1">
      <c r="A12" s="82">
        <v>2032.0</v>
      </c>
      <c r="B12" s="83">
        <f>'Cashflow Matrix'!M105</f>
        <v>0</v>
      </c>
      <c r="C12" s="83">
        <f>'Cashflow Matrix'!M104</f>
        <v>0</v>
      </c>
      <c r="D12" s="84">
        <f>'Cashflow Matrix'!M103</f>
        <v>0</v>
      </c>
      <c r="E12" s="78"/>
      <c r="F12" s="78"/>
    </row>
    <row r="13" ht="15.0" customHeight="1">
      <c r="A13" s="82">
        <v>2033.0</v>
      </c>
      <c r="B13" s="83">
        <f>'Cashflow Matrix'!N105</f>
        <v>0</v>
      </c>
      <c r="C13" s="83">
        <f>'Cashflow Matrix'!N104</f>
        <v>0</v>
      </c>
      <c r="D13" s="84">
        <f>'Cashflow Matrix'!N103</f>
        <v>0</v>
      </c>
      <c r="E13" s="78"/>
      <c r="F13" s="78"/>
    </row>
    <row r="14" ht="15.0" customHeight="1">
      <c r="A14" s="82">
        <v>2034.0</v>
      </c>
      <c r="B14" s="83">
        <f>'Cashflow Matrix'!O105</f>
        <v>0</v>
      </c>
      <c r="C14" s="83">
        <f>'Cashflow Matrix'!O104</f>
        <v>0</v>
      </c>
      <c r="D14" s="84">
        <f>'Cashflow Matrix'!O103</f>
        <v>0</v>
      </c>
      <c r="E14" s="78"/>
      <c r="F14" s="78"/>
    </row>
    <row r="15" ht="15.0" customHeight="1">
      <c r="A15" s="82">
        <v>2035.0</v>
      </c>
      <c r="B15" s="83">
        <f>'Cashflow Matrix'!P105</f>
        <v>0</v>
      </c>
      <c r="C15" s="83">
        <f>'Cashflow Matrix'!P104</f>
        <v>0</v>
      </c>
      <c r="D15" s="84">
        <f>'Cashflow Matrix'!P103</f>
        <v>0</v>
      </c>
      <c r="E15" s="78"/>
      <c r="F15" s="78"/>
    </row>
    <row r="16" ht="15.0" customHeight="1">
      <c r="A16" s="82">
        <v>2036.0</v>
      </c>
      <c r="B16" s="83">
        <f>'Cashflow Matrix'!Q105</f>
        <v>0</v>
      </c>
      <c r="C16" s="83">
        <f>'Cashflow Matrix'!Q104</f>
        <v>0</v>
      </c>
      <c r="D16" s="84">
        <f>'Cashflow Matrix'!Q103</f>
        <v>0</v>
      </c>
      <c r="E16" s="78"/>
      <c r="F16" s="78"/>
    </row>
    <row r="17" ht="15.0" customHeight="1">
      <c r="A17" s="82">
        <v>2037.0</v>
      </c>
      <c r="B17" s="83">
        <f>'Cashflow Matrix'!R105</f>
        <v>0</v>
      </c>
      <c r="C17" s="83">
        <f>'Cashflow Matrix'!R104</f>
        <v>0</v>
      </c>
      <c r="D17" s="84">
        <f>'Cashflow Matrix'!R103</f>
        <v>0</v>
      </c>
      <c r="E17" s="78"/>
      <c r="F17" s="78"/>
    </row>
    <row r="18" ht="15.0" customHeight="1">
      <c r="A18" s="82">
        <v>2038.0</v>
      </c>
      <c r="B18" s="83">
        <f>'Cashflow Matrix'!S105</f>
        <v>0</v>
      </c>
      <c r="C18" s="83">
        <f>'Cashflow Matrix'!S104</f>
        <v>0</v>
      </c>
      <c r="D18" s="84">
        <f>'Cashflow Matrix'!S103</f>
        <v>0</v>
      </c>
      <c r="E18" s="78"/>
      <c r="F18" s="78"/>
    </row>
    <row r="19" ht="15.0" customHeight="1">
      <c r="A19" s="82">
        <v>2039.0</v>
      </c>
      <c r="B19" s="83">
        <f>'Cashflow Matrix'!T105</f>
        <v>0</v>
      </c>
      <c r="C19" s="83">
        <f>'Cashflow Matrix'!T104</f>
        <v>0</v>
      </c>
      <c r="D19" s="84">
        <f>'Cashflow Matrix'!T103</f>
        <v>0</v>
      </c>
      <c r="E19" s="78"/>
      <c r="F19" s="78"/>
    </row>
    <row r="20" ht="15.0" customHeight="1">
      <c r="A20" s="78"/>
      <c r="B20" s="78"/>
      <c r="C20" s="78"/>
      <c r="D20" s="78"/>
      <c r="E20" s="78"/>
      <c r="F20" s="78"/>
    </row>
    <row r="21" ht="15.75" customHeight="1">
      <c r="A21" s="78"/>
      <c r="B21" s="78"/>
      <c r="C21" s="78"/>
      <c r="D21" s="78"/>
      <c r="E21" s="78"/>
      <c r="F21" s="78"/>
    </row>
    <row r="22" ht="15.75" customHeight="1">
      <c r="A22" s="78"/>
      <c r="B22" s="78"/>
      <c r="C22" s="78"/>
      <c r="D22" s="78"/>
      <c r="E22" s="78"/>
      <c r="F22" s="78"/>
    </row>
    <row r="23" ht="15.75" customHeight="1">
      <c r="A23" s="78"/>
      <c r="B23" s="78"/>
      <c r="C23" s="78"/>
      <c r="D23" s="78"/>
      <c r="E23" s="78"/>
      <c r="F23" s="78"/>
    </row>
    <row r="24" ht="15.75" customHeight="1">
      <c r="A24" s="78"/>
      <c r="B24" s="78"/>
      <c r="C24" s="78"/>
      <c r="D24" s="78"/>
      <c r="E24" s="78"/>
      <c r="F24" s="78"/>
    </row>
    <row r="25" ht="15.75" customHeight="1">
      <c r="A25" s="78"/>
      <c r="B25" s="78"/>
      <c r="C25" s="78"/>
      <c r="D25" s="78"/>
      <c r="E25" s="78"/>
      <c r="F25" s="78"/>
    </row>
    <row r="26" ht="15.75" customHeight="1">
      <c r="A26" s="78"/>
      <c r="B26" s="78"/>
      <c r="C26" s="78"/>
      <c r="D26" s="78"/>
      <c r="E26" s="78"/>
      <c r="F26" s="78"/>
    </row>
    <row r="27" ht="15.75" customHeight="1">
      <c r="A27" s="78"/>
      <c r="B27" s="78"/>
      <c r="C27" s="78"/>
      <c r="D27" s="78"/>
      <c r="E27" s="78"/>
      <c r="F27" s="78"/>
    </row>
    <row r="28" ht="15.75" customHeight="1">
      <c r="A28" s="78"/>
      <c r="B28" s="78"/>
      <c r="C28" s="78"/>
      <c r="D28" s="78"/>
      <c r="E28" s="78"/>
      <c r="F28" s="78"/>
    </row>
    <row r="29" ht="15.75" customHeight="1">
      <c r="A29" s="78"/>
      <c r="B29" s="78"/>
      <c r="C29" s="78"/>
      <c r="D29" s="78"/>
      <c r="E29" s="78"/>
      <c r="F29" s="78"/>
    </row>
    <row r="30" ht="15.75" customHeight="1">
      <c r="A30" s="78"/>
      <c r="B30" s="78"/>
      <c r="C30" s="78"/>
      <c r="D30" s="78"/>
      <c r="E30" s="78"/>
      <c r="F30" s="78"/>
    </row>
    <row r="31" ht="15.75" customHeight="1">
      <c r="A31" s="78"/>
      <c r="B31" s="78"/>
      <c r="C31" s="78"/>
      <c r="D31" s="78"/>
      <c r="E31" s="78"/>
      <c r="F31" s="78"/>
    </row>
    <row r="32" ht="15.75" customHeight="1">
      <c r="A32" s="78"/>
      <c r="B32" s="78"/>
      <c r="C32" s="78"/>
      <c r="D32" s="78"/>
      <c r="E32" s="78"/>
      <c r="F32" s="78"/>
    </row>
    <row r="33" ht="15.75" customHeight="1">
      <c r="A33" s="78"/>
      <c r="B33" s="78"/>
      <c r="C33" s="78"/>
      <c r="D33" s="78"/>
      <c r="E33" s="78"/>
      <c r="F33" s="78"/>
    </row>
    <row r="34" ht="15.75" customHeight="1">
      <c r="A34" s="78"/>
      <c r="B34" s="78"/>
      <c r="C34" s="78"/>
      <c r="D34" s="78"/>
      <c r="E34" s="78"/>
      <c r="F34" s="78"/>
    </row>
    <row r="35" ht="15.75" customHeight="1">
      <c r="A35" s="78"/>
      <c r="B35" s="78"/>
      <c r="C35" s="78"/>
      <c r="D35" s="78"/>
      <c r="E35" s="78"/>
      <c r="F35" s="78"/>
    </row>
    <row r="36" ht="15.75" customHeight="1">
      <c r="A36" s="78"/>
      <c r="B36" s="78"/>
      <c r="C36" s="78"/>
      <c r="D36" s="78"/>
      <c r="E36" s="78"/>
      <c r="F36" s="78"/>
    </row>
    <row r="37" ht="15.75" customHeight="1">
      <c r="A37" s="78"/>
      <c r="B37" s="78"/>
      <c r="C37" s="78"/>
      <c r="D37" s="78"/>
      <c r="E37" s="78"/>
      <c r="F37" s="78"/>
    </row>
    <row r="38" ht="15.75" customHeight="1">
      <c r="A38" s="78"/>
      <c r="B38" s="78"/>
      <c r="C38" s="78"/>
      <c r="D38" s="78"/>
      <c r="E38" s="78"/>
      <c r="F38" s="78"/>
    </row>
    <row r="39" ht="15.75" customHeight="1">
      <c r="A39" s="78"/>
      <c r="B39" s="78"/>
      <c r="C39" s="78"/>
      <c r="D39" s="78"/>
      <c r="E39" s="78"/>
      <c r="F39" s="78"/>
    </row>
    <row r="40" ht="15.75" customHeight="1">
      <c r="A40" s="78"/>
      <c r="B40" s="78"/>
      <c r="C40" s="78"/>
      <c r="D40" s="78"/>
      <c r="E40" s="78"/>
      <c r="F40" s="78"/>
    </row>
    <row r="41" ht="15.75" customHeight="1">
      <c r="A41" s="78"/>
      <c r="B41" s="78"/>
      <c r="C41" s="78"/>
      <c r="D41" s="78"/>
      <c r="E41" s="78"/>
      <c r="F41" s="78"/>
    </row>
    <row r="42" ht="15.75" customHeight="1">
      <c r="A42" s="78"/>
      <c r="B42" s="78"/>
      <c r="C42" s="78"/>
      <c r="D42" s="78"/>
      <c r="E42" s="78"/>
      <c r="F42" s="78"/>
    </row>
    <row r="43" ht="15.75" customHeight="1">
      <c r="A43" s="78"/>
      <c r="B43" s="78"/>
      <c r="C43" s="78"/>
      <c r="D43" s="78"/>
      <c r="E43" s="78"/>
      <c r="F43" s="78"/>
    </row>
    <row r="44" ht="15.75" customHeight="1">
      <c r="A44" s="78"/>
      <c r="B44" s="78"/>
      <c r="C44" s="78"/>
      <c r="D44" s="78"/>
      <c r="E44" s="78"/>
      <c r="F44" s="78"/>
    </row>
    <row r="45" ht="15.75" customHeight="1">
      <c r="A45" s="78"/>
      <c r="B45" s="78"/>
      <c r="C45" s="78"/>
      <c r="D45" s="78"/>
      <c r="E45" s="78"/>
      <c r="F45" s="78"/>
    </row>
    <row r="46" ht="15.75" customHeight="1">
      <c r="A46" s="78"/>
      <c r="B46" s="78"/>
      <c r="C46" s="78"/>
      <c r="D46" s="78"/>
      <c r="E46" s="78"/>
      <c r="F46" s="78"/>
    </row>
    <row r="47" ht="15.75" customHeight="1">
      <c r="A47" s="78"/>
      <c r="B47" s="78"/>
      <c r="C47" s="78"/>
      <c r="D47" s="78"/>
      <c r="E47" s="78"/>
      <c r="F47" s="78"/>
    </row>
    <row r="48" ht="15.75" customHeight="1">
      <c r="A48" s="78"/>
      <c r="B48" s="78"/>
      <c r="C48" s="78"/>
      <c r="D48" s="78"/>
      <c r="E48" s="78"/>
      <c r="F48" s="78"/>
    </row>
    <row r="49" ht="15.75" customHeight="1">
      <c r="A49" s="78"/>
      <c r="B49" s="78"/>
      <c r="C49" s="78"/>
      <c r="D49" s="78"/>
      <c r="E49" s="78"/>
      <c r="F49" s="78"/>
    </row>
    <row r="50" ht="15.75" customHeight="1">
      <c r="A50" s="78"/>
      <c r="B50" s="78"/>
      <c r="C50" s="78"/>
      <c r="D50" s="78"/>
      <c r="E50" s="78"/>
      <c r="F50" s="78"/>
    </row>
    <row r="51" ht="15.75" customHeight="1">
      <c r="A51" s="78"/>
      <c r="B51" s="78"/>
      <c r="C51" s="78"/>
      <c r="D51" s="78"/>
      <c r="E51" s="78"/>
      <c r="F51" s="78"/>
    </row>
    <row r="52" ht="15.75" customHeight="1">
      <c r="A52" s="78"/>
      <c r="B52" s="78"/>
      <c r="C52" s="78"/>
      <c r="D52" s="78"/>
      <c r="E52" s="78"/>
      <c r="F52" s="78"/>
    </row>
    <row r="53" ht="15.75" customHeight="1">
      <c r="A53" s="78"/>
      <c r="B53" s="78"/>
      <c r="C53" s="78"/>
      <c r="D53" s="78"/>
      <c r="E53" s="78"/>
      <c r="F53" s="78"/>
    </row>
    <row r="54" ht="15.75" customHeight="1">
      <c r="A54" s="78"/>
      <c r="B54" s="78"/>
      <c r="C54" s="78"/>
      <c r="D54" s="78"/>
      <c r="E54" s="78"/>
      <c r="F54" s="78"/>
    </row>
    <row r="55" ht="15.75" customHeight="1">
      <c r="A55" s="78"/>
      <c r="B55" s="78"/>
      <c r="C55" s="78"/>
      <c r="D55" s="78"/>
      <c r="E55" s="78"/>
      <c r="F55" s="78"/>
    </row>
    <row r="56" ht="15.75" customHeight="1">
      <c r="A56" s="78"/>
      <c r="B56" s="78"/>
      <c r="C56" s="78"/>
      <c r="D56" s="78"/>
      <c r="E56" s="78"/>
      <c r="F56" s="78"/>
    </row>
    <row r="57" ht="15.75" customHeight="1">
      <c r="A57" s="78"/>
      <c r="B57" s="78"/>
      <c r="C57" s="78"/>
      <c r="D57" s="78"/>
      <c r="E57" s="78"/>
      <c r="F57" s="78"/>
    </row>
    <row r="58" ht="15.75" customHeight="1">
      <c r="A58" s="78"/>
      <c r="B58" s="78"/>
      <c r="C58" s="78"/>
      <c r="D58" s="78"/>
      <c r="E58" s="78"/>
      <c r="F58" s="78"/>
    </row>
    <row r="59" ht="15.75" customHeight="1">
      <c r="A59" s="78"/>
      <c r="B59" s="78"/>
      <c r="C59" s="78"/>
      <c r="D59" s="78"/>
      <c r="E59" s="78"/>
      <c r="F59" s="78"/>
    </row>
    <row r="60" ht="15.75" customHeight="1">
      <c r="A60" s="78"/>
      <c r="B60" s="78"/>
      <c r="C60" s="78"/>
      <c r="D60" s="78"/>
      <c r="E60" s="78"/>
      <c r="F60" s="78"/>
    </row>
    <row r="61" ht="15.75" customHeight="1">
      <c r="A61" s="78"/>
      <c r="B61" s="78"/>
      <c r="C61" s="78"/>
      <c r="D61" s="78"/>
      <c r="E61" s="78"/>
      <c r="F61" s="78"/>
    </row>
    <row r="62" ht="15.75" customHeight="1">
      <c r="A62" s="78"/>
      <c r="B62" s="78"/>
      <c r="C62" s="78"/>
      <c r="D62" s="78"/>
      <c r="E62" s="78"/>
      <c r="F62" s="78"/>
    </row>
    <row r="63" ht="15.75" customHeight="1">
      <c r="A63" s="78"/>
      <c r="B63" s="78"/>
      <c r="C63" s="78"/>
      <c r="D63" s="78"/>
      <c r="E63" s="78"/>
      <c r="F63" s="78"/>
    </row>
    <row r="64" ht="15.75" customHeight="1">
      <c r="A64" s="78"/>
      <c r="B64" s="78"/>
      <c r="C64" s="78"/>
      <c r="D64" s="78"/>
      <c r="E64" s="78"/>
      <c r="F64" s="78"/>
    </row>
    <row r="65" ht="15.75" customHeight="1">
      <c r="A65" s="78"/>
      <c r="B65" s="78"/>
      <c r="C65" s="78"/>
      <c r="D65" s="78"/>
      <c r="E65" s="78"/>
      <c r="F65" s="78"/>
    </row>
    <row r="66" ht="15.75" customHeight="1">
      <c r="A66" s="78"/>
      <c r="B66" s="78"/>
      <c r="C66" s="78"/>
      <c r="D66" s="78"/>
      <c r="E66" s="78"/>
      <c r="F66" s="78"/>
    </row>
    <row r="67" ht="15.75" customHeight="1">
      <c r="A67" s="78"/>
      <c r="B67" s="78"/>
      <c r="C67" s="78"/>
      <c r="D67" s="78"/>
      <c r="E67" s="78"/>
      <c r="F67" s="78"/>
    </row>
    <row r="68" ht="15.75" customHeight="1">
      <c r="A68" s="78"/>
      <c r="B68" s="78"/>
      <c r="C68" s="78"/>
      <c r="D68" s="78"/>
      <c r="E68" s="78"/>
      <c r="F68" s="78"/>
    </row>
    <row r="69" ht="15.75" customHeight="1">
      <c r="A69" s="78"/>
      <c r="B69" s="78"/>
      <c r="C69" s="78"/>
      <c r="D69" s="78"/>
      <c r="E69" s="78"/>
      <c r="F69" s="78"/>
    </row>
    <row r="70" ht="15.75" customHeight="1">
      <c r="A70" s="78"/>
      <c r="B70" s="78"/>
      <c r="C70" s="78"/>
      <c r="D70" s="78"/>
      <c r="E70" s="78"/>
      <c r="F70" s="78"/>
    </row>
    <row r="71" ht="15.75" customHeight="1">
      <c r="A71" s="78"/>
      <c r="B71" s="78"/>
      <c r="C71" s="78"/>
      <c r="D71" s="78"/>
      <c r="E71" s="78"/>
      <c r="F71" s="78"/>
    </row>
    <row r="72" ht="15.75" customHeight="1">
      <c r="A72" s="78"/>
      <c r="B72" s="78"/>
      <c r="C72" s="78"/>
      <c r="D72" s="78"/>
      <c r="E72" s="78"/>
      <c r="F72" s="78"/>
    </row>
    <row r="73" ht="15.75" customHeight="1">
      <c r="A73" s="78"/>
      <c r="B73" s="78"/>
      <c r="C73" s="78"/>
      <c r="D73" s="78"/>
      <c r="E73" s="78"/>
      <c r="F73" s="78"/>
    </row>
    <row r="74" ht="15.75" customHeight="1">
      <c r="A74" s="78"/>
      <c r="B74" s="78"/>
      <c r="C74" s="78"/>
      <c r="D74" s="78"/>
      <c r="E74" s="78"/>
      <c r="F74" s="78"/>
    </row>
    <row r="75" ht="15.75" customHeight="1">
      <c r="A75" s="78"/>
      <c r="B75" s="78"/>
      <c r="C75" s="78"/>
      <c r="D75" s="78"/>
      <c r="E75" s="78"/>
      <c r="F75" s="78"/>
    </row>
    <row r="76" ht="15.75" customHeight="1">
      <c r="A76" s="78"/>
      <c r="B76" s="78"/>
      <c r="C76" s="78"/>
      <c r="D76" s="78"/>
      <c r="E76" s="78"/>
      <c r="F76" s="78"/>
    </row>
    <row r="77" ht="15.75" customHeight="1">
      <c r="A77" s="78"/>
      <c r="B77" s="78"/>
      <c r="C77" s="78"/>
      <c r="D77" s="78"/>
      <c r="E77" s="78"/>
      <c r="F77" s="78"/>
    </row>
    <row r="78" ht="15.75" customHeight="1">
      <c r="A78" s="78"/>
      <c r="B78" s="78"/>
      <c r="C78" s="78"/>
      <c r="D78" s="78"/>
      <c r="E78" s="78"/>
      <c r="F78" s="78"/>
    </row>
    <row r="79" ht="15.75" customHeight="1">
      <c r="A79" s="78"/>
      <c r="B79" s="78"/>
      <c r="C79" s="78"/>
      <c r="D79" s="78"/>
      <c r="E79" s="78"/>
      <c r="F79" s="78"/>
    </row>
    <row r="80" ht="15.75" customHeight="1">
      <c r="A80" s="78"/>
      <c r="B80" s="78"/>
      <c r="C80" s="78"/>
      <c r="D80" s="78"/>
      <c r="E80" s="78"/>
      <c r="F80" s="78"/>
    </row>
    <row r="81" ht="15.75" customHeight="1">
      <c r="A81" s="78"/>
      <c r="B81" s="78"/>
      <c r="C81" s="78"/>
      <c r="D81" s="78"/>
      <c r="E81" s="78"/>
      <c r="F81" s="78"/>
    </row>
    <row r="82" ht="15.75" customHeight="1">
      <c r="A82" s="78"/>
      <c r="B82" s="78"/>
      <c r="C82" s="78"/>
      <c r="D82" s="78"/>
      <c r="E82" s="78"/>
      <c r="F82" s="78"/>
    </row>
    <row r="83" ht="15.75" customHeight="1">
      <c r="A83" s="78"/>
      <c r="B83" s="78"/>
      <c r="C83" s="78"/>
      <c r="D83" s="78"/>
      <c r="E83" s="78"/>
      <c r="F83" s="78"/>
    </row>
    <row r="84" ht="15.75" customHeight="1">
      <c r="A84" s="78"/>
      <c r="B84" s="78"/>
      <c r="C84" s="78"/>
      <c r="D84" s="78"/>
      <c r="E84" s="78"/>
      <c r="F84" s="78"/>
    </row>
    <row r="85" ht="15.75" customHeight="1">
      <c r="A85" s="78"/>
      <c r="B85" s="78"/>
      <c r="C85" s="78"/>
      <c r="D85" s="78"/>
      <c r="E85" s="78"/>
      <c r="F85" s="78"/>
    </row>
    <row r="86" ht="15.75" customHeight="1">
      <c r="A86" s="78"/>
      <c r="B86" s="78"/>
      <c r="C86" s="78"/>
      <c r="D86" s="78"/>
      <c r="E86" s="78"/>
      <c r="F86" s="78"/>
    </row>
    <row r="87" ht="15.75" customHeight="1">
      <c r="A87" s="78"/>
      <c r="B87" s="78"/>
      <c r="C87" s="78"/>
      <c r="D87" s="78"/>
      <c r="E87" s="78"/>
      <c r="F87" s="78"/>
    </row>
    <row r="88" ht="15.75" customHeight="1">
      <c r="A88" s="78"/>
      <c r="B88" s="78"/>
      <c r="C88" s="78"/>
      <c r="D88" s="78"/>
      <c r="E88" s="78"/>
      <c r="F88" s="78"/>
    </row>
    <row r="89" ht="15.75" customHeight="1">
      <c r="A89" s="78"/>
      <c r="B89" s="78"/>
      <c r="C89" s="78"/>
      <c r="D89" s="78"/>
      <c r="E89" s="78"/>
      <c r="F89" s="78"/>
    </row>
    <row r="90" ht="15.75" customHeight="1">
      <c r="A90" s="78"/>
      <c r="B90" s="78"/>
      <c r="C90" s="78"/>
      <c r="D90" s="78"/>
      <c r="E90" s="78"/>
      <c r="F90" s="78"/>
    </row>
    <row r="91" ht="15.75" customHeight="1">
      <c r="A91" s="78"/>
      <c r="B91" s="78"/>
      <c r="C91" s="78"/>
      <c r="D91" s="78"/>
      <c r="E91" s="78"/>
      <c r="F91" s="78"/>
    </row>
    <row r="92" ht="15.75" customHeight="1">
      <c r="A92" s="78"/>
      <c r="B92" s="78"/>
      <c r="C92" s="78"/>
      <c r="D92" s="78"/>
      <c r="E92" s="78"/>
      <c r="F92" s="78"/>
    </row>
    <row r="93" ht="15.75" customHeight="1">
      <c r="A93" s="78"/>
      <c r="B93" s="78"/>
      <c r="C93" s="78"/>
      <c r="D93" s="78"/>
      <c r="E93" s="78"/>
      <c r="F93" s="78"/>
    </row>
    <row r="94" ht="15.75" customHeight="1">
      <c r="A94" s="78"/>
      <c r="B94" s="78"/>
      <c r="C94" s="78"/>
      <c r="D94" s="78"/>
      <c r="E94" s="78"/>
      <c r="F94" s="78"/>
    </row>
    <row r="95" ht="15.75" customHeight="1">
      <c r="A95" s="78"/>
      <c r="B95" s="78"/>
      <c r="C95" s="78"/>
      <c r="D95" s="78"/>
      <c r="E95" s="78"/>
      <c r="F95" s="78"/>
    </row>
    <row r="96" ht="15.75" customHeight="1">
      <c r="A96" s="78"/>
      <c r="B96" s="78"/>
      <c r="C96" s="78"/>
      <c r="D96" s="78"/>
      <c r="E96" s="78"/>
      <c r="F96" s="78"/>
    </row>
    <row r="97" ht="15.75" customHeight="1">
      <c r="A97" s="78"/>
      <c r="B97" s="78"/>
      <c r="C97" s="78"/>
      <c r="D97" s="78"/>
      <c r="E97" s="78"/>
      <c r="F97" s="78"/>
    </row>
    <row r="98" ht="15.75" customHeight="1">
      <c r="A98" s="78"/>
      <c r="B98" s="78"/>
      <c r="C98" s="78"/>
      <c r="D98" s="78"/>
      <c r="E98" s="78"/>
      <c r="F98" s="78"/>
    </row>
    <row r="99" ht="15.75" customHeight="1">
      <c r="A99" s="78"/>
      <c r="B99" s="78"/>
      <c r="C99" s="78"/>
      <c r="D99" s="78"/>
      <c r="E99" s="78"/>
      <c r="F99" s="78"/>
    </row>
    <row r="100" ht="15.75" customHeight="1">
      <c r="A100" s="78"/>
      <c r="B100" s="78"/>
      <c r="C100" s="78"/>
      <c r="D100" s="78"/>
      <c r="E100" s="78"/>
      <c r="F100" s="78"/>
    </row>
    <row r="101" ht="15.75" customHeight="1">
      <c r="A101" s="78"/>
      <c r="B101" s="78"/>
      <c r="C101" s="78"/>
      <c r="D101" s="78"/>
      <c r="E101" s="78"/>
      <c r="F101" s="78"/>
    </row>
    <row r="102" ht="15.75" customHeight="1">
      <c r="A102" s="78"/>
      <c r="B102" s="78"/>
      <c r="C102" s="78"/>
      <c r="D102" s="78"/>
      <c r="E102" s="78"/>
      <c r="F102" s="78"/>
    </row>
    <row r="103" ht="15.75" customHeight="1">
      <c r="A103" s="78"/>
      <c r="B103" s="78"/>
      <c r="C103" s="78"/>
      <c r="D103" s="78"/>
      <c r="E103" s="78"/>
      <c r="F103" s="78"/>
    </row>
    <row r="104" ht="15.75" customHeight="1">
      <c r="A104" s="78"/>
      <c r="B104" s="78"/>
      <c r="C104" s="78"/>
      <c r="D104" s="78"/>
      <c r="E104" s="78"/>
      <c r="F104" s="78"/>
    </row>
    <row r="105" ht="15.75" customHeight="1">
      <c r="A105" s="78"/>
      <c r="B105" s="78"/>
      <c r="C105" s="78"/>
      <c r="D105" s="78"/>
      <c r="E105" s="78"/>
      <c r="F105" s="78"/>
    </row>
    <row r="106" ht="15.75" customHeight="1">
      <c r="A106" s="78"/>
      <c r="B106" s="78"/>
      <c r="C106" s="78"/>
      <c r="D106" s="78"/>
      <c r="E106" s="78"/>
      <c r="F106" s="78"/>
    </row>
    <row r="107" ht="15.75" customHeight="1">
      <c r="A107" s="78"/>
      <c r="B107" s="78"/>
      <c r="C107" s="78"/>
      <c r="D107" s="78"/>
      <c r="E107" s="78"/>
      <c r="F107" s="78"/>
    </row>
    <row r="108" ht="15.75" customHeight="1">
      <c r="A108" s="78"/>
      <c r="B108" s="78"/>
      <c r="C108" s="78"/>
      <c r="D108" s="78"/>
      <c r="E108" s="78"/>
      <c r="F108" s="78"/>
    </row>
    <row r="109" ht="15.75" customHeight="1">
      <c r="A109" s="78"/>
      <c r="B109" s="78"/>
      <c r="C109" s="78"/>
      <c r="D109" s="78"/>
      <c r="E109" s="78"/>
      <c r="F109" s="78"/>
    </row>
    <row r="110" ht="15.75" customHeight="1">
      <c r="A110" s="78"/>
      <c r="B110" s="78"/>
      <c r="C110" s="78"/>
      <c r="D110" s="78"/>
      <c r="E110" s="78"/>
      <c r="F110" s="78"/>
    </row>
    <row r="111" ht="15.75" customHeight="1">
      <c r="A111" s="78"/>
      <c r="B111" s="78"/>
      <c r="C111" s="78"/>
      <c r="D111" s="78"/>
      <c r="E111" s="78"/>
      <c r="F111" s="78"/>
    </row>
    <row r="112" ht="15.75" customHeight="1">
      <c r="A112" s="78"/>
      <c r="B112" s="78"/>
      <c r="C112" s="78"/>
      <c r="D112" s="78"/>
      <c r="E112" s="78"/>
      <c r="F112" s="78"/>
    </row>
    <row r="113" ht="15.75" customHeight="1">
      <c r="A113" s="78"/>
      <c r="B113" s="78"/>
      <c r="C113" s="78"/>
      <c r="D113" s="78"/>
      <c r="E113" s="78"/>
      <c r="F113" s="78"/>
    </row>
    <row r="114" ht="15.75" customHeight="1">
      <c r="A114" s="78"/>
      <c r="B114" s="78"/>
      <c r="C114" s="78"/>
      <c r="D114" s="78"/>
      <c r="E114" s="78"/>
      <c r="F114" s="78"/>
    </row>
    <row r="115" ht="15.75" customHeight="1">
      <c r="A115" s="78"/>
      <c r="B115" s="78"/>
      <c r="C115" s="78"/>
      <c r="D115" s="78"/>
      <c r="E115" s="78"/>
      <c r="F115" s="78"/>
    </row>
    <row r="116" ht="15.75" customHeight="1">
      <c r="A116" s="78"/>
      <c r="B116" s="78"/>
      <c r="C116" s="78"/>
      <c r="D116" s="78"/>
      <c r="E116" s="78"/>
      <c r="F116" s="78"/>
    </row>
    <row r="117" ht="15.75" customHeight="1">
      <c r="A117" s="78"/>
      <c r="B117" s="78"/>
      <c r="C117" s="78"/>
      <c r="D117" s="78"/>
      <c r="E117" s="78"/>
      <c r="F117" s="78"/>
    </row>
    <row r="118" ht="15.75" customHeight="1">
      <c r="A118" s="78"/>
      <c r="B118" s="78"/>
      <c r="C118" s="78"/>
      <c r="D118" s="78"/>
      <c r="E118" s="78"/>
      <c r="F118" s="78"/>
    </row>
    <row r="119" ht="15.75" customHeight="1">
      <c r="A119" s="78"/>
      <c r="B119" s="78"/>
      <c r="C119" s="78"/>
      <c r="D119" s="78"/>
      <c r="E119" s="78"/>
      <c r="F119" s="78"/>
    </row>
    <row r="120" ht="15.75" customHeight="1">
      <c r="A120" s="78"/>
      <c r="B120" s="78"/>
      <c r="C120" s="78"/>
      <c r="D120" s="78"/>
      <c r="E120" s="78"/>
      <c r="F120" s="78"/>
    </row>
    <row r="121" ht="15.75" customHeight="1">
      <c r="A121" s="78"/>
      <c r="B121" s="78"/>
      <c r="C121" s="78"/>
      <c r="D121" s="78"/>
      <c r="E121" s="78"/>
      <c r="F121" s="78"/>
    </row>
    <row r="122" ht="15.75" customHeight="1">
      <c r="A122" s="78"/>
      <c r="B122" s="78"/>
      <c r="C122" s="78"/>
      <c r="D122" s="78"/>
      <c r="E122" s="78"/>
      <c r="F122" s="78"/>
    </row>
    <row r="123" ht="15.75" customHeight="1">
      <c r="A123" s="78"/>
      <c r="B123" s="78"/>
      <c r="C123" s="78"/>
      <c r="D123" s="78"/>
      <c r="E123" s="78"/>
      <c r="F123" s="78"/>
    </row>
    <row r="124" ht="15.75" customHeight="1">
      <c r="A124" s="78"/>
      <c r="B124" s="78"/>
      <c r="C124" s="78"/>
      <c r="D124" s="78"/>
      <c r="E124" s="78"/>
      <c r="F124" s="78"/>
    </row>
    <row r="125" ht="15.75" customHeight="1">
      <c r="A125" s="78"/>
      <c r="B125" s="78"/>
      <c r="C125" s="78"/>
      <c r="D125" s="78"/>
      <c r="E125" s="78"/>
      <c r="F125" s="78"/>
    </row>
    <row r="126" ht="15.75" customHeight="1">
      <c r="A126" s="78"/>
      <c r="B126" s="78"/>
      <c r="C126" s="78"/>
      <c r="D126" s="78"/>
      <c r="E126" s="78"/>
      <c r="F126" s="78"/>
    </row>
    <row r="127" ht="15.75" customHeight="1">
      <c r="A127" s="78"/>
      <c r="B127" s="78"/>
      <c r="C127" s="78"/>
      <c r="D127" s="78"/>
      <c r="E127" s="78"/>
      <c r="F127" s="78"/>
    </row>
    <row r="128" ht="15.75" customHeight="1">
      <c r="A128" s="78"/>
      <c r="B128" s="78"/>
      <c r="C128" s="78"/>
      <c r="D128" s="78"/>
      <c r="E128" s="78"/>
      <c r="F128" s="78"/>
    </row>
    <row r="129" ht="15.75" customHeight="1">
      <c r="A129" s="78"/>
      <c r="B129" s="78"/>
      <c r="C129" s="78"/>
      <c r="D129" s="78"/>
      <c r="E129" s="78"/>
      <c r="F129" s="78"/>
    </row>
    <row r="130" ht="15.75" customHeight="1">
      <c r="A130" s="78"/>
      <c r="B130" s="78"/>
      <c r="C130" s="78"/>
      <c r="D130" s="78"/>
      <c r="E130" s="78"/>
      <c r="F130" s="78"/>
    </row>
    <row r="131" ht="15.75" customHeight="1">
      <c r="A131" s="78"/>
      <c r="B131" s="78"/>
      <c r="C131" s="78"/>
      <c r="D131" s="78"/>
      <c r="E131" s="78"/>
      <c r="F131" s="78"/>
    </row>
    <row r="132" ht="15.75" customHeight="1">
      <c r="A132" s="78"/>
      <c r="B132" s="78"/>
      <c r="C132" s="78"/>
      <c r="D132" s="78"/>
      <c r="E132" s="78"/>
      <c r="F132" s="78"/>
    </row>
    <row r="133" ht="15.75" customHeight="1">
      <c r="A133" s="78"/>
      <c r="B133" s="78"/>
      <c r="C133" s="78"/>
      <c r="D133" s="78"/>
      <c r="E133" s="78"/>
      <c r="F133" s="78"/>
    </row>
    <row r="134" ht="15.75" customHeight="1">
      <c r="A134" s="78"/>
      <c r="B134" s="78"/>
      <c r="C134" s="78"/>
      <c r="D134" s="78"/>
      <c r="E134" s="78"/>
      <c r="F134" s="78"/>
    </row>
    <row r="135" ht="15.75" customHeight="1">
      <c r="A135" s="78"/>
      <c r="B135" s="78"/>
      <c r="C135" s="78"/>
      <c r="D135" s="78"/>
      <c r="E135" s="78"/>
      <c r="F135" s="78"/>
    </row>
    <row r="136" ht="15.75" customHeight="1">
      <c r="A136" s="78"/>
      <c r="B136" s="78"/>
      <c r="C136" s="78"/>
      <c r="D136" s="78"/>
      <c r="E136" s="78"/>
      <c r="F136" s="78"/>
    </row>
    <row r="137" ht="15.75" customHeight="1">
      <c r="A137" s="78"/>
      <c r="B137" s="78"/>
      <c r="C137" s="78"/>
      <c r="D137" s="78"/>
      <c r="E137" s="78"/>
      <c r="F137" s="78"/>
    </row>
    <row r="138" ht="15.75" customHeight="1">
      <c r="A138" s="78"/>
      <c r="B138" s="78"/>
      <c r="C138" s="78"/>
      <c r="D138" s="78"/>
      <c r="E138" s="78"/>
      <c r="F138" s="78"/>
    </row>
    <row r="139" ht="15.75" customHeight="1">
      <c r="A139" s="78"/>
      <c r="B139" s="78"/>
      <c r="C139" s="78"/>
      <c r="D139" s="78"/>
      <c r="E139" s="78"/>
      <c r="F139" s="78"/>
    </row>
    <row r="140" ht="15.75" customHeight="1">
      <c r="A140" s="78"/>
      <c r="B140" s="78"/>
      <c r="C140" s="78"/>
      <c r="D140" s="78"/>
      <c r="E140" s="78"/>
      <c r="F140" s="78"/>
    </row>
    <row r="141" ht="15.75" customHeight="1">
      <c r="A141" s="78"/>
      <c r="B141" s="78"/>
      <c r="C141" s="78"/>
      <c r="D141" s="78"/>
      <c r="E141" s="78"/>
      <c r="F141" s="78"/>
    </row>
    <row r="142" ht="15.75" customHeight="1">
      <c r="A142" s="78"/>
      <c r="B142" s="78"/>
      <c r="C142" s="78"/>
      <c r="D142" s="78"/>
      <c r="E142" s="78"/>
      <c r="F142" s="78"/>
    </row>
    <row r="143" ht="15.75" customHeight="1">
      <c r="A143" s="78"/>
      <c r="B143" s="78"/>
      <c r="C143" s="78"/>
      <c r="D143" s="78"/>
      <c r="E143" s="78"/>
      <c r="F143" s="78"/>
    </row>
    <row r="144" ht="15.75" customHeight="1">
      <c r="A144" s="78"/>
      <c r="B144" s="78"/>
      <c r="C144" s="78"/>
      <c r="D144" s="78"/>
      <c r="E144" s="78"/>
      <c r="F144" s="78"/>
    </row>
    <row r="145" ht="15.75" customHeight="1">
      <c r="A145" s="78"/>
      <c r="B145" s="78"/>
      <c r="C145" s="78"/>
      <c r="D145" s="78"/>
      <c r="E145" s="78"/>
      <c r="F145" s="78"/>
    </row>
    <row r="146" ht="15.75" customHeight="1">
      <c r="A146" s="78"/>
      <c r="B146" s="78"/>
      <c r="C146" s="78"/>
      <c r="D146" s="78"/>
      <c r="E146" s="78"/>
      <c r="F146" s="78"/>
    </row>
    <row r="147" ht="15.75" customHeight="1">
      <c r="A147" s="78"/>
      <c r="B147" s="78"/>
      <c r="C147" s="78"/>
      <c r="D147" s="78"/>
      <c r="E147" s="78"/>
      <c r="F147" s="78"/>
    </row>
    <row r="148" ht="15.75" customHeight="1">
      <c r="A148" s="78"/>
      <c r="B148" s="78"/>
      <c r="C148" s="78"/>
      <c r="D148" s="78"/>
      <c r="E148" s="78"/>
      <c r="F148" s="78"/>
    </row>
    <row r="149" ht="15.75" customHeight="1">
      <c r="A149" s="78"/>
      <c r="B149" s="78"/>
      <c r="C149" s="78"/>
      <c r="D149" s="78"/>
      <c r="E149" s="78"/>
      <c r="F149" s="78"/>
    </row>
    <row r="150" ht="15.75" customHeight="1">
      <c r="A150" s="78"/>
      <c r="B150" s="78"/>
      <c r="C150" s="78"/>
      <c r="D150" s="78"/>
      <c r="E150" s="78"/>
      <c r="F150" s="78"/>
    </row>
    <row r="151" ht="15.75" customHeight="1">
      <c r="A151" s="78"/>
      <c r="B151" s="78"/>
      <c r="C151" s="78"/>
      <c r="D151" s="78"/>
      <c r="E151" s="78"/>
      <c r="F151" s="78"/>
    </row>
    <row r="152" ht="15.75" customHeight="1">
      <c r="A152" s="78"/>
      <c r="B152" s="78"/>
      <c r="C152" s="78"/>
      <c r="D152" s="78"/>
      <c r="E152" s="78"/>
      <c r="F152" s="78"/>
    </row>
    <row r="153" ht="15.75" customHeight="1">
      <c r="A153" s="78"/>
      <c r="B153" s="78"/>
      <c r="C153" s="78"/>
      <c r="D153" s="78"/>
      <c r="E153" s="78"/>
      <c r="F153" s="78"/>
    </row>
    <row r="154" ht="15.75" customHeight="1">
      <c r="A154" s="78"/>
      <c r="B154" s="78"/>
      <c r="C154" s="78"/>
      <c r="D154" s="78"/>
      <c r="E154" s="78"/>
      <c r="F154" s="78"/>
    </row>
    <row r="155" ht="15.75" customHeight="1">
      <c r="A155" s="78"/>
      <c r="B155" s="78"/>
      <c r="C155" s="78"/>
      <c r="D155" s="78"/>
      <c r="E155" s="78"/>
      <c r="F155" s="78"/>
    </row>
    <row r="156" ht="15.75" customHeight="1">
      <c r="A156" s="78"/>
      <c r="B156" s="78"/>
      <c r="C156" s="78"/>
      <c r="D156" s="78"/>
      <c r="E156" s="78"/>
      <c r="F156" s="78"/>
    </row>
    <row r="157" ht="15.75" customHeight="1">
      <c r="A157" s="78"/>
      <c r="B157" s="78"/>
      <c r="C157" s="78"/>
      <c r="D157" s="78"/>
      <c r="E157" s="78"/>
      <c r="F157" s="78"/>
    </row>
    <row r="158" ht="15.75" customHeight="1">
      <c r="A158" s="78"/>
      <c r="B158" s="78"/>
      <c r="C158" s="78"/>
      <c r="D158" s="78"/>
      <c r="E158" s="78"/>
      <c r="F158" s="78"/>
    </row>
    <row r="159" ht="15.75" customHeight="1">
      <c r="A159" s="78"/>
      <c r="B159" s="78"/>
      <c r="C159" s="78"/>
      <c r="D159" s="78"/>
      <c r="E159" s="78"/>
      <c r="F159" s="78"/>
    </row>
    <row r="160" ht="15.75" customHeight="1">
      <c r="A160" s="78"/>
      <c r="B160" s="78"/>
      <c r="C160" s="78"/>
      <c r="D160" s="78"/>
      <c r="E160" s="78"/>
      <c r="F160" s="78"/>
    </row>
    <row r="161" ht="15.75" customHeight="1">
      <c r="A161" s="78"/>
      <c r="B161" s="78"/>
      <c r="C161" s="78"/>
      <c r="D161" s="78"/>
      <c r="E161" s="78"/>
      <c r="F161" s="78"/>
    </row>
    <row r="162" ht="15.75" customHeight="1">
      <c r="A162" s="78"/>
      <c r="B162" s="78"/>
      <c r="C162" s="78"/>
      <c r="D162" s="78"/>
      <c r="E162" s="78"/>
      <c r="F162" s="78"/>
    </row>
    <row r="163" ht="15.75" customHeight="1">
      <c r="A163" s="78"/>
      <c r="B163" s="78"/>
      <c r="C163" s="78"/>
      <c r="D163" s="78"/>
      <c r="E163" s="78"/>
      <c r="F163" s="78"/>
    </row>
    <row r="164" ht="15.75" customHeight="1">
      <c r="A164" s="78"/>
      <c r="B164" s="78"/>
      <c r="C164" s="78"/>
      <c r="D164" s="78"/>
      <c r="E164" s="78"/>
      <c r="F164" s="78"/>
    </row>
    <row r="165" ht="15.75" customHeight="1">
      <c r="A165" s="78"/>
      <c r="B165" s="78"/>
      <c r="C165" s="78"/>
      <c r="D165" s="78"/>
      <c r="E165" s="78"/>
      <c r="F165" s="78"/>
    </row>
    <row r="166" ht="15.75" customHeight="1">
      <c r="A166" s="78"/>
      <c r="B166" s="78"/>
      <c r="C166" s="78"/>
      <c r="D166" s="78"/>
      <c r="E166" s="78"/>
      <c r="F166" s="78"/>
    </row>
    <row r="167" ht="15.75" customHeight="1">
      <c r="A167" s="78"/>
      <c r="B167" s="78"/>
      <c r="C167" s="78"/>
      <c r="D167" s="78"/>
      <c r="E167" s="78"/>
      <c r="F167" s="78"/>
    </row>
    <row r="168" ht="15.75" customHeight="1">
      <c r="A168" s="78"/>
      <c r="B168" s="78"/>
      <c r="C168" s="78"/>
      <c r="D168" s="78"/>
      <c r="E168" s="78"/>
      <c r="F168" s="78"/>
    </row>
    <row r="169" ht="15.75" customHeight="1">
      <c r="A169" s="78"/>
      <c r="B169" s="78"/>
      <c r="C169" s="78"/>
      <c r="D169" s="78"/>
      <c r="E169" s="78"/>
      <c r="F169" s="78"/>
    </row>
    <row r="170" ht="15.75" customHeight="1">
      <c r="A170" s="78"/>
      <c r="B170" s="78"/>
      <c r="C170" s="78"/>
      <c r="D170" s="78"/>
      <c r="E170" s="78"/>
      <c r="F170" s="78"/>
    </row>
    <row r="171" ht="15.75" customHeight="1">
      <c r="A171" s="78"/>
      <c r="B171" s="78"/>
      <c r="C171" s="78"/>
      <c r="D171" s="78"/>
      <c r="E171" s="78"/>
      <c r="F171" s="78"/>
    </row>
    <row r="172" ht="15.75" customHeight="1">
      <c r="A172" s="78"/>
      <c r="B172" s="78"/>
      <c r="C172" s="78"/>
      <c r="D172" s="78"/>
      <c r="E172" s="78"/>
      <c r="F172" s="78"/>
    </row>
    <row r="173" ht="15.75" customHeight="1">
      <c r="A173" s="78"/>
      <c r="B173" s="78"/>
      <c r="C173" s="78"/>
      <c r="D173" s="78"/>
      <c r="E173" s="78"/>
      <c r="F173" s="78"/>
    </row>
    <row r="174" ht="15.75" customHeight="1">
      <c r="A174" s="78"/>
      <c r="B174" s="78"/>
      <c r="C174" s="78"/>
      <c r="D174" s="78"/>
      <c r="E174" s="78"/>
      <c r="F174" s="78"/>
    </row>
    <row r="175" ht="15.75" customHeight="1">
      <c r="A175" s="78"/>
      <c r="B175" s="78"/>
      <c r="C175" s="78"/>
      <c r="D175" s="78"/>
      <c r="E175" s="78"/>
      <c r="F175" s="78"/>
    </row>
    <row r="176" ht="15.75" customHeight="1">
      <c r="A176" s="78"/>
      <c r="B176" s="78"/>
      <c r="C176" s="78"/>
      <c r="D176" s="78"/>
      <c r="E176" s="78"/>
      <c r="F176" s="78"/>
    </row>
    <row r="177" ht="15.75" customHeight="1">
      <c r="A177" s="78"/>
      <c r="B177" s="78"/>
      <c r="C177" s="78"/>
      <c r="D177" s="78"/>
      <c r="E177" s="78"/>
      <c r="F177" s="78"/>
    </row>
    <row r="178" ht="15.75" customHeight="1">
      <c r="A178" s="78"/>
      <c r="B178" s="78"/>
      <c r="C178" s="78"/>
      <c r="D178" s="78"/>
      <c r="E178" s="78"/>
      <c r="F178" s="78"/>
    </row>
    <row r="179" ht="15.75" customHeight="1">
      <c r="A179" s="78"/>
      <c r="B179" s="78"/>
      <c r="C179" s="78"/>
      <c r="D179" s="78"/>
      <c r="E179" s="78"/>
      <c r="F179" s="78"/>
    </row>
    <row r="180" ht="15.75" customHeight="1">
      <c r="A180" s="78"/>
      <c r="B180" s="78"/>
      <c r="C180" s="78"/>
      <c r="D180" s="78"/>
      <c r="E180" s="78"/>
      <c r="F180" s="78"/>
    </row>
    <row r="181" ht="15.75" customHeight="1">
      <c r="A181" s="78"/>
      <c r="B181" s="78"/>
      <c r="C181" s="78"/>
      <c r="D181" s="78"/>
      <c r="E181" s="78"/>
      <c r="F181" s="78"/>
    </row>
    <row r="182" ht="15.75" customHeight="1">
      <c r="A182" s="78"/>
      <c r="B182" s="78"/>
      <c r="C182" s="78"/>
      <c r="D182" s="78"/>
      <c r="E182" s="78"/>
      <c r="F182" s="78"/>
    </row>
    <row r="183" ht="15.75" customHeight="1">
      <c r="A183" s="78"/>
      <c r="B183" s="78"/>
      <c r="C183" s="78"/>
      <c r="D183" s="78"/>
      <c r="E183" s="78"/>
      <c r="F183" s="78"/>
    </row>
    <row r="184" ht="15.75" customHeight="1">
      <c r="A184" s="78"/>
      <c r="B184" s="78"/>
      <c r="C184" s="78"/>
      <c r="D184" s="78"/>
      <c r="E184" s="78"/>
      <c r="F184" s="78"/>
    </row>
    <row r="185" ht="15.75" customHeight="1">
      <c r="A185" s="78"/>
      <c r="B185" s="78"/>
      <c r="C185" s="78"/>
      <c r="D185" s="78"/>
      <c r="E185" s="78"/>
      <c r="F185" s="78"/>
    </row>
    <row r="186" ht="15.75" customHeight="1">
      <c r="A186" s="78"/>
      <c r="B186" s="78"/>
      <c r="C186" s="78"/>
      <c r="D186" s="78"/>
      <c r="E186" s="78"/>
      <c r="F186" s="78"/>
    </row>
    <row r="187" ht="15.75" customHeight="1">
      <c r="A187" s="78"/>
      <c r="B187" s="78"/>
      <c r="C187" s="78"/>
      <c r="D187" s="78"/>
      <c r="E187" s="78"/>
      <c r="F187" s="78"/>
    </row>
    <row r="188" ht="15.75" customHeight="1">
      <c r="A188" s="78"/>
      <c r="B188" s="78"/>
      <c r="C188" s="78"/>
      <c r="D188" s="78"/>
      <c r="E188" s="78"/>
      <c r="F188" s="78"/>
    </row>
    <row r="189" ht="15.75" customHeight="1">
      <c r="A189" s="78"/>
      <c r="B189" s="78"/>
      <c r="C189" s="78"/>
      <c r="D189" s="78"/>
      <c r="E189" s="78"/>
      <c r="F189" s="78"/>
    </row>
    <row r="190" ht="15.75" customHeight="1">
      <c r="A190" s="78"/>
      <c r="B190" s="78"/>
      <c r="C190" s="78"/>
      <c r="D190" s="78"/>
      <c r="E190" s="78"/>
      <c r="F190" s="78"/>
    </row>
    <row r="191" ht="15.75" customHeight="1">
      <c r="A191" s="78"/>
      <c r="B191" s="78"/>
      <c r="C191" s="78"/>
      <c r="D191" s="78"/>
      <c r="E191" s="78"/>
      <c r="F191" s="78"/>
    </row>
    <row r="192" ht="15.75" customHeight="1">
      <c r="A192" s="78"/>
      <c r="B192" s="78"/>
      <c r="C192" s="78"/>
      <c r="D192" s="78"/>
      <c r="E192" s="78"/>
      <c r="F192" s="78"/>
    </row>
    <row r="193" ht="15.75" customHeight="1">
      <c r="A193" s="78"/>
      <c r="B193" s="78"/>
      <c r="C193" s="78"/>
      <c r="D193" s="78"/>
      <c r="E193" s="78"/>
      <c r="F193" s="78"/>
    </row>
    <row r="194" ht="15.75" customHeight="1">
      <c r="A194" s="78"/>
      <c r="B194" s="78"/>
      <c r="C194" s="78"/>
      <c r="D194" s="78"/>
      <c r="E194" s="78"/>
      <c r="F194" s="78"/>
    </row>
    <row r="195" ht="15.75" customHeight="1">
      <c r="A195" s="78"/>
      <c r="B195" s="78"/>
      <c r="C195" s="78"/>
      <c r="D195" s="78"/>
      <c r="E195" s="78"/>
      <c r="F195" s="78"/>
    </row>
    <row r="196" ht="15.75" customHeight="1">
      <c r="A196" s="78"/>
      <c r="B196" s="78"/>
      <c r="C196" s="78"/>
      <c r="D196" s="78"/>
      <c r="E196" s="78"/>
      <c r="F196" s="78"/>
    </row>
    <row r="197" ht="15.75" customHeight="1">
      <c r="A197" s="78"/>
      <c r="B197" s="78"/>
      <c r="C197" s="78"/>
      <c r="D197" s="78"/>
      <c r="E197" s="78"/>
      <c r="F197" s="78"/>
    </row>
    <row r="198" ht="15.75" customHeight="1">
      <c r="A198" s="78"/>
      <c r="B198" s="78"/>
      <c r="C198" s="78"/>
      <c r="D198" s="78"/>
      <c r="E198" s="78"/>
      <c r="F198" s="78"/>
    </row>
    <row r="199" ht="15.75" customHeight="1">
      <c r="A199" s="78"/>
      <c r="B199" s="78"/>
      <c r="C199" s="78"/>
      <c r="D199" s="78"/>
      <c r="E199" s="78"/>
      <c r="F199" s="78"/>
    </row>
    <row r="200" ht="15.75" customHeight="1">
      <c r="A200" s="78"/>
      <c r="B200" s="78"/>
      <c r="C200" s="78"/>
      <c r="D200" s="78"/>
      <c r="E200" s="78"/>
      <c r="F200" s="78"/>
    </row>
    <row r="201" ht="15.75" customHeight="1">
      <c r="A201" s="78"/>
      <c r="B201" s="78"/>
      <c r="C201" s="78"/>
      <c r="D201" s="78"/>
      <c r="E201" s="78"/>
      <c r="F201" s="78"/>
    </row>
    <row r="202" ht="15.75" customHeight="1">
      <c r="A202" s="78"/>
      <c r="B202" s="78"/>
      <c r="C202" s="78"/>
      <c r="D202" s="78"/>
      <c r="E202" s="78"/>
      <c r="F202" s="78"/>
    </row>
    <row r="203" ht="15.75" customHeight="1">
      <c r="A203" s="78"/>
      <c r="B203" s="78"/>
      <c r="C203" s="78"/>
      <c r="D203" s="78"/>
      <c r="E203" s="78"/>
      <c r="F203" s="78"/>
    </row>
    <row r="204" ht="15.75" customHeight="1">
      <c r="A204" s="78"/>
      <c r="B204" s="78"/>
      <c r="C204" s="78"/>
      <c r="D204" s="78"/>
      <c r="E204" s="78"/>
      <c r="F204" s="78"/>
    </row>
    <row r="205" ht="15.75" customHeight="1">
      <c r="A205" s="78"/>
      <c r="B205" s="78"/>
      <c r="C205" s="78"/>
      <c r="D205" s="78"/>
      <c r="E205" s="78"/>
      <c r="F205" s="78"/>
    </row>
    <row r="206" ht="15.75" customHeight="1">
      <c r="A206" s="78"/>
      <c r="B206" s="78"/>
      <c r="C206" s="78"/>
      <c r="D206" s="78"/>
      <c r="E206" s="78"/>
      <c r="F206" s="78"/>
    </row>
    <row r="207" ht="15.75" customHeight="1">
      <c r="A207" s="78"/>
      <c r="B207" s="78"/>
      <c r="C207" s="78"/>
      <c r="D207" s="78"/>
      <c r="E207" s="78"/>
      <c r="F207" s="78"/>
    </row>
    <row r="208" ht="15.75" customHeight="1">
      <c r="A208" s="78"/>
      <c r="B208" s="78"/>
      <c r="C208" s="78"/>
      <c r="D208" s="78"/>
      <c r="E208" s="78"/>
      <c r="F208" s="78"/>
    </row>
    <row r="209" ht="15.75" customHeight="1">
      <c r="A209" s="78"/>
      <c r="B209" s="78"/>
      <c r="C209" s="78"/>
      <c r="D209" s="78"/>
      <c r="E209" s="78"/>
      <c r="F209" s="78"/>
    </row>
    <row r="210" ht="15.75" customHeight="1">
      <c r="A210" s="78"/>
      <c r="B210" s="78"/>
      <c r="C210" s="78"/>
      <c r="D210" s="78"/>
      <c r="E210" s="78"/>
      <c r="F210" s="78"/>
    </row>
    <row r="211" ht="15.75" customHeight="1">
      <c r="A211" s="78"/>
      <c r="B211" s="78"/>
      <c r="C211" s="78"/>
      <c r="D211" s="78"/>
      <c r="E211" s="78"/>
      <c r="F211" s="78"/>
    </row>
    <row r="212" ht="15.75" customHeight="1">
      <c r="A212" s="78"/>
      <c r="B212" s="78"/>
      <c r="C212" s="78"/>
      <c r="D212" s="78"/>
      <c r="E212" s="78"/>
      <c r="F212" s="78"/>
    </row>
    <row r="213" ht="15.75" customHeight="1">
      <c r="A213" s="78"/>
      <c r="B213" s="78"/>
      <c r="C213" s="78"/>
      <c r="D213" s="78"/>
      <c r="E213" s="78"/>
      <c r="F213" s="78"/>
    </row>
    <row r="214" ht="15.75" customHeight="1">
      <c r="A214" s="78"/>
      <c r="B214" s="78"/>
      <c r="C214" s="78"/>
      <c r="D214" s="78"/>
      <c r="E214" s="78"/>
      <c r="F214" s="78"/>
    </row>
    <row r="215" ht="15.75" customHeight="1">
      <c r="A215" s="78"/>
      <c r="B215" s="78"/>
      <c r="C215" s="78"/>
      <c r="D215" s="78"/>
      <c r="E215" s="78"/>
      <c r="F215" s="78"/>
    </row>
    <row r="216" ht="15.75" customHeight="1">
      <c r="A216" s="78"/>
      <c r="B216" s="78"/>
      <c r="C216" s="78"/>
      <c r="D216" s="78"/>
      <c r="E216" s="78"/>
      <c r="F216" s="78"/>
    </row>
    <row r="217" ht="15.75" customHeight="1">
      <c r="A217" s="78"/>
      <c r="B217" s="78"/>
      <c r="C217" s="78"/>
      <c r="D217" s="78"/>
      <c r="E217" s="78"/>
      <c r="F217" s="78"/>
    </row>
    <row r="218" ht="15.75" customHeight="1">
      <c r="A218" s="78"/>
      <c r="B218" s="78"/>
      <c r="C218" s="78"/>
      <c r="D218" s="78"/>
      <c r="E218" s="78"/>
      <c r="F218" s="78"/>
    </row>
    <row r="219" ht="15.75" customHeight="1">
      <c r="A219" s="78"/>
      <c r="B219" s="78"/>
      <c r="C219" s="78"/>
      <c r="D219" s="78"/>
      <c r="E219" s="78"/>
      <c r="F219" s="78"/>
    </row>
    <row r="220" ht="15.75" customHeight="1">
      <c r="A220" s="78"/>
      <c r="B220" s="78"/>
      <c r="C220" s="78"/>
      <c r="D220" s="78"/>
      <c r="E220" s="78"/>
      <c r="F220" s="78"/>
    </row>
    <row r="221" ht="15.75" customHeight="1">
      <c r="A221" s="78"/>
      <c r="B221" s="78"/>
      <c r="C221" s="78"/>
      <c r="D221" s="78"/>
      <c r="E221" s="78"/>
      <c r="F221" s="78"/>
    </row>
    <row r="222" ht="15.75" customHeight="1">
      <c r="A222" s="78"/>
      <c r="B222" s="78"/>
      <c r="C222" s="78"/>
      <c r="D222" s="78"/>
      <c r="E222" s="78"/>
      <c r="F222" s="78"/>
    </row>
    <row r="223" ht="15.75" customHeight="1">
      <c r="A223" s="78"/>
      <c r="B223" s="78"/>
      <c r="C223" s="78"/>
      <c r="D223" s="78"/>
      <c r="E223" s="78"/>
      <c r="F223" s="78"/>
    </row>
    <row r="224" ht="15.75" customHeight="1">
      <c r="A224" s="78"/>
      <c r="B224" s="78"/>
      <c r="C224" s="78"/>
      <c r="D224" s="78"/>
      <c r="E224" s="78"/>
      <c r="F224" s="78"/>
    </row>
    <row r="225" ht="15.75" customHeight="1">
      <c r="A225" s="78"/>
      <c r="B225" s="78"/>
      <c r="C225" s="78"/>
      <c r="D225" s="78"/>
      <c r="E225" s="78"/>
      <c r="F225" s="78"/>
    </row>
    <row r="226" ht="15.75" customHeight="1">
      <c r="A226" s="78"/>
      <c r="B226" s="78"/>
      <c r="C226" s="78"/>
      <c r="D226" s="78"/>
      <c r="E226" s="78"/>
      <c r="F226" s="78"/>
    </row>
    <row r="227" ht="15.75" customHeight="1">
      <c r="A227" s="78"/>
      <c r="B227" s="78"/>
      <c r="C227" s="78"/>
      <c r="D227" s="78"/>
      <c r="E227" s="78"/>
      <c r="F227" s="78"/>
    </row>
    <row r="228" ht="15.75" customHeight="1">
      <c r="A228" s="78"/>
      <c r="B228" s="78"/>
      <c r="C228" s="78"/>
      <c r="D228" s="78"/>
      <c r="E228" s="78"/>
      <c r="F228" s="78"/>
    </row>
    <row r="229" ht="15.75" customHeight="1">
      <c r="A229" s="78"/>
      <c r="B229" s="78"/>
      <c r="C229" s="78"/>
      <c r="D229" s="78"/>
      <c r="E229" s="78"/>
      <c r="F229" s="78"/>
    </row>
    <row r="230" ht="15.75" customHeight="1">
      <c r="A230" s="78"/>
      <c r="B230" s="78"/>
      <c r="C230" s="78"/>
      <c r="D230" s="78"/>
      <c r="E230" s="78"/>
      <c r="F230" s="78"/>
    </row>
    <row r="231" ht="15.75" customHeight="1">
      <c r="A231" s="78"/>
      <c r="B231" s="78"/>
      <c r="C231" s="78"/>
      <c r="D231" s="78"/>
      <c r="E231" s="78"/>
      <c r="F231" s="78"/>
    </row>
    <row r="232" ht="15.75" customHeight="1">
      <c r="A232" s="78"/>
      <c r="B232" s="78"/>
      <c r="C232" s="78"/>
      <c r="D232" s="78"/>
      <c r="E232" s="78"/>
      <c r="F232" s="78"/>
    </row>
    <row r="233" ht="15.75" customHeight="1">
      <c r="A233" s="78"/>
      <c r="B233" s="78"/>
      <c r="C233" s="78"/>
      <c r="D233" s="78"/>
      <c r="E233" s="78"/>
      <c r="F233" s="78"/>
    </row>
    <row r="234" ht="15.75" customHeight="1">
      <c r="A234" s="78"/>
      <c r="B234" s="78"/>
      <c r="C234" s="78"/>
      <c r="D234" s="78"/>
      <c r="E234" s="78"/>
      <c r="F234" s="78"/>
    </row>
    <row r="235" ht="15.75" customHeight="1">
      <c r="A235" s="78"/>
      <c r="B235" s="78"/>
      <c r="C235" s="78"/>
      <c r="D235" s="78"/>
      <c r="E235" s="78"/>
      <c r="F235" s="78"/>
    </row>
    <row r="236" ht="15.75" customHeight="1">
      <c r="A236" s="78"/>
      <c r="B236" s="78"/>
      <c r="C236" s="78"/>
      <c r="D236" s="78"/>
      <c r="E236" s="78"/>
      <c r="F236" s="78"/>
    </row>
    <row r="237" ht="15.75" customHeight="1">
      <c r="A237" s="78"/>
      <c r="B237" s="78"/>
      <c r="C237" s="78"/>
      <c r="D237" s="78"/>
      <c r="E237" s="78"/>
      <c r="F237" s="78"/>
    </row>
    <row r="238" ht="15.75" customHeight="1">
      <c r="A238" s="78"/>
      <c r="B238" s="78"/>
      <c r="C238" s="78"/>
      <c r="D238" s="78"/>
      <c r="E238" s="78"/>
      <c r="F238" s="78"/>
    </row>
    <row r="239" ht="15.75" customHeight="1">
      <c r="A239" s="78"/>
      <c r="B239" s="78"/>
      <c r="C239" s="78"/>
      <c r="D239" s="78"/>
      <c r="E239" s="78"/>
      <c r="F239" s="78"/>
    </row>
    <row r="240" ht="15.75" customHeight="1">
      <c r="A240" s="78"/>
      <c r="B240" s="78"/>
      <c r="C240" s="78"/>
      <c r="D240" s="78"/>
      <c r="E240" s="78"/>
      <c r="F240" s="78"/>
    </row>
    <row r="241" ht="15.75" customHeight="1">
      <c r="A241" s="78"/>
      <c r="B241" s="78"/>
      <c r="C241" s="78"/>
      <c r="D241" s="78"/>
      <c r="E241" s="78"/>
      <c r="F241" s="78"/>
    </row>
    <row r="242" ht="15.75" customHeight="1">
      <c r="A242" s="78"/>
      <c r="B242" s="78"/>
      <c r="C242" s="78"/>
      <c r="D242" s="78"/>
      <c r="E242" s="78"/>
      <c r="F242" s="78"/>
    </row>
    <row r="243" ht="15.75" customHeight="1">
      <c r="A243" s="78"/>
      <c r="B243" s="78"/>
      <c r="C243" s="78"/>
      <c r="D243" s="78"/>
      <c r="E243" s="78"/>
      <c r="F243" s="78"/>
    </row>
    <row r="244" ht="15.75" customHeight="1">
      <c r="A244" s="78"/>
      <c r="B244" s="78"/>
      <c r="C244" s="78"/>
      <c r="D244" s="78"/>
      <c r="E244" s="78"/>
      <c r="F244" s="78"/>
    </row>
    <row r="245" ht="15.75" customHeight="1">
      <c r="A245" s="78"/>
      <c r="B245" s="78"/>
      <c r="C245" s="78"/>
      <c r="D245" s="78"/>
      <c r="E245" s="78"/>
      <c r="F245" s="78"/>
    </row>
    <row r="246" ht="15.75" customHeight="1">
      <c r="A246" s="78"/>
      <c r="B246" s="78"/>
      <c r="C246" s="78"/>
      <c r="D246" s="78"/>
      <c r="E246" s="78"/>
      <c r="F246" s="78"/>
    </row>
    <row r="247" ht="15.75" customHeight="1">
      <c r="A247" s="78"/>
      <c r="B247" s="78"/>
      <c r="C247" s="78"/>
      <c r="D247" s="78"/>
      <c r="E247" s="78"/>
      <c r="F247" s="78"/>
    </row>
    <row r="248" ht="15.75" customHeight="1">
      <c r="A248" s="78"/>
      <c r="B248" s="78"/>
      <c r="C248" s="78"/>
      <c r="D248" s="78"/>
      <c r="E248" s="78"/>
      <c r="F248" s="78"/>
    </row>
    <row r="249" ht="15.75" customHeight="1">
      <c r="A249" s="78"/>
      <c r="B249" s="78"/>
      <c r="C249" s="78"/>
      <c r="D249" s="78"/>
      <c r="E249" s="78"/>
      <c r="F249" s="78"/>
    </row>
    <row r="250" ht="15.75" customHeight="1">
      <c r="A250" s="78"/>
      <c r="B250" s="78"/>
      <c r="C250" s="78"/>
      <c r="D250" s="78"/>
      <c r="E250" s="78"/>
      <c r="F250" s="78"/>
    </row>
    <row r="251" ht="15.75" customHeight="1">
      <c r="A251" s="78"/>
      <c r="B251" s="78"/>
      <c r="C251" s="78"/>
      <c r="D251" s="78"/>
      <c r="E251" s="78"/>
      <c r="F251" s="78"/>
    </row>
    <row r="252" ht="15.75" customHeight="1">
      <c r="A252" s="78"/>
      <c r="B252" s="78"/>
      <c r="C252" s="78"/>
      <c r="D252" s="78"/>
      <c r="E252" s="78"/>
      <c r="F252" s="78"/>
    </row>
    <row r="253" ht="15.75" customHeight="1">
      <c r="A253" s="78"/>
      <c r="B253" s="78"/>
      <c r="C253" s="78"/>
      <c r="D253" s="78"/>
      <c r="E253" s="78"/>
      <c r="F253" s="78"/>
    </row>
    <row r="254" ht="15.75" customHeight="1">
      <c r="A254" s="78"/>
      <c r="B254" s="78"/>
      <c r="C254" s="78"/>
      <c r="D254" s="78"/>
      <c r="E254" s="78"/>
      <c r="F254" s="78"/>
    </row>
    <row r="255" ht="15.75" customHeight="1">
      <c r="A255" s="78"/>
      <c r="B255" s="78"/>
      <c r="C255" s="78"/>
      <c r="D255" s="78"/>
      <c r="E255" s="78"/>
      <c r="F255" s="78"/>
    </row>
    <row r="256" ht="15.75" customHeight="1">
      <c r="A256" s="78"/>
      <c r="B256" s="78"/>
      <c r="C256" s="78"/>
      <c r="D256" s="78"/>
      <c r="E256" s="78"/>
      <c r="F256" s="78"/>
    </row>
    <row r="257" ht="15.75" customHeight="1">
      <c r="A257" s="78"/>
      <c r="B257" s="78"/>
      <c r="C257" s="78"/>
      <c r="D257" s="78"/>
      <c r="E257" s="78"/>
      <c r="F257" s="78"/>
    </row>
    <row r="258" ht="15.75" customHeight="1">
      <c r="A258" s="78"/>
      <c r="B258" s="78"/>
      <c r="C258" s="78"/>
      <c r="D258" s="78"/>
      <c r="E258" s="78"/>
      <c r="F258" s="78"/>
    </row>
    <row r="259" ht="15.75" customHeight="1">
      <c r="A259" s="78"/>
      <c r="B259" s="78"/>
      <c r="C259" s="78"/>
      <c r="D259" s="78"/>
      <c r="E259" s="78"/>
      <c r="F259" s="78"/>
    </row>
    <row r="260" ht="15.75" customHeight="1">
      <c r="A260" s="78"/>
      <c r="B260" s="78"/>
      <c r="C260" s="78"/>
      <c r="D260" s="78"/>
      <c r="E260" s="78"/>
      <c r="F260" s="78"/>
    </row>
    <row r="261" ht="15.75" customHeight="1">
      <c r="A261" s="78"/>
      <c r="B261" s="78"/>
      <c r="C261" s="78"/>
      <c r="D261" s="78"/>
      <c r="E261" s="78"/>
      <c r="F261" s="78"/>
    </row>
    <row r="262" ht="15.75" customHeight="1">
      <c r="A262" s="78"/>
      <c r="B262" s="78"/>
      <c r="C262" s="78"/>
      <c r="D262" s="78"/>
      <c r="E262" s="78"/>
      <c r="F262" s="78"/>
    </row>
    <row r="263" ht="15.75" customHeight="1">
      <c r="A263" s="78"/>
      <c r="B263" s="78"/>
      <c r="C263" s="78"/>
      <c r="D263" s="78"/>
      <c r="E263" s="78"/>
      <c r="F263" s="78"/>
    </row>
    <row r="264" ht="15.75" customHeight="1">
      <c r="A264" s="78"/>
      <c r="B264" s="78"/>
      <c r="C264" s="78"/>
      <c r="D264" s="78"/>
      <c r="E264" s="78"/>
      <c r="F264" s="78"/>
    </row>
    <row r="265" ht="15.75" customHeight="1">
      <c r="A265" s="78"/>
      <c r="B265" s="78"/>
      <c r="C265" s="78"/>
      <c r="D265" s="78"/>
      <c r="E265" s="78"/>
      <c r="F265" s="78"/>
    </row>
    <row r="266" ht="15.75" customHeight="1">
      <c r="A266" s="78"/>
      <c r="B266" s="78"/>
      <c r="C266" s="78"/>
      <c r="D266" s="78"/>
      <c r="E266" s="78"/>
      <c r="F266" s="78"/>
    </row>
    <row r="267" ht="15.75" customHeight="1">
      <c r="A267" s="78"/>
      <c r="B267" s="78"/>
      <c r="C267" s="78"/>
      <c r="D267" s="78"/>
      <c r="E267" s="78"/>
      <c r="F267" s="78"/>
    </row>
    <row r="268" ht="15.75" customHeight="1">
      <c r="A268" s="78"/>
      <c r="B268" s="78"/>
      <c r="C268" s="78"/>
      <c r="D268" s="78"/>
      <c r="E268" s="78"/>
      <c r="F268" s="78"/>
    </row>
    <row r="269" ht="15.75" customHeight="1">
      <c r="A269" s="78"/>
      <c r="B269" s="78"/>
      <c r="C269" s="78"/>
      <c r="D269" s="78"/>
      <c r="E269" s="78"/>
      <c r="F269" s="78"/>
    </row>
    <row r="270" ht="15.75" customHeight="1">
      <c r="A270" s="78"/>
      <c r="B270" s="78"/>
      <c r="C270" s="78"/>
      <c r="D270" s="78"/>
      <c r="E270" s="78"/>
      <c r="F270" s="78"/>
    </row>
    <row r="271" ht="15.75" customHeight="1">
      <c r="A271" s="78"/>
      <c r="B271" s="78"/>
      <c r="C271" s="78"/>
      <c r="D271" s="78"/>
      <c r="E271" s="78"/>
      <c r="F271" s="78"/>
    </row>
    <row r="272" ht="15.75" customHeight="1">
      <c r="A272" s="78"/>
      <c r="B272" s="78"/>
      <c r="C272" s="78"/>
      <c r="D272" s="78"/>
      <c r="E272" s="78"/>
      <c r="F272" s="78"/>
    </row>
    <row r="273" ht="15.75" customHeight="1">
      <c r="A273" s="78"/>
      <c r="B273" s="78"/>
      <c r="C273" s="78"/>
      <c r="D273" s="78"/>
      <c r="E273" s="78"/>
      <c r="F273" s="78"/>
    </row>
    <row r="274" ht="15.75" customHeight="1">
      <c r="A274" s="78"/>
      <c r="B274" s="78"/>
      <c r="C274" s="78"/>
      <c r="D274" s="78"/>
      <c r="E274" s="78"/>
      <c r="F274" s="78"/>
    </row>
    <row r="275" ht="15.75" customHeight="1">
      <c r="A275" s="78"/>
      <c r="B275" s="78"/>
      <c r="C275" s="78"/>
      <c r="D275" s="78"/>
      <c r="E275" s="78"/>
      <c r="F275" s="78"/>
    </row>
    <row r="276" ht="15.75" customHeight="1">
      <c r="A276" s="78"/>
      <c r="B276" s="78"/>
      <c r="C276" s="78"/>
      <c r="D276" s="78"/>
      <c r="E276" s="78"/>
      <c r="F276" s="78"/>
    </row>
    <row r="277" ht="15.75" customHeight="1">
      <c r="A277" s="78"/>
      <c r="B277" s="78"/>
      <c r="C277" s="78"/>
      <c r="D277" s="78"/>
      <c r="E277" s="78"/>
      <c r="F277" s="78"/>
    </row>
    <row r="278" ht="15.75" customHeight="1">
      <c r="A278" s="78"/>
      <c r="B278" s="78"/>
      <c r="C278" s="78"/>
      <c r="D278" s="78"/>
      <c r="E278" s="78"/>
      <c r="F278" s="78"/>
    </row>
    <row r="279" ht="15.75" customHeight="1">
      <c r="A279" s="78"/>
      <c r="B279" s="78"/>
      <c r="C279" s="78"/>
      <c r="D279" s="78"/>
      <c r="E279" s="78"/>
      <c r="F279" s="78"/>
    </row>
    <row r="280" ht="15.75" customHeight="1">
      <c r="A280" s="78"/>
      <c r="B280" s="78"/>
      <c r="C280" s="78"/>
      <c r="D280" s="78"/>
      <c r="E280" s="78"/>
      <c r="F280" s="78"/>
    </row>
    <row r="281" ht="15.75" customHeight="1">
      <c r="A281" s="78"/>
      <c r="B281" s="78"/>
      <c r="C281" s="78"/>
      <c r="D281" s="78"/>
      <c r="E281" s="78"/>
      <c r="F281" s="78"/>
    </row>
    <row r="282" ht="15.75" customHeight="1">
      <c r="A282" s="78"/>
      <c r="B282" s="78"/>
      <c r="C282" s="78"/>
      <c r="D282" s="78"/>
      <c r="E282" s="78"/>
      <c r="F282" s="78"/>
    </row>
    <row r="283" ht="15.75" customHeight="1">
      <c r="A283" s="78"/>
      <c r="B283" s="78"/>
      <c r="C283" s="78"/>
      <c r="D283" s="78"/>
      <c r="E283" s="78"/>
      <c r="F283" s="78"/>
    </row>
    <row r="284" ht="15.75" customHeight="1">
      <c r="A284" s="78"/>
      <c r="B284" s="78"/>
      <c r="C284" s="78"/>
      <c r="D284" s="78"/>
      <c r="E284" s="78"/>
      <c r="F284" s="78"/>
    </row>
    <row r="285" ht="15.75" customHeight="1">
      <c r="A285" s="78"/>
      <c r="B285" s="78"/>
      <c r="C285" s="78"/>
      <c r="D285" s="78"/>
      <c r="E285" s="78"/>
      <c r="F285" s="78"/>
    </row>
    <row r="286" ht="15.75" customHeight="1">
      <c r="A286" s="78"/>
      <c r="B286" s="78"/>
      <c r="C286" s="78"/>
      <c r="D286" s="78"/>
      <c r="E286" s="78"/>
      <c r="F286" s="78"/>
    </row>
    <row r="287" ht="15.75" customHeight="1">
      <c r="A287" s="78"/>
      <c r="B287" s="78"/>
      <c r="C287" s="78"/>
      <c r="D287" s="78"/>
      <c r="E287" s="78"/>
      <c r="F287" s="78"/>
    </row>
    <row r="288" ht="15.75" customHeight="1">
      <c r="A288" s="78"/>
      <c r="B288" s="78"/>
      <c r="C288" s="78"/>
      <c r="D288" s="78"/>
      <c r="E288" s="78"/>
      <c r="F288" s="78"/>
    </row>
    <row r="289" ht="15.75" customHeight="1">
      <c r="A289" s="78"/>
      <c r="B289" s="78"/>
      <c r="C289" s="78"/>
      <c r="D289" s="78"/>
      <c r="E289" s="78"/>
      <c r="F289" s="78"/>
    </row>
    <row r="290" ht="15.75" customHeight="1">
      <c r="A290" s="78"/>
      <c r="B290" s="78"/>
      <c r="C290" s="78"/>
      <c r="D290" s="78"/>
      <c r="E290" s="78"/>
      <c r="F290" s="78"/>
    </row>
    <row r="291" ht="15.75" customHeight="1">
      <c r="A291" s="78"/>
      <c r="B291" s="78"/>
      <c r="C291" s="78"/>
      <c r="D291" s="78"/>
      <c r="E291" s="78"/>
      <c r="F291" s="78"/>
    </row>
    <row r="292" ht="15.75" customHeight="1">
      <c r="A292" s="78"/>
      <c r="B292" s="78"/>
      <c r="C292" s="78"/>
      <c r="D292" s="78"/>
      <c r="E292" s="78"/>
      <c r="F292" s="78"/>
    </row>
    <row r="293" ht="15.75" customHeight="1">
      <c r="A293" s="78"/>
      <c r="B293" s="78"/>
      <c r="C293" s="78"/>
      <c r="D293" s="78"/>
      <c r="E293" s="78"/>
      <c r="F293" s="78"/>
    </row>
    <row r="294" ht="15.75" customHeight="1">
      <c r="A294" s="78"/>
      <c r="B294" s="78"/>
      <c r="C294" s="78"/>
      <c r="D294" s="78"/>
      <c r="E294" s="78"/>
      <c r="F294" s="78"/>
    </row>
    <row r="295" ht="15.75" customHeight="1">
      <c r="A295" s="78"/>
      <c r="B295" s="78"/>
      <c r="C295" s="78"/>
      <c r="D295" s="78"/>
      <c r="E295" s="78"/>
      <c r="F295" s="78"/>
    </row>
    <row r="296" ht="15.75" customHeight="1">
      <c r="A296" s="78"/>
      <c r="B296" s="78"/>
      <c r="C296" s="78"/>
      <c r="D296" s="78"/>
      <c r="E296" s="78"/>
      <c r="F296" s="78"/>
    </row>
    <row r="297" ht="15.75" customHeight="1">
      <c r="A297" s="78"/>
      <c r="B297" s="78"/>
      <c r="C297" s="78"/>
      <c r="D297" s="78"/>
      <c r="E297" s="78"/>
      <c r="F297" s="78"/>
    </row>
    <row r="298" ht="15.75" customHeight="1">
      <c r="A298" s="78"/>
      <c r="B298" s="78"/>
      <c r="C298" s="78"/>
      <c r="D298" s="78"/>
      <c r="E298" s="78"/>
      <c r="F298" s="78"/>
    </row>
    <row r="299" ht="15.75" customHeight="1">
      <c r="A299" s="78"/>
      <c r="B299" s="78"/>
      <c r="C299" s="78"/>
      <c r="D299" s="78"/>
      <c r="E299" s="78"/>
      <c r="F299" s="78"/>
    </row>
    <row r="300" ht="15.75" customHeight="1">
      <c r="A300" s="78"/>
      <c r="B300" s="78"/>
      <c r="C300" s="78"/>
      <c r="D300" s="78"/>
      <c r="E300" s="78"/>
      <c r="F300" s="78"/>
    </row>
    <row r="301" ht="15.75" customHeight="1">
      <c r="A301" s="78"/>
      <c r="B301" s="78"/>
      <c r="C301" s="78"/>
      <c r="D301" s="78"/>
      <c r="E301" s="78"/>
      <c r="F301" s="78"/>
    </row>
    <row r="302" ht="15.75" customHeight="1">
      <c r="A302" s="78"/>
      <c r="B302" s="78"/>
      <c r="C302" s="78"/>
      <c r="D302" s="78"/>
      <c r="E302" s="78"/>
      <c r="F302" s="78"/>
    </row>
    <row r="303" ht="15.75" customHeight="1">
      <c r="A303" s="78"/>
      <c r="B303" s="78"/>
      <c r="C303" s="78"/>
      <c r="D303" s="78"/>
      <c r="E303" s="78"/>
      <c r="F303" s="78"/>
    </row>
    <row r="304" ht="15.75" customHeight="1">
      <c r="A304" s="78"/>
      <c r="B304" s="78"/>
      <c r="C304" s="78"/>
      <c r="D304" s="78"/>
      <c r="E304" s="78"/>
      <c r="F304" s="78"/>
    </row>
    <row r="305" ht="15.75" customHeight="1">
      <c r="A305" s="78"/>
      <c r="B305" s="78"/>
      <c r="C305" s="78"/>
      <c r="D305" s="78"/>
      <c r="E305" s="78"/>
      <c r="F305" s="78"/>
    </row>
    <row r="306" ht="15.75" customHeight="1">
      <c r="A306" s="78"/>
      <c r="B306" s="78"/>
      <c r="C306" s="78"/>
      <c r="D306" s="78"/>
      <c r="E306" s="78"/>
      <c r="F306" s="78"/>
    </row>
    <row r="307" ht="15.75" customHeight="1">
      <c r="A307" s="78"/>
      <c r="B307" s="78"/>
      <c r="C307" s="78"/>
      <c r="D307" s="78"/>
      <c r="E307" s="78"/>
      <c r="F307" s="78"/>
    </row>
    <row r="308" ht="15.75" customHeight="1">
      <c r="A308" s="78"/>
      <c r="B308" s="78"/>
      <c r="C308" s="78"/>
      <c r="D308" s="78"/>
      <c r="E308" s="78"/>
      <c r="F308" s="78"/>
    </row>
    <row r="309" ht="15.75" customHeight="1">
      <c r="A309" s="78"/>
      <c r="B309" s="78"/>
      <c r="C309" s="78"/>
      <c r="D309" s="78"/>
      <c r="E309" s="78"/>
      <c r="F309" s="78"/>
    </row>
    <row r="310" ht="15.75" customHeight="1">
      <c r="A310" s="78"/>
      <c r="B310" s="78"/>
      <c r="C310" s="78"/>
      <c r="D310" s="78"/>
      <c r="E310" s="78"/>
      <c r="F310" s="78"/>
    </row>
    <row r="311" ht="15.75" customHeight="1">
      <c r="A311" s="78"/>
      <c r="B311" s="78"/>
      <c r="C311" s="78"/>
      <c r="D311" s="78"/>
      <c r="E311" s="78"/>
      <c r="F311" s="78"/>
    </row>
    <row r="312" ht="15.75" customHeight="1">
      <c r="A312" s="78"/>
      <c r="B312" s="78"/>
      <c r="C312" s="78"/>
      <c r="D312" s="78"/>
      <c r="E312" s="78"/>
      <c r="F312" s="78"/>
    </row>
    <row r="313" ht="15.75" customHeight="1">
      <c r="A313" s="78"/>
      <c r="B313" s="78"/>
      <c r="C313" s="78"/>
      <c r="D313" s="78"/>
      <c r="E313" s="78"/>
      <c r="F313" s="78"/>
    </row>
    <row r="314" ht="15.75" customHeight="1">
      <c r="A314" s="78"/>
      <c r="B314" s="78"/>
      <c r="C314" s="78"/>
      <c r="D314" s="78"/>
      <c r="E314" s="78"/>
      <c r="F314" s="78"/>
    </row>
    <row r="315" ht="15.75" customHeight="1">
      <c r="A315" s="78"/>
      <c r="B315" s="78"/>
      <c r="C315" s="78"/>
      <c r="D315" s="78"/>
      <c r="E315" s="78"/>
      <c r="F315" s="78"/>
    </row>
    <row r="316" ht="15.75" customHeight="1">
      <c r="A316" s="78"/>
      <c r="B316" s="78"/>
      <c r="C316" s="78"/>
      <c r="D316" s="78"/>
      <c r="E316" s="78"/>
      <c r="F316" s="78"/>
    </row>
    <row r="317" ht="15.75" customHeight="1">
      <c r="A317" s="78"/>
      <c r="B317" s="78"/>
      <c r="C317" s="78"/>
      <c r="D317" s="78"/>
      <c r="E317" s="78"/>
      <c r="F317" s="78"/>
    </row>
    <row r="318" ht="15.75" customHeight="1">
      <c r="A318" s="78"/>
      <c r="B318" s="78"/>
      <c r="C318" s="78"/>
      <c r="D318" s="78"/>
      <c r="E318" s="78"/>
      <c r="F318" s="78"/>
    </row>
    <row r="319" ht="15.75" customHeight="1">
      <c r="A319" s="78"/>
      <c r="B319" s="78"/>
      <c r="C319" s="78"/>
      <c r="D319" s="78"/>
      <c r="E319" s="78"/>
      <c r="F319" s="78"/>
    </row>
    <row r="320" ht="15.75" customHeight="1">
      <c r="A320" s="78"/>
      <c r="B320" s="78"/>
      <c r="C320" s="78"/>
      <c r="D320" s="78"/>
      <c r="E320" s="78"/>
      <c r="F320" s="78"/>
    </row>
    <row r="321" ht="15.75" customHeight="1">
      <c r="A321" s="78"/>
      <c r="B321" s="78"/>
      <c r="C321" s="78"/>
      <c r="D321" s="78"/>
      <c r="E321" s="78"/>
      <c r="F321" s="78"/>
    </row>
    <row r="322" ht="15.75" customHeight="1">
      <c r="A322" s="78"/>
      <c r="B322" s="78"/>
      <c r="C322" s="78"/>
      <c r="D322" s="78"/>
      <c r="E322" s="78"/>
      <c r="F322" s="78"/>
    </row>
    <row r="323" ht="15.75" customHeight="1">
      <c r="A323" s="78"/>
      <c r="B323" s="78"/>
      <c r="C323" s="78"/>
      <c r="D323" s="78"/>
      <c r="E323" s="78"/>
      <c r="F323" s="78"/>
    </row>
    <row r="324" ht="15.75" customHeight="1">
      <c r="A324" s="78"/>
      <c r="B324" s="78"/>
      <c r="C324" s="78"/>
      <c r="D324" s="78"/>
      <c r="E324" s="78"/>
      <c r="F324" s="78"/>
    </row>
    <row r="325" ht="15.75" customHeight="1">
      <c r="A325" s="78"/>
      <c r="B325" s="78"/>
      <c r="C325" s="78"/>
      <c r="D325" s="78"/>
      <c r="E325" s="78"/>
      <c r="F325" s="78"/>
    </row>
    <row r="326" ht="15.75" customHeight="1">
      <c r="A326" s="78"/>
      <c r="B326" s="78"/>
      <c r="C326" s="78"/>
      <c r="D326" s="78"/>
      <c r="E326" s="78"/>
      <c r="F326" s="78"/>
    </row>
    <row r="327" ht="15.75" customHeight="1">
      <c r="A327" s="78"/>
      <c r="B327" s="78"/>
      <c r="C327" s="78"/>
      <c r="D327" s="78"/>
      <c r="E327" s="78"/>
      <c r="F327" s="78"/>
    </row>
    <row r="328" ht="15.75" customHeight="1">
      <c r="A328" s="78"/>
      <c r="B328" s="78"/>
      <c r="C328" s="78"/>
      <c r="D328" s="78"/>
      <c r="E328" s="78"/>
      <c r="F328" s="78"/>
    </row>
    <row r="329" ht="15.75" customHeight="1">
      <c r="A329" s="78"/>
      <c r="B329" s="78"/>
      <c r="C329" s="78"/>
      <c r="D329" s="78"/>
      <c r="E329" s="78"/>
      <c r="F329" s="78"/>
    </row>
    <row r="330" ht="15.75" customHeight="1">
      <c r="A330" s="78"/>
      <c r="B330" s="78"/>
      <c r="C330" s="78"/>
      <c r="D330" s="78"/>
      <c r="E330" s="78"/>
      <c r="F330" s="78"/>
    </row>
    <row r="331" ht="15.75" customHeight="1">
      <c r="A331" s="78"/>
      <c r="B331" s="78"/>
      <c r="C331" s="78"/>
      <c r="D331" s="78"/>
      <c r="E331" s="78"/>
      <c r="F331" s="78"/>
    </row>
    <row r="332" ht="15.75" customHeight="1">
      <c r="A332" s="78"/>
      <c r="B332" s="78"/>
      <c r="C332" s="78"/>
      <c r="D332" s="78"/>
      <c r="E332" s="78"/>
      <c r="F332" s="78"/>
    </row>
    <row r="333" ht="15.75" customHeight="1">
      <c r="A333" s="78"/>
      <c r="B333" s="78"/>
      <c r="C333" s="78"/>
      <c r="D333" s="78"/>
      <c r="E333" s="78"/>
      <c r="F333" s="78"/>
    </row>
    <row r="334" ht="15.75" customHeight="1">
      <c r="A334" s="78"/>
      <c r="B334" s="78"/>
      <c r="C334" s="78"/>
      <c r="D334" s="78"/>
      <c r="E334" s="78"/>
      <c r="F334" s="78"/>
    </row>
    <row r="335" ht="15.75" customHeight="1">
      <c r="A335" s="78"/>
      <c r="B335" s="78"/>
      <c r="C335" s="78"/>
      <c r="D335" s="78"/>
      <c r="E335" s="78"/>
      <c r="F335" s="78"/>
    </row>
    <row r="336" ht="15.75" customHeight="1">
      <c r="A336" s="78"/>
      <c r="B336" s="78"/>
      <c r="C336" s="78"/>
      <c r="D336" s="78"/>
      <c r="E336" s="78"/>
      <c r="F336" s="78"/>
    </row>
    <row r="337" ht="15.75" customHeight="1">
      <c r="A337" s="78"/>
      <c r="B337" s="78"/>
      <c r="C337" s="78"/>
      <c r="D337" s="78"/>
      <c r="E337" s="78"/>
      <c r="F337" s="78"/>
    </row>
    <row r="338" ht="15.75" customHeight="1">
      <c r="A338" s="78"/>
      <c r="B338" s="78"/>
      <c r="C338" s="78"/>
      <c r="D338" s="78"/>
      <c r="E338" s="78"/>
      <c r="F338" s="78"/>
    </row>
    <row r="339" ht="15.75" customHeight="1">
      <c r="A339" s="78"/>
      <c r="B339" s="78"/>
      <c r="C339" s="78"/>
      <c r="D339" s="78"/>
      <c r="E339" s="78"/>
      <c r="F339" s="78"/>
    </row>
    <row r="340" ht="15.75" customHeight="1">
      <c r="A340" s="78"/>
      <c r="B340" s="78"/>
      <c r="C340" s="78"/>
      <c r="D340" s="78"/>
      <c r="E340" s="78"/>
      <c r="F340" s="78"/>
    </row>
    <row r="341" ht="15.75" customHeight="1">
      <c r="A341" s="78"/>
      <c r="B341" s="78"/>
      <c r="C341" s="78"/>
      <c r="D341" s="78"/>
      <c r="E341" s="78"/>
      <c r="F341" s="78"/>
    </row>
    <row r="342" ht="15.75" customHeight="1">
      <c r="A342" s="78"/>
      <c r="B342" s="78"/>
      <c r="C342" s="78"/>
      <c r="D342" s="78"/>
      <c r="E342" s="78"/>
      <c r="F342" s="78"/>
    </row>
    <row r="343" ht="15.75" customHeight="1">
      <c r="A343" s="78"/>
      <c r="B343" s="78"/>
      <c r="C343" s="78"/>
      <c r="D343" s="78"/>
      <c r="E343" s="78"/>
      <c r="F343" s="78"/>
    </row>
    <row r="344" ht="15.75" customHeight="1">
      <c r="A344" s="78"/>
      <c r="B344" s="78"/>
      <c r="C344" s="78"/>
      <c r="D344" s="78"/>
      <c r="E344" s="78"/>
      <c r="F344" s="78"/>
    </row>
    <row r="345" ht="15.75" customHeight="1">
      <c r="A345" s="78"/>
      <c r="B345" s="78"/>
      <c r="C345" s="78"/>
      <c r="D345" s="78"/>
      <c r="E345" s="78"/>
      <c r="F345" s="78"/>
    </row>
    <row r="346" ht="15.75" customHeight="1">
      <c r="A346" s="78"/>
      <c r="B346" s="78"/>
      <c r="C346" s="78"/>
      <c r="D346" s="78"/>
      <c r="E346" s="78"/>
      <c r="F346" s="78"/>
    </row>
    <row r="347" ht="15.75" customHeight="1">
      <c r="A347" s="78"/>
      <c r="B347" s="78"/>
      <c r="C347" s="78"/>
      <c r="D347" s="78"/>
      <c r="E347" s="78"/>
      <c r="F347" s="78"/>
    </row>
    <row r="348" ht="15.75" customHeight="1">
      <c r="A348" s="78"/>
      <c r="B348" s="78"/>
      <c r="C348" s="78"/>
      <c r="D348" s="78"/>
      <c r="E348" s="78"/>
      <c r="F348" s="78"/>
    </row>
    <row r="349" ht="15.75" customHeight="1">
      <c r="A349" s="78"/>
      <c r="B349" s="78"/>
      <c r="C349" s="78"/>
      <c r="D349" s="78"/>
      <c r="E349" s="78"/>
      <c r="F349" s="78"/>
    </row>
    <row r="350" ht="15.75" customHeight="1">
      <c r="A350" s="78"/>
      <c r="B350" s="78"/>
      <c r="C350" s="78"/>
      <c r="D350" s="78"/>
      <c r="E350" s="78"/>
      <c r="F350" s="78"/>
    </row>
    <row r="351" ht="15.75" customHeight="1">
      <c r="A351" s="78"/>
      <c r="B351" s="78"/>
      <c r="C351" s="78"/>
      <c r="D351" s="78"/>
      <c r="E351" s="78"/>
      <c r="F351" s="78"/>
    </row>
    <row r="352" ht="15.75" customHeight="1">
      <c r="A352" s="78"/>
      <c r="B352" s="78"/>
      <c r="C352" s="78"/>
      <c r="D352" s="78"/>
      <c r="E352" s="78"/>
      <c r="F352" s="78"/>
    </row>
    <row r="353" ht="15.75" customHeight="1">
      <c r="A353" s="78"/>
      <c r="B353" s="78"/>
      <c r="C353" s="78"/>
      <c r="D353" s="78"/>
      <c r="E353" s="78"/>
      <c r="F353" s="78"/>
    </row>
    <row r="354" ht="15.75" customHeight="1">
      <c r="A354" s="78"/>
      <c r="B354" s="78"/>
      <c r="C354" s="78"/>
      <c r="D354" s="78"/>
      <c r="E354" s="78"/>
      <c r="F354" s="78"/>
    </row>
    <row r="355" ht="15.75" customHeight="1">
      <c r="A355" s="78"/>
      <c r="B355" s="78"/>
      <c r="C355" s="78"/>
      <c r="D355" s="78"/>
      <c r="E355" s="78"/>
      <c r="F355" s="78"/>
    </row>
    <row r="356" ht="15.75" customHeight="1">
      <c r="A356" s="78"/>
      <c r="B356" s="78"/>
      <c r="C356" s="78"/>
      <c r="D356" s="78"/>
      <c r="E356" s="78"/>
      <c r="F356" s="78"/>
    </row>
    <row r="357" ht="15.75" customHeight="1">
      <c r="A357" s="78"/>
      <c r="B357" s="78"/>
      <c r="C357" s="78"/>
      <c r="D357" s="78"/>
      <c r="E357" s="78"/>
      <c r="F357" s="78"/>
    </row>
    <row r="358" ht="15.75" customHeight="1">
      <c r="A358" s="78"/>
      <c r="B358" s="78"/>
      <c r="C358" s="78"/>
      <c r="D358" s="78"/>
      <c r="E358" s="78"/>
      <c r="F358" s="78"/>
    </row>
    <row r="359" ht="15.75" customHeight="1">
      <c r="A359" s="78"/>
      <c r="B359" s="78"/>
      <c r="C359" s="78"/>
      <c r="D359" s="78"/>
      <c r="E359" s="78"/>
      <c r="F359" s="78"/>
    </row>
    <row r="360" ht="15.75" customHeight="1">
      <c r="A360" s="78"/>
      <c r="B360" s="78"/>
      <c r="C360" s="78"/>
      <c r="D360" s="78"/>
      <c r="E360" s="78"/>
      <c r="F360" s="78"/>
    </row>
    <row r="361" ht="15.75" customHeight="1">
      <c r="A361" s="78"/>
      <c r="B361" s="78"/>
      <c r="C361" s="78"/>
      <c r="D361" s="78"/>
      <c r="E361" s="78"/>
      <c r="F361" s="78"/>
    </row>
    <row r="362" ht="15.75" customHeight="1">
      <c r="A362" s="78"/>
      <c r="B362" s="78"/>
      <c r="C362" s="78"/>
      <c r="D362" s="78"/>
      <c r="E362" s="78"/>
      <c r="F362" s="78"/>
    </row>
    <row r="363" ht="15.75" customHeight="1">
      <c r="A363" s="78"/>
      <c r="B363" s="78"/>
      <c r="C363" s="78"/>
      <c r="D363" s="78"/>
      <c r="E363" s="78"/>
      <c r="F363" s="78"/>
    </row>
    <row r="364" ht="15.75" customHeight="1">
      <c r="A364" s="78"/>
      <c r="B364" s="78"/>
      <c r="C364" s="78"/>
      <c r="D364" s="78"/>
      <c r="E364" s="78"/>
      <c r="F364" s="78"/>
    </row>
    <row r="365" ht="15.75" customHeight="1">
      <c r="A365" s="78"/>
      <c r="B365" s="78"/>
      <c r="C365" s="78"/>
      <c r="D365" s="78"/>
      <c r="E365" s="78"/>
      <c r="F365" s="78"/>
    </row>
    <row r="366" ht="15.75" customHeight="1">
      <c r="A366" s="78"/>
      <c r="B366" s="78"/>
      <c r="C366" s="78"/>
      <c r="D366" s="78"/>
      <c r="E366" s="78"/>
      <c r="F366" s="78"/>
    </row>
    <row r="367" ht="15.75" customHeight="1">
      <c r="A367" s="78"/>
      <c r="B367" s="78"/>
      <c r="C367" s="78"/>
      <c r="D367" s="78"/>
      <c r="E367" s="78"/>
      <c r="F367" s="78"/>
    </row>
    <row r="368" ht="15.75" customHeight="1">
      <c r="A368" s="78"/>
      <c r="B368" s="78"/>
      <c r="C368" s="78"/>
      <c r="D368" s="78"/>
      <c r="E368" s="78"/>
      <c r="F368" s="78"/>
    </row>
    <row r="369" ht="15.75" customHeight="1">
      <c r="A369" s="78"/>
      <c r="B369" s="78"/>
      <c r="C369" s="78"/>
      <c r="D369" s="78"/>
      <c r="E369" s="78"/>
      <c r="F369" s="78"/>
    </row>
    <row r="370" ht="15.75" customHeight="1">
      <c r="A370" s="78"/>
      <c r="B370" s="78"/>
      <c r="C370" s="78"/>
      <c r="D370" s="78"/>
      <c r="E370" s="78"/>
      <c r="F370" s="78"/>
    </row>
    <row r="371" ht="15.75" customHeight="1">
      <c r="A371" s="78"/>
      <c r="B371" s="78"/>
      <c r="C371" s="78"/>
      <c r="D371" s="78"/>
      <c r="E371" s="78"/>
      <c r="F371" s="78"/>
    </row>
    <row r="372" ht="15.75" customHeight="1">
      <c r="A372" s="78"/>
      <c r="B372" s="78"/>
      <c r="C372" s="78"/>
      <c r="D372" s="78"/>
      <c r="E372" s="78"/>
      <c r="F372" s="78"/>
    </row>
    <row r="373" ht="15.75" customHeight="1">
      <c r="A373" s="78"/>
      <c r="B373" s="78"/>
      <c r="C373" s="78"/>
      <c r="D373" s="78"/>
      <c r="E373" s="78"/>
      <c r="F373" s="78"/>
    </row>
    <row r="374" ht="15.75" customHeight="1">
      <c r="A374" s="78"/>
      <c r="B374" s="78"/>
      <c r="C374" s="78"/>
      <c r="D374" s="78"/>
      <c r="E374" s="78"/>
      <c r="F374" s="78"/>
    </row>
    <row r="375" ht="15.75" customHeight="1">
      <c r="A375" s="78"/>
      <c r="B375" s="78"/>
      <c r="C375" s="78"/>
      <c r="D375" s="78"/>
      <c r="E375" s="78"/>
      <c r="F375" s="78"/>
    </row>
    <row r="376" ht="15.75" customHeight="1">
      <c r="A376" s="78"/>
      <c r="B376" s="78"/>
      <c r="C376" s="78"/>
      <c r="D376" s="78"/>
      <c r="E376" s="78"/>
      <c r="F376" s="78"/>
    </row>
    <row r="377" ht="15.75" customHeight="1">
      <c r="A377" s="78"/>
      <c r="B377" s="78"/>
      <c r="C377" s="78"/>
      <c r="D377" s="78"/>
      <c r="E377" s="78"/>
      <c r="F377" s="78"/>
    </row>
    <row r="378" ht="15.75" customHeight="1">
      <c r="A378" s="78"/>
      <c r="B378" s="78"/>
      <c r="C378" s="78"/>
      <c r="D378" s="78"/>
      <c r="E378" s="78"/>
      <c r="F378" s="78"/>
    </row>
    <row r="379" ht="15.75" customHeight="1">
      <c r="A379" s="78"/>
      <c r="B379" s="78"/>
      <c r="C379" s="78"/>
      <c r="D379" s="78"/>
      <c r="E379" s="78"/>
      <c r="F379" s="78"/>
    </row>
    <row r="380" ht="15.75" customHeight="1">
      <c r="A380" s="78"/>
      <c r="B380" s="78"/>
      <c r="C380" s="78"/>
      <c r="D380" s="78"/>
      <c r="E380" s="78"/>
      <c r="F380" s="78"/>
    </row>
    <row r="381" ht="15.75" customHeight="1">
      <c r="A381" s="78"/>
      <c r="B381" s="78"/>
      <c r="C381" s="78"/>
      <c r="D381" s="78"/>
      <c r="E381" s="78"/>
      <c r="F381" s="78"/>
    </row>
    <row r="382" ht="15.75" customHeight="1">
      <c r="A382" s="78"/>
      <c r="B382" s="78"/>
      <c r="C382" s="78"/>
      <c r="D382" s="78"/>
      <c r="E382" s="78"/>
      <c r="F382" s="78"/>
    </row>
    <row r="383" ht="15.75" customHeight="1">
      <c r="A383" s="78"/>
      <c r="B383" s="78"/>
      <c r="C383" s="78"/>
      <c r="D383" s="78"/>
      <c r="E383" s="78"/>
      <c r="F383" s="78"/>
    </row>
    <row r="384" ht="15.75" customHeight="1">
      <c r="A384" s="78"/>
      <c r="B384" s="78"/>
      <c r="C384" s="78"/>
      <c r="D384" s="78"/>
      <c r="E384" s="78"/>
      <c r="F384" s="78"/>
    </row>
    <row r="385" ht="15.75" customHeight="1">
      <c r="A385" s="78"/>
      <c r="B385" s="78"/>
      <c r="C385" s="78"/>
      <c r="D385" s="78"/>
      <c r="E385" s="78"/>
      <c r="F385" s="78"/>
    </row>
    <row r="386" ht="15.75" customHeight="1">
      <c r="A386" s="78"/>
      <c r="B386" s="78"/>
      <c r="C386" s="78"/>
      <c r="D386" s="78"/>
      <c r="E386" s="78"/>
      <c r="F386" s="78"/>
    </row>
    <row r="387" ht="15.75" customHeight="1">
      <c r="A387" s="78"/>
      <c r="B387" s="78"/>
      <c r="C387" s="78"/>
      <c r="D387" s="78"/>
      <c r="E387" s="78"/>
      <c r="F387" s="78"/>
    </row>
    <row r="388" ht="15.75" customHeight="1">
      <c r="A388" s="78"/>
      <c r="B388" s="78"/>
      <c r="C388" s="78"/>
      <c r="D388" s="78"/>
      <c r="E388" s="78"/>
      <c r="F388" s="78"/>
    </row>
    <row r="389" ht="15.75" customHeight="1">
      <c r="A389" s="78"/>
      <c r="B389" s="78"/>
      <c r="C389" s="78"/>
      <c r="D389" s="78"/>
      <c r="E389" s="78"/>
      <c r="F389" s="78"/>
    </row>
    <row r="390" ht="15.75" customHeight="1">
      <c r="A390" s="78"/>
      <c r="B390" s="78"/>
      <c r="C390" s="78"/>
      <c r="D390" s="78"/>
      <c r="E390" s="78"/>
      <c r="F390" s="78"/>
    </row>
    <row r="391" ht="15.75" customHeight="1">
      <c r="A391" s="78"/>
      <c r="B391" s="78"/>
      <c r="C391" s="78"/>
      <c r="D391" s="78"/>
      <c r="E391" s="78"/>
      <c r="F391" s="78"/>
    </row>
    <row r="392" ht="15.75" customHeight="1">
      <c r="A392" s="78"/>
      <c r="B392" s="78"/>
      <c r="C392" s="78"/>
      <c r="D392" s="78"/>
      <c r="E392" s="78"/>
      <c r="F392" s="78"/>
    </row>
    <row r="393" ht="15.75" customHeight="1">
      <c r="A393" s="78"/>
      <c r="B393" s="78"/>
      <c r="C393" s="78"/>
      <c r="D393" s="78"/>
      <c r="E393" s="78"/>
      <c r="F393" s="78"/>
    </row>
    <row r="394" ht="15.75" customHeight="1">
      <c r="A394" s="78"/>
      <c r="B394" s="78"/>
      <c r="C394" s="78"/>
      <c r="D394" s="78"/>
      <c r="E394" s="78"/>
      <c r="F394" s="78"/>
    </row>
    <row r="395" ht="15.75" customHeight="1">
      <c r="A395" s="78"/>
      <c r="B395" s="78"/>
      <c r="C395" s="78"/>
      <c r="D395" s="78"/>
      <c r="E395" s="78"/>
      <c r="F395" s="78"/>
    </row>
    <row r="396" ht="15.75" customHeight="1">
      <c r="A396" s="78"/>
      <c r="B396" s="78"/>
      <c r="C396" s="78"/>
      <c r="D396" s="78"/>
      <c r="E396" s="78"/>
      <c r="F396" s="78"/>
    </row>
    <row r="397" ht="15.75" customHeight="1">
      <c r="A397" s="78"/>
      <c r="B397" s="78"/>
      <c r="C397" s="78"/>
      <c r="D397" s="78"/>
      <c r="E397" s="78"/>
      <c r="F397" s="78"/>
    </row>
    <row r="398" ht="15.75" customHeight="1">
      <c r="A398" s="78"/>
      <c r="B398" s="78"/>
      <c r="C398" s="78"/>
      <c r="D398" s="78"/>
      <c r="E398" s="78"/>
      <c r="F398" s="78"/>
    </row>
    <row r="399" ht="15.75" customHeight="1">
      <c r="A399" s="78"/>
      <c r="B399" s="78"/>
      <c r="C399" s="78"/>
      <c r="D399" s="78"/>
      <c r="E399" s="78"/>
      <c r="F399" s="78"/>
    </row>
    <row r="400" ht="15.75" customHeight="1">
      <c r="A400" s="78"/>
      <c r="B400" s="78"/>
      <c r="C400" s="78"/>
      <c r="D400" s="78"/>
      <c r="E400" s="78"/>
      <c r="F400" s="78"/>
    </row>
    <row r="401" ht="15.75" customHeight="1">
      <c r="A401" s="78"/>
      <c r="B401" s="78"/>
      <c r="C401" s="78"/>
      <c r="D401" s="78"/>
      <c r="E401" s="78"/>
      <c r="F401" s="78"/>
    </row>
    <row r="402" ht="15.75" customHeight="1">
      <c r="A402" s="78"/>
      <c r="B402" s="78"/>
      <c r="C402" s="78"/>
      <c r="D402" s="78"/>
      <c r="E402" s="78"/>
      <c r="F402" s="78"/>
    </row>
    <row r="403" ht="15.75" customHeight="1">
      <c r="A403" s="78"/>
      <c r="B403" s="78"/>
      <c r="C403" s="78"/>
      <c r="D403" s="78"/>
      <c r="E403" s="78"/>
      <c r="F403" s="78"/>
    </row>
    <row r="404" ht="15.75" customHeight="1">
      <c r="A404" s="78"/>
      <c r="B404" s="78"/>
      <c r="C404" s="78"/>
      <c r="D404" s="78"/>
      <c r="E404" s="78"/>
      <c r="F404" s="78"/>
    </row>
    <row r="405" ht="15.75" customHeight="1">
      <c r="A405" s="78"/>
      <c r="B405" s="78"/>
      <c r="C405" s="78"/>
      <c r="D405" s="78"/>
      <c r="E405" s="78"/>
      <c r="F405" s="78"/>
    </row>
    <row r="406" ht="15.75" customHeight="1">
      <c r="A406" s="78"/>
      <c r="B406" s="78"/>
      <c r="C406" s="78"/>
      <c r="D406" s="78"/>
      <c r="E406" s="78"/>
      <c r="F406" s="78"/>
    </row>
    <row r="407" ht="15.75" customHeight="1">
      <c r="A407" s="78"/>
      <c r="B407" s="78"/>
      <c r="C407" s="78"/>
      <c r="D407" s="78"/>
      <c r="E407" s="78"/>
      <c r="F407" s="78"/>
    </row>
    <row r="408" ht="15.75" customHeight="1">
      <c r="A408" s="78"/>
      <c r="B408" s="78"/>
      <c r="C408" s="78"/>
      <c r="D408" s="78"/>
      <c r="E408" s="78"/>
      <c r="F408" s="78"/>
    </row>
    <row r="409" ht="15.75" customHeight="1">
      <c r="A409" s="78"/>
      <c r="B409" s="78"/>
      <c r="C409" s="78"/>
      <c r="D409" s="78"/>
      <c r="E409" s="78"/>
      <c r="F409" s="78"/>
    </row>
    <row r="410" ht="15.75" customHeight="1">
      <c r="A410" s="78"/>
      <c r="B410" s="78"/>
      <c r="C410" s="78"/>
      <c r="D410" s="78"/>
      <c r="E410" s="78"/>
      <c r="F410" s="78"/>
    </row>
    <row r="411" ht="15.75" customHeight="1">
      <c r="A411" s="78"/>
      <c r="B411" s="78"/>
      <c r="C411" s="78"/>
      <c r="D411" s="78"/>
      <c r="E411" s="78"/>
      <c r="F411" s="78"/>
    </row>
    <row r="412" ht="15.75" customHeight="1">
      <c r="A412" s="78"/>
      <c r="B412" s="78"/>
      <c r="C412" s="78"/>
      <c r="D412" s="78"/>
      <c r="E412" s="78"/>
      <c r="F412" s="78"/>
    </row>
    <row r="413" ht="15.75" customHeight="1">
      <c r="A413" s="78"/>
      <c r="B413" s="78"/>
      <c r="C413" s="78"/>
      <c r="D413" s="78"/>
      <c r="E413" s="78"/>
      <c r="F413" s="78"/>
    </row>
    <row r="414" ht="15.75" customHeight="1">
      <c r="A414" s="78"/>
      <c r="B414" s="78"/>
      <c r="C414" s="78"/>
      <c r="D414" s="78"/>
      <c r="E414" s="78"/>
      <c r="F414" s="78"/>
    </row>
    <row r="415" ht="15.75" customHeight="1">
      <c r="A415" s="78"/>
      <c r="B415" s="78"/>
      <c r="C415" s="78"/>
      <c r="D415" s="78"/>
      <c r="E415" s="78"/>
      <c r="F415" s="78"/>
    </row>
    <row r="416" ht="15.75" customHeight="1">
      <c r="A416" s="78"/>
      <c r="B416" s="78"/>
      <c r="C416" s="78"/>
      <c r="D416" s="78"/>
      <c r="E416" s="78"/>
      <c r="F416" s="78"/>
    </row>
    <row r="417" ht="15.75" customHeight="1">
      <c r="A417" s="78"/>
      <c r="B417" s="78"/>
      <c r="C417" s="78"/>
      <c r="D417" s="78"/>
      <c r="E417" s="78"/>
      <c r="F417" s="78"/>
    </row>
    <row r="418" ht="15.75" customHeight="1">
      <c r="A418" s="78"/>
      <c r="B418" s="78"/>
      <c r="C418" s="78"/>
      <c r="D418" s="78"/>
      <c r="E418" s="78"/>
      <c r="F418" s="78"/>
    </row>
    <row r="419" ht="15.75" customHeight="1">
      <c r="A419" s="78"/>
      <c r="B419" s="78"/>
      <c r="C419" s="78"/>
      <c r="D419" s="78"/>
      <c r="E419" s="78"/>
      <c r="F419" s="78"/>
    </row>
    <row r="420" ht="15.75" customHeight="1">
      <c r="A420" s="78"/>
      <c r="B420" s="78"/>
      <c r="C420" s="78"/>
      <c r="D420" s="78"/>
      <c r="E420" s="78"/>
      <c r="F420" s="78"/>
    </row>
    <row r="421" ht="15.75" customHeight="1">
      <c r="A421" s="78"/>
      <c r="B421" s="78"/>
      <c r="C421" s="78"/>
      <c r="D421" s="78"/>
      <c r="E421" s="78"/>
      <c r="F421" s="78"/>
    </row>
    <row r="422" ht="15.75" customHeight="1">
      <c r="A422" s="78"/>
      <c r="B422" s="78"/>
      <c r="C422" s="78"/>
      <c r="D422" s="78"/>
      <c r="E422" s="78"/>
      <c r="F422" s="78"/>
    </row>
    <row r="423" ht="15.75" customHeight="1">
      <c r="A423" s="78"/>
      <c r="B423" s="78"/>
      <c r="C423" s="78"/>
      <c r="D423" s="78"/>
      <c r="E423" s="78"/>
      <c r="F423" s="78"/>
    </row>
    <row r="424" ht="15.75" customHeight="1">
      <c r="A424" s="78"/>
      <c r="B424" s="78"/>
      <c r="C424" s="78"/>
      <c r="D424" s="78"/>
      <c r="E424" s="78"/>
      <c r="F424" s="78"/>
    </row>
    <row r="425" ht="15.75" customHeight="1">
      <c r="A425" s="78"/>
      <c r="B425" s="78"/>
      <c r="C425" s="78"/>
      <c r="D425" s="78"/>
      <c r="E425" s="78"/>
      <c r="F425" s="78"/>
    </row>
    <row r="426" ht="15.75" customHeight="1">
      <c r="A426" s="78"/>
      <c r="B426" s="78"/>
      <c r="C426" s="78"/>
      <c r="D426" s="78"/>
      <c r="E426" s="78"/>
      <c r="F426" s="78"/>
    </row>
    <row r="427" ht="15.75" customHeight="1">
      <c r="A427" s="78"/>
      <c r="B427" s="78"/>
      <c r="C427" s="78"/>
      <c r="D427" s="78"/>
      <c r="E427" s="78"/>
      <c r="F427" s="78"/>
    </row>
    <row r="428" ht="15.75" customHeight="1">
      <c r="A428" s="78"/>
      <c r="B428" s="78"/>
      <c r="C428" s="78"/>
      <c r="D428" s="78"/>
      <c r="E428" s="78"/>
      <c r="F428" s="78"/>
    </row>
    <row r="429" ht="15.75" customHeight="1">
      <c r="A429" s="78"/>
      <c r="B429" s="78"/>
      <c r="C429" s="78"/>
      <c r="D429" s="78"/>
      <c r="E429" s="78"/>
      <c r="F429" s="78"/>
    </row>
    <row r="430" ht="15.75" customHeight="1">
      <c r="A430" s="78"/>
      <c r="B430" s="78"/>
      <c r="C430" s="78"/>
      <c r="D430" s="78"/>
      <c r="E430" s="78"/>
      <c r="F430" s="78"/>
    </row>
    <row r="431" ht="15.75" customHeight="1">
      <c r="A431" s="78"/>
      <c r="B431" s="78"/>
      <c r="C431" s="78"/>
      <c r="D431" s="78"/>
      <c r="E431" s="78"/>
      <c r="F431" s="78"/>
    </row>
    <row r="432" ht="15.75" customHeight="1">
      <c r="A432" s="78"/>
      <c r="B432" s="78"/>
      <c r="C432" s="78"/>
      <c r="D432" s="78"/>
      <c r="E432" s="78"/>
      <c r="F432" s="78"/>
    </row>
    <row r="433" ht="15.75" customHeight="1">
      <c r="A433" s="78"/>
      <c r="B433" s="78"/>
      <c r="C433" s="78"/>
      <c r="D433" s="78"/>
      <c r="E433" s="78"/>
      <c r="F433" s="78"/>
    </row>
    <row r="434" ht="15.75" customHeight="1">
      <c r="A434" s="78"/>
      <c r="B434" s="78"/>
      <c r="C434" s="78"/>
      <c r="D434" s="78"/>
      <c r="E434" s="78"/>
      <c r="F434" s="78"/>
    </row>
    <row r="435" ht="15.75" customHeight="1">
      <c r="A435" s="78"/>
      <c r="B435" s="78"/>
      <c r="C435" s="78"/>
      <c r="D435" s="78"/>
      <c r="E435" s="78"/>
      <c r="F435" s="78"/>
    </row>
    <row r="436" ht="15.75" customHeight="1">
      <c r="A436" s="78"/>
      <c r="B436" s="78"/>
      <c r="C436" s="78"/>
      <c r="D436" s="78"/>
      <c r="E436" s="78"/>
      <c r="F436" s="78"/>
    </row>
    <row r="437" ht="15.75" customHeight="1">
      <c r="A437" s="78"/>
      <c r="B437" s="78"/>
      <c r="C437" s="78"/>
      <c r="D437" s="78"/>
      <c r="E437" s="78"/>
      <c r="F437" s="78"/>
    </row>
    <row r="438" ht="15.75" customHeight="1">
      <c r="A438" s="78"/>
      <c r="B438" s="78"/>
      <c r="C438" s="78"/>
      <c r="D438" s="78"/>
      <c r="E438" s="78"/>
      <c r="F438" s="78"/>
    </row>
    <row r="439" ht="15.75" customHeight="1">
      <c r="A439" s="78"/>
      <c r="B439" s="78"/>
      <c r="C439" s="78"/>
      <c r="D439" s="78"/>
      <c r="E439" s="78"/>
      <c r="F439" s="78"/>
    </row>
    <row r="440" ht="15.75" customHeight="1">
      <c r="A440" s="78"/>
      <c r="B440" s="78"/>
      <c r="C440" s="78"/>
      <c r="D440" s="78"/>
      <c r="E440" s="78"/>
      <c r="F440" s="78"/>
    </row>
    <row r="441" ht="15.75" customHeight="1">
      <c r="A441" s="78"/>
      <c r="B441" s="78"/>
      <c r="C441" s="78"/>
      <c r="D441" s="78"/>
      <c r="E441" s="78"/>
      <c r="F441" s="78"/>
    </row>
    <row r="442" ht="15.75" customHeight="1">
      <c r="A442" s="78"/>
      <c r="B442" s="78"/>
      <c r="C442" s="78"/>
      <c r="D442" s="78"/>
      <c r="E442" s="78"/>
      <c r="F442" s="78"/>
    </row>
    <row r="443" ht="15.75" customHeight="1">
      <c r="A443" s="78"/>
      <c r="B443" s="78"/>
      <c r="C443" s="78"/>
      <c r="D443" s="78"/>
      <c r="E443" s="78"/>
      <c r="F443" s="78"/>
    </row>
    <row r="444" ht="15.75" customHeight="1">
      <c r="A444" s="78"/>
      <c r="B444" s="78"/>
      <c r="C444" s="78"/>
      <c r="D444" s="78"/>
      <c r="E444" s="78"/>
      <c r="F444" s="78"/>
    </row>
    <row r="445" ht="15.75" customHeight="1">
      <c r="A445" s="78"/>
      <c r="B445" s="78"/>
      <c r="C445" s="78"/>
      <c r="D445" s="78"/>
      <c r="E445" s="78"/>
      <c r="F445" s="78"/>
    </row>
    <row r="446" ht="15.75" customHeight="1">
      <c r="A446" s="78"/>
      <c r="B446" s="78"/>
      <c r="C446" s="78"/>
      <c r="D446" s="78"/>
      <c r="E446" s="78"/>
      <c r="F446" s="78"/>
    </row>
    <row r="447" ht="15.75" customHeight="1">
      <c r="A447" s="78"/>
      <c r="B447" s="78"/>
      <c r="C447" s="78"/>
      <c r="D447" s="78"/>
      <c r="E447" s="78"/>
      <c r="F447" s="78"/>
    </row>
    <row r="448" ht="15.75" customHeight="1">
      <c r="A448" s="78"/>
      <c r="B448" s="78"/>
      <c r="C448" s="78"/>
      <c r="D448" s="78"/>
      <c r="E448" s="78"/>
      <c r="F448" s="78"/>
    </row>
    <row r="449" ht="15.75" customHeight="1">
      <c r="A449" s="78"/>
      <c r="B449" s="78"/>
      <c r="C449" s="78"/>
      <c r="D449" s="78"/>
      <c r="E449" s="78"/>
      <c r="F449" s="78"/>
    </row>
    <row r="450" ht="15.75" customHeight="1">
      <c r="A450" s="78"/>
      <c r="B450" s="78"/>
      <c r="C450" s="78"/>
      <c r="D450" s="78"/>
      <c r="E450" s="78"/>
      <c r="F450" s="78"/>
    </row>
    <row r="451" ht="15.75" customHeight="1">
      <c r="A451" s="78"/>
      <c r="B451" s="78"/>
      <c r="C451" s="78"/>
      <c r="D451" s="78"/>
      <c r="E451" s="78"/>
      <c r="F451" s="78"/>
    </row>
    <row r="452" ht="15.75" customHeight="1">
      <c r="A452" s="78"/>
      <c r="B452" s="78"/>
      <c r="C452" s="78"/>
      <c r="D452" s="78"/>
      <c r="E452" s="78"/>
      <c r="F452" s="78"/>
    </row>
    <row r="453" ht="15.75" customHeight="1">
      <c r="A453" s="78"/>
      <c r="B453" s="78"/>
      <c r="C453" s="78"/>
      <c r="D453" s="78"/>
      <c r="E453" s="78"/>
      <c r="F453" s="78"/>
    </row>
    <row r="454" ht="15.75" customHeight="1">
      <c r="A454" s="78"/>
      <c r="B454" s="78"/>
      <c r="C454" s="78"/>
      <c r="D454" s="78"/>
      <c r="E454" s="78"/>
      <c r="F454" s="78"/>
    </row>
    <row r="455" ht="15.75" customHeight="1">
      <c r="A455" s="78"/>
      <c r="B455" s="78"/>
      <c r="C455" s="78"/>
      <c r="D455" s="78"/>
      <c r="E455" s="78"/>
      <c r="F455" s="78"/>
    </row>
    <row r="456" ht="15.75" customHeight="1">
      <c r="A456" s="78"/>
      <c r="B456" s="78"/>
      <c r="C456" s="78"/>
      <c r="D456" s="78"/>
      <c r="E456" s="78"/>
      <c r="F456" s="78"/>
    </row>
    <row r="457" ht="15.75" customHeight="1">
      <c r="A457" s="78"/>
      <c r="B457" s="78"/>
      <c r="C457" s="78"/>
      <c r="D457" s="78"/>
      <c r="E457" s="78"/>
      <c r="F457" s="78"/>
    </row>
    <row r="458" ht="15.75" customHeight="1">
      <c r="A458" s="78"/>
      <c r="B458" s="78"/>
      <c r="C458" s="78"/>
      <c r="D458" s="78"/>
      <c r="E458" s="78"/>
      <c r="F458" s="78"/>
    </row>
    <row r="459" ht="15.75" customHeight="1">
      <c r="A459" s="78"/>
      <c r="B459" s="78"/>
      <c r="C459" s="78"/>
      <c r="D459" s="78"/>
      <c r="E459" s="78"/>
      <c r="F459" s="78"/>
    </row>
    <row r="460" ht="15.75" customHeight="1">
      <c r="A460" s="78"/>
      <c r="B460" s="78"/>
      <c r="C460" s="78"/>
      <c r="D460" s="78"/>
      <c r="E460" s="78"/>
      <c r="F460" s="78"/>
    </row>
    <row r="461" ht="15.75" customHeight="1">
      <c r="A461" s="78"/>
      <c r="B461" s="78"/>
      <c r="C461" s="78"/>
      <c r="D461" s="78"/>
      <c r="E461" s="78"/>
      <c r="F461" s="78"/>
    </row>
    <row r="462" ht="15.75" customHeight="1">
      <c r="A462" s="78"/>
      <c r="B462" s="78"/>
      <c r="C462" s="78"/>
      <c r="D462" s="78"/>
      <c r="E462" s="78"/>
      <c r="F462" s="78"/>
    </row>
    <row r="463" ht="15.75" customHeight="1">
      <c r="A463" s="78"/>
      <c r="B463" s="78"/>
      <c r="C463" s="78"/>
      <c r="D463" s="78"/>
      <c r="E463" s="78"/>
      <c r="F463" s="78"/>
    </row>
    <row r="464" ht="15.75" customHeight="1">
      <c r="A464" s="78"/>
      <c r="B464" s="78"/>
      <c r="C464" s="78"/>
      <c r="D464" s="78"/>
      <c r="E464" s="78"/>
      <c r="F464" s="78"/>
    </row>
    <row r="465" ht="15.75" customHeight="1">
      <c r="A465" s="78"/>
      <c r="B465" s="78"/>
      <c r="C465" s="78"/>
      <c r="D465" s="78"/>
      <c r="E465" s="78"/>
      <c r="F465" s="78"/>
    </row>
    <row r="466" ht="15.75" customHeight="1">
      <c r="A466" s="78"/>
      <c r="B466" s="78"/>
      <c r="C466" s="78"/>
      <c r="D466" s="78"/>
      <c r="E466" s="78"/>
      <c r="F466" s="78"/>
    </row>
    <row r="467" ht="15.75" customHeight="1">
      <c r="A467" s="78"/>
      <c r="B467" s="78"/>
      <c r="C467" s="78"/>
      <c r="D467" s="78"/>
      <c r="E467" s="78"/>
      <c r="F467" s="78"/>
    </row>
    <row r="468" ht="15.75" customHeight="1">
      <c r="A468" s="78"/>
      <c r="B468" s="78"/>
      <c r="C468" s="78"/>
      <c r="D468" s="78"/>
      <c r="E468" s="78"/>
      <c r="F468" s="78"/>
    </row>
    <row r="469" ht="15.75" customHeight="1">
      <c r="A469" s="78"/>
      <c r="B469" s="78"/>
      <c r="C469" s="78"/>
      <c r="D469" s="78"/>
      <c r="E469" s="78"/>
      <c r="F469" s="78"/>
    </row>
    <row r="470" ht="15.75" customHeight="1">
      <c r="A470" s="78"/>
      <c r="B470" s="78"/>
      <c r="C470" s="78"/>
      <c r="D470" s="78"/>
      <c r="E470" s="78"/>
      <c r="F470" s="78"/>
    </row>
    <row r="471" ht="15.75" customHeight="1">
      <c r="A471" s="78"/>
      <c r="B471" s="78"/>
      <c r="C471" s="78"/>
      <c r="D471" s="78"/>
      <c r="E471" s="78"/>
      <c r="F471" s="78"/>
    </row>
    <row r="472" ht="15.75" customHeight="1">
      <c r="A472" s="78"/>
      <c r="B472" s="78"/>
      <c r="C472" s="78"/>
      <c r="D472" s="78"/>
      <c r="E472" s="78"/>
      <c r="F472" s="78"/>
    </row>
    <row r="473" ht="15.75" customHeight="1">
      <c r="A473" s="78"/>
      <c r="B473" s="78"/>
      <c r="C473" s="78"/>
      <c r="D473" s="78"/>
      <c r="E473" s="78"/>
      <c r="F473" s="78"/>
    </row>
    <row r="474" ht="15.75" customHeight="1">
      <c r="A474" s="78"/>
      <c r="B474" s="78"/>
      <c r="C474" s="78"/>
      <c r="D474" s="78"/>
      <c r="E474" s="78"/>
      <c r="F474" s="78"/>
    </row>
    <row r="475" ht="15.75" customHeight="1">
      <c r="A475" s="78"/>
      <c r="B475" s="78"/>
      <c r="C475" s="78"/>
      <c r="D475" s="78"/>
      <c r="E475" s="78"/>
      <c r="F475" s="78"/>
    </row>
    <row r="476" ht="15.75" customHeight="1">
      <c r="A476" s="78"/>
      <c r="B476" s="78"/>
      <c r="C476" s="78"/>
      <c r="D476" s="78"/>
      <c r="E476" s="78"/>
      <c r="F476" s="78"/>
    </row>
    <row r="477" ht="15.75" customHeight="1">
      <c r="A477" s="78"/>
      <c r="B477" s="78"/>
      <c r="C477" s="78"/>
      <c r="D477" s="78"/>
      <c r="E477" s="78"/>
      <c r="F477" s="78"/>
    </row>
    <row r="478" ht="15.75" customHeight="1">
      <c r="A478" s="78"/>
      <c r="B478" s="78"/>
      <c r="C478" s="78"/>
      <c r="D478" s="78"/>
      <c r="E478" s="78"/>
      <c r="F478" s="78"/>
    </row>
    <row r="479" ht="15.75" customHeight="1">
      <c r="A479" s="78"/>
      <c r="B479" s="78"/>
      <c r="C479" s="78"/>
      <c r="D479" s="78"/>
      <c r="E479" s="78"/>
      <c r="F479" s="78"/>
    </row>
    <row r="480" ht="15.75" customHeight="1">
      <c r="A480" s="78"/>
      <c r="B480" s="78"/>
      <c r="C480" s="78"/>
      <c r="D480" s="78"/>
      <c r="E480" s="78"/>
      <c r="F480" s="78"/>
    </row>
    <row r="481" ht="15.75" customHeight="1">
      <c r="A481" s="78"/>
      <c r="B481" s="78"/>
      <c r="C481" s="78"/>
      <c r="D481" s="78"/>
      <c r="E481" s="78"/>
      <c r="F481" s="78"/>
    </row>
    <row r="482" ht="15.75" customHeight="1">
      <c r="A482" s="78"/>
      <c r="B482" s="78"/>
      <c r="C482" s="78"/>
      <c r="D482" s="78"/>
      <c r="E482" s="78"/>
      <c r="F482" s="78"/>
    </row>
    <row r="483" ht="15.75" customHeight="1">
      <c r="A483" s="78"/>
      <c r="B483" s="78"/>
      <c r="C483" s="78"/>
      <c r="D483" s="78"/>
      <c r="E483" s="78"/>
      <c r="F483" s="78"/>
    </row>
    <row r="484" ht="15.75" customHeight="1">
      <c r="A484" s="78"/>
      <c r="B484" s="78"/>
      <c r="C484" s="78"/>
      <c r="D484" s="78"/>
      <c r="E484" s="78"/>
      <c r="F484" s="78"/>
    </row>
    <row r="485" ht="15.75" customHeight="1">
      <c r="A485" s="78"/>
      <c r="B485" s="78"/>
      <c r="C485" s="78"/>
      <c r="D485" s="78"/>
      <c r="E485" s="78"/>
      <c r="F485" s="78"/>
    </row>
    <row r="486" ht="15.75" customHeight="1">
      <c r="A486" s="78"/>
      <c r="B486" s="78"/>
      <c r="C486" s="78"/>
      <c r="D486" s="78"/>
      <c r="E486" s="78"/>
      <c r="F486" s="78"/>
    </row>
    <row r="487" ht="15.75" customHeight="1">
      <c r="A487" s="78"/>
      <c r="B487" s="78"/>
      <c r="C487" s="78"/>
      <c r="D487" s="78"/>
      <c r="E487" s="78"/>
      <c r="F487" s="78"/>
    </row>
    <row r="488" ht="15.75" customHeight="1">
      <c r="A488" s="78"/>
      <c r="B488" s="78"/>
      <c r="C488" s="78"/>
      <c r="D488" s="78"/>
      <c r="E488" s="78"/>
      <c r="F488" s="78"/>
    </row>
    <row r="489" ht="15.75" customHeight="1">
      <c r="A489" s="78"/>
      <c r="B489" s="78"/>
      <c r="C489" s="78"/>
      <c r="D489" s="78"/>
      <c r="E489" s="78"/>
      <c r="F489" s="78"/>
    </row>
    <row r="490" ht="15.75" customHeight="1">
      <c r="A490" s="78"/>
      <c r="B490" s="78"/>
      <c r="C490" s="78"/>
      <c r="D490" s="78"/>
      <c r="E490" s="78"/>
      <c r="F490" s="78"/>
    </row>
    <row r="491" ht="15.75" customHeight="1">
      <c r="A491" s="78"/>
      <c r="B491" s="78"/>
      <c r="C491" s="78"/>
      <c r="D491" s="78"/>
      <c r="E491" s="78"/>
      <c r="F491" s="78"/>
    </row>
    <row r="492" ht="15.75" customHeight="1">
      <c r="A492" s="78"/>
      <c r="B492" s="78"/>
      <c r="C492" s="78"/>
      <c r="D492" s="78"/>
      <c r="E492" s="78"/>
      <c r="F492" s="78"/>
    </row>
    <row r="493" ht="15.75" customHeight="1">
      <c r="A493" s="78"/>
      <c r="B493" s="78"/>
      <c r="C493" s="78"/>
      <c r="D493" s="78"/>
      <c r="E493" s="78"/>
      <c r="F493" s="78"/>
    </row>
    <row r="494" ht="15.75" customHeight="1">
      <c r="A494" s="78"/>
      <c r="B494" s="78"/>
      <c r="C494" s="78"/>
      <c r="D494" s="78"/>
      <c r="E494" s="78"/>
      <c r="F494" s="78"/>
    </row>
    <row r="495" ht="15.75" customHeight="1">
      <c r="A495" s="78"/>
      <c r="B495" s="78"/>
      <c r="C495" s="78"/>
      <c r="D495" s="78"/>
      <c r="E495" s="78"/>
      <c r="F495" s="78"/>
    </row>
    <row r="496" ht="15.75" customHeight="1">
      <c r="A496" s="78"/>
      <c r="B496" s="78"/>
      <c r="C496" s="78"/>
      <c r="D496" s="78"/>
      <c r="E496" s="78"/>
      <c r="F496" s="78"/>
    </row>
    <row r="497" ht="15.75" customHeight="1">
      <c r="A497" s="78"/>
      <c r="B497" s="78"/>
      <c r="C497" s="78"/>
      <c r="D497" s="78"/>
      <c r="E497" s="78"/>
      <c r="F497" s="78"/>
    </row>
    <row r="498" ht="15.75" customHeight="1">
      <c r="A498" s="78"/>
      <c r="B498" s="78"/>
      <c r="C498" s="78"/>
      <c r="D498" s="78"/>
      <c r="E498" s="78"/>
      <c r="F498" s="78"/>
    </row>
    <row r="499" ht="15.75" customHeight="1">
      <c r="A499" s="78"/>
      <c r="B499" s="78"/>
      <c r="C499" s="78"/>
      <c r="D499" s="78"/>
      <c r="E499" s="78"/>
      <c r="F499" s="78"/>
    </row>
    <row r="500" ht="15.75" customHeight="1">
      <c r="A500" s="78"/>
      <c r="B500" s="78"/>
      <c r="C500" s="78"/>
      <c r="D500" s="78"/>
      <c r="E500" s="78"/>
      <c r="F500" s="78"/>
    </row>
    <row r="501" ht="15.75" customHeight="1">
      <c r="A501" s="78"/>
      <c r="B501" s="78"/>
      <c r="C501" s="78"/>
      <c r="D501" s="78"/>
      <c r="E501" s="78"/>
      <c r="F501" s="78"/>
    </row>
    <row r="502" ht="15.75" customHeight="1">
      <c r="A502" s="78"/>
      <c r="B502" s="78"/>
      <c r="C502" s="78"/>
      <c r="D502" s="78"/>
      <c r="E502" s="78"/>
      <c r="F502" s="78"/>
    </row>
    <row r="503" ht="15.75" customHeight="1">
      <c r="A503" s="78"/>
      <c r="B503" s="78"/>
      <c r="C503" s="78"/>
      <c r="D503" s="78"/>
      <c r="E503" s="78"/>
      <c r="F503" s="78"/>
    </row>
    <row r="504" ht="15.75" customHeight="1">
      <c r="A504" s="78"/>
      <c r="B504" s="78"/>
      <c r="C504" s="78"/>
      <c r="D504" s="78"/>
      <c r="E504" s="78"/>
      <c r="F504" s="78"/>
    </row>
    <row r="505" ht="15.75" customHeight="1">
      <c r="A505" s="78"/>
      <c r="B505" s="78"/>
      <c r="C505" s="78"/>
      <c r="D505" s="78"/>
      <c r="E505" s="78"/>
      <c r="F505" s="78"/>
    </row>
    <row r="506" ht="15.75" customHeight="1">
      <c r="A506" s="78"/>
      <c r="B506" s="78"/>
      <c r="C506" s="78"/>
      <c r="D506" s="78"/>
      <c r="E506" s="78"/>
      <c r="F506" s="78"/>
    </row>
    <row r="507" ht="15.75" customHeight="1">
      <c r="A507" s="78"/>
      <c r="B507" s="78"/>
      <c r="C507" s="78"/>
      <c r="D507" s="78"/>
      <c r="E507" s="78"/>
      <c r="F507" s="78"/>
    </row>
    <row r="508" ht="15.75" customHeight="1">
      <c r="A508" s="78"/>
      <c r="B508" s="78"/>
      <c r="C508" s="78"/>
      <c r="D508" s="78"/>
      <c r="E508" s="78"/>
      <c r="F508" s="78"/>
    </row>
    <row r="509" ht="15.75" customHeight="1">
      <c r="A509" s="78"/>
      <c r="B509" s="78"/>
      <c r="C509" s="78"/>
      <c r="D509" s="78"/>
      <c r="E509" s="78"/>
      <c r="F509" s="78"/>
    </row>
    <row r="510" ht="15.75" customHeight="1">
      <c r="A510" s="78"/>
      <c r="B510" s="78"/>
      <c r="C510" s="78"/>
      <c r="D510" s="78"/>
      <c r="E510" s="78"/>
      <c r="F510" s="78"/>
    </row>
    <row r="511" ht="15.75" customHeight="1">
      <c r="A511" s="78"/>
      <c r="B511" s="78"/>
      <c r="C511" s="78"/>
      <c r="D511" s="78"/>
      <c r="E511" s="78"/>
      <c r="F511" s="78"/>
    </row>
    <row r="512" ht="15.75" customHeight="1">
      <c r="A512" s="78"/>
      <c r="B512" s="78"/>
      <c r="C512" s="78"/>
      <c r="D512" s="78"/>
      <c r="E512" s="78"/>
      <c r="F512" s="78"/>
    </row>
    <row r="513" ht="15.75" customHeight="1">
      <c r="A513" s="78"/>
      <c r="B513" s="78"/>
      <c r="C513" s="78"/>
      <c r="D513" s="78"/>
      <c r="E513" s="78"/>
      <c r="F513" s="78"/>
    </row>
    <row r="514" ht="15.75" customHeight="1">
      <c r="A514" s="78"/>
      <c r="B514" s="78"/>
      <c r="C514" s="78"/>
      <c r="D514" s="78"/>
      <c r="E514" s="78"/>
      <c r="F514" s="78"/>
    </row>
    <row r="515" ht="15.75" customHeight="1">
      <c r="A515" s="78"/>
      <c r="B515" s="78"/>
      <c r="C515" s="78"/>
      <c r="D515" s="78"/>
      <c r="E515" s="78"/>
      <c r="F515" s="78"/>
    </row>
    <row r="516" ht="15.75" customHeight="1">
      <c r="A516" s="78"/>
      <c r="B516" s="78"/>
      <c r="C516" s="78"/>
      <c r="D516" s="78"/>
      <c r="E516" s="78"/>
      <c r="F516" s="78"/>
    </row>
    <row r="517" ht="15.75" customHeight="1">
      <c r="A517" s="78"/>
      <c r="B517" s="78"/>
      <c r="C517" s="78"/>
      <c r="D517" s="78"/>
      <c r="E517" s="78"/>
      <c r="F517" s="78"/>
    </row>
    <row r="518" ht="15.75" customHeight="1">
      <c r="A518" s="78"/>
      <c r="B518" s="78"/>
      <c r="C518" s="78"/>
      <c r="D518" s="78"/>
      <c r="E518" s="78"/>
      <c r="F518" s="78"/>
    </row>
    <row r="519" ht="15.75" customHeight="1">
      <c r="A519" s="78"/>
      <c r="B519" s="78"/>
      <c r="C519" s="78"/>
      <c r="D519" s="78"/>
      <c r="E519" s="78"/>
      <c r="F519" s="78"/>
    </row>
    <row r="520" ht="15.75" customHeight="1">
      <c r="A520" s="78"/>
      <c r="B520" s="78"/>
      <c r="C520" s="78"/>
      <c r="D520" s="78"/>
      <c r="E520" s="78"/>
      <c r="F520" s="78"/>
    </row>
    <row r="521" ht="15.75" customHeight="1">
      <c r="A521" s="78"/>
      <c r="B521" s="78"/>
      <c r="C521" s="78"/>
      <c r="D521" s="78"/>
      <c r="E521" s="78"/>
      <c r="F521" s="78"/>
    </row>
    <row r="522" ht="15.75" customHeight="1">
      <c r="A522" s="78"/>
      <c r="B522" s="78"/>
      <c r="C522" s="78"/>
      <c r="D522" s="78"/>
      <c r="E522" s="78"/>
      <c r="F522" s="78"/>
    </row>
    <row r="523" ht="15.75" customHeight="1">
      <c r="A523" s="78"/>
      <c r="B523" s="78"/>
      <c r="C523" s="78"/>
      <c r="D523" s="78"/>
      <c r="E523" s="78"/>
      <c r="F523" s="78"/>
    </row>
    <row r="524" ht="15.75" customHeight="1">
      <c r="A524" s="78"/>
      <c r="B524" s="78"/>
      <c r="C524" s="78"/>
      <c r="D524" s="78"/>
      <c r="E524" s="78"/>
      <c r="F524" s="78"/>
    </row>
    <row r="525" ht="15.75" customHeight="1">
      <c r="A525" s="78"/>
      <c r="B525" s="78"/>
      <c r="C525" s="78"/>
      <c r="D525" s="78"/>
      <c r="E525" s="78"/>
      <c r="F525" s="78"/>
    </row>
    <row r="526" ht="15.75" customHeight="1">
      <c r="A526" s="78"/>
      <c r="B526" s="78"/>
      <c r="C526" s="78"/>
      <c r="D526" s="78"/>
      <c r="E526" s="78"/>
      <c r="F526" s="78"/>
    </row>
    <row r="527" ht="15.75" customHeight="1">
      <c r="A527" s="78"/>
      <c r="B527" s="78"/>
      <c r="C527" s="78"/>
      <c r="D527" s="78"/>
      <c r="E527" s="78"/>
      <c r="F527" s="78"/>
    </row>
    <row r="528" ht="15.75" customHeight="1">
      <c r="A528" s="78"/>
      <c r="B528" s="78"/>
      <c r="C528" s="78"/>
      <c r="D528" s="78"/>
      <c r="E528" s="78"/>
      <c r="F528" s="78"/>
    </row>
    <row r="529" ht="15.75" customHeight="1">
      <c r="A529" s="78"/>
      <c r="B529" s="78"/>
      <c r="C529" s="78"/>
      <c r="D529" s="78"/>
      <c r="E529" s="78"/>
      <c r="F529" s="78"/>
    </row>
    <row r="530" ht="15.75" customHeight="1">
      <c r="A530" s="78"/>
      <c r="B530" s="78"/>
      <c r="C530" s="78"/>
      <c r="D530" s="78"/>
      <c r="E530" s="78"/>
      <c r="F530" s="78"/>
    </row>
    <row r="531" ht="15.75" customHeight="1">
      <c r="A531" s="78"/>
      <c r="B531" s="78"/>
      <c r="C531" s="78"/>
      <c r="D531" s="78"/>
      <c r="E531" s="78"/>
      <c r="F531" s="78"/>
    </row>
    <row r="532" ht="15.75" customHeight="1">
      <c r="A532" s="78"/>
      <c r="B532" s="78"/>
      <c r="C532" s="78"/>
      <c r="D532" s="78"/>
      <c r="E532" s="78"/>
      <c r="F532" s="78"/>
    </row>
    <row r="533" ht="15.75" customHeight="1">
      <c r="A533" s="78"/>
      <c r="B533" s="78"/>
      <c r="C533" s="78"/>
      <c r="D533" s="78"/>
      <c r="E533" s="78"/>
      <c r="F533" s="78"/>
    </row>
    <row r="534" ht="15.75" customHeight="1">
      <c r="A534" s="78"/>
      <c r="B534" s="78"/>
      <c r="C534" s="78"/>
      <c r="D534" s="78"/>
      <c r="E534" s="78"/>
      <c r="F534" s="78"/>
    </row>
    <row r="535" ht="15.75" customHeight="1">
      <c r="A535" s="78"/>
      <c r="B535" s="78"/>
      <c r="C535" s="78"/>
      <c r="D535" s="78"/>
      <c r="E535" s="78"/>
      <c r="F535" s="78"/>
    </row>
    <row r="536" ht="15.75" customHeight="1">
      <c r="A536" s="78"/>
      <c r="B536" s="78"/>
      <c r="C536" s="78"/>
      <c r="D536" s="78"/>
      <c r="E536" s="78"/>
      <c r="F536" s="78"/>
    </row>
    <row r="537" ht="15.75" customHeight="1">
      <c r="A537" s="78"/>
      <c r="B537" s="78"/>
      <c r="C537" s="78"/>
      <c r="D537" s="78"/>
      <c r="E537" s="78"/>
      <c r="F537" s="78"/>
    </row>
    <row r="538" ht="15.75" customHeight="1">
      <c r="A538" s="78"/>
      <c r="B538" s="78"/>
      <c r="C538" s="78"/>
      <c r="D538" s="78"/>
      <c r="E538" s="78"/>
      <c r="F538" s="78"/>
    </row>
    <row r="539" ht="15.75" customHeight="1">
      <c r="A539" s="78"/>
      <c r="B539" s="78"/>
      <c r="C539" s="78"/>
      <c r="D539" s="78"/>
      <c r="E539" s="78"/>
      <c r="F539" s="78"/>
    </row>
    <row r="540" ht="15.75" customHeight="1">
      <c r="A540" s="78"/>
      <c r="B540" s="78"/>
      <c r="C540" s="78"/>
      <c r="D540" s="78"/>
      <c r="E540" s="78"/>
      <c r="F540" s="78"/>
    </row>
    <row r="541" ht="15.75" customHeight="1">
      <c r="A541" s="78"/>
      <c r="B541" s="78"/>
      <c r="C541" s="78"/>
      <c r="D541" s="78"/>
      <c r="E541" s="78"/>
      <c r="F541" s="78"/>
    </row>
    <row r="542" ht="15.75" customHeight="1">
      <c r="A542" s="78"/>
      <c r="B542" s="78"/>
      <c r="C542" s="78"/>
      <c r="D542" s="78"/>
      <c r="E542" s="78"/>
      <c r="F542" s="78"/>
    </row>
    <row r="543" ht="15.75" customHeight="1">
      <c r="A543" s="78"/>
      <c r="B543" s="78"/>
      <c r="C543" s="78"/>
      <c r="D543" s="78"/>
      <c r="E543" s="78"/>
      <c r="F543" s="78"/>
    </row>
    <row r="544" ht="15.75" customHeight="1">
      <c r="A544" s="78"/>
      <c r="B544" s="78"/>
      <c r="C544" s="78"/>
      <c r="D544" s="78"/>
      <c r="E544" s="78"/>
      <c r="F544" s="78"/>
    </row>
    <row r="545" ht="15.75" customHeight="1">
      <c r="A545" s="78"/>
      <c r="B545" s="78"/>
      <c r="C545" s="78"/>
      <c r="D545" s="78"/>
      <c r="E545" s="78"/>
      <c r="F545" s="78"/>
    </row>
    <row r="546" ht="15.75" customHeight="1">
      <c r="A546" s="78"/>
      <c r="B546" s="78"/>
      <c r="C546" s="78"/>
      <c r="D546" s="78"/>
      <c r="E546" s="78"/>
      <c r="F546" s="78"/>
    </row>
    <row r="547" ht="15.75" customHeight="1">
      <c r="A547" s="78"/>
      <c r="B547" s="78"/>
      <c r="C547" s="78"/>
      <c r="D547" s="78"/>
      <c r="E547" s="78"/>
      <c r="F547" s="78"/>
    </row>
    <row r="548" ht="15.75" customHeight="1">
      <c r="A548" s="78"/>
      <c r="B548" s="78"/>
      <c r="C548" s="78"/>
      <c r="D548" s="78"/>
      <c r="E548" s="78"/>
      <c r="F548" s="78"/>
    </row>
    <row r="549" ht="15.75" customHeight="1">
      <c r="A549" s="78"/>
      <c r="B549" s="78"/>
      <c r="C549" s="78"/>
      <c r="D549" s="78"/>
      <c r="E549" s="78"/>
      <c r="F549" s="78"/>
    </row>
    <row r="550" ht="15.75" customHeight="1">
      <c r="A550" s="78"/>
      <c r="B550" s="78"/>
      <c r="C550" s="78"/>
      <c r="D550" s="78"/>
      <c r="E550" s="78"/>
      <c r="F550" s="78"/>
    </row>
    <row r="551" ht="15.75" customHeight="1">
      <c r="A551" s="78"/>
      <c r="B551" s="78"/>
      <c r="C551" s="78"/>
      <c r="D551" s="78"/>
      <c r="E551" s="78"/>
      <c r="F551" s="78"/>
    </row>
    <row r="552" ht="15.75" customHeight="1">
      <c r="A552" s="78"/>
      <c r="B552" s="78"/>
      <c r="C552" s="78"/>
      <c r="D552" s="78"/>
      <c r="E552" s="78"/>
      <c r="F552" s="78"/>
    </row>
    <row r="553" ht="15.75" customHeight="1">
      <c r="A553" s="78"/>
      <c r="B553" s="78"/>
      <c r="C553" s="78"/>
      <c r="D553" s="78"/>
      <c r="E553" s="78"/>
      <c r="F553" s="78"/>
    </row>
    <row r="554" ht="15.75" customHeight="1">
      <c r="A554" s="78"/>
      <c r="B554" s="78"/>
      <c r="C554" s="78"/>
      <c r="D554" s="78"/>
      <c r="E554" s="78"/>
      <c r="F554" s="78"/>
    </row>
    <row r="555" ht="15.75" customHeight="1">
      <c r="A555" s="78"/>
      <c r="B555" s="78"/>
      <c r="C555" s="78"/>
      <c r="D555" s="78"/>
      <c r="E555" s="78"/>
      <c r="F555" s="78"/>
    </row>
    <row r="556" ht="15.75" customHeight="1">
      <c r="A556" s="78"/>
      <c r="B556" s="78"/>
      <c r="C556" s="78"/>
      <c r="D556" s="78"/>
      <c r="E556" s="78"/>
      <c r="F556" s="78"/>
    </row>
    <row r="557" ht="15.75" customHeight="1">
      <c r="A557" s="78"/>
      <c r="B557" s="78"/>
      <c r="C557" s="78"/>
      <c r="D557" s="78"/>
      <c r="E557" s="78"/>
      <c r="F557" s="78"/>
    </row>
    <row r="558" ht="15.75" customHeight="1">
      <c r="A558" s="78"/>
      <c r="B558" s="78"/>
      <c r="C558" s="78"/>
      <c r="D558" s="78"/>
      <c r="E558" s="78"/>
      <c r="F558" s="78"/>
    </row>
    <row r="559" ht="15.75" customHeight="1">
      <c r="A559" s="78"/>
      <c r="B559" s="78"/>
      <c r="C559" s="78"/>
      <c r="D559" s="78"/>
      <c r="E559" s="78"/>
      <c r="F559" s="78"/>
    </row>
    <row r="560" ht="15.75" customHeight="1">
      <c r="A560" s="78"/>
      <c r="B560" s="78"/>
      <c r="C560" s="78"/>
      <c r="D560" s="78"/>
      <c r="E560" s="78"/>
      <c r="F560" s="78"/>
    </row>
    <row r="561" ht="15.75" customHeight="1">
      <c r="A561" s="78"/>
      <c r="B561" s="78"/>
      <c r="C561" s="78"/>
      <c r="D561" s="78"/>
      <c r="E561" s="78"/>
      <c r="F561" s="78"/>
    </row>
    <row r="562" ht="15.75" customHeight="1">
      <c r="A562" s="78"/>
      <c r="B562" s="78"/>
      <c r="C562" s="78"/>
      <c r="D562" s="78"/>
      <c r="E562" s="78"/>
      <c r="F562" s="78"/>
    </row>
    <row r="563" ht="15.75" customHeight="1">
      <c r="A563" s="78"/>
      <c r="B563" s="78"/>
      <c r="C563" s="78"/>
      <c r="D563" s="78"/>
      <c r="E563" s="78"/>
      <c r="F563" s="78"/>
    </row>
    <row r="564" ht="15.75" customHeight="1">
      <c r="A564" s="78"/>
      <c r="B564" s="78"/>
      <c r="C564" s="78"/>
      <c r="D564" s="78"/>
      <c r="E564" s="78"/>
      <c r="F564" s="78"/>
    </row>
    <row r="565" ht="15.75" customHeight="1">
      <c r="A565" s="78"/>
      <c r="B565" s="78"/>
      <c r="C565" s="78"/>
      <c r="D565" s="78"/>
      <c r="E565" s="78"/>
      <c r="F565" s="78"/>
    </row>
    <row r="566" ht="15.75" customHeight="1">
      <c r="A566" s="78"/>
      <c r="B566" s="78"/>
      <c r="C566" s="78"/>
      <c r="D566" s="78"/>
      <c r="E566" s="78"/>
      <c r="F566" s="78"/>
    </row>
    <row r="567" ht="15.75" customHeight="1">
      <c r="A567" s="78"/>
      <c r="B567" s="78"/>
      <c r="C567" s="78"/>
      <c r="D567" s="78"/>
      <c r="E567" s="78"/>
      <c r="F567" s="78"/>
    </row>
    <row r="568" ht="15.75" customHeight="1">
      <c r="A568" s="78"/>
      <c r="B568" s="78"/>
      <c r="C568" s="78"/>
      <c r="D568" s="78"/>
      <c r="E568" s="78"/>
      <c r="F568" s="78"/>
    </row>
    <row r="569" ht="15.75" customHeight="1">
      <c r="A569" s="78"/>
      <c r="B569" s="78"/>
      <c r="C569" s="78"/>
      <c r="D569" s="78"/>
      <c r="E569" s="78"/>
      <c r="F569" s="78"/>
    </row>
    <row r="570" ht="15.75" customHeight="1">
      <c r="A570" s="78"/>
      <c r="B570" s="78"/>
      <c r="C570" s="78"/>
      <c r="D570" s="78"/>
      <c r="E570" s="78"/>
      <c r="F570" s="78"/>
    </row>
    <row r="571" ht="15.75" customHeight="1">
      <c r="A571" s="78"/>
      <c r="B571" s="78"/>
      <c r="C571" s="78"/>
      <c r="D571" s="78"/>
      <c r="E571" s="78"/>
      <c r="F571" s="78"/>
    </row>
    <row r="572" ht="15.75" customHeight="1">
      <c r="A572" s="78"/>
      <c r="B572" s="78"/>
      <c r="C572" s="78"/>
      <c r="D572" s="78"/>
      <c r="E572" s="78"/>
      <c r="F572" s="78"/>
    </row>
    <row r="573" ht="15.75" customHeight="1">
      <c r="A573" s="78"/>
      <c r="B573" s="78"/>
      <c r="C573" s="78"/>
      <c r="D573" s="78"/>
      <c r="E573" s="78"/>
      <c r="F573" s="78"/>
    </row>
    <row r="574" ht="15.75" customHeight="1">
      <c r="A574" s="78"/>
      <c r="B574" s="78"/>
      <c r="C574" s="78"/>
      <c r="D574" s="78"/>
      <c r="E574" s="78"/>
      <c r="F574" s="78"/>
    </row>
    <row r="575" ht="15.75" customHeight="1">
      <c r="A575" s="78"/>
      <c r="B575" s="78"/>
      <c r="C575" s="78"/>
      <c r="D575" s="78"/>
      <c r="E575" s="78"/>
      <c r="F575" s="78"/>
    </row>
    <row r="576" ht="15.75" customHeight="1">
      <c r="A576" s="78"/>
      <c r="B576" s="78"/>
      <c r="C576" s="78"/>
      <c r="D576" s="78"/>
      <c r="E576" s="78"/>
      <c r="F576" s="78"/>
    </row>
    <row r="577" ht="15.75" customHeight="1">
      <c r="A577" s="78"/>
      <c r="B577" s="78"/>
      <c r="C577" s="78"/>
      <c r="D577" s="78"/>
      <c r="E577" s="78"/>
      <c r="F577" s="78"/>
    </row>
    <row r="578" ht="15.75" customHeight="1">
      <c r="A578" s="78"/>
      <c r="B578" s="78"/>
      <c r="C578" s="78"/>
      <c r="D578" s="78"/>
      <c r="E578" s="78"/>
      <c r="F578" s="78"/>
    </row>
    <row r="579" ht="15.75" customHeight="1">
      <c r="A579" s="78"/>
      <c r="B579" s="78"/>
      <c r="C579" s="78"/>
      <c r="D579" s="78"/>
      <c r="E579" s="78"/>
      <c r="F579" s="78"/>
    </row>
    <row r="580" ht="15.75" customHeight="1">
      <c r="A580" s="78"/>
      <c r="B580" s="78"/>
      <c r="C580" s="78"/>
      <c r="D580" s="78"/>
      <c r="E580" s="78"/>
      <c r="F580" s="78"/>
    </row>
    <row r="581" ht="15.75" customHeight="1">
      <c r="A581" s="78"/>
      <c r="B581" s="78"/>
      <c r="C581" s="78"/>
      <c r="D581" s="78"/>
      <c r="E581" s="78"/>
      <c r="F581" s="78"/>
    </row>
    <row r="582" ht="15.75" customHeight="1">
      <c r="A582" s="78"/>
      <c r="B582" s="78"/>
      <c r="C582" s="78"/>
      <c r="D582" s="78"/>
      <c r="E582" s="78"/>
      <c r="F582" s="78"/>
    </row>
    <row r="583" ht="15.75" customHeight="1">
      <c r="A583" s="78"/>
      <c r="B583" s="78"/>
      <c r="C583" s="78"/>
      <c r="D583" s="78"/>
      <c r="E583" s="78"/>
      <c r="F583" s="78"/>
    </row>
    <row r="584" ht="15.75" customHeight="1">
      <c r="A584" s="78"/>
      <c r="B584" s="78"/>
      <c r="C584" s="78"/>
      <c r="D584" s="78"/>
      <c r="E584" s="78"/>
      <c r="F584" s="78"/>
    </row>
    <row r="585" ht="15.75" customHeight="1">
      <c r="A585" s="78"/>
      <c r="B585" s="78"/>
      <c r="C585" s="78"/>
      <c r="D585" s="78"/>
      <c r="E585" s="78"/>
      <c r="F585" s="78"/>
    </row>
    <row r="586" ht="15.75" customHeight="1">
      <c r="A586" s="78"/>
      <c r="B586" s="78"/>
      <c r="C586" s="78"/>
      <c r="D586" s="78"/>
      <c r="E586" s="78"/>
      <c r="F586" s="78"/>
    </row>
    <row r="587" ht="15.75" customHeight="1">
      <c r="A587" s="78"/>
      <c r="B587" s="78"/>
      <c r="C587" s="78"/>
      <c r="D587" s="78"/>
      <c r="E587" s="78"/>
      <c r="F587" s="78"/>
    </row>
    <row r="588" ht="15.75" customHeight="1">
      <c r="A588" s="78"/>
      <c r="B588" s="78"/>
      <c r="C588" s="78"/>
      <c r="D588" s="78"/>
      <c r="E588" s="78"/>
      <c r="F588" s="78"/>
    </row>
    <row r="589" ht="15.75" customHeight="1">
      <c r="A589" s="78"/>
      <c r="B589" s="78"/>
      <c r="C589" s="78"/>
      <c r="D589" s="78"/>
      <c r="E589" s="78"/>
      <c r="F589" s="78"/>
    </row>
    <row r="590" ht="15.75" customHeight="1">
      <c r="A590" s="78"/>
      <c r="B590" s="78"/>
      <c r="C590" s="78"/>
      <c r="D590" s="78"/>
      <c r="E590" s="78"/>
      <c r="F590" s="78"/>
    </row>
    <row r="591" ht="15.75" customHeight="1">
      <c r="A591" s="78"/>
      <c r="B591" s="78"/>
      <c r="C591" s="78"/>
      <c r="D591" s="78"/>
      <c r="E591" s="78"/>
      <c r="F591" s="78"/>
    </row>
    <row r="592" ht="15.75" customHeight="1">
      <c r="A592" s="78"/>
      <c r="B592" s="78"/>
      <c r="C592" s="78"/>
      <c r="D592" s="78"/>
      <c r="E592" s="78"/>
      <c r="F592" s="78"/>
    </row>
    <row r="593" ht="15.75" customHeight="1">
      <c r="A593" s="78"/>
      <c r="B593" s="78"/>
      <c r="C593" s="78"/>
      <c r="D593" s="78"/>
      <c r="E593" s="78"/>
      <c r="F593" s="78"/>
    </row>
    <row r="594" ht="15.75" customHeight="1">
      <c r="A594" s="78"/>
      <c r="B594" s="78"/>
      <c r="C594" s="78"/>
      <c r="D594" s="78"/>
      <c r="E594" s="78"/>
      <c r="F594" s="78"/>
    </row>
    <row r="595" ht="15.75" customHeight="1">
      <c r="A595" s="78"/>
      <c r="B595" s="78"/>
      <c r="C595" s="78"/>
      <c r="D595" s="78"/>
      <c r="E595" s="78"/>
      <c r="F595" s="78"/>
    </row>
    <row r="596" ht="15.75" customHeight="1">
      <c r="A596" s="78"/>
      <c r="B596" s="78"/>
      <c r="C596" s="78"/>
      <c r="D596" s="78"/>
      <c r="E596" s="78"/>
      <c r="F596" s="78"/>
    </row>
    <row r="597" ht="15.75" customHeight="1">
      <c r="A597" s="78"/>
      <c r="B597" s="78"/>
      <c r="C597" s="78"/>
      <c r="D597" s="78"/>
      <c r="E597" s="78"/>
      <c r="F597" s="78"/>
    </row>
    <row r="598" ht="15.75" customHeight="1">
      <c r="A598" s="78"/>
      <c r="B598" s="78"/>
      <c r="C598" s="78"/>
      <c r="D598" s="78"/>
      <c r="E598" s="78"/>
      <c r="F598" s="78"/>
    </row>
    <row r="599" ht="15.75" customHeight="1">
      <c r="A599" s="78"/>
      <c r="B599" s="78"/>
      <c r="C599" s="78"/>
      <c r="D599" s="78"/>
      <c r="E599" s="78"/>
      <c r="F599" s="78"/>
    </row>
    <row r="600" ht="15.75" customHeight="1">
      <c r="A600" s="78"/>
      <c r="B600" s="78"/>
      <c r="C600" s="78"/>
      <c r="D600" s="78"/>
      <c r="E600" s="78"/>
      <c r="F600" s="78"/>
    </row>
    <row r="601" ht="15.75" customHeight="1">
      <c r="A601" s="78"/>
      <c r="B601" s="78"/>
      <c r="C601" s="78"/>
      <c r="D601" s="78"/>
      <c r="E601" s="78"/>
      <c r="F601" s="78"/>
    </row>
    <row r="602" ht="15.75" customHeight="1">
      <c r="A602" s="78"/>
      <c r="B602" s="78"/>
      <c r="C602" s="78"/>
      <c r="D602" s="78"/>
      <c r="E602" s="78"/>
      <c r="F602" s="78"/>
    </row>
    <row r="603" ht="15.75" customHeight="1">
      <c r="A603" s="78"/>
      <c r="B603" s="78"/>
      <c r="C603" s="78"/>
      <c r="D603" s="78"/>
      <c r="E603" s="78"/>
      <c r="F603" s="78"/>
    </row>
    <row r="604" ht="15.75" customHeight="1">
      <c r="A604" s="78"/>
      <c r="B604" s="78"/>
      <c r="C604" s="78"/>
      <c r="D604" s="78"/>
      <c r="E604" s="78"/>
      <c r="F604" s="78"/>
    </row>
    <row r="605" ht="15.75" customHeight="1">
      <c r="A605" s="78"/>
      <c r="B605" s="78"/>
      <c r="C605" s="78"/>
      <c r="D605" s="78"/>
      <c r="E605" s="78"/>
      <c r="F605" s="78"/>
    </row>
    <row r="606" ht="15.75" customHeight="1">
      <c r="A606" s="78"/>
      <c r="B606" s="78"/>
      <c r="C606" s="78"/>
      <c r="D606" s="78"/>
      <c r="E606" s="78"/>
      <c r="F606" s="78"/>
    </row>
    <row r="607" ht="15.75" customHeight="1">
      <c r="A607" s="78"/>
      <c r="B607" s="78"/>
      <c r="C607" s="78"/>
      <c r="D607" s="78"/>
      <c r="E607" s="78"/>
      <c r="F607" s="78"/>
    </row>
    <row r="608" ht="15.75" customHeight="1">
      <c r="A608" s="78"/>
      <c r="B608" s="78"/>
      <c r="C608" s="78"/>
      <c r="D608" s="78"/>
      <c r="E608" s="78"/>
      <c r="F608" s="78"/>
    </row>
    <row r="609" ht="15.75" customHeight="1">
      <c r="A609" s="78"/>
      <c r="B609" s="78"/>
      <c r="C609" s="78"/>
      <c r="D609" s="78"/>
      <c r="E609" s="78"/>
      <c r="F609" s="78"/>
    </row>
    <row r="610" ht="15.75" customHeight="1">
      <c r="A610" s="78"/>
      <c r="B610" s="78"/>
      <c r="C610" s="78"/>
      <c r="D610" s="78"/>
      <c r="E610" s="78"/>
      <c r="F610" s="78"/>
    </row>
    <row r="611" ht="15.75" customHeight="1">
      <c r="A611" s="78"/>
      <c r="B611" s="78"/>
      <c r="C611" s="78"/>
      <c r="D611" s="78"/>
      <c r="E611" s="78"/>
      <c r="F611" s="78"/>
    </row>
    <row r="612" ht="15.75" customHeight="1">
      <c r="A612" s="78"/>
      <c r="B612" s="78"/>
      <c r="C612" s="78"/>
      <c r="D612" s="78"/>
      <c r="E612" s="78"/>
      <c r="F612" s="78"/>
    </row>
    <row r="613" ht="15.75" customHeight="1">
      <c r="A613" s="78"/>
      <c r="B613" s="78"/>
      <c r="C613" s="78"/>
      <c r="D613" s="78"/>
      <c r="E613" s="78"/>
      <c r="F613" s="78"/>
    </row>
    <row r="614" ht="15.75" customHeight="1">
      <c r="A614" s="78"/>
      <c r="B614" s="78"/>
      <c r="C614" s="78"/>
      <c r="D614" s="78"/>
      <c r="E614" s="78"/>
      <c r="F614" s="78"/>
    </row>
    <row r="615" ht="15.75" customHeight="1">
      <c r="A615" s="78"/>
      <c r="B615" s="78"/>
      <c r="C615" s="78"/>
      <c r="D615" s="78"/>
      <c r="E615" s="78"/>
      <c r="F615" s="78"/>
    </row>
    <row r="616" ht="15.75" customHeight="1">
      <c r="A616" s="78"/>
      <c r="B616" s="78"/>
      <c r="C616" s="78"/>
      <c r="D616" s="78"/>
      <c r="E616" s="78"/>
      <c r="F616" s="78"/>
    </row>
    <row r="617" ht="15.75" customHeight="1">
      <c r="A617" s="78"/>
      <c r="B617" s="78"/>
      <c r="C617" s="78"/>
      <c r="D617" s="78"/>
      <c r="E617" s="78"/>
      <c r="F617" s="78"/>
    </row>
    <row r="618" ht="15.75" customHeight="1">
      <c r="A618" s="78"/>
      <c r="B618" s="78"/>
      <c r="C618" s="78"/>
      <c r="D618" s="78"/>
      <c r="E618" s="78"/>
      <c r="F618" s="78"/>
    </row>
    <row r="619" ht="15.75" customHeight="1">
      <c r="A619" s="78"/>
      <c r="B619" s="78"/>
      <c r="C619" s="78"/>
      <c r="D619" s="78"/>
      <c r="E619" s="78"/>
      <c r="F619" s="78"/>
    </row>
    <row r="620" ht="15.75" customHeight="1">
      <c r="A620" s="78"/>
      <c r="B620" s="78"/>
      <c r="C620" s="78"/>
      <c r="D620" s="78"/>
      <c r="E620" s="78"/>
      <c r="F620" s="78"/>
    </row>
    <row r="621" ht="15.75" customHeight="1">
      <c r="A621" s="78"/>
      <c r="B621" s="78"/>
      <c r="C621" s="78"/>
      <c r="D621" s="78"/>
      <c r="E621" s="78"/>
      <c r="F621" s="78"/>
    </row>
    <row r="622" ht="15.75" customHeight="1">
      <c r="A622" s="78"/>
      <c r="B622" s="78"/>
      <c r="C622" s="78"/>
      <c r="D622" s="78"/>
      <c r="E622" s="78"/>
      <c r="F622" s="78"/>
    </row>
    <row r="623" ht="15.75" customHeight="1">
      <c r="A623" s="78"/>
      <c r="B623" s="78"/>
      <c r="C623" s="78"/>
      <c r="D623" s="78"/>
      <c r="E623" s="78"/>
      <c r="F623" s="78"/>
    </row>
    <row r="624" ht="15.75" customHeight="1">
      <c r="A624" s="78"/>
      <c r="B624" s="78"/>
      <c r="C624" s="78"/>
      <c r="D624" s="78"/>
      <c r="E624" s="78"/>
      <c r="F624" s="78"/>
    </row>
    <row r="625" ht="15.75" customHeight="1">
      <c r="A625" s="78"/>
      <c r="B625" s="78"/>
      <c r="C625" s="78"/>
      <c r="D625" s="78"/>
      <c r="E625" s="78"/>
      <c r="F625" s="78"/>
    </row>
    <row r="626" ht="15.75" customHeight="1">
      <c r="A626" s="78"/>
      <c r="B626" s="78"/>
      <c r="C626" s="78"/>
      <c r="D626" s="78"/>
      <c r="E626" s="78"/>
      <c r="F626" s="78"/>
    </row>
    <row r="627" ht="15.75" customHeight="1">
      <c r="A627" s="78"/>
      <c r="B627" s="78"/>
      <c r="C627" s="78"/>
      <c r="D627" s="78"/>
      <c r="E627" s="78"/>
      <c r="F627" s="78"/>
    </row>
    <row r="628" ht="15.75" customHeight="1">
      <c r="A628" s="78"/>
      <c r="B628" s="78"/>
      <c r="C628" s="78"/>
      <c r="D628" s="78"/>
      <c r="E628" s="78"/>
      <c r="F628" s="78"/>
    </row>
    <row r="629" ht="15.75" customHeight="1">
      <c r="A629" s="78"/>
      <c r="B629" s="78"/>
      <c r="C629" s="78"/>
      <c r="D629" s="78"/>
      <c r="E629" s="78"/>
      <c r="F629" s="78"/>
    </row>
    <row r="630" ht="15.75" customHeight="1">
      <c r="A630" s="78"/>
      <c r="B630" s="78"/>
      <c r="C630" s="78"/>
      <c r="D630" s="78"/>
      <c r="E630" s="78"/>
      <c r="F630" s="78"/>
    </row>
    <row r="631" ht="15.75" customHeight="1">
      <c r="A631" s="78"/>
      <c r="B631" s="78"/>
      <c r="C631" s="78"/>
      <c r="D631" s="78"/>
      <c r="E631" s="78"/>
      <c r="F631" s="78"/>
    </row>
    <row r="632" ht="15.75" customHeight="1">
      <c r="A632" s="78"/>
      <c r="B632" s="78"/>
      <c r="C632" s="78"/>
      <c r="D632" s="78"/>
      <c r="E632" s="78"/>
      <c r="F632" s="78"/>
    </row>
    <row r="633" ht="15.75" customHeight="1">
      <c r="A633" s="78"/>
      <c r="B633" s="78"/>
      <c r="C633" s="78"/>
      <c r="D633" s="78"/>
      <c r="E633" s="78"/>
      <c r="F633" s="78"/>
    </row>
    <row r="634" ht="15.75" customHeight="1">
      <c r="A634" s="78"/>
      <c r="B634" s="78"/>
      <c r="C634" s="78"/>
      <c r="D634" s="78"/>
      <c r="E634" s="78"/>
      <c r="F634" s="78"/>
    </row>
    <row r="635" ht="15.75" customHeight="1">
      <c r="A635" s="78"/>
      <c r="B635" s="78"/>
      <c r="C635" s="78"/>
      <c r="D635" s="78"/>
      <c r="E635" s="78"/>
      <c r="F635" s="78"/>
    </row>
    <row r="636" ht="15.75" customHeight="1">
      <c r="A636" s="78"/>
      <c r="B636" s="78"/>
      <c r="C636" s="78"/>
      <c r="D636" s="78"/>
      <c r="E636" s="78"/>
      <c r="F636" s="78"/>
    </row>
    <row r="637" ht="15.75" customHeight="1">
      <c r="A637" s="78"/>
      <c r="B637" s="78"/>
      <c r="C637" s="78"/>
      <c r="D637" s="78"/>
      <c r="E637" s="78"/>
      <c r="F637" s="78"/>
    </row>
    <row r="638" ht="15.75" customHeight="1">
      <c r="A638" s="78"/>
      <c r="B638" s="78"/>
      <c r="C638" s="78"/>
      <c r="D638" s="78"/>
      <c r="E638" s="78"/>
      <c r="F638" s="78"/>
    </row>
    <row r="639" ht="15.75" customHeight="1">
      <c r="A639" s="78"/>
      <c r="B639" s="78"/>
      <c r="C639" s="78"/>
      <c r="D639" s="78"/>
      <c r="E639" s="78"/>
      <c r="F639" s="78"/>
    </row>
    <row r="640" ht="15.75" customHeight="1">
      <c r="A640" s="78"/>
      <c r="B640" s="78"/>
      <c r="C640" s="78"/>
      <c r="D640" s="78"/>
      <c r="E640" s="78"/>
      <c r="F640" s="78"/>
    </row>
    <row r="641" ht="15.75" customHeight="1">
      <c r="A641" s="78"/>
      <c r="B641" s="78"/>
      <c r="C641" s="78"/>
      <c r="D641" s="78"/>
      <c r="E641" s="78"/>
      <c r="F641" s="78"/>
    </row>
    <row r="642" ht="15.75" customHeight="1">
      <c r="A642" s="78"/>
      <c r="B642" s="78"/>
      <c r="C642" s="78"/>
      <c r="D642" s="78"/>
      <c r="E642" s="78"/>
      <c r="F642" s="78"/>
    </row>
    <row r="643" ht="15.75" customHeight="1">
      <c r="A643" s="78"/>
      <c r="B643" s="78"/>
      <c r="C643" s="78"/>
      <c r="D643" s="78"/>
      <c r="E643" s="78"/>
      <c r="F643" s="78"/>
    </row>
    <row r="644" ht="15.75" customHeight="1">
      <c r="A644" s="78"/>
      <c r="B644" s="78"/>
      <c r="C644" s="78"/>
      <c r="D644" s="78"/>
      <c r="E644" s="78"/>
      <c r="F644" s="78"/>
    </row>
    <row r="645" ht="15.75" customHeight="1">
      <c r="A645" s="78"/>
      <c r="B645" s="78"/>
      <c r="C645" s="78"/>
      <c r="D645" s="78"/>
      <c r="E645" s="78"/>
      <c r="F645" s="78"/>
    </row>
    <row r="646" ht="15.75" customHeight="1">
      <c r="A646" s="78"/>
      <c r="B646" s="78"/>
      <c r="C646" s="78"/>
      <c r="D646" s="78"/>
      <c r="E646" s="78"/>
      <c r="F646" s="78"/>
    </row>
    <row r="647" ht="15.75" customHeight="1">
      <c r="A647" s="78"/>
      <c r="B647" s="78"/>
      <c r="C647" s="78"/>
      <c r="D647" s="78"/>
      <c r="E647" s="78"/>
      <c r="F647" s="78"/>
    </row>
    <row r="648" ht="15.75" customHeight="1">
      <c r="A648" s="78"/>
      <c r="B648" s="78"/>
      <c r="C648" s="78"/>
      <c r="D648" s="78"/>
      <c r="E648" s="78"/>
      <c r="F648" s="78"/>
    </row>
    <row r="649" ht="15.75" customHeight="1">
      <c r="A649" s="78"/>
      <c r="B649" s="78"/>
      <c r="C649" s="78"/>
      <c r="D649" s="78"/>
      <c r="E649" s="78"/>
      <c r="F649" s="78"/>
    </row>
    <row r="650" ht="15.75" customHeight="1">
      <c r="A650" s="78"/>
      <c r="B650" s="78"/>
      <c r="C650" s="78"/>
      <c r="D650" s="78"/>
      <c r="E650" s="78"/>
      <c r="F650" s="78"/>
    </row>
    <row r="651" ht="15.75" customHeight="1">
      <c r="A651" s="78"/>
      <c r="B651" s="78"/>
      <c r="C651" s="78"/>
      <c r="D651" s="78"/>
      <c r="E651" s="78"/>
      <c r="F651" s="78"/>
    </row>
    <row r="652" ht="15.75" customHeight="1">
      <c r="A652" s="78"/>
      <c r="B652" s="78"/>
      <c r="C652" s="78"/>
      <c r="D652" s="78"/>
      <c r="E652" s="78"/>
      <c r="F652" s="78"/>
    </row>
    <row r="653" ht="15.75" customHeight="1">
      <c r="A653" s="78"/>
      <c r="B653" s="78"/>
      <c r="C653" s="78"/>
      <c r="D653" s="78"/>
      <c r="E653" s="78"/>
      <c r="F653" s="78"/>
    </row>
    <row r="654" ht="15.75" customHeight="1">
      <c r="A654" s="78"/>
      <c r="B654" s="78"/>
      <c r="C654" s="78"/>
      <c r="D654" s="78"/>
      <c r="E654" s="78"/>
      <c r="F654" s="78"/>
    </row>
    <row r="655" ht="15.75" customHeight="1">
      <c r="A655" s="78"/>
      <c r="B655" s="78"/>
      <c r="C655" s="78"/>
      <c r="D655" s="78"/>
      <c r="E655" s="78"/>
      <c r="F655" s="78"/>
    </row>
    <row r="656" ht="15.75" customHeight="1">
      <c r="A656" s="78"/>
      <c r="B656" s="78"/>
      <c r="C656" s="78"/>
      <c r="D656" s="78"/>
      <c r="E656" s="78"/>
      <c r="F656" s="78"/>
    </row>
    <row r="657" ht="15.75" customHeight="1">
      <c r="A657" s="78"/>
      <c r="B657" s="78"/>
      <c r="C657" s="78"/>
      <c r="D657" s="78"/>
      <c r="E657" s="78"/>
      <c r="F657" s="78"/>
    </row>
    <row r="658" ht="15.75" customHeight="1">
      <c r="A658" s="78"/>
      <c r="B658" s="78"/>
      <c r="C658" s="78"/>
      <c r="D658" s="78"/>
      <c r="E658" s="78"/>
      <c r="F658" s="78"/>
    </row>
    <row r="659" ht="15.75" customHeight="1">
      <c r="A659" s="78"/>
      <c r="B659" s="78"/>
      <c r="C659" s="78"/>
      <c r="D659" s="78"/>
      <c r="E659" s="78"/>
      <c r="F659" s="78"/>
    </row>
    <row r="660" ht="15.75" customHeight="1">
      <c r="A660" s="78"/>
      <c r="B660" s="78"/>
      <c r="C660" s="78"/>
      <c r="D660" s="78"/>
      <c r="E660" s="78"/>
      <c r="F660" s="78"/>
    </row>
    <row r="661" ht="15.75" customHeight="1">
      <c r="A661" s="78"/>
      <c r="B661" s="78"/>
      <c r="C661" s="78"/>
      <c r="D661" s="78"/>
      <c r="E661" s="78"/>
      <c r="F661" s="78"/>
    </row>
    <row r="662" ht="15.75" customHeight="1">
      <c r="A662" s="78"/>
      <c r="B662" s="78"/>
      <c r="C662" s="78"/>
      <c r="D662" s="78"/>
      <c r="E662" s="78"/>
      <c r="F662" s="78"/>
    </row>
    <row r="663" ht="15.75" customHeight="1">
      <c r="A663" s="78"/>
      <c r="B663" s="78"/>
      <c r="C663" s="78"/>
      <c r="D663" s="78"/>
      <c r="E663" s="78"/>
      <c r="F663" s="78"/>
    </row>
    <row r="664" ht="15.75" customHeight="1">
      <c r="A664" s="78"/>
      <c r="B664" s="78"/>
      <c r="C664" s="78"/>
      <c r="D664" s="78"/>
      <c r="E664" s="78"/>
      <c r="F664" s="78"/>
    </row>
    <row r="665" ht="15.75" customHeight="1">
      <c r="A665" s="78"/>
      <c r="B665" s="78"/>
      <c r="C665" s="78"/>
      <c r="D665" s="78"/>
      <c r="E665" s="78"/>
      <c r="F665" s="78"/>
    </row>
    <row r="666" ht="15.75" customHeight="1">
      <c r="A666" s="78"/>
      <c r="B666" s="78"/>
      <c r="C666" s="78"/>
      <c r="D666" s="78"/>
      <c r="E666" s="78"/>
      <c r="F666" s="78"/>
    </row>
    <row r="667" ht="15.75" customHeight="1">
      <c r="A667" s="78"/>
      <c r="B667" s="78"/>
      <c r="C667" s="78"/>
      <c r="D667" s="78"/>
      <c r="E667" s="78"/>
      <c r="F667" s="78"/>
    </row>
    <row r="668" ht="15.75" customHeight="1">
      <c r="A668" s="78"/>
      <c r="B668" s="78"/>
      <c r="C668" s="78"/>
      <c r="D668" s="78"/>
      <c r="E668" s="78"/>
      <c r="F668" s="78"/>
    </row>
    <row r="669" ht="15.75" customHeight="1">
      <c r="A669" s="78"/>
      <c r="B669" s="78"/>
      <c r="C669" s="78"/>
      <c r="D669" s="78"/>
      <c r="E669" s="78"/>
      <c r="F669" s="78"/>
    </row>
    <row r="670" ht="15.75" customHeight="1">
      <c r="A670" s="78"/>
      <c r="B670" s="78"/>
      <c r="C670" s="78"/>
      <c r="D670" s="78"/>
      <c r="E670" s="78"/>
      <c r="F670" s="78"/>
    </row>
    <row r="671" ht="15.75" customHeight="1">
      <c r="A671" s="78"/>
      <c r="B671" s="78"/>
      <c r="C671" s="78"/>
      <c r="D671" s="78"/>
      <c r="E671" s="78"/>
      <c r="F671" s="78"/>
    </row>
    <row r="672" ht="15.75" customHeight="1">
      <c r="A672" s="78"/>
      <c r="B672" s="78"/>
      <c r="C672" s="78"/>
      <c r="D672" s="78"/>
      <c r="E672" s="78"/>
      <c r="F672" s="78"/>
    </row>
    <row r="673" ht="15.75" customHeight="1">
      <c r="A673" s="78"/>
      <c r="B673" s="78"/>
      <c r="C673" s="78"/>
      <c r="D673" s="78"/>
      <c r="E673" s="78"/>
      <c r="F673" s="78"/>
    </row>
    <row r="674" ht="15.75" customHeight="1">
      <c r="A674" s="78"/>
      <c r="B674" s="78"/>
      <c r="C674" s="78"/>
      <c r="D674" s="78"/>
      <c r="E674" s="78"/>
      <c r="F674" s="78"/>
    </row>
    <row r="675" ht="15.75" customHeight="1">
      <c r="A675" s="78"/>
      <c r="B675" s="78"/>
      <c r="C675" s="78"/>
      <c r="D675" s="78"/>
      <c r="E675" s="78"/>
      <c r="F675" s="78"/>
    </row>
    <row r="676" ht="15.75" customHeight="1">
      <c r="A676" s="78"/>
      <c r="B676" s="78"/>
      <c r="C676" s="78"/>
      <c r="D676" s="78"/>
      <c r="E676" s="78"/>
      <c r="F676" s="78"/>
    </row>
    <row r="677" ht="15.75" customHeight="1">
      <c r="A677" s="78"/>
      <c r="B677" s="78"/>
      <c r="C677" s="78"/>
      <c r="D677" s="78"/>
      <c r="E677" s="78"/>
      <c r="F677" s="78"/>
    </row>
    <row r="678" ht="15.75" customHeight="1">
      <c r="A678" s="78"/>
      <c r="B678" s="78"/>
      <c r="C678" s="78"/>
      <c r="D678" s="78"/>
      <c r="E678" s="78"/>
      <c r="F678" s="78"/>
    </row>
    <row r="679" ht="15.75" customHeight="1">
      <c r="A679" s="78"/>
      <c r="B679" s="78"/>
      <c r="C679" s="78"/>
      <c r="D679" s="78"/>
      <c r="E679" s="78"/>
      <c r="F679" s="78"/>
    </row>
    <row r="680" ht="15.75" customHeight="1">
      <c r="A680" s="78"/>
      <c r="B680" s="78"/>
      <c r="C680" s="78"/>
      <c r="D680" s="78"/>
      <c r="E680" s="78"/>
      <c r="F680" s="78"/>
    </row>
    <row r="681" ht="15.75" customHeight="1">
      <c r="A681" s="78"/>
      <c r="B681" s="78"/>
      <c r="C681" s="78"/>
      <c r="D681" s="78"/>
      <c r="E681" s="78"/>
      <c r="F681" s="78"/>
    </row>
    <row r="682" ht="15.75" customHeight="1">
      <c r="A682" s="78"/>
      <c r="B682" s="78"/>
      <c r="C682" s="78"/>
      <c r="D682" s="78"/>
      <c r="E682" s="78"/>
      <c r="F682" s="78"/>
    </row>
    <row r="683" ht="15.75" customHeight="1">
      <c r="A683" s="78"/>
      <c r="B683" s="78"/>
      <c r="C683" s="78"/>
      <c r="D683" s="78"/>
      <c r="E683" s="78"/>
      <c r="F683" s="78"/>
    </row>
    <row r="684" ht="15.75" customHeight="1">
      <c r="A684" s="78"/>
      <c r="B684" s="78"/>
      <c r="C684" s="78"/>
      <c r="D684" s="78"/>
      <c r="E684" s="78"/>
      <c r="F684" s="78"/>
    </row>
    <row r="685" ht="15.75" customHeight="1">
      <c r="A685" s="78"/>
      <c r="B685" s="78"/>
      <c r="C685" s="78"/>
      <c r="D685" s="78"/>
      <c r="E685" s="78"/>
      <c r="F685" s="78"/>
    </row>
    <row r="686" ht="15.75" customHeight="1">
      <c r="A686" s="78"/>
      <c r="B686" s="78"/>
      <c r="C686" s="78"/>
      <c r="D686" s="78"/>
      <c r="E686" s="78"/>
      <c r="F686" s="78"/>
    </row>
    <row r="687" ht="15.75" customHeight="1">
      <c r="A687" s="78"/>
      <c r="B687" s="78"/>
      <c r="C687" s="78"/>
      <c r="D687" s="78"/>
      <c r="E687" s="78"/>
      <c r="F687" s="78"/>
    </row>
    <row r="688" ht="15.75" customHeight="1">
      <c r="A688" s="78"/>
      <c r="B688" s="78"/>
      <c r="C688" s="78"/>
      <c r="D688" s="78"/>
      <c r="E688" s="78"/>
      <c r="F688" s="78"/>
    </row>
    <row r="689" ht="15.75" customHeight="1">
      <c r="A689" s="78"/>
      <c r="B689" s="78"/>
      <c r="C689" s="78"/>
      <c r="D689" s="78"/>
      <c r="E689" s="78"/>
      <c r="F689" s="78"/>
    </row>
    <row r="690" ht="15.75" customHeight="1">
      <c r="A690" s="78"/>
      <c r="B690" s="78"/>
      <c r="C690" s="78"/>
      <c r="D690" s="78"/>
      <c r="E690" s="78"/>
      <c r="F690" s="78"/>
    </row>
    <row r="691" ht="15.75" customHeight="1">
      <c r="A691" s="78"/>
      <c r="B691" s="78"/>
      <c r="C691" s="78"/>
      <c r="D691" s="78"/>
      <c r="E691" s="78"/>
      <c r="F691" s="78"/>
    </row>
    <row r="692" ht="15.75" customHeight="1">
      <c r="A692" s="78"/>
      <c r="B692" s="78"/>
      <c r="C692" s="78"/>
      <c r="D692" s="78"/>
      <c r="E692" s="78"/>
      <c r="F692" s="78"/>
    </row>
    <row r="693" ht="15.75" customHeight="1">
      <c r="A693" s="78"/>
      <c r="B693" s="78"/>
      <c r="C693" s="78"/>
      <c r="D693" s="78"/>
      <c r="E693" s="78"/>
      <c r="F693" s="78"/>
    </row>
    <row r="694" ht="15.75" customHeight="1">
      <c r="A694" s="78"/>
      <c r="B694" s="78"/>
      <c r="C694" s="78"/>
      <c r="D694" s="78"/>
      <c r="E694" s="78"/>
      <c r="F694" s="78"/>
    </row>
    <row r="695" ht="15.75" customHeight="1">
      <c r="A695" s="78"/>
      <c r="B695" s="78"/>
      <c r="C695" s="78"/>
      <c r="D695" s="78"/>
      <c r="E695" s="78"/>
      <c r="F695" s="78"/>
    </row>
    <row r="696" ht="15.75" customHeight="1">
      <c r="A696" s="78"/>
      <c r="B696" s="78"/>
      <c r="C696" s="78"/>
      <c r="D696" s="78"/>
      <c r="E696" s="78"/>
      <c r="F696" s="78"/>
    </row>
    <row r="697" ht="15.75" customHeight="1">
      <c r="A697" s="78"/>
      <c r="B697" s="78"/>
      <c r="C697" s="78"/>
      <c r="D697" s="78"/>
      <c r="E697" s="78"/>
      <c r="F697" s="78"/>
    </row>
    <row r="698" ht="15.75" customHeight="1">
      <c r="A698" s="78"/>
      <c r="B698" s="78"/>
      <c r="C698" s="78"/>
      <c r="D698" s="78"/>
      <c r="E698" s="78"/>
      <c r="F698" s="78"/>
    </row>
    <row r="699" ht="15.75" customHeight="1">
      <c r="A699" s="78"/>
      <c r="B699" s="78"/>
      <c r="C699" s="78"/>
      <c r="D699" s="78"/>
      <c r="E699" s="78"/>
      <c r="F699" s="78"/>
    </row>
    <row r="700" ht="15.75" customHeight="1">
      <c r="A700" s="78"/>
      <c r="B700" s="78"/>
      <c r="C700" s="78"/>
      <c r="D700" s="78"/>
      <c r="E700" s="78"/>
      <c r="F700" s="78"/>
    </row>
    <row r="701" ht="15.75" customHeight="1">
      <c r="A701" s="78"/>
      <c r="B701" s="78"/>
      <c r="C701" s="78"/>
      <c r="D701" s="78"/>
      <c r="E701" s="78"/>
      <c r="F701" s="78"/>
    </row>
    <row r="702" ht="15.75" customHeight="1">
      <c r="A702" s="78"/>
      <c r="B702" s="78"/>
      <c r="C702" s="78"/>
      <c r="D702" s="78"/>
      <c r="E702" s="78"/>
      <c r="F702" s="78"/>
    </row>
    <row r="703" ht="15.75" customHeight="1">
      <c r="A703" s="78"/>
      <c r="B703" s="78"/>
      <c r="C703" s="78"/>
      <c r="D703" s="78"/>
      <c r="E703" s="78"/>
      <c r="F703" s="78"/>
    </row>
    <row r="704" ht="15.75" customHeight="1">
      <c r="A704" s="78"/>
      <c r="B704" s="78"/>
      <c r="C704" s="78"/>
      <c r="D704" s="78"/>
      <c r="E704" s="78"/>
      <c r="F704" s="78"/>
    </row>
    <row r="705" ht="15.75" customHeight="1">
      <c r="A705" s="78"/>
      <c r="B705" s="78"/>
      <c r="C705" s="78"/>
      <c r="D705" s="78"/>
      <c r="E705" s="78"/>
      <c r="F705" s="78"/>
    </row>
    <row r="706" ht="15.75" customHeight="1">
      <c r="A706" s="78"/>
      <c r="B706" s="78"/>
      <c r="C706" s="78"/>
      <c r="D706" s="78"/>
      <c r="E706" s="78"/>
      <c r="F706" s="78"/>
    </row>
    <row r="707" ht="15.75" customHeight="1">
      <c r="A707" s="78"/>
      <c r="B707" s="78"/>
      <c r="C707" s="78"/>
      <c r="D707" s="78"/>
      <c r="E707" s="78"/>
      <c r="F707" s="78"/>
    </row>
    <row r="708" ht="15.75" customHeight="1">
      <c r="A708" s="78"/>
      <c r="B708" s="78"/>
      <c r="C708" s="78"/>
      <c r="D708" s="78"/>
      <c r="E708" s="78"/>
      <c r="F708" s="78"/>
    </row>
    <row r="709" ht="15.75" customHeight="1">
      <c r="A709" s="78"/>
      <c r="B709" s="78"/>
      <c r="C709" s="78"/>
      <c r="D709" s="78"/>
      <c r="E709" s="78"/>
      <c r="F709" s="78"/>
    </row>
    <row r="710" ht="15.75" customHeight="1">
      <c r="A710" s="78"/>
      <c r="B710" s="78"/>
      <c r="C710" s="78"/>
      <c r="D710" s="78"/>
      <c r="E710" s="78"/>
      <c r="F710" s="78"/>
    </row>
    <row r="711" ht="15.75" customHeight="1">
      <c r="A711" s="78"/>
      <c r="B711" s="78"/>
      <c r="C711" s="78"/>
      <c r="D711" s="78"/>
      <c r="E711" s="78"/>
      <c r="F711" s="78"/>
    </row>
    <row r="712" ht="15.75" customHeight="1">
      <c r="A712" s="78"/>
      <c r="B712" s="78"/>
      <c r="C712" s="78"/>
      <c r="D712" s="78"/>
      <c r="E712" s="78"/>
      <c r="F712" s="78"/>
    </row>
    <row r="713" ht="15.75" customHeight="1">
      <c r="A713" s="78"/>
      <c r="B713" s="78"/>
      <c r="C713" s="78"/>
      <c r="D713" s="78"/>
      <c r="E713" s="78"/>
      <c r="F713" s="78"/>
    </row>
    <row r="714" ht="15.75" customHeight="1">
      <c r="A714" s="78"/>
      <c r="B714" s="78"/>
      <c r="C714" s="78"/>
      <c r="D714" s="78"/>
      <c r="E714" s="78"/>
      <c r="F714" s="78"/>
    </row>
    <row r="715" ht="15.75" customHeight="1">
      <c r="A715" s="78"/>
      <c r="B715" s="78"/>
      <c r="C715" s="78"/>
      <c r="D715" s="78"/>
      <c r="E715" s="78"/>
      <c r="F715" s="78"/>
    </row>
    <row r="716" ht="15.75" customHeight="1">
      <c r="A716" s="78"/>
      <c r="B716" s="78"/>
      <c r="C716" s="78"/>
      <c r="D716" s="78"/>
      <c r="E716" s="78"/>
      <c r="F716" s="78"/>
    </row>
    <row r="717" ht="15.75" customHeight="1">
      <c r="A717" s="78"/>
      <c r="B717" s="78"/>
      <c r="C717" s="78"/>
      <c r="D717" s="78"/>
      <c r="E717" s="78"/>
      <c r="F717" s="78"/>
    </row>
    <row r="718" ht="15.75" customHeight="1">
      <c r="A718" s="78"/>
      <c r="B718" s="78"/>
      <c r="C718" s="78"/>
      <c r="D718" s="78"/>
      <c r="E718" s="78"/>
      <c r="F718" s="78"/>
    </row>
    <row r="719" ht="15.75" customHeight="1">
      <c r="A719" s="78"/>
      <c r="B719" s="78"/>
      <c r="C719" s="78"/>
      <c r="D719" s="78"/>
      <c r="E719" s="78"/>
      <c r="F719" s="78"/>
    </row>
    <row r="720" ht="15.75" customHeight="1">
      <c r="A720" s="78"/>
      <c r="B720" s="78"/>
      <c r="C720" s="78"/>
      <c r="D720" s="78"/>
      <c r="E720" s="78"/>
      <c r="F720" s="78"/>
    </row>
    <row r="721" ht="15.75" customHeight="1">
      <c r="A721" s="78"/>
      <c r="B721" s="78"/>
      <c r="C721" s="78"/>
      <c r="D721" s="78"/>
      <c r="E721" s="78"/>
      <c r="F721" s="78"/>
    </row>
    <row r="722" ht="15.75" customHeight="1">
      <c r="A722" s="78"/>
      <c r="B722" s="78"/>
      <c r="C722" s="78"/>
      <c r="D722" s="78"/>
      <c r="E722" s="78"/>
      <c r="F722" s="78"/>
    </row>
    <row r="723" ht="15.75" customHeight="1">
      <c r="A723" s="78"/>
      <c r="B723" s="78"/>
      <c r="C723" s="78"/>
      <c r="D723" s="78"/>
      <c r="E723" s="78"/>
      <c r="F723" s="78"/>
    </row>
    <row r="724" ht="15.75" customHeight="1">
      <c r="A724" s="78"/>
      <c r="B724" s="78"/>
      <c r="C724" s="78"/>
      <c r="D724" s="78"/>
      <c r="E724" s="78"/>
      <c r="F724" s="78"/>
    </row>
    <row r="725" ht="15.75" customHeight="1">
      <c r="A725" s="78"/>
      <c r="B725" s="78"/>
      <c r="C725" s="78"/>
      <c r="D725" s="78"/>
      <c r="E725" s="78"/>
      <c r="F725" s="78"/>
    </row>
    <row r="726" ht="15.75" customHeight="1">
      <c r="A726" s="78"/>
      <c r="B726" s="78"/>
      <c r="C726" s="78"/>
      <c r="D726" s="78"/>
      <c r="E726" s="78"/>
      <c r="F726" s="78"/>
    </row>
    <row r="727" ht="15.75" customHeight="1">
      <c r="A727" s="78"/>
      <c r="B727" s="78"/>
      <c r="C727" s="78"/>
      <c r="D727" s="78"/>
      <c r="E727" s="78"/>
      <c r="F727" s="78"/>
    </row>
    <row r="728" ht="15.75" customHeight="1">
      <c r="A728" s="78"/>
      <c r="B728" s="78"/>
      <c r="C728" s="78"/>
      <c r="D728" s="78"/>
      <c r="E728" s="78"/>
      <c r="F728" s="78"/>
    </row>
    <row r="729" ht="15.75" customHeight="1">
      <c r="A729" s="78"/>
      <c r="B729" s="78"/>
      <c r="C729" s="78"/>
      <c r="D729" s="78"/>
      <c r="E729" s="78"/>
      <c r="F729" s="78"/>
    </row>
    <row r="730" ht="15.75" customHeight="1">
      <c r="A730" s="78"/>
      <c r="B730" s="78"/>
      <c r="C730" s="78"/>
      <c r="D730" s="78"/>
      <c r="E730" s="78"/>
      <c r="F730" s="78"/>
    </row>
    <row r="731" ht="15.75" customHeight="1">
      <c r="A731" s="78"/>
      <c r="B731" s="78"/>
      <c r="C731" s="78"/>
      <c r="D731" s="78"/>
      <c r="E731" s="78"/>
      <c r="F731" s="78"/>
    </row>
    <row r="732" ht="15.75" customHeight="1">
      <c r="A732" s="78"/>
      <c r="B732" s="78"/>
      <c r="C732" s="78"/>
      <c r="D732" s="78"/>
      <c r="E732" s="78"/>
      <c r="F732" s="78"/>
    </row>
    <row r="733" ht="15.75" customHeight="1">
      <c r="A733" s="78"/>
      <c r="B733" s="78"/>
      <c r="C733" s="78"/>
      <c r="D733" s="78"/>
      <c r="E733" s="78"/>
      <c r="F733" s="78"/>
    </row>
    <row r="734" ht="15.75" customHeight="1">
      <c r="A734" s="78"/>
      <c r="B734" s="78"/>
      <c r="C734" s="78"/>
      <c r="D734" s="78"/>
      <c r="E734" s="78"/>
      <c r="F734" s="78"/>
    </row>
    <row r="735" ht="15.75" customHeight="1">
      <c r="A735" s="78"/>
      <c r="B735" s="78"/>
      <c r="C735" s="78"/>
      <c r="D735" s="78"/>
      <c r="E735" s="78"/>
      <c r="F735" s="78"/>
    </row>
    <row r="736" ht="15.75" customHeight="1">
      <c r="A736" s="78"/>
      <c r="B736" s="78"/>
      <c r="C736" s="78"/>
      <c r="D736" s="78"/>
      <c r="E736" s="78"/>
      <c r="F736" s="78"/>
    </row>
    <row r="737" ht="15.75" customHeight="1">
      <c r="A737" s="78"/>
      <c r="B737" s="78"/>
      <c r="C737" s="78"/>
      <c r="D737" s="78"/>
      <c r="E737" s="78"/>
      <c r="F737" s="78"/>
    </row>
    <row r="738" ht="15.75" customHeight="1">
      <c r="A738" s="78"/>
      <c r="B738" s="78"/>
      <c r="C738" s="78"/>
      <c r="D738" s="78"/>
      <c r="E738" s="78"/>
      <c r="F738" s="78"/>
    </row>
    <row r="739" ht="15.75" customHeight="1">
      <c r="A739" s="78"/>
      <c r="B739" s="78"/>
      <c r="C739" s="78"/>
      <c r="D739" s="78"/>
      <c r="E739" s="78"/>
      <c r="F739" s="78"/>
    </row>
    <row r="740" ht="15.75" customHeight="1">
      <c r="A740" s="78"/>
      <c r="B740" s="78"/>
      <c r="C740" s="78"/>
      <c r="D740" s="78"/>
      <c r="E740" s="78"/>
      <c r="F740" s="78"/>
    </row>
    <row r="741" ht="15.75" customHeight="1">
      <c r="A741" s="78"/>
      <c r="B741" s="78"/>
      <c r="C741" s="78"/>
      <c r="D741" s="78"/>
      <c r="E741" s="78"/>
      <c r="F741" s="78"/>
    </row>
    <row r="742" ht="15.75" customHeight="1">
      <c r="A742" s="78"/>
      <c r="B742" s="78"/>
      <c r="C742" s="78"/>
      <c r="D742" s="78"/>
      <c r="E742" s="78"/>
      <c r="F742" s="78"/>
    </row>
    <row r="743" ht="15.75" customHeight="1">
      <c r="A743" s="78"/>
      <c r="B743" s="78"/>
      <c r="C743" s="78"/>
      <c r="D743" s="78"/>
      <c r="E743" s="78"/>
      <c r="F743" s="78"/>
    </row>
    <row r="744" ht="15.75" customHeight="1">
      <c r="A744" s="78"/>
      <c r="B744" s="78"/>
      <c r="C744" s="78"/>
      <c r="D744" s="78"/>
      <c r="E744" s="78"/>
      <c r="F744" s="78"/>
    </row>
    <row r="745" ht="15.75" customHeight="1">
      <c r="A745" s="78"/>
      <c r="B745" s="78"/>
      <c r="C745" s="78"/>
      <c r="D745" s="78"/>
      <c r="E745" s="78"/>
      <c r="F745" s="78"/>
    </row>
    <row r="746" ht="15.75" customHeight="1">
      <c r="A746" s="78"/>
      <c r="B746" s="78"/>
      <c r="C746" s="78"/>
      <c r="D746" s="78"/>
      <c r="E746" s="78"/>
      <c r="F746" s="78"/>
    </row>
    <row r="747" ht="15.75" customHeight="1">
      <c r="A747" s="78"/>
      <c r="B747" s="78"/>
      <c r="C747" s="78"/>
      <c r="D747" s="78"/>
      <c r="E747" s="78"/>
      <c r="F747" s="78"/>
    </row>
    <row r="748" ht="15.75" customHeight="1">
      <c r="A748" s="78"/>
      <c r="B748" s="78"/>
      <c r="C748" s="78"/>
      <c r="D748" s="78"/>
      <c r="E748" s="78"/>
      <c r="F748" s="78"/>
    </row>
    <row r="749" ht="15.75" customHeight="1">
      <c r="A749" s="78"/>
      <c r="B749" s="78"/>
      <c r="C749" s="78"/>
      <c r="D749" s="78"/>
      <c r="E749" s="78"/>
      <c r="F749" s="78"/>
    </row>
    <row r="750" ht="15.75" customHeight="1">
      <c r="A750" s="78"/>
      <c r="B750" s="78"/>
      <c r="C750" s="78"/>
      <c r="D750" s="78"/>
      <c r="E750" s="78"/>
      <c r="F750" s="78"/>
    </row>
    <row r="751" ht="15.75" customHeight="1">
      <c r="A751" s="78"/>
      <c r="B751" s="78"/>
      <c r="C751" s="78"/>
      <c r="D751" s="78"/>
      <c r="E751" s="78"/>
      <c r="F751" s="78"/>
    </row>
    <row r="752" ht="15.75" customHeight="1">
      <c r="A752" s="78"/>
      <c r="B752" s="78"/>
      <c r="C752" s="78"/>
      <c r="D752" s="78"/>
      <c r="E752" s="78"/>
      <c r="F752" s="78"/>
    </row>
    <row r="753" ht="15.75" customHeight="1">
      <c r="A753" s="78"/>
      <c r="B753" s="78"/>
      <c r="C753" s="78"/>
      <c r="D753" s="78"/>
      <c r="E753" s="78"/>
      <c r="F753" s="78"/>
    </row>
    <row r="754" ht="15.75" customHeight="1">
      <c r="A754" s="78"/>
      <c r="B754" s="78"/>
      <c r="C754" s="78"/>
      <c r="D754" s="78"/>
      <c r="E754" s="78"/>
      <c r="F754" s="78"/>
    </row>
    <row r="755" ht="15.75" customHeight="1">
      <c r="A755" s="78"/>
      <c r="B755" s="78"/>
      <c r="C755" s="78"/>
      <c r="D755" s="78"/>
      <c r="E755" s="78"/>
      <c r="F755" s="78"/>
    </row>
    <row r="756" ht="15.75" customHeight="1">
      <c r="A756" s="78"/>
      <c r="B756" s="78"/>
      <c r="C756" s="78"/>
      <c r="D756" s="78"/>
      <c r="E756" s="78"/>
      <c r="F756" s="78"/>
    </row>
    <row r="757" ht="15.75" customHeight="1">
      <c r="A757" s="78"/>
      <c r="B757" s="78"/>
      <c r="C757" s="78"/>
      <c r="D757" s="78"/>
      <c r="E757" s="78"/>
      <c r="F757" s="78"/>
    </row>
    <row r="758" ht="15.75" customHeight="1">
      <c r="A758" s="78"/>
      <c r="B758" s="78"/>
      <c r="C758" s="78"/>
      <c r="D758" s="78"/>
      <c r="E758" s="78"/>
      <c r="F758" s="78"/>
    </row>
    <row r="759" ht="15.75" customHeight="1">
      <c r="A759" s="78"/>
      <c r="B759" s="78"/>
      <c r="C759" s="78"/>
      <c r="D759" s="78"/>
      <c r="E759" s="78"/>
      <c r="F759" s="78"/>
    </row>
    <row r="760" ht="15.75" customHeight="1">
      <c r="A760" s="78"/>
      <c r="B760" s="78"/>
      <c r="C760" s="78"/>
      <c r="D760" s="78"/>
      <c r="E760" s="78"/>
      <c r="F760" s="78"/>
    </row>
    <row r="761" ht="15.75" customHeight="1">
      <c r="A761" s="78"/>
      <c r="B761" s="78"/>
      <c r="C761" s="78"/>
      <c r="D761" s="78"/>
      <c r="E761" s="78"/>
      <c r="F761" s="78"/>
    </row>
    <row r="762" ht="15.75" customHeight="1">
      <c r="A762" s="78"/>
      <c r="B762" s="78"/>
      <c r="C762" s="78"/>
      <c r="D762" s="78"/>
      <c r="E762" s="78"/>
      <c r="F762" s="78"/>
    </row>
    <row r="763" ht="15.75" customHeight="1">
      <c r="A763" s="78"/>
      <c r="B763" s="78"/>
      <c r="C763" s="78"/>
      <c r="D763" s="78"/>
      <c r="E763" s="78"/>
      <c r="F763" s="78"/>
    </row>
    <row r="764" ht="15.75" customHeight="1">
      <c r="A764" s="78"/>
      <c r="B764" s="78"/>
      <c r="C764" s="78"/>
      <c r="D764" s="78"/>
      <c r="E764" s="78"/>
      <c r="F764" s="78"/>
    </row>
    <row r="765" ht="15.75" customHeight="1">
      <c r="A765" s="78"/>
      <c r="B765" s="78"/>
      <c r="C765" s="78"/>
      <c r="D765" s="78"/>
      <c r="E765" s="78"/>
      <c r="F765" s="78"/>
    </row>
    <row r="766" ht="15.75" customHeight="1">
      <c r="A766" s="78"/>
      <c r="B766" s="78"/>
      <c r="C766" s="78"/>
      <c r="D766" s="78"/>
      <c r="E766" s="78"/>
      <c r="F766" s="78"/>
    </row>
    <row r="767" ht="15.75" customHeight="1">
      <c r="A767" s="78"/>
      <c r="B767" s="78"/>
      <c r="C767" s="78"/>
      <c r="D767" s="78"/>
      <c r="E767" s="78"/>
      <c r="F767" s="78"/>
    </row>
    <row r="768" ht="15.75" customHeight="1">
      <c r="A768" s="78"/>
      <c r="B768" s="78"/>
      <c r="C768" s="78"/>
      <c r="D768" s="78"/>
      <c r="E768" s="78"/>
      <c r="F768" s="78"/>
    </row>
    <row r="769" ht="15.75" customHeight="1">
      <c r="A769" s="78"/>
      <c r="B769" s="78"/>
      <c r="C769" s="78"/>
      <c r="D769" s="78"/>
      <c r="E769" s="78"/>
      <c r="F769" s="78"/>
    </row>
    <row r="770" ht="15.75" customHeight="1">
      <c r="A770" s="78"/>
      <c r="B770" s="78"/>
      <c r="C770" s="78"/>
      <c r="D770" s="78"/>
      <c r="E770" s="78"/>
      <c r="F770" s="78"/>
    </row>
    <row r="771" ht="15.75" customHeight="1">
      <c r="A771" s="78"/>
      <c r="B771" s="78"/>
      <c r="C771" s="78"/>
      <c r="D771" s="78"/>
      <c r="E771" s="78"/>
      <c r="F771" s="78"/>
    </row>
    <row r="772" ht="15.75" customHeight="1">
      <c r="A772" s="78"/>
      <c r="B772" s="78"/>
      <c r="C772" s="78"/>
      <c r="D772" s="78"/>
      <c r="E772" s="78"/>
      <c r="F772" s="78"/>
    </row>
    <row r="773" ht="15.75" customHeight="1">
      <c r="A773" s="78"/>
      <c r="B773" s="78"/>
      <c r="C773" s="78"/>
      <c r="D773" s="78"/>
      <c r="E773" s="78"/>
      <c r="F773" s="78"/>
    </row>
    <row r="774" ht="15.75" customHeight="1">
      <c r="A774" s="78"/>
      <c r="B774" s="78"/>
      <c r="C774" s="78"/>
      <c r="D774" s="78"/>
      <c r="E774" s="78"/>
      <c r="F774" s="78"/>
    </row>
    <row r="775" ht="15.75" customHeight="1">
      <c r="A775" s="78"/>
      <c r="B775" s="78"/>
      <c r="C775" s="78"/>
      <c r="D775" s="78"/>
      <c r="E775" s="78"/>
      <c r="F775" s="78"/>
    </row>
    <row r="776" ht="15.75" customHeight="1">
      <c r="A776" s="78"/>
      <c r="B776" s="78"/>
      <c r="C776" s="78"/>
      <c r="D776" s="78"/>
      <c r="E776" s="78"/>
      <c r="F776" s="78"/>
    </row>
    <row r="777" ht="15.75" customHeight="1">
      <c r="A777" s="78"/>
      <c r="B777" s="78"/>
      <c r="C777" s="78"/>
      <c r="D777" s="78"/>
      <c r="E777" s="78"/>
      <c r="F777" s="78"/>
    </row>
    <row r="778" ht="15.75" customHeight="1">
      <c r="A778" s="78"/>
      <c r="B778" s="78"/>
      <c r="C778" s="78"/>
      <c r="D778" s="78"/>
      <c r="E778" s="78"/>
      <c r="F778" s="78"/>
    </row>
    <row r="779" ht="15.75" customHeight="1">
      <c r="A779" s="78"/>
      <c r="B779" s="78"/>
      <c r="C779" s="78"/>
      <c r="D779" s="78"/>
      <c r="E779" s="78"/>
      <c r="F779" s="78"/>
    </row>
    <row r="780" ht="15.75" customHeight="1">
      <c r="A780" s="78"/>
      <c r="B780" s="78"/>
      <c r="C780" s="78"/>
      <c r="D780" s="78"/>
      <c r="E780" s="78"/>
      <c r="F780" s="78"/>
    </row>
    <row r="781" ht="15.75" customHeight="1">
      <c r="A781" s="78"/>
      <c r="B781" s="78"/>
      <c r="C781" s="78"/>
      <c r="D781" s="78"/>
      <c r="E781" s="78"/>
      <c r="F781" s="78"/>
    </row>
    <row r="782" ht="15.75" customHeight="1">
      <c r="A782" s="78"/>
      <c r="B782" s="78"/>
      <c r="C782" s="78"/>
      <c r="D782" s="78"/>
      <c r="E782" s="78"/>
      <c r="F782" s="78"/>
    </row>
    <row r="783" ht="15.75" customHeight="1">
      <c r="A783" s="78"/>
      <c r="B783" s="78"/>
      <c r="C783" s="78"/>
      <c r="D783" s="78"/>
      <c r="E783" s="78"/>
      <c r="F783" s="78"/>
    </row>
    <row r="784" ht="15.75" customHeight="1">
      <c r="A784" s="78"/>
      <c r="B784" s="78"/>
      <c r="C784" s="78"/>
      <c r="D784" s="78"/>
      <c r="E784" s="78"/>
      <c r="F784" s="78"/>
    </row>
    <row r="785" ht="15.75" customHeight="1">
      <c r="A785" s="78"/>
      <c r="B785" s="78"/>
      <c r="C785" s="78"/>
      <c r="D785" s="78"/>
      <c r="E785" s="78"/>
      <c r="F785" s="78"/>
    </row>
    <row r="786" ht="15.75" customHeight="1">
      <c r="A786" s="78"/>
      <c r="B786" s="78"/>
      <c r="C786" s="78"/>
      <c r="D786" s="78"/>
      <c r="E786" s="78"/>
      <c r="F786" s="78"/>
    </row>
    <row r="787" ht="15.75" customHeight="1">
      <c r="A787" s="78"/>
      <c r="B787" s="78"/>
      <c r="C787" s="78"/>
      <c r="D787" s="78"/>
      <c r="E787" s="78"/>
      <c r="F787" s="78"/>
    </row>
    <row r="788" ht="15.75" customHeight="1">
      <c r="A788" s="78"/>
      <c r="B788" s="78"/>
      <c r="C788" s="78"/>
      <c r="D788" s="78"/>
      <c r="E788" s="78"/>
      <c r="F788" s="78"/>
    </row>
    <row r="789" ht="15.75" customHeight="1">
      <c r="A789" s="78"/>
      <c r="B789" s="78"/>
      <c r="C789" s="78"/>
      <c r="D789" s="78"/>
      <c r="E789" s="78"/>
      <c r="F789" s="78"/>
    </row>
    <row r="790" ht="15.75" customHeight="1">
      <c r="A790" s="78"/>
      <c r="B790" s="78"/>
      <c r="C790" s="78"/>
      <c r="D790" s="78"/>
      <c r="E790" s="78"/>
      <c r="F790" s="78"/>
    </row>
    <row r="791" ht="15.75" customHeight="1">
      <c r="A791" s="78"/>
      <c r="B791" s="78"/>
      <c r="C791" s="78"/>
      <c r="D791" s="78"/>
      <c r="E791" s="78"/>
      <c r="F791" s="78"/>
    </row>
    <row r="792" ht="15.75" customHeight="1">
      <c r="A792" s="78"/>
      <c r="B792" s="78"/>
      <c r="C792" s="78"/>
      <c r="D792" s="78"/>
      <c r="E792" s="78"/>
      <c r="F792" s="78"/>
    </row>
    <row r="793" ht="15.75" customHeight="1">
      <c r="A793" s="78"/>
      <c r="B793" s="78"/>
      <c r="C793" s="78"/>
      <c r="D793" s="78"/>
      <c r="E793" s="78"/>
      <c r="F793" s="78"/>
    </row>
    <row r="794" ht="15.75" customHeight="1">
      <c r="A794" s="78"/>
      <c r="B794" s="78"/>
      <c r="C794" s="78"/>
      <c r="D794" s="78"/>
      <c r="E794" s="78"/>
      <c r="F794" s="78"/>
    </row>
    <row r="795" ht="15.75" customHeight="1">
      <c r="A795" s="78"/>
      <c r="B795" s="78"/>
      <c r="C795" s="78"/>
      <c r="D795" s="78"/>
      <c r="E795" s="78"/>
      <c r="F795" s="78"/>
    </row>
    <row r="796" ht="15.75" customHeight="1">
      <c r="A796" s="78"/>
      <c r="B796" s="78"/>
      <c r="C796" s="78"/>
      <c r="D796" s="78"/>
      <c r="E796" s="78"/>
      <c r="F796" s="78"/>
    </row>
    <row r="797" ht="15.75" customHeight="1">
      <c r="A797" s="78"/>
      <c r="B797" s="78"/>
      <c r="C797" s="78"/>
      <c r="D797" s="78"/>
      <c r="E797" s="78"/>
      <c r="F797" s="78"/>
    </row>
    <row r="798" ht="15.75" customHeight="1">
      <c r="A798" s="78"/>
      <c r="B798" s="78"/>
      <c r="C798" s="78"/>
      <c r="D798" s="78"/>
      <c r="E798" s="78"/>
      <c r="F798" s="78"/>
    </row>
    <row r="799" ht="15.75" customHeight="1">
      <c r="A799" s="78"/>
      <c r="B799" s="78"/>
      <c r="C799" s="78"/>
      <c r="D799" s="78"/>
      <c r="E799" s="78"/>
      <c r="F799" s="78"/>
    </row>
    <row r="800" ht="15.75" customHeight="1">
      <c r="A800" s="78"/>
      <c r="B800" s="78"/>
      <c r="C800" s="78"/>
      <c r="D800" s="78"/>
      <c r="E800" s="78"/>
      <c r="F800" s="78"/>
    </row>
    <row r="801" ht="15.75" customHeight="1">
      <c r="A801" s="78"/>
      <c r="B801" s="78"/>
      <c r="C801" s="78"/>
      <c r="D801" s="78"/>
      <c r="E801" s="78"/>
      <c r="F801" s="78"/>
    </row>
    <row r="802" ht="15.75" customHeight="1">
      <c r="A802" s="78"/>
      <c r="B802" s="78"/>
      <c r="C802" s="78"/>
      <c r="D802" s="78"/>
      <c r="E802" s="78"/>
      <c r="F802" s="78"/>
    </row>
    <row r="803" ht="15.75" customHeight="1">
      <c r="A803" s="78"/>
      <c r="B803" s="78"/>
      <c r="C803" s="78"/>
      <c r="D803" s="78"/>
      <c r="E803" s="78"/>
      <c r="F803" s="78"/>
    </row>
    <row r="804" ht="15.75" customHeight="1">
      <c r="A804" s="78"/>
      <c r="B804" s="78"/>
      <c r="C804" s="78"/>
      <c r="D804" s="78"/>
      <c r="E804" s="78"/>
      <c r="F804" s="78"/>
    </row>
    <row r="805" ht="15.75" customHeight="1">
      <c r="A805" s="78"/>
      <c r="B805" s="78"/>
      <c r="C805" s="78"/>
      <c r="D805" s="78"/>
      <c r="E805" s="78"/>
      <c r="F805" s="78"/>
    </row>
    <row r="806" ht="15.75" customHeight="1">
      <c r="A806" s="78"/>
      <c r="B806" s="78"/>
      <c r="C806" s="78"/>
      <c r="D806" s="78"/>
      <c r="E806" s="78"/>
      <c r="F806" s="78"/>
    </row>
    <row r="807" ht="15.75" customHeight="1">
      <c r="A807" s="78"/>
      <c r="B807" s="78"/>
      <c r="C807" s="78"/>
      <c r="D807" s="78"/>
      <c r="E807" s="78"/>
      <c r="F807" s="78"/>
    </row>
    <row r="808" ht="15.75" customHeight="1">
      <c r="A808" s="78"/>
      <c r="B808" s="78"/>
      <c r="C808" s="78"/>
      <c r="D808" s="78"/>
      <c r="E808" s="78"/>
      <c r="F808" s="78"/>
    </row>
    <row r="809" ht="15.75" customHeight="1">
      <c r="A809" s="78"/>
      <c r="B809" s="78"/>
      <c r="C809" s="78"/>
      <c r="D809" s="78"/>
      <c r="E809" s="78"/>
      <c r="F809" s="78"/>
    </row>
    <row r="810" ht="15.75" customHeight="1">
      <c r="A810" s="78"/>
      <c r="B810" s="78"/>
      <c r="C810" s="78"/>
      <c r="D810" s="78"/>
      <c r="E810" s="78"/>
      <c r="F810" s="78"/>
    </row>
    <row r="811" ht="15.75" customHeight="1">
      <c r="A811" s="78"/>
      <c r="B811" s="78"/>
      <c r="C811" s="78"/>
      <c r="D811" s="78"/>
      <c r="E811" s="78"/>
      <c r="F811" s="78"/>
    </row>
    <row r="812" ht="15.75" customHeight="1">
      <c r="A812" s="78"/>
      <c r="B812" s="78"/>
      <c r="C812" s="78"/>
      <c r="D812" s="78"/>
      <c r="E812" s="78"/>
      <c r="F812" s="78"/>
    </row>
    <row r="813" ht="15.75" customHeight="1">
      <c r="A813" s="78"/>
      <c r="B813" s="78"/>
      <c r="C813" s="78"/>
      <c r="D813" s="78"/>
      <c r="E813" s="78"/>
      <c r="F813" s="78"/>
    </row>
    <row r="814" ht="15.75" customHeight="1">
      <c r="A814" s="78"/>
      <c r="B814" s="78"/>
      <c r="C814" s="78"/>
      <c r="D814" s="78"/>
      <c r="E814" s="78"/>
      <c r="F814" s="78"/>
    </row>
    <row r="815" ht="15.75" customHeight="1">
      <c r="A815" s="78"/>
      <c r="B815" s="78"/>
      <c r="C815" s="78"/>
      <c r="D815" s="78"/>
      <c r="E815" s="78"/>
      <c r="F815" s="78"/>
    </row>
    <row r="816" ht="15.75" customHeight="1">
      <c r="A816" s="78"/>
      <c r="B816" s="78"/>
      <c r="C816" s="78"/>
      <c r="D816" s="78"/>
      <c r="E816" s="78"/>
      <c r="F816" s="78"/>
    </row>
    <row r="817" ht="15.75" customHeight="1">
      <c r="A817" s="78"/>
      <c r="B817" s="78"/>
      <c r="C817" s="78"/>
      <c r="D817" s="78"/>
      <c r="E817" s="78"/>
      <c r="F817" s="78"/>
    </row>
    <row r="818" ht="15.75" customHeight="1">
      <c r="A818" s="78"/>
      <c r="B818" s="78"/>
      <c r="C818" s="78"/>
      <c r="D818" s="78"/>
      <c r="E818" s="78"/>
      <c r="F818" s="78"/>
    </row>
    <row r="819" ht="15.75" customHeight="1">
      <c r="A819" s="78"/>
      <c r="B819" s="78"/>
      <c r="C819" s="78"/>
      <c r="D819" s="78"/>
      <c r="E819" s="78"/>
      <c r="F819" s="78"/>
    </row>
    <row r="820" ht="15.75" customHeight="1">
      <c r="A820" s="78"/>
      <c r="B820" s="78"/>
      <c r="C820" s="78"/>
      <c r="D820" s="78"/>
      <c r="E820" s="78"/>
      <c r="F820" s="78"/>
    </row>
    <row r="821" ht="15.75" customHeight="1">
      <c r="A821" s="78"/>
      <c r="B821" s="78"/>
      <c r="C821" s="78"/>
      <c r="D821" s="78"/>
      <c r="E821" s="78"/>
      <c r="F821" s="78"/>
    </row>
    <row r="822" ht="15.75" customHeight="1">
      <c r="A822" s="78"/>
      <c r="B822" s="78"/>
      <c r="C822" s="78"/>
      <c r="D822" s="78"/>
      <c r="E822" s="78"/>
      <c r="F822" s="78"/>
    </row>
    <row r="823" ht="15.75" customHeight="1">
      <c r="A823" s="78"/>
      <c r="B823" s="78"/>
      <c r="C823" s="78"/>
      <c r="D823" s="78"/>
      <c r="E823" s="78"/>
      <c r="F823" s="78"/>
    </row>
    <row r="824" ht="15.75" customHeight="1">
      <c r="A824" s="78"/>
      <c r="B824" s="78"/>
      <c r="C824" s="78"/>
      <c r="D824" s="78"/>
      <c r="E824" s="78"/>
      <c r="F824" s="78"/>
    </row>
    <row r="825" ht="15.75" customHeight="1">
      <c r="A825" s="78"/>
      <c r="B825" s="78"/>
      <c r="C825" s="78"/>
      <c r="D825" s="78"/>
      <c r="E825" s="78"/>
      <c r="F825" s="78"/>
    </row>
    <row r="826" ht="15.75" customHeight="1">
      <c r="A826" s="78"/>
      <c r="B826" s="78"/>
      <c r="C826" s="78"/>
      <c r="D826" s="78"/>
      <c r="E826" s="78"/>
      <c r="F826" s="78"/>
    </row>
    <row r="827" ht="15.75" customHeight="1">
      <c r="A827" s="78"/>
      <c r="B827" s="78"/>
      <c r="C827" s="78"/>
      <c r="D827" s="78"/>
      <c r="E827" s="78"/>
      <c r="F827" s="78"/>
    </row>
    <row r="828" ht="15.75" customHeight="1">
      <c r="A828" s="78"/>
      <c r="B828" s="78"/>
      <c r="C828" s="78"/>
      <c r="D828" s="78"/>
      <c r="E828" s="78"/>
      <c r="F828" s="78"/>
    </row>
    <row r="829" ht="15.75" customHeight="1">
      <c r="A829" s="78"/>
      <c r="B829" s="78"/>
      <c r="C829" s="78"/>
      <c r="D829" s="78"/>
      <c r="E829" s="78"/>
      <c r="F829" s="78"/>
    </row>
    <row r="830" ht="15.75" customHeight="1">
      <c r="A830" s="78"/>
      <c r="B830" s="78"/>
      <c r="C830" s="78"/>
      <c r="D830" s="78"/>
      <c r="E830" s="78"/>
      <c r="F830" s="78"/>
    </row>
    <row r="831" ht="15.75" customHeight="1">
      <c r="A831" s="78"/>
      <c r="B831" s="78"/>
      <c r="C831" s="78"/>
      <c r="D831" s="78"/>
      <c r="E831" s="78"/>
      <c r="F831" s="78"/>
    </row>
    <row r="832" ht="15.75" customHeight="1">
      <c r="A832" s="78"/>
      <c r="B832" s="78"/>
      <c r="C832" s="78"/>
      <c r="D832" s="78"/>
      <c r="E832" s="78"/>
      <c r="F832" s="78"/>
    </row>
    <row r="833" ht="15.75" customHeight="1">
      <c r="A833" s="78"/>
      <c r="B833" s="78"/>
      <c r="C833" s="78"/>
      <c r="D833" s="78"/>
      <c r="E833" s="78"/>
      <c r="F833" s="78"/>
    </row>
    <row r="834" ht="15.75" customHeight="1">
      <c r="A834" s="78"/>
      <c r="B834" s="78"/>
      <c r="C834" s="78"/>
      <c r="D834" s="78"/>
      <c r="E834" s="78"/>
      <c r="F834" s="78"/>
    </row>
    <row r="835" ht="15.75" customHeight="1">
      <c r="A835" s="78"/>
      <c r="B835" s="78"/>
      <c r="C835" s="78"/>
      <c r="D835" s="78"/>
      <c r="E835" s="78"/>
      <c r="F835" s="78"/>
    </row>
    <row r="836" ht="15.75" customHeight="1">
      <c r="A836" s="78"/>
      <c r="B836" s="78"/>
      <c r="C836" s="78"/>
      <c r="D836" s="78"/>
      <c r="E836" s="78"/>
      <c r="F836" s="78"/>
    </row>
    <row r="837" ht="15.75" customHeight="1">
      <c r="A837" s="78"/>
      <c r="B837" s="78"/>
      <c r="C837" s="78"/>
      <c r="D837" s="78"/>
      <c r="E837" s="78"/>
      <c r="F837" s="78"/>
    </row>
    <row r="838" ht="15.75" customHeight="1">
      <c r="A838" s="78"/>
      <c r="B838" s="78"/>
      <c r="C838" s="78"/>
      <c r="D838" s="78"/>
      <c r="E838" s="78"/>
      <c r="F838" s="78"/>
    </row>
    <row r="839" ht="15.75" customHeight="1">
      <c r="A839" s="78"/>
      <c r="B839" s="78"/>
      <c r="C839" s="78"/>
      <c r="D839" s="78"/>
      <c r="E839" s="78"/>
      <c r="F839" s="78"/>
    </row>
    <row r="840" ht="15.75" customHeight="1">
      <c r="A840" s="78"/>
      <c r="B840" s="78"/>
      <c r="C840" s="78"/>
      <c r="D840" s="78"/>
      <c r="E840" s="78"/>
      <c r="F840" s="78"/>
    </row>
    <row r="841" ht="15.75" customHeight="1">
      <c r="A841" s="78"/>
      <c r="B841" s="78"/>
      <c r="C841" s="78"/>
      <c r="D841" s="78"/>
      <c r="E841" s="78"/>
      <c r="F841" s="78"/>
    </row>
    <row r="842" ht="15.75" customHeight="1">
      <c r="A842" s="78"/>
      <c r="B842" s="78"/>
      <c r="C842" s="78"/>
      <c r="D842" s="78"/>
      <c r="E842" s="78"/>
      <c r="F842" s="78"/>
    </row>
    <row r="843" ht="15.75" customHeight="1">
      <c r="A843" s="78"/>
      <c r="B843" s="78"/>
      <c r="C843" s="78"/>
      <c r="D843" s="78"/>
      <c r="E843" s="78"/>
      <c r="F843" s="78"/>
    </row>
    <row r="844" ht="15.75" customHeight="1">
      <c r="A844" s="78"/>
      <c r="B844" s="78"/>
      <c r="C844" s="78"/>
      <c r="D844" s="78"/>
      <c r="E844" s="78"/>
      <c r="F844" s="78"/>
    </row>
    <row r="845" ht="15.75" customHeight="1">
      <c r="A845" s="78"/>
      <c r="B845" s="78"/>
      <c r="C845" s="78"/>
      <c r="D845" s="78"/>
      <c r="E845" s="78"/>
      <c r="F845" s="78"/>
    </row>
    <row r="846" ht="15.75" customHeight="1">
      <c r="A846" s="78"/>
      <c r="B846" s="78"/>
      <c r="C846" s="78"/>
      <c r="D846" s="78"/>
      <c r="E846" s="78"/>
      <c r="F846" s="78"/>
    </row>
    <row r="847" ht="15.75" customHeight="1">
      <c r="A847" s="78"/>
      <c r="B847" s="78"/>
      <c r="C847" s="78"/>
      <c r="D847" s="78"/>
      <c r="E847" s="78"/>
      <c r="F847" s="78"/>
    </row>
    <row r="848" ht="15.75" customHeight="1">
      <c r="A848" s="78"/>
      <c r="B848" s="78"/>
      <c r="C848" s="78"/>
      <c r="D848" s="78"/>
      <c r="E848" s="78"/>
      <c r="F848" s="78"/>
    </row>
    <row r="849" ht="15.75" customHeight="1">
      <c r="A849" s="78"/>
      <c r="B849" s="78"/>
      <c r="C849" s="78"/>
      <c r="D849" s="78"/>
      <c r="E849" s="78"/>
      <c r="F849" s="78"/>
    </row>
    <row r="850" ht="15.75" customHeight="1">
      <c r="A850" s="78"/>
      <c r="B850" s="78"/>
      <c r="C850" s="78"/>
      <c r="D850" s="78"/>
      <c r="E850" s="78"/>
      <c r="F850" s="78"/>
    </row>
    <row r="851" ht="15.75" customHeight="1">
      <c r="A851" s="78"/>
      <c r="B851" s="78"/>
      <c r="C851" s="78"/>
      <c r="D851" s="78"/>
      <c r="E851" s="78"/>
      <c r="F851" s="78"/>
    </row>
    <row r="852" ht="15.75" customHeight="1">
      <c r="A852" s="78"/>
      <c r="B852" s="78"/>
      <c r="C852" s="78"/>
      <c r="D852" s="78"/>
      <c r="E852" s="78"/>
      <c r="F852" s="78"/>
    </row>
    <row r="853" ht="15.75" customHeight="1">
      <c r="A853" s="78"/>
      <c r="B853" s="78"/>
      <c r="C853" s="78"/>
      <c r="D853" s="78"/>
      <c r="E853" s="78"/>
      <c r="F853" s="78"/>
    </row>
    <row r="854" ht="15.75" customHeight="1">
      <c r="A854" s="78"/>
      <c r="B854" s="78"/>
      <c r="C854" s="78"/>
      <c r="D854" s="78"/>
      <c r="E854" s="78"/>
      <c r="F854" s="78"/>
    </row>
    <row r="855" ht="15.75" customHeight="1">
      <c r="A855" s="78"/>
      <c r="B855" s="78"/>
      <c r="C855" s="78"/>
      <c r="D855" s="78"/>
      <c r="E855" s="78"/>
      <c r="F855" s="78"/>
    </row>
    <row r="856" ht="15.75" customHeight="1">
      <c r="A856" s="78"/>
      <c r="B856" s="78"/>
      <c r="C856" s="78"/>
      <c r="D856" s="78"/>
      <c r="E856" s="78"/>
      <c r="F856" s="78"/>
    </row>
    <row r="857" ht="15.75" customHeight="1">
      <c r="A857" s="78"/>
      <c r="B857" s="78"/>
      <c r="C857" s="78"/>
      <c r="D857" s="78"/>
      <c r="E857" s="78"/>
      <c r="F857" s="78"/>
    </row>
    <row r="858" ht="15.75" customHeight="1">
      <c r="A858" s="78"/>
      <c r="B858" s="78"/>
      <c r="C858" s="78"/>
      <c r="D858" s="78"/>
      <c r="E858" s="78"/>
      <c r="F858" s="78"/>
    </row>
    <row r="859" ht="15.75" customHeight="1">
      <c r="A859" s="78"/>
      <c r="B859" s="78"/>
      <c r="C859" s="78"/>
      <c r="D859" s="78"/>
      <c r="E859" s="78"/>
      <c r="F859" s="78"/>
    </row>
    <row r="860" ht="15.75" customHeight="1">
      <c r="A860" s="78"/>
      <c r="B860" s="78"/>
      <c r="C860" s="78"/>
      <c r="D860" s="78"/>
      <c r="E860" s="78"/>
      <c r="F860" s="78"/>
    </row>
    <row r="861" ht="15.75" customHeight="1">
      <c r="A861" s="78"/>
      <c r="B861" s="78"/>
      <c r="C861" s="78"/>
      <c r="D861" s="78"/>
      <c r="E861" s="78"/>
      <c r="F861" s="78"/>
    </row>
    <row r="862" ht="15.75" customHeight="1">
      <c r="A862" s="78"/>
      <c r="B862" s="78"/>
      <c r="C862" s="78"/>
      <c r="D862" s="78"/>
      <c r="E862" s="78"/>
      <c r="F862" s="78"/>
    </row>
    <row r="863" ht="15.75" customHeight="1">
      <c r="A863" s="78"/>
      <c r="B863" s="78"/>
      <c r="C863" s="78"/>
      <c r="D863" s="78"/>
      <c r="E863" s="78"/>
      <c r="F863" s="78"/>
    </row>
    <row r="864" ht="15.75" customHeight="1">
      <c r="A864" s="78"/>
      <c r="B864" s="78"/>
      <c r="C864" s="78"/>
      <c r="D864" s="78"/>
      <c r="E864" s="78"/>
      <c r="F864" s="78"/>
    </row>
    <row r="865" ht="15.75" customHeight="1">
      <c r="A865" s="78"/>
      <c r="B865" s="78"/>
      <c r="C865" s="78"/>
      <c r="D865" s="78"/>
      <c r="E865" s="78"/>
      <c r="F865" s="78"/>
    </row>
    <row r="866" ht="15.75" customHeight="1">
      <c r="A866" s="78"/>
      <c r="B866" s="78"/>
      <c r="C866" s="78"/>
      <c r="D866" s="78"/>
      <c r="E866" s="78"/>
      <c r="F866" s="78"/>
    </row>
    <row r="867" ht="15.75" customHeight="1">
      <c r="A867" s="78"/>
      <c r="B867" s="78"/>
      <c r="C867" s="78"/>
      <c r="D867" s="78"/>
      <c r="E867" s="78"/>
      <c r="F867" s="78"/>
    </row>
    <row r="868" ht="15.75" customHeight="1">
      <c r="A868" s="78"/>
      <c r="B868" s="78"/>
      <c r="C868" s="78"/>
      <c r="D868" s="78"/>
      <c r="E868" s="78"/>
      <c r="F868" s="78"/>
    </row>
    <row r="869" ht="15.75" customHeight="1">
      <c r="A869" s="78"/>
      <c r="B869" s="78"/>
      <c r="C869" s="78"/>
      <c r="D869" s="78"/>
      <c r="E869" s="78"/>
      <c r="F869" s="78"/>
    </row>
    <row r="870" ht="15.75" customHeight="1">
      <c r="A870" s="78"/>
      <c r="B870" s="78"/>
      <c r="C870" s="78"/>
      <c r="D870" s="78"/>
      <c r="E870" s="78"/>
      <c r="F870" s="78"/>
    </row>
    <row r="871" ht="15.75" customHeight="1">
      <c r="A871" s="78"/>
      <c r="B871" s="78"/>
      <c r="C871" s="78"/>
      <c r="D871" s="78"/>
      <c r="E871" s="78"/>
      <c r="F871" s="78"/>
    </row>
    <row r="872" ht="15.75" customHeight="1">
      <c r="A872" s="78"/>
      <c r="B872" s="78"/>
      <c r="C872" s="78"/>
      <c r="D872" s="78"/>
      <c r="E872" s="78"/>
      <c r="F872" s="78"/>
    </row>
    <row r="873" ht="15.75" customHeight="1">
      <c r="A873" s="78"/>
      <c r="B873" s="78"/>
      <c r="C873" s="78"/>
      <c r="D873" s="78"/>
      <c r="E873" s="78"/>
      <c r="F873" s="78"/>
    </row>
    <row r="874" ht="15.75" customHeight="1">
      <c r="A874" s="78"/>
      <c r="B874" s="78"/>
      <c r="C874" s="78"/>
      <c r="D874" s="78"/>
      <c r="E874" s="78"/>
      <c r="F874" s="78"/>
    </row>
    <row r="875" ht="15.75" customHeight="1">
      <c r="A875" s="78"/>
      <c r="B875" s="78"/>
      <c r="C875" s="78"/>
      <c r="D875" s="78"/>
      <c r="E875" s="78"/>
      <c r="F875" s="78"/>
    </row>
    <row r="876" ht="15.75" customHeight="1">
      <c r="A876" s="78"/>
      <c r="B876" s="78"/>
      <c r="C876" s="78"/>
      <c r="D876" s="78"/>
      <c r="E876" s="78"/>
      <c r="F876" s="78"/>
    </row>
    <row r="877" ht="15.75" customHeight="1">
      <c r="A877" s="78"/>
      <c r="B877" s="78"/>
      <c r="C877" s="78"/>
      <c r="D877" s="78"/>
      <c r="E877" s="78"/>
      <c r="F877" s="78"/>
    </row>
    <row r="878" ht="15.75" customHeight="1">
      <c r="A878" s="78"/>
      <c r="B878" s="78"/>
      <c r="C878" s="78"/>
      <c r="D878" s="78"/>
      <c r="E878" s="78"/>
      <c r="F878" s="78"/>
    </row>
    <row r="879" ht="15.75" customHeight="1">
      <c r="A879" s="78"/>
      <c r="B879" s="78"/>
      <c r="C879" s="78"/>
      <c r="D879" s="78"/>
      <c r="E879" s="78"/>
      <c r="F879" s="78"/>
    </row>
    <row r="880" ht="15.75" customHeight="1">
      <c r="A880" s="78"/>
      <c r="B880" s="78"/>
      <c r="C880" s="78"/>
      <c r="D880" s="78"/>
      <c r="E880" s="78"/>
      <c r="F880" s="78"/>
    </row>
    <row r="881" ht="15.75" customHeight="1">
      <c r="A881" s="78"/>
      <c r="B881" s="78"/>
      <c r="C881" s="78"/>
      <c r="D881" s="78"/>
      <c r="E881" s="78"/>
      <c r="F881" s="78"/>
    </row>
    <row r="882" ht="15.75" customHeight="1">
      <c r="A882" s="78"/>
      <c r="B882" s="78"/>
      <c r="C882" s="78"/>
      <c r="D882" s="78"/>
      <c r="E882" s="78"/>
      <c r="F882" s="78"/>
    </row>
    <row r="883" ht="15.75" customHeight="1">
      <c r="A883" s="78"/>
      <c r="B883" s="78"/>
      <c r="C883" s="78"/>
      <c r="D883" s="78"/>
      <c r="E883" s="78"/>
      <c r="F883" s="78"/>
    </row>
    <row r="884" ht="15.75" customHeight="1">
      <c r="A884" s="78"/>
      <c r="B884" s="78"/>
      <c r="C884" s="78"/>
      <c r="D884" s="78"/>
      <c r="E884" s="78"/>
      <c r="F884" s="78"/>
    </row>
    <row r="885" ht="15.75" customHeight="1">
      <c r="A885" s="78"/>
      <c r="B885" s="78"/>
      <c r="C885" s="78"/>
      <c r="D885" s="78"/>
      <c r="E885" s="78"/>
      <c r="F885" s="78"/>
    </row>
    <row r="886" ht="15.75" customHeight="1">
      <c r="A886" s="78"/>
      <c r="B886" s="78"/>
      <c r="C886" s="78"/>
      <c r="D886" s="78"/>
      <c r="E886" s="78"/>
      <c r="F886" s="78"/>
    </row>
    <row r="887" ht="15.75" customHeight="1">
      <c r="A887" s="78"/>
      <c r="B887" s="78"/>
      <c r="C887" s="78"/>
      <c r="D887" s="78"/>
      <c r="E887" s="78"/>
      <c r="F887" s="78"/>
    </row>
    <row r="888" ht="15.75" customHeight="1">
      <c r="A888" s="78"/>
      <c r="B888" s="78"/>
      <c r="C888" s="78"/>
      <c r="D888" s="78"/>
      <c r="E888" s="78"/>
      <c r="F888" s="78"/>
    </row>
    <row r="889" ht="15.75" customHeight="1">
      <c r="A889" s="78"/>
      <c r="B889" s="78"/>
      <c r="C889" s="78"/>
      <c r="D889" s="78"/>
      <c r="E889" s="78"/>
      <c r="F889" s="78"/>
    </row>
    <row r="890" ht="15.75" customHeight="1">
      <c r="A890" s="78"/>
      <c r="B890" s="78"/>
      <c r="C890" s="78"/>
      <c r="D890" s="78"/>
      <c r="E890" s="78"/>
      <c r="F890" s="78"/>
    </row>
    <row r="891" ht="15.75" customHeight="1">
      <c r="A891" s="78"/>
      <c r="B891" s="78"/>
      <c r="C891" s="78"/>
      <c r="D891" s="78"/>
      <c r="E891" s="78"/>
      <c r="F891" s="78"/>
    </row>
    <row r="892" ht="15.75" customHeight="1">
      <c r="A892" s="78"/>
      <c r="B892" s="78"/>
      <c r="C892" s="78"/>
      <c r="D892" s="78"/>
      <c r="E892" s="78"/>
      <c r="F892" s="78"/>
    </row>
    <row r="893" ht="15.75" customHeight="1">
      <c r="A893" s="78"/>
      <c r="B893" s="78"/>
      <c r="C893" s="78"/>
      <c r="D893" s="78"/>
      <c r="E893" s="78"/>
      <c r="F893" s="78"/>
    </row>
    <row r="894" ht="15.75" customHeight="1">
      <c r="A894" s="78"/>
      <c r="B894" s="78"/>
      <c r="C894" s="78"/>
      <c r="D894" s="78"/>
      <c r="E894" s="78"/>
      <c r="F894" s="78"/>
    </row>
    <row r="895" ht="15.75" customHeight="1">
      <c r="A895" s="78"/>
      <c r="B895" s="78"/>
      <c r="C895" s="78"/>
      <c r="D895" s="78"/>
      <c r="E895" s="78"/>
      <c r="F895" s="78"/>
    </row>
    <row r="896" ht="15.75" customHeight="1">
      <c r="A896" s="78"/>
      <c r="B896" s="78"/>
      <c r="C896" s="78"/>
      <c r="D896" s="78"/>
      <c r="E896" s="78"/>
      <c r="F896" s="78"/>
    </row>
    <row r="897" ht="15.75" customHeight="1">
      <c r="A897" s="78"/>
      <c r="B897" s="78"/>
      <c r="C897" s="78"/>
      <c r="D897" s="78"/>
      <c r="E897" s="78"/>
      <c r="F897" s="78"/>
    </row>
    <row r="898" ht="15.75" customHeight="1">
      <c r="A898" s="78"/>
      <c r="B898" s="78"/>
      <c r="C898" s="78"/>
      <c r="D898" s="78"/>
      <c r="E898" s="78"/>
      <c r="F898" s="78"/>
    </row>
    <row r="899" ht="15.75" customHeight="1">
      <c r="A899" s="78"/>
      <c r="B899" s="78"/>
      <c r="C899" s="78"/>
      <c r="D899" s="78"/>
      <c r="E899" s="78"/>
      <c r="F899" s="78"/>
    </row>
    <row r="900" ht="15.75" customHeight="1">
      <c r="A900" s="78"/>
      <c r="B900" s="78"/>
      <c r="C900" s="78"/>
      <c r="D900" s="78"/>
      <c r="E900" s="78"/>
      <c r="F900" s="78"/>
    </row>
    <row r="901" ht="15.75" customHeight="1">
      <c r="A901" s="78"/>
      <c r="B901" s="78"/>
      <c r="C901" s="78"/>
      <c r="D901" s="78"/>
      <c r="E901" s="78"/>
      <c r="F901" s="78"/>
    </row>
    <row r="902" ht="15.75" customHeight="1">
      <c r="A902" s="78"/>
      <c r="B902" s="78"/>
      <c r="C902" s="78"/>
      <c r="D902" s="78"/>
      <c r="E902" s="78"/>
      <c r="F902" s="78"/>
    </row>
    <row r="903" ht="15.75" customHeight="1">
      <c r="A903" s="78"/>
      <c r="B903" s="78"/>
      <c r="C903" s="78"/>
      <c r="D903" s="78"/>
      <c r="E903" s="78"/>
      <c r="F903" s="78"/>
    </row>
    <row r="904" ht="15.75" customHeight="1">
      <c r="A904" s="78"/>
      <c r="B904" s="78"/>
      <c r="C904" s="78"/>
      <c r="D904" s="78"/>
      <c r="E904" s="78"/>
      <c r="F904" s="78"/>
    </row>
    <row r="905" ht="15.75" customHeight="1">
      <c r="A905" s="78"/>
      <c r="B905" s="78"/>
      <c r="C905" s="78"/>
      <c r="D905" s="78"/>
      <c r="E905" s="78"/>
      <c r="F905" s="78"/>
    </row>
    <row r="906" ht="15.75" customHeight="1">
      <c r="A906" s="78"/>
      <c r="B906" s="78"/>
      <c r="C906" s="78"/>
      <c r="D906" s="78"/>
      <c r="E906" s="78"/>
      <c r="F906" s="78"/>
    </row>
    <row r="907" ht="15.75" customHeight="1">
      <c r="A907" s="78"/>
      <c r="B907" s="78"/>
      <c r="C907" s="78"/>
      <c r="D907" s="78"/>
      <c r="E907" s="78"/>
      <c r="F907" s="78"/>
    </row>
    <row r="908" ht="15.75" customHeight="1">
      <c r="A908" s="78"/>
      <c r="B908" s="78"/>
      <c r="C908" s="78"/>
      <c r="D908" s="78"/>
      <c r="E908" s="78"/>
      <c r="F908" s="78"/>
    </row>
    <row r="909" ht="15.75" customHeight="1">
      <c r="A909" s="78"/>
      <c r="B909" s="78"/>
      <c r="C909" s="78"/>
      <c r="D909" s="78"/>
      <c r="E909" s="78"/>
      <c r="F909" s="78"/>
    </row>
    <row r="910" ht="15.75" customHeight="1">
      <c r="A910" s="78"/>
      <c r="B910" s="78"/>
      <c r="C910" s="78"/>
      <c r="D910" s="78"/>
      <c r="E910" s="78"/>
      <c r="F910" s="78"/>
    </row>
    <row r="911" ht="15.75" customHeight="1">
      <c r="A911" s="78"/>
      <c r="B911" s="78"/>
      <c r="C911" s="78"/>
      <c r="D911" s="78"/>
      <c r="E911" s="78"/>
      <c r="F911" s="78"/>
    </row>
    <row r="912" ht="15.75" customHeight="1">
      <c r="A912" s="78"/>
      <c r="B912" s="78"/>
      <c r="C912" s="78"/>
      <c r="D912" s="78"/>
      <c r="E912" s="78"/>
      <c r="F912" s="78"/>
    </row>
    <row r="913" ht="15.75" customHeight="1">
      <c r="A913" s="78"/>
      <c r="B913" s="78"/>
      <c r="C913" s="78"/>
      <c r="D913" s="78"/>
      <c r="E913" s="78"/>
      <c r="F913" s="78"/>
    </row>
    <row r="914" ht="15.75" customHeight="1">
      <c r="A914" s="78"/>
      <c r="B914" s="78"/>
      <c r="C914" s="78"/>
      <c r="D914" s="78"/>
      <c r="E914" s="78"/>
      <c r="F914" s="78"/>
    </row>
    <row r="915" ht="15.75" customHeight="1">
      <c r="A915" s="78"/>
      <c r="B915" s="78"/>
      <c r="C915" s="78"/>
      <c r="D915" s="78"/>
      <c r="E915" s="78"/>
      <c r="F915" s="78"/>
    </row>
    <row r="916" ht="15.75" customHeight="1">
      <c r="A916" s="78"/>
      <c r="B916" s="78"/>
      <c r="C916" s="78"/>
      <c r="D916" s="78"/>
      <c r="E916" s="78"/>
      <c r="F916" s="78"/>
    </row>
    <row r="917" ht="15.75" customHeight="1">
      <c r="A917" s="78"/>
      <c r="B917" s="78"/>
      <c r="C917" s="78"/>
      <c r="D917" s="78"/>
      <c r="E917" s="78"/>
      <c r="F917" s="78"/>
    </row>
    <row r="918" ht="15.75" customHeight="1">
      <c r="A918" s="78"/>
      <c r="B918" s="78"/>
      <c r="C918" s="78"/>
      <c r="D918" s="78"/>
      <c r="E918" s="78"/>
      <c r="F918" s="78"/>
    </row>
    <row r="919" ht="15.75" customHeight="1">
      <c r="A919" s="78"/>
      <c r="B919" s="78"/>
      <c r="C919" s="78"/>
      <c r="D919" s="78"/>
      <c r="E919" s="78"/>
      <c r="F919" s="78"/>
    </row>
    <row r="920" ht="15.75" customHeight="1">
      <c r="A920" s="78"/>
      <c r="B920" s="78"/>
      <c r="C920" s="78"/>
      <c r="D920" s="78"/>
      <c r="E920" s="78"/>
      <c r="F920" s="78"/>
    </row>
    <row r="921" ht="15.75" customHeight="1">
      <c r="A921" s="78"/>
      <c r="B921" s="78"/>
      <c r="C921" s="78"/>
      <c r="D921" s="78"/>
      <c r="E921" s="78"/>
      <c r="F921" s="78"/>
    </row>
    <row r="922" ht="15.75" customHeight="1">
      <c r="A922" s="78"/>
      <c r="B922" s="78"/>
      <c r="C922" s="78"/>
      <c r="D922" s="78"/>
      <c r="E922" s="78"/>
      <c r="F922" s="78"/>
    </row>
    <row r="923" ht="15.75" customHeight="1">
      <c r="A923" s="78"/>
      <c r="B923" s="78"/>
      <c r="C923" s="78"/>
      <c r="D923" s="78"/>
      <c r="E923" s="78"/>
      <c r="F923" s="78"/>
    </row>
    <row r="924" ht="15.75" customHeight="1">
      <c r="A924" s="78"/>
      <c r="B924" s="78"/>
      <c r="C924" s="78"/>
      <c r="D924" s="78"/>
      <c r="E924" s="78"/>
      <c r="F924" s="78"/>
    </row>
    <row r="925" ht="15.75" customHeight="1">
      <c r="A925" s="78"/>
      <c r="B925" s="78"/>
      <c r="C925" s="78"/>
      <c r="D925" s="78"/>
      <c r="E925" s="78"/>
      <c r="F925" s="78"/>
    </row>
    <row r="926" ht="15.75" customHeight="1">
      <c r="A926" s="78"/>
      <c r="B926" s="78"/>
      <c r="C926" s="78"/>
      <c r="D926" s="78"/>
      <c r="E926" s="78"/>
      <c r="F926" s="78"/>
    </row>
    <row r="927" ht="15.75" customHeight="1">
      <c r="A927" s="78"/>
      <c r="B927" s="78"/>
      <c r="C927" s="78"/>
      <c r="D927" s="78"/>
      <c r="E927" s="78"/>
      <c r="F927" s="78"/>
    </row>
    <row r="928" ht="15.75" customHeight="1">
      <c r="A928" s="78"/>
      <c r="B928" s="78"/>
      <c r="C928" s="78"/>
      <c r="D928" s="78"/>
      <c r="E928" s="78"/>
      <c r="F928" s="78"/>
    </row>
    <row r="929" ht="15.75" customHeight="1">
      <c r="A929" s="78"/>
      <c r="B929" s="78"/>
      <c r="C929" s="78"/>
      <c r="D929" s="78"/>
      <c r="E929" s="78"/>
      <c r="F929" s="78"/>
    </row>
    <row r="930" ht="15.75" customHeight="1">
      <c r="A930" s="78"/>
      <c r="B930" s="78"/>
      <c r="C930" s="78"/>
      <c r="D930" s="78"/>
      <c r="E930" s="78"/>
      <c r="F930" s="78"/>
    </row>
    <row r="931" ht="15.75" customHeight="1">
      <c r="A931" s="78"/>
      <c r="B931" s="78"/>
      <c r="C931" s="78"/>
      <c r="D931" s="78"/>
      <c r="E931" s="78"/>
      <c r="F931" s="78"/>
    </row>
    <row r="932" ht="15.75" customHeight="1">
      <c r="A932" s="78"/>
      <c r="B932" s="78"/>
      <c r="C932" s="78"/>
      <c r="D932" s="78"/>
      <c r="E932" s="78"/>
      <c r="F932" s="78"/>
    </row>
    <row r="933" ht="15.75" customHeight="1">
      <c r="A933" s="78"/>
      <c r="B933" s="78"/>
      <c r="C933" s="78"/>
      <c r="D933" s="78"/>
      <c r="E933" s="78"/>
      <c r="F933" s="78"/>
    </row>
    <row r="934" ht="15.75" customHeight="1">
      <c r="A934" s="78"/>
      <c r="B934" s="78"/>
      <c r="C934" s="78"/>
      <c r="D934" s="78"/>
      <c r="E934" s="78"/>
      <c r="F934" s="78"/>
    </row>
    <row r="935" ht="15.75" customHeight="1">
      <c r="A935" s="78"/>
      <c r="B935" s="78"/>
      <c r="C935" s="78"/>
      <c r="D935" s="78"/>
      <c r="E935" s="78"/>
      <c r="F935" s="78"/>
    </row>
    <row r="936" ht="15.75" customHeight="1">
      <c r="A936" s="78"/>
      <c r="B936" s="78"/>
      <c r="C936" s="78"/>
      <c r="D936" s="78"/>
      <c r="E936" s="78"/>
      <c r="F936" s="78"/>
    </row>
    <row r="937" ht="15.75" customHeight="1">
      <c r="A937" s="78"/>
      <c r="B937" s="78"/>
      <c r="C937" s="78"/>
      <c r="D937" s="78"/>
      <c r="E937" s="78"/>
      <c r="F937" s="78"/>
    </row>
    <row r="938" ht="15.75" customHeight="1">
      <c r="A938" s="78"/>
      <c r="B938" s="78"/>
      <c r="C938" s="78"/>
      <c r="D938" s="78"/>
      <c r="E938" s="78"/>
      <c r="F938" s="78"/>
    </row>
    <row r="939" ht="15.75" customHeight="1">
      <c r="A939" s="78"/>
      <c r="B939" s="78"/>
      <c r="C939" s="78"/>
      <c r="D939" s="78"/>
      <c r="E939" s="78"/>
      <c r="F939" s="78"/>
    </row>
    <row r="940" ht="15.75" customHeight="1">
      <c r="A940" s="78"/>
      <c r="B940" s="78"/>
      <c r="C940" s="78"/>
      <c r="D940" s="78"/>
      <c r="E940" s="78"/>
      <c r="F940" s="78"/>
    </row>
    <row r="941" ht="15.75" customHeight="1">
      <c r="A941" s="78"/>
      <c r="B941" s="78"/>
      <c r="C941" s="78"/>
      <c r="D941" s="78"/>
      <c r="E941" s="78"/>
      <c r="F941" s="78"/>
    </row>
    <row r="942" ht="15.75" customHeight="1">
      <c r="A942" s="78"/>
      <c r="B942" s="78"/>
      <c r="C942" s="78"/>
      <c r="D942" s="78"/>
      <c r="E942" s="78"/>
      <c r="F942" s="78"/>
    </row>
    <row r="943" ht="15.75" customHeight="1">
      <c r="A943" s="78"/>
      <c r="B943" s="78"/>
      <c r="C943" s="78"/>
      <c r="D943" s="78"/>
      <c r="E943" s="78"/>
      <c r="F943" s="78"/>
    </row>
    <row r="944" ht="15.75" customHeight="1">
      <c r="A944" s="78"/>
      <c r="B944" s="78"/>
      <c r="C944" s="78"/>
      <c r="D944" s="78"/>
      <c r="E944" s="78"/>
      <c r="F944" s="78"/>
    </row>
    <row r="945" ht="15.75" customHeight="1">
      <c r="A945" s="78"/>
      <c r="B945" s="78"/>
      <c r="C945" s="78"/>
      <c r="D945" s="78"/>
      <c r="E945" s="78"/>
      <c r="F945" s="78"/>
    </row>
    <row r="946" ht="15.75" customHeight="1">
      <c r="A946" s="78"/>
      <c r="B946" s="78"/>
      <c r="C946" s="78"/>
      <c r="D946" s="78"/>
      <c r="E946" s="78"/>
      <c r="F946" s="78"/>
    </row>
    <row r="947" ht="15.75" customHeight="1">
      <c r="A947" s="78"/>
      <c r="B947" s="78"/>
      <c r="C947" s="78"/>
      <c r="D947" s="78"/>
      <c r="E947" s="78"/>
      <c r="F947" s="78"/>
    </row>
    <row r="948" ht="15.75" customHeight="1">
      <c r="A948" s="78"/>
      <c r="B948" s="78"/>
      <c r="C948" s="78"/>
      <c r="D948" s="78"/>
      <c r="E948" s="78"/>
      <c r="F948" s="78"/>
    </row>
    <row r="949" ht="15.75" customHeight="1">
      <c r="A949" s="78"/>
      <c r="B949" s="78"/>
      <c r="C949" s="78"/>
      <c r="D949" s="78"/>
      <c r="E949" s="78"/>
      <c r="F949" s="78"/>
    </row>
    <row r="950" ht="15.75" customHeight="1">
      <c r="A950" s="78"/>
      <c r="B950" s="78"/>
      <c r="C950" s="78"/>
      <c r="D950" s="78"/>
      <c r="E950" s="78"/>
      <c r="F950" s="78"/>
    </row>
    <row r="951" ht="15.75" customHeight="1">
      <c r="A951" s="78"/>
      <c r="B951" s="78"/>
      <c r="C951" s="78"/>
      <c r="D951" s="78"/>
      <c r="E951" s="78"/>
      <c r="F951" s="78"/>
    </row>
    <row r="952" ht="15.75" customHeight="1">
      <c r="A952" s="78"/>
      <c r="B952" s="78"/>
      <c r="C952" s="78"/>
      <c r="D952" s="78"/>
      <c r="E952" s="78"/>
      <c r="F952" s="78"/>
    </row>
    <row r="953" ht="15.75" customHeight="1">
      <c r="A953" s="78"/>
      <c r="B953" s="78"/>
      <c r="C953" s="78"/>
      <c r="D953" s="78"/>
      <c r="E953" s="78"/>
      <c r="F953" s="78"/>
    </row>
    <row r="954" ht="15.75" customHeight="1">
      <c r="A954" s="78"/>
      <c r="B954" s="78"/>
      <c r="C954" s="78"/>
      <c r="D954" s="78"/>
      <c r="E954" s="78"/>
      <c r="F954" s="78"/>
    </row>
    <row r="955" ht="15.75" customHeight="1">
      <c r="A955" s="78"/>
      <c r="B955" s="78"/>
      <c r="C955" s="78"/>
      <c r="D955" s="78"/>
      <c r="E955" s="78"/>
      <c r="F955" s="78"/>
    </row>
    <row r="956" ht="15.75" customHeight="1">
      <c r="A956" s="78"/>
      <c r="B956" s="78"/>
      <c r="C956" s="78"/>
      <c r="D956" s="78"/>
      <c r="E956" s="78"/>
      <c r="F956" s="78"/>
    </row>
    <row r="957" ht="15.75" customHeight="1">
      <c r="A957" s="78"/>
      <c r="B957" s="78"/>
      <c r="C957" s="78"/>
      <c r="D957" s="78"/>
      <c r="E957" s="78"/>
      <c r="F957" s="78"/>
    </row>
    <row r="958" ht="15.75" customHeight="1">
      <c r="A958" s="78"/>
      <c r="B958" s="78"/>
      <c r="C958" s="78"/>
      <c r="D958" s="78"/>
      <c r="E958" s="78"/>
      <c r="F958" s="78"/>
    </row>
    <row r="959" ht="15.75" customHeight="1">
      <c r="A959" s="78"/>
      <c r="B959" s="78"/>
      <c r="C959" s="78"/>
      <c r="D959" s="78"/>
      <c r="E959" s="78"/>
      <c r="F959" s="78"/>
    </row>
    <row r="960" ht="15.75" customHeight="1">
      <c r="A960" s="78"/>
      <c r="B960" s="78"/>
      <c r="C960" s="78"/>
      <c r="D960" s="78"/>
      <c r="E960" s="78"/>
      <c r="F960" s="78"/>
    </row>
    <row r="961" ht="15.75" customHeight="1">
      <c r="A961" s="78"/>
      <c r="B961" s="78"/>
      <c r="C961" s="78"/>
      <c r="D961" s="78"/>
      <c r="E961" s="78"/>
      <c r="F961" s="78"/>
    </row>
    <row r="962" ht="15.75" customHeight="1">
      <c r="A962" s="78"/>
      <c r="B962" s="78"/>
      <c r="C962" s="78"/>
      <c r="D962" s="78"/>
      <c r="E962" s="78"/>
      <c r="F962" s="78"/>
    </row>
    <row r="963" ht="15.75" customHeight="1">
      <c r="A963" s="78"/>
      <c r="B963" s="78"/>
      <c r="C963" s="78"/>
      <c r="D963" s="78"/>
      <c r="E963" s="78"/>
      <c r="F963" s="78"/>
    </row>
    <row r="964" ht="15.75" customHeight="1">
      <c r="A964" s="78"/>
      <c r="B964" s="78"/>
      <c r="C964" s="78"/>
      <c r="D964" s="78"/>
      <c r="E964" s="78"/>
      <c r="F964" s="78"/>
    </row>
    <row r="965" ht="15.75" customHeight="1">
      <c r="A965" s="78"/>
      <c r="B965" s="78"/>
      <c r="C965" s="78"/>
      <c r="D965" s="78"/>
      <c r="E965" s="78"/>
      <c r="F965" s="78"/>
    </row>
    <row r="966" ht="15.75" customHeight="1">
      <c r="A966" s="78"/>
      <c r="B966" s="78"/>
      <c r="C966" s="78"/>
      <c r="D966" s="78"/>
      <c r="E966" s="78"/>
      <c r="F966" s="78"/>
    </row>
    <row r="967" ht="15.75" customHeight="1">
      <c r="A967" s="78"/>
      <c r="B967" s="78"/>
      <c r="C967" s="78"/>
      <c r="D967" s="78"/>
      <c r="E967" s="78"/>
      <c r="F967" s="78"/>
    </row>
    <row r="968" ht="15.75" customHeight="1">
      <c r="A968" s="78"/>
      <c r="B968" s="78"/>
      <c r="C968" s="78"/>
      <c r="D968" s="78"/>
      <c r="E968" s="78"/>
      <c r="F968" s="78"/>
    </row>
    <row r="969" ht="15.75" customHeight="1">
      <c r="A969" s="78"/>
      <c r="B969" s="78"/>
      <c r="C969" s="78"/>
      <c r="D969" s="78"/>
      <c r="E969" s="78"/>
      <c r="F969" s="78"/>
    </row>
    <row r="970" ht="15.75" customHeight="1">
      <c r="A970" s="78"/>
      <c r="B970" s="78"/>
      <c r="C970" s="78"/>
      <c r="D970" s="78"/>
      <c r="E970" s="78"/>
      <c r="F970" s="78"/>
    </row>
    <row r="971" ht="15.75" customHeight="1">
      <c r="A971" s="78"/>
      <c r="B971" s="78"/>
      <c r="C971" s="78"/>
      <c r="D971" s="78"/>
      <c r="E971" s="78"/>
      <c r="F971" s="78"/>
    </row>
    <row r="972" ht="15.75" customHeight="1">
      <c r="A972" s="78"/>
      <c r="B972" s="78"/>
      <c r="C972" s="78"/>
      <c r="D972" s="78"/>
      <c r="E972" s="78"/>
      <c r="F972" s="78"/>
    </row>
    <row r="973" ht="15.75" customHeight="1">
      <c r="A973" s="78"/>
      <c r="B973" s="78"/>
      <c r="C973" s="78"/>
      <c r="D973" s="78"/>
      <c r="E973" s="78"/>
      <c r="F973" s="78"/>
    </row>
    <row r="974" ht="15.75" customHeight="1">
      <c r="A974" s="78"/>
      <c r="B974" s="78"/>
      <c r="C974" s="78"/>
      <c r="D974" s="78"/>
      <c r="E974" s="78"/>
      <c r="F974" s="78"/>
    </row>
    <row r="975" ht="15.75" customHeight="1">
      <c r="A975" s="78"/>
      <c r="B975" s="78"/>
      <c r="C975" s="78"/>
      <c r="D975" s="78"/>
      <c r="E975" s="78"/>
      <c r="F975" s="78"/>
    </row>
    <row r="976" ht="15.75" customHeight="1">
      <c r="A976" s="78"/>
      <c r="B976" s="78"/>
      <c r="C976" s="78"/>
      <c r="D976" s="78"/>
      <c r="E976" s="78"/>
      <c r="F976" s="78"/>
    </row>
    <row r="977" ht="15.75" customHeight="1">
      <c r="A977" s="78"/>
      <c r="B977" s="78"/>
      <c r="C977" s="78"/>
      <c r="D977" s="78"/>
      <c r="E977" s="78"/>
      <c r="F977" s="78"/>
    </row>
    <row r="978" ht="15.75" customHeight="1">
      <c r="A978" s="78"/>
      <c r="B978" s="78"/>
      <c r="C978" s="78"/>
      <c r="D978" s="78"/>
      <c r="E978" s="78"/>
      <c r="F978" s="78"/>
    </row>
    <row r="979" ht="15.75" customHeight="1">
      <c r="A979" s="78"/>
      <c r="B979" s="78"/>
      <c r="C979" s="78"/>
      <c r="D979" s="78"/>
      <c r="E979" s="78"/>
      <c r="F979" s="78"/>
    </row>
    <row r="980" ht="15.75" customHeight="1">
      <c r="A980" s="78"/>
      <c r="B980" s="78"/>
      <c r="C980" s="78"/>
      <c r="D980" s="78"/>
      <c r="E980" s="78"/>
      <c r="F980" s="78"/>
    </row>
    <row r="981" ht="15.75" customHeight="1">
      <c r="A981" s="78"/>
      <c r="B981" s="78"/>
      <c r="C981" s="78"/>
      <c r="D981" s="78"/>
      <c r="E981" s="78"/>
      <c r="F981" s="78"/>
    </row>
    <row r="982" ht="15.75" customHeight="1">
      <c r="A982" s="78"/>
      <c r="B982" s="78"/>
      <c r="C982" s="78"/>
      <c r="D982" s="78"/>
      <c r="E982" s="78"/>
      <c r="F982" s="78"/>
    </row>
    <row r="983" ht="15.75" customHeight="1">
      <c r="A983" s="78"/>
      <c r="B983" s="78"/>
      <c r="C983" s="78"/>
      <c r="D983" s="78"/>
      <c r="E983" s="78"/>
      <c r="F983" s="78"/>
    </row>
    <row r="984" ht="15.75" customHeight="1">
      <c r="A984" s="78"/>
      <c r="B984" s="78"/>
      <c r="C984" s="78"/>
      <c r="D984" s="78"/>
      <c r="E984" s="78"/>
      <c r="F984" s="78"/>
    </row>
    <row r="985" ht="15.75" customHeight="1">
      <c r="A985" s="78"/>
      <c r="B985" s="78"/>
      <c r="C985" s="78"/>
      <c r="D985" s="78"/>
      <c r="E985" s="78"/>
      <c r="F985" s="78"/>
    </row>
    <row r="986" ht="15.75" customHeight="1">
      <c r="A986" s="78"/>
      <c r="B986" s="78"/>
      <c r="C986" s="78"/>
      <c r="D986" s="78"/>
      <c r="E986" s="78"/>
      <c r="F986" s="78"/>
    </row>
    <row r="987" ht="15.75" customHeight="1">
      <c r="A987" s="78"/>
      <c r="B987" s="78"/>
      <c r="C987" s="78"/>
      <c r="D987" s="78"/>
      <c r="E987" s="78"/>
      <c r="F987" s="78"/>
    </row>
    <row r="988" ht="15.75" customHeight="1">
      <c r="A988" s="78"/>
      <c r="B988" s="78"/>
      <c r="C988" s="78"/>
      <c r="D988" s="78"/>
      <c r="E988" s="78"/>
      <c r="F988" s="78"/>
    </row>
    <row r="989" ht="15.75" customHeight="1">
      <c r="A989" s="78"/>
      <c r="B989" s="78"/>
      <c r="C989" s="78"/>
      <c r="D989" s="78"/>
      <c r="E989" s="78"/>
      <c r="F989" s="78"/>
    </row>
    <row r="990" ht="15.75" customHeight="1">
      <c r="A990" s="78"/>
      <c r="B990" s="78"/>
      <c r="C990" s="78"/>
      <c r="D990" s="78"/>
      <c r="E990" s="78"/>
      <c r="F990" s="78"/>
    </row>
    <row r="991" ht="15.75" customHeight="1">
      <c r="A991" s="78"/>
      <c r="B991" s="78"/>
      <c r="C991" s="78"/>
      <c r="D991" s="78"/>
      <c r="E991" s="78"/>
      <c r="F991" s="78"/>
    </row>
    <row r="992" ht="15.75" customHeight="1">
      <c r="A992" s="78"/>
      <c r="B992" s="78"/>
      <c r="C992" s="78"/>
      <c r="D992" s="78"/>
      <c r="E992" s="78"/>
      <c r="F992" s="78"/>
    </row>
    <row r="993" ht="15.75" customHeight="1">
      <c r="A993" s="78"/>
      <c r="B993" s="78"/>
      <c r="C993" s="78"/>
      <c r="D993" s="78"/>
      <c r="E993" s="78"/>
      <c r="F993" s="78"/>
    </row>
    <row r="994" ht="15.75" customHeight="1">
      <c r="A994" s="78"/>
      <c r="B994" s="78"/>
      <c r="C994" s="78"/>
      <c r="D994" s="78"/>
      <c r="E994" s="78"/>
      <c r="F994" s="78"/>
    </row>
    <row r="995" ht="15.75" customHeight="1">
      <c r="A995" s="78"/>
      <c r="B995" s="78"/>
      <c r="C995" s="78"/>
      <c r="D995" s="78"/>
      <c r="E995" s="78"/>
      <c r="F995" s="78"/>
    </row>
    <row r="996" ht="15.75" customHeight="1">
      <c r="A996" s="78"/>
      <c r="B996" s="78"/>
      <c r="C996" s="78"/>
      <c r="D996" s="78"/>
      <c r="E996" s="78"/>
      <c r="F996" s="78"/>
    </row>
    <row r="997" ht="15.75" customHeight="1">
      <c r="A997" s="78"/>
      <c r="B997" s="78"/>
      <c r="C997" s="78"/>
      <c r="D997" s="78"/>
      <c r="E997" s="78"/>
      <c r="F997" s="78"/>
    </row>
    <row r="998" ht="15.75" customHeight="1">
      <c r="A998" s="78"/>
      <c r="B998" s="78"/>
      <c r="C998" s="78"/>
      <c r="D998" s="78"/>
      <c r="E998" s="78"/>
      <c r="F998" s="78"/>
    </row>
    <row r="999" ht="15.75" customHeight="1">
      <c r="A999" s="78"/>
      <c r="B999" s="78"/>
      <c r="C999" s="78"/>
      <c r="D999" s="78"/>
      <c r="E999" s="78"/>
      <c r="F999" s="78"/>
    </row>
    <row r="1000" ht="15.75" customHeight="1">
      <c r="A1000" s="78"/>
      <c r="B1000" s="78"/>
      <c r="C1000" s="78"/>
      <c r="D1000" s="78"/>
      <c r="E1000" s="78"/>
      <c r="F1000" s="7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0"/>
    <col customWidth="1" min="3" max="3" width="10.0"/>
    <col customWidth="1" min="4" max="4" width="60.57"/>
    <col customWidth="1" min="5" max="5" width="3.0"/>
    <col customWidth="1" min="6" max="17" width="10.0"/>
  </cols>
  <sheetData>
    <row r="1" ht="17.25" customHeight="1">
      <c r="A1" s="85" t="s">
        <v>21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</row>
    <row r="2" ht="15.0" customHeight="1">
      <c r="A2" s="87" t="s">
        <v>22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</row>
    <row r="3" ht="15.0" customHeight="1">
      <c r="A3" s="88"/>
      <c r="B3" s="88"/>
      <c r="C3" s="88"/>
      <c r="D3" s="88"/>
      <c r="E3" s="88"/>
      <c r="F3" s="89" t="s">
        <v>23</v>
      </c>
      <c r="G3" s="65"/>
      <c r="H3" s="65"/>
      <c r="I3" s="65"/>
      <c r="J3" s="65"/>
      <c r="K3" s="65"/>
      <c r="L3" s="65"/>
      <c r="M3" s="65"/>
      <c r="N3" s="65"/>
      <c r="O3" s="65"/>
      <c r="P3" s="65"/>
      <c r="Q3" s="90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</row>
    <row r="4" ht="15.0" customHeight="1">
      <c r="A4" s="91" t="s">
        <v>24</v>
      </c>
      <c r="B4" s="91" t="s">
        <v>25</v>
      </c>
      <c r="C4" s="92" t="s">
        <v>26</v>
      </c>
      <c r="D4" s="91" t="s">
        <v>27</v>
      </c>
      <c r="E4" s="91"/>
      <c r="F4" s="91" t="s">
        <v>28</v>
      </c>
      <c r="G4" s="91" t="s">
        <v>29</v>
      </c>
      <c r="H4" s="93" t="s">
        <v>30</v>
      </c>
      <c r="I4" s="93" t="s">
        <v>31</v>
      </c>
      <c r="J4" s="93" t="s">
        <v>32</v>
      </c>
      <c r="K4" s="93" t="s">
        <v>33</v>
      </c>
      <c r="L4" s="93" t="s">
        <v>34</v>
      </c>
      <c r="M4" s="93" t="s">
        <v>35</v>
      </c>
      <c r="N4" s="93" t="s">
        <v>36</v>
      </c>
      <c r="O4" s="93" t="s">
        <v>37</v>
      </c>
      <c r="P4" s="93" t="s">
        <v>38</v>
      </c>
      <c r="Q4" s="93" t="s">
        <v>39</v>
      </c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</row>
    <row r="5" ht="15.0" customHeight="1">
      <c r="A5" s="94" t="s">
        <v>40</v>
      </c>
      <c r="B5" s="94" t="s">
        <v>41</v>
      </c>
      <c r="C5" s="95" t="s">
        <v>42</v>
      </c>
      <c r="D5" s="94" t="s">
        <v>43</v>
      </c>
      <c r="E5" s="88"/>
      <c r="F5" s="96">
        <v>-0.2383</v>
      </c>
      <c r="G5" s="96">
        <v>-0.2383</v>
      </c>
      <c r="H5" s="97">
        <v>-0.149</v>
      </c>
      <c r="I5" s="97">
        <v>-0.074</v>
      </c>
      <c r="J5" s="97">
        <v>0.2522</v>
      </c>
      <c r="K5" s="97">
        <v>0.5253</v>
      </c>
      <c r="L5" s="97">
        <v>0.4363</v>
      </c>
      <c r="M5" s="97">
        <v>0.3728</v>
      </c>
      <c r="N5" s="97">
        <v>0.2753</v>
      </c>
      <c r="O5" s="97">
        <v>0.1585</v>
      </c>
      <c r="P5" s="97">
        <v>0.097</v>
      </c>
      <c r="Q5" s="97">
        <v>0.0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</row>
    <row r="6" ht="15.0" customHeight="1">
      <c r="A6" s="98" t="s">
        <v>44</v>
      </c>
      <c r="B6" s="98" t="s">
        <v>45</v>
      </c>
      <c r="C6" s="99" t="s">
        <v>42</v>
      </c>
      <c r="D6" s="98" t="s">
        <v>46</v>
      </c>
      <c r="E6" s="88"/>
      <c r="F6" s="100">
        <v>-0.0555</v>
      </c>
      <c r="G6" s="100">
        <v>-0.065</v>
      </c>
      <c r="H6" s="101">
        <v>-0.2645</v>
      </c>
      <c r="I6" s="101">
        <v>-0.2238</v>
      </c>
      <c r="J6" s="101">
        <v>-0.0538</v>
      </c>
      <c r="K6" s="101">
        <v>0.1045</v>
      </c>
      <c r="L6" s="101">
        <v>0.3125</v>
      </c>
      <c r="M6" s="101">
        <v>0.6218</v>
      </c>
      <c r="N6" s="101">
        <v>0.572</v>
      </c>
      <c r="O6" s="101">
        <v>0.4133</v>
      </c>
      <c r="P6" s="101">
        <v>0.1865</v>
      </c>
      <c r="Q6" s="101">
        <v>0.0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</row>
    <row r="7" ht="15.0" customHeight="1">
      <c r="A7" s="94" t="s">
        <v>47</v>
      </c>
      <c r="B7" s="94" t="s">
        <v>48</v>
      </c>
      <c r="C7" s="95" t="s">
        <v>42</v>
      </c>
      <c r="D7" s="94" t="s">
        <v>49</v>
      </c>
      <c r="E7" s="88"/>
      <c r="F7" s="96">
        <v>-0.531</v>
      </c>
      <c r="G7" s="96">
        <v>-0.0476</v>
      </c>
      <c r="H7" s="97">
        <v>0.3026</v>
      </c>
      <c r="I7" s="97">
        <v>0.2489</v>
      </c>
      <c r="J7" s="97">
        <v>0.185</v>
      </c>
      <c r="K7" s="97">
        <v>0.131</v>
      </c>
      <c r="L7" s="97">
        <v>0.1471</v>
      </c>
      <c r="M7" s="97">
        <v>0.1215</v>
      </c>
      <c r="N7" s="97">
        <v>0.0843</v>
      </c>
      <c r="O7" s="97">
        <v>0.0131</v>
      </c>
      <c r="P7" s="97">
        <v>0.0057</v>
      </c>
      <c r="Q7" s="97">
        <v>0.0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</row>
    <row r="8" ht="15.0" customHeight="1">
      <c r="A8" s="98" t="s">
        <v>50</v>
      </c>
      <c r="B8" s="98" t="s">
        <v>41</v>
      </c>
      <c r="C8" s="99" t="s">
        <v>51</v>
      </c>
      <c r="D8" s="98" t="s">
        <v>52</v>
      </c>
      <c r="E8" s="88"/>
      <c r="F8" s="102">
        <v>-0.25</v>
      </c>
      <c r="G8" s="102">
        <v>-0.22</v>
      </c>
      <c r="H8" s="103">
        <v>-0.16</v>
      </c>
      <c r="I8" s="103">
        <v>-0.08</v>
      </c>
      <c r="J8" s="103">
        <v>0.22</v>
      </c>
      <c r="K8" s="103">
        <v>0.48</v>
      </c>
      <c r="L8" s="103">
        <v>0.42</v>
      </c>
      <c r="M8" s="103">
        <v>0.35</v>
      </c>
      <c r="N8" s="103">
        <v>0.26</v>
      </c>
      <c r="O8" s="103">
        <v>0.14</v>
      </c>
      <c r="P8" s="103">
        <v>0.08</v>
      </c>
      <c r="Q8" s="103">
        <v>0.0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</row>
    <row r="9" ht="15.0" customHeight="1">
      <c r="A9" s="104" t="s">
        <v>53</v>
      </c>
      <c r="B9" s="104" t="s">
        <v>41</v>
      </c>
      <c r="C9" s="104" t="s">
        <v>51</v>
      </c>
      <c r="D9" s="104" t="s">
        <v>54</v>
      </c>
      <c r="E9" s="86"/>
      <c r="F9" s="105">
        <v>-0.22</v>
      </c>
      <c r="G9" s="105">
        <v>-0.25</v>
      </c>
      <c r="H9" s="105">
        <v>-0.14</v>
      </c>
      <c r="I9" s="105">
        <v>-0.09</v>
      </c>
      <c r="J9" s="105">
        <v>0.28</v>
      </c>
      <c r="K9" s="105">
        <v>0.5</v>
      </c>
      <c r="L9" s="105">
        <v>0.45</v>
      </c>
      <c r="M9" s="105">
        <v>0.38</v>
      </c>
      <c r="N9" s="105">
        <v>0.29</v>
      </c>
      <c r="O9" s="105">
        <v>0.16</v>
      </c>
      <c r="P9" s="105">
        <v>0.1</v>
      </c>
      <c r="Q9" s="105">
        <v>0.0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</row>
    <row r="10" ht="15.0" customHeight="1">
      <c r="A10" s="106" t="s">
        <v>55</v>
      </c>
      <c r="B10" s="106" t="s">
        <v>41</v>
      </c>
      <c r="C10" s="106" t="s">
        <v>51</v>
      </c>
      <c r="D10" s="106" t="s">
        <v>56</v>
      </c>
      <c r="E10" s="86"/>
      <c r="F10" s="103">
        <v>-0.2383</v>
      </c>
      <c r="G10" s="103">
        <v>-0.2383</v>
      </c>
      <c r="H10" s="103">
        <v>-0.149</v>
      </c>
      <c r="I10" s="103">
        <v>-0.074</v>
      </c>
      <c r="J10" s="103">
        <v>0.2522</v>
      </c>
      <c r="K10" s="103">
        <v>0.5253</v>
      </c>
      <c r="L10" s="103">
        <v>0.4363</v>
      </c>
      <c r="M10" s="103">
        <v>0.3728</v>
      </c>
      <c r="N10" s="103">
        <v>0.2753</v>
      </c>
      <c r="O10" s="103">
        <v>0.1585</v>
      </c>
      <c r="P10" s="103">
        <v>0.097</v>
      </c>
      <c r="Q10" s="103">
        <v>0.0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</row>
    <row r="11" ht="15.0" customHeight="1">
      <c r="A11" s="104" t="s">
        <v>57</v>
      </c>
      <c r="B11" s="104" t="s">
        <v>45</v>
      </c>
      <c r="C11" s="104" t="s">
        <v>51</v>
      </c>
      <c r="D11" s="104" t="s">
        <v>58</v>
      </c>
      <c r="E11" s="86"/>
      <c r="F11" s="105">
        <v>-0.06</v>
      </c>
      <c r="G11" s="105">
        <v>-0.07</v>
      </c>
      <c r="H11" s="105">
        <v>-0.28</v>
      </c>
      <c r="I11" s="105">
        <v>-0.24</v>
      </c>
      <c r="J11" s="105">
        <v>-0.06</v>
      </c>
      <c r="K11" s="105">
        <v>0.12</v>
      </c>
      <c r="L11" s="105">
        <v>0.3</v>
      </c>
      <c r="M11" s="105">
        <v>0.58</v>
      </c>
      <c r="N11" s="105">
        <v>0.55</v>
      </c>
      <c r="O11" s="105">
        <v>0.4</v>
      </c>
      <c r="P11" s="105">
        <v>0.17</v>
      </c>
      <c r="Q11" s="105">
        <v>0.0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</row>
    <row r="12" ht="15.0" customHeight="1">
      <c r="A12" s="106" t="s">
        <v>59</v>
      </c>
      <c r="B12" s="106" t="s">
        <v>45</v>
      </c>
      <c r="C12" s="106" t="s">
        <v>51</v>
      </c>
      <c r="D12" s="106" t="s">
        <v>60</v>
      </c>
      <c r="E12" s="86"/>
      <c r="F12" s="103">
        <v>-0.05</v>
      </c>
      <c r="G12" s="103">
        <v>-0.06</v>
      </c>
      <c r="H12" s="103">
        <v>-0.25</v>
      </c>
      <c r="I12" s="103">
        <v>-0.21</v>
      </c>
      <c r="J12" s="103">
        <v>-0.05</v>
      </c>
      <c r="K12" s="103">
        <v>0.09</v>
      </c>
      <c r="L12" s="103">
        <v>0.28</v>
      </c>
      <c r="M12" s="103">
        <v>0.55</v>
      </c>
      <c r="N12" s="103">
        <v>0.52</v>
      </c>
      <c r="O12" s="103">
        <v>0.38</v>
      </c>
      <c r="P12" s="103">
        <v>0.16</v>
      </c>
      <c r="Q12" s="103">
        <v>0.0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</row>
    <row r="13" ht="15.0" customHeight="1">
      <c r="A13" s="104" t="s">
        <v>61</v>
      </c>
      <c r="B13" s="104" t="s">
        <v>45</v>
      </c>
      <c r="C13" s="104" t="s">
        <v>51</v>
      </c>
      <c r="D13" s="104" t="s">
        <v>62</v>
      </c>
      <c r="E13" s="86"/>
      <c r="F13" s="105">
        <v>-0.0555</v>
      </c>
      <c r="G13" s="105">
        <v>-0.065</v>
      </c>
      <c r="H13" s="105">
        <v>-0.2645</v>
      </c>
      <c r="I13" s="105">
        <v>-0.2238</v>
      </c>
      <c r="J13" s="105">
        <v>-0.0538</v>
      </c>
      <c r="K13" s="105">
        <v>0.1045</v>
      </c>
      <c r="L13" s="105">
        <v>0.3125</v>
      </c>
      <c r="M13" s="105">
        <v>0.6218</v>
      </c>
      <c r="N13" s="105">
        <v>0.572</v>
      </c>
      <c r="O13" s="105">
        <v>0.4133</v>
      </c>
      <c r="P13" s="105">
        <v>0.1865</v>
      </c>
      <c r="Q13" s="105">
        <v>0.0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</row>
    <row r="14" ht="15.0" customHeight="1">
      <c r="A14" s="106" t="s">
        <v>63</v>
      </c>
      <c r="B14" s="106" t="s">
        <v>48</v>
      </c>
      <c r="C14" s="106" t="s">
        <v>51</v>
      </c>
      <c r="D14" s="106" t="s">
        <v>64</v>
      </c>
      <c r="E14" s="86"/>
      <c r="F14" s="103">
        <v>-0.55</v>
      </c>
      <c r="G14" s="103">
        <v>-0.05</v>
      </c>
      <c r="H14" s="103">
        <v>0.28</v>
      </c>
      <c r="I14" s="103">
        <v>0.23</v>
      </c>
      <c r="J14" s="103">
        <v>0.17</v>
      </c>
      <c r="K14" s="103">
        <v>0.12</v>
      </c>
      <c r="L14" s="103">
        <v>0.14</v>
      </c>
      <c r="M14" s="103">
        <v>0.11</v>
      </c>
      <c r="N14" s="103">
        <v>0.08</v>
      </c>
      <c r="O14" s="103">
        <v>0.015</v>
      </c>
      <c r="P14" s="103">
        <v>0.006</v>
      </c>
      <c r="Q14" s="103">
        <v>0.0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</row>
    <row r="15" ht="15.0" customHeight="1">
      <c r="A15" s="104" t="s">
        <v>65</v>
      </c>
      <c r="B15" s="104" t="s">
        <v>48</v>
      </c>
      <c r="C15" s="104" t="s">
        <v>51</v>
      </c>
      <c r="D15" s="104" t="s">
        <v>66</v>
      </c>
      <c r="E15" s="86"/>
      <c r="F15" s="105">
        <v>-0.5</v>
      </c>
      <c r="G15" s="105">
        <v>-0.045</v>
      </c>
      <c r="H15" s="105">
        <v>0.32</v>
      </c>
      <c r="I15" s="105">
        <v>0.26</v>
      </c>
      <c r="J15" s="105">
        <v>0.19</v>
      </c>
      <c r="K15" s="105">
        <v>0.14</v>
      </c>
      <c r="L15" s="105">
        <v>0.15</v>
      </c>
      <c r="M15" s="105">
        <v>0.13</v>
      </c>
      <c r="N15" s="105">
        <v>0.09</v>
      </c>
      <c r="O15" s="105">
        <v>0.012</v>
      </c>
      <c r="P15" s="105">
        <v>0.005</v>
      </c>
      <c r="Q15" s="105">
        <v>0.0</v>
      </c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</row>
    <row r="16" ht="15.0" customHeight="1">
      <c r="A16" s="106" t="s">
        <v>67</v>
      </c>
      <c r="B16" s="106" t="s">
        <v>48</v>
      </c>
      <c r="C16" s="106" t="s">
        <v>51</v>
      </c>
      <c r="D16" s="106" t="s">
        <v>68</v>
      </c>
      <c r="E16" s="86"/>
      <c r="F16" s="103">
        <v>-0.531</v>
      </c>
      <c r="G16" s="103">
        <v>-0.0476</v>
      </c>
      <c r="H16" s="103">
        <v>0.3026</v>
      </c>
      <c r="I16" s="103">
        <v>0.2489</v>
      </c>
      <c r="J16" s="103">
        <v>0.185</v>
      </c>
      <c r="K16" s="103">
        <v>0.131</v>
      </c>
      <c r="L16" s="103">
        <v>0.1471</v>
      </c>
      <c r="M16" s="103">
        <v>0.1215</v>
      </c>
      <c r="N16" s="103">
        <v>0.0843</v>
      </c>
      <c r="O16" s="103">
        <v>0.0131</v>
      </c>
      <c r="P16" s="103">
        <v>0.0057</v>
      </c>
      <c r="Q16" s="103">
        <v>0.0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</row>
    <row r="17" ht="15.0" customHeight="1">
      <c r="A17" s="86"/>
      <c r="B17" s="86"/>
      <c r="C17" s="86"/>
      <c r="D17" s="86"/>
      <c r="E17" s="86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</row>
    <row r="18" ht="15.0" customHeight="1">
      <c r="A18" s="108"/>
      <c r="B18" s="108"/>
      <c r="C18" s="108"/>
      <c r="D18" s="108"/>
      <c r="E18" s="86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</row>
    <row r="19" ht="15.0" customHeight="1">
      <c r="A19" s="86"/>
      <c r="B19" s="86"/>
      <c r="C19" s="86"/>
      <c r="D19" s="86"/>
      <c r="E19" s="86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</row>
    <row r="20" ht="15.0" customHeight="1">
      <c r="A20" s="108"/>
      <c r="B20" s="108"/>
      <c r="C20" s="108"/>
      <c r="D20" s="108"/>
      <c r="E20" s="86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</row>
    <row r="21" ht="15.75" customHeight="1">
      <c r="A21" s="86"/>
      <c r="B21" s="86"/>
      <c r="C21" s="86"/>
      <c r="D21" s="86"/>
      <c r="E21" s="86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</row>
    <row r="22" ht="15.75" customHeight="1">
      <c r="A22" s="108"/>
      <c r="B22" s="108"/>
      <c r="C22" s="108"/>
      <c r="D22" s="108"/>
      <c r="E22" s="86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</row>
    <row r="23" ht="15.75" customHeight="1">
      <c r="A23" s="86"/>
      <c r="B23" s="86"/>
      <c r="C23" s="86"/>
      <c r="D23" s="86"/>
      <c r="E23" s="86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</row>
    <row r="24" ht="15.75" customHeight="1">
      <c r="A24" s="108"/>
      <c r="B24" s="108"/>
      <c r="C24" s="108"/>
      <c r="D24" s="108"/>
      <c r="E24" s="86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</row>
    <row r="25" ht="15.75" customHeight="1">
      <c r="A25" s="86"/>
      <c r="B25" s="86"/>
      <c r="C25" s="86"/>
      <c r="D25" s="86"/>
      <c r="E25" s="86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</row>
    <row r="26" ht="15.75" customHeight="1">
      <c r="A26" s="108"/>
      <c r="B26" s="108"/>
      <c r="C26" s="108"/>
      <c r="D26" s="108"/>
      <c r="E26" s="86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</row>
    <row r="27" ht="15.75" customHeight="1">
      <c r="A27" s="86"/>
      <c r="B27" s="86"/>
      <c r="C27" s="86"/>
      <c r="D27" s="86"/>
      <c r="E27" s="86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</row>
    <row r="28" ht="15.75" customHeight="1">
      <c r="A28" s="108"/>
      <c r="B28" s="108"/>
      <c r="C28" s="108"/>
      <c r="D28" s="108"/>
      <c r="E28" s="86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</row>
    <row r="29" ht="15.75" customHeight="1">
      <c r="A29" s="86"/>
      <c r="B29" s="86"/>
      <c r="C29" s="86"/>
      <c r="D29" s="86"/>
      <c r="E29" s="86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</row>
    <row r="30" ht="15.75" customHeight="1">
      <c r="A30" s="108"/>
      <c r="B30" s="108"/>
      <c r="C30" s="108"/>
      <c r="D30" s="108"/>
      <c r="E30" s="86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</row>
    <row r="31" ht="15.75" customHeight="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</row>
    <row r="32" ht="15.75" customHeight="1">
      <c r="A32" s="110" t="s">
        <v>69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</row>
    <row r="33" ht="15.75" customHeight="1">
      <c r="A33" s="86" t="s">
        <v>70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</row>
    <row r="34" ht="15.75" customHeight="1">
      <c r="A34" s="86" t="s">
        <v>71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</row>
    <row r="35" ht="15.75" customHeight="1">
      <c r="A35" s="86" t="s">
        <v>72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</row>
    <row r="36" ht="15.75" customHeight="1">
      <c r="A36" s="86" t="s">
        <v>73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</row>
    <row r="37" ht="15.75" customHeight="1">
      <c r="A37" s="111" t="s">
        <v>74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</row>
    <row r="38" ht="15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</row>
    <row r="39" ht="15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</row>
    <row r="40" ht="15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</row>
    <row r="41" ht="15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</row>
    <row r="42" ht="15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</row>
    <row r="43" ht="15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</row>
    <row r="44" ht="15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</row>
    <row r="45" ht="15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</row>
    <row r="46" ht="15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</row>
    <row r="47" ht="15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</row>
    <row r="48" ht="15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</row>
    <row r="49" ht="15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</row>
    <row r="50" ht="15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</row>
    <row r="51" ht="15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</row>
    <row r="52" ht="15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</row>
    <row r="53" ht="15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</row>
    <row r="54" ht="15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</row>
    <row r="55" ht="15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</row>
    <row r="56" ht="15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</row>
    <row r="57" ht="15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</row>
    <row r="58" ht="15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</row>
    <row r="59" ht="15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</row>
    <row r="60" ht="15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</row>
    <row r="61" ht="15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</row>
    <row r="62" ht="15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</row>
    <row r="63" ht="15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</row>
    <row r="64" ht="15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</row>
    <row r="65" ht="15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</row>
    <row r="66" ht="15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</row>
    <row r="67" ht="15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</row>
    <row r="68" ht="15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</row>
    <row r="69" ht="15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</row>
    <row r="70" ht="15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</row>
    <row r="71" ht="15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</row>
    <row r="72" ht="15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</row>
    <row r="73" ht="15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</row>
    <row r="74" ht="15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</row>
    <row r="75" ht="15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</row>
    <row r="76" ht="15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</row>
    <row r="77" ht="15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</row>
    <row r="78" ht="15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</row>
    <row r="79" ht="15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</row>
    <row r="80" ht="15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</row>
    <row r="81" ht="15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</row>
    <row r="82" ht="15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</row>
    <row r="83" ht="15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</row>
    <row r="84" ht="15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</row>
    <row r="85" ht="15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</row>
    <row r="86" ht="15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</row>
    <row r="87" ht="15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</row>
    <row r="88" ht="15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</row>
    <row r="89" ht="15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</row>
    <row r="90" ht="15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</row>
    <row r="91" ht="15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</row>
    <row r="92" ht="15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</row>
    <row r="93" ht="15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</row>
    <row r="94" ht="15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</row>
    <row r="95" ht="15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</row>
    <row r="96" ht="15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</row>
    <row r="97" ht="15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</row>
    <row r="98" ht="15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</row>
    <row r="99" ht="15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</row>
    <row r="100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</row>
    <row r="101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</row>
    <row r="102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</row>
    <row r="103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</row>
    <row r="104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</row>
    <row r="105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</row>
    <row r="10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</row>
    <row r="107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</row>
    <row r="108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</row>
    <row r="109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</row>
    <row r="110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</row>
    <row r="111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</row>
    <row r="112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</row>
    <row r="113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</row>
    <row r="114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</row>
    <row r="115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</row>
    <row r="11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</row>
    <row r="117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</row>
    <row r="118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</row>
    <row r="119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</row>
    <row r="12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</row>
    <row r="121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</row>
    <row r="122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</row>
    <row r="123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</row>
    <row r="124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</row>
    <row r="125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</row>
    <row r="1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</row>
    <row r="127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</row>
    <row r="128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</row>
    <row r="129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</row>
    <row r="13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</row>
    <row r="131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</row>
    <row r="132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</row>
    <row r="133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</row>
    <row r="134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</row>
    <row r="135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</row>
    <row r="13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</row>
    <row r="137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</row>
    <row r="138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</row>
    <row r="139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</row>
    <row r="14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</row>
    <row r="141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</row>
    <row r="142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</row>
    <row r="143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</row>
    <row r="144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</row>
    <row r="145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</row>
    <row r="14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</row>
    <row r="147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</row>
    <row r="148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</row>
    <row r="149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</row>
    <row r="15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</row>
    <row r="151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</row>
    <row r="152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</row>
    <row r="153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</row>
    <row r="154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</row>
    <row r="155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</row>
    <row r="15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</row>
    <row r="157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</row>
    <row r="158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</row>
    <row r="159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</row>
    <row r="16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</row>
    <row r="161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</row>
    <row r="162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</row>
    <row r="163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</row>
    <row r="164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</row>
    <row r="16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</row>
    <row r="167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</row>
    <row r="168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</row>
    <row r="169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</row>
    <row r="1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</row>
    <row r="171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</row>
    <row r="172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</row>
    <row r="173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</row>
    <row r="174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</row>
    <row r="175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</row>
    <row r="17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</row>
    <row r="177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</row>
    <row r="178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</row>
    <row r="179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</row>
    <row r="18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</row>
    <row r="181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</row>
    <row r="182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</row>
    <row r="183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</row>
    <row r="184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</row>
    <row r="185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</row>
    <row r="18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</row>
    <row r="187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</row>
    <row r="188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</row>
    <row r="189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</row>
    <row r="19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</row>
    <row r="191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</row>
    <row r="192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</row>
    <row r="193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</row>
    <row r="194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</row>
    <row r="195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</row>
    <row r="19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</row>
    <row r="197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</row>
    <row r="198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</row>
    <row r="199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</row>
    <row r="20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</row>
    <row r="201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</row>
    <row r="202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</row>
    <row r="203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</row>
    <row r="204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</row>
    <row r="205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</row>
    <row r="20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</row>
    <row r="207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</row>
    <row r="208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</row>
    <row r="209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</row>
    <row r="21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</row>
    <row r="211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</row>
    <row r="212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</row>
    <row r="213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</row>
    <row r="214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</row>
    <row r="215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</row>
    <row r="21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</row>
    <row r="217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</row>
    <row r="218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</row>
    <row r="219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</row>
    <row r="22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</row>
    <row r="221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</row>
    <row r="222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</row>
    <row r="223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</row>
    <row r="224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</row>
    <row r="225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</row>
    <row r="226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</row>
    <row r="227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</row>
    <row r="228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</row>
    <row r="229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</row>
    <row r="23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</row>
    <row r="231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</row>
    <row r="232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</row>
    <row r="233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</row>
    <row r="234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</row>
    <row r="235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</row>
    <row r="236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</row>
    <row r="237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</row>
    <row r="238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</row>
    <row r="239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</row>
    <row r="24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</row>
    <row r="241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</row>
    <row r="242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</row>
    <row r="243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</row>
    <row r="244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</row>
    <row r="245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</row>
    <row r="246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</row>
    <row r="247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</row>
    <row r="248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</row>
    <row r="249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</row>
    <row r="25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</row>
    <row r="251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</row>
    <row r="252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</row>
    <row r="253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</row>
    <row r="254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</row>
    <row r="255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</row>
    <row r="256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</row>
    <row r="257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</row>
    <row r="258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</row>
    <row r="259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</row>
    <row r="26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</row>
    <row r="261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</row>
    <row r="262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</row>
    <row r="263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</row>
    <row r="264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</row>
    <row r="265" ht="15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</row>
    <row r="266" ht="15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</row>
    <row r="267" ht="15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</row>
    <row r="268" ht="15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</row>
    <row r="269" ht="15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</row>
    <row r="270" ht="15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</row>
    <row r="271" ht="15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</row>
    <row r="272" ht="15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</row>
    <row r="273" ht="15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</row>
    <row r="274" ht="15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</row>
    <row r="275" ht="15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</row>
    <row r="276" ht="15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</row>
    <row r="277" ht="15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</row>
    <row r="278" ht="15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</row>
    <row r="279" ht="15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</row>
    <row r="280" ht="15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</row>
    <row r="281" ht="15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</row>
    <row r="282" ht="15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</row>
    <row r="283" ht="15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</row>
    <row r="284" ht="15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</row>
    <row r="285" ht="15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</row>
    <row r="286" ht="15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</row>
    <row r="287" ht="15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</row>
    <row r="288" ht="15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</row>
    <row r="289" ht="15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</row>
    <row r="290" ht="15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</row>
    <row r="291" ht="15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</row>
    <row r="292" ht="15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</row>
    <row r="293" ht="15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</row>
    <row r="294" ht="15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</row>
    <row r="295" ht="15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</row>
    <row r="296" ht="15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</row>
    <row r="297" ht="15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</row>
    <row r="298" ht="15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</row>
    <row r="299" ht="15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</row>
    <row r="300" ht="15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</row>
    <row r="301" ht="15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</row>
    <row r="302" ht="15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</row>
    <row r="303" ht="15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</row>
    <row r="304" ht="15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</row>
    <row r="305" ht="15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</row>
    <row r="306" ht="15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</row>
    <row r="307" ht="15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</row>
    <row r="308" ht="15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</row>
    <row r="309" ht="15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</row>
    <row r="310" ht="15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</row>
    <row r="311" ht="15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</row>
    <row r="312" ht="15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</row>
    <row r="313" ht="15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</row>
    <row r="314" ht="15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</row>
    <row r="315" ht="15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</row>
    <row r="316" ht="15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</row>
    <row r="317" ht="15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</row>
    <row r="318" ht="15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</row>
    <row r="319" ht="15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</row>
    <row r="320" ht="15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</row>
    <row r="321" ht="15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</row>
    <row r="322" ht="15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</row>
    <row r="323" ht="15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</row>
    <row r="324" ht="15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</row>
    <row r="325" ht="15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</row>
    <row r="326" ht="15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</row>
    <row r="327" ht="15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</row>
    <row r="328" ht="15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</row>
    <row r="329" ht="15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</row>
    <row r="330" ht="15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</row>
    <row r="331" ht="15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</row>
    <row r="332" ht="15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</row>
    <row r="333" ht="15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</row>
    <row r="334" ht="15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</row>
    <row r="335" ht="15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</row>
    <row r="336" ht="15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</row>
    <row r="337" ht="15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</row>
    <row r="338" ht="15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</row>
    <row r="339" ht="15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</row>
    <row r="340" ht="15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</row>
    <row r="341" ht="15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</row>
    <row r="342" ht="15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</row>
    <row r="343" ht="15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</row>
    <row r="344" ht="15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</row>
    <row r="345" ht="15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</row>
    <row r="346" ht="15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</row>
    <row r="347" ht="15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</row>
    <row r="348" ht="15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</row>
    <row r="349" ht="15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</row>
    <row r="350" ht="15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</row>
    <row r="351" ht="15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</row>
    <row r="352" ht="15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</row>
    <row r="353" ht="15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</row>
    <row r="354" ht="15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</row>
    <row r="355" ht="15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</row>
    <row r="356" ht="15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</row>
    <row r="357" ht="15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</row>
    <row r="358" ht="15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</row>
    <row r="359" ht="15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</row>
    <row r="360" ht="15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</row>
    <row r="361" ht="15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</row>
    <row r="362" ht="15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</row>
    <row r="363" ht="15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</row>
    <row r="364" ht="15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</row>
    <row r="365" ht="15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</row>
    <row r="366" ht="15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</row>
    <row r="367" ht="15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</row>
    <row r="368" ht="15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</row>
    <row r="369" ht="15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</row>
    <row r="370" ht="15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</row>
    <row r="371" ht="15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</row>
    <row r="372" ht="15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</row>
    <row r="373" ht="15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</row>
    <row r="374" ht="15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</row>
    <row r="375" ht="15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</row>
    <row r="376" ht="15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</row>
    <row r="377" ht="15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</row>
    <row r="378" ht="15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</row>
    <row r="379" ht="15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</row>
    <row r="380" ht="15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</row>
    <row r="381" ht="15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</row>
    <row r="382" ht="15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</row>
    <row r="383" ht="15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</row>
    <row r="384" ht="15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</row>
    <row r="385" ht="15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</row>
    <row r="386" ht="15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</row>
    <row r="387" ht="15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</row>
    <row r="388" ht="15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</row>
    <row r="389" ht="15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</row>
    <row r="390" ht="15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</row>
    <row r="391" ht="15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</row>
    <row r="392" ht="15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</row>
    <row r="393" ht="15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</row>
    <row r="394" ht="15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</row>
    <row r="395" ht="15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</row>
    <row r="396" ht="15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</row>
    <row r="397" ht="15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</row>
    <row r="398" ht="15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</row>
    <row r="399" ht="15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</row>
    <row r="400" ht="15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</row>
    <row r="401" ht="15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</row>
    <row r="402" ht="15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</row>
    <row r="403" ht="15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</row>
    <row r="404" ht="15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</row>
    <row r="405" ht="15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</row>
    <row r="406" ht="15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</row>
    <row r="407" ht="15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</row>
    <row r="408" ht="15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</row>
    <row r="409" ht="15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</row>
    <row r="410" ht="15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</row>
    <row r="411" ht="15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</row>
    <row r="412" ht="15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</row>
    <row r="413" ht="15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</row>
    <row r="414" ht="15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</row>
    <row r="415" ht="15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</row>
    <row r="416" ht="15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</row>
    <row r="417" ht="15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</row>
    <row r="418" ht="15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</row>
    <row r="419" ht="15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</row>
    <row r="420" ht="15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</row>
    <row r="421" ht="15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</row>
    <row r="422" ht="15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</row>
    <row r="423" ht="15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</row>
    <row r="424" ht="15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</row>
    <row r="425" ht="15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</row>
    <row r="426" ht="15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</row>
    <row r="427" ht="15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</row>
    <row r="428" ht="15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</row>
    <row r="429" ht="15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</row>
    <row r="430" ht="15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</row>
    <row r="431" ht="15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</row>
    <row r="432" ht="15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</row>
    <row r="433" ht="15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</row>
    <row r="434" ht="15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</row>
    <row r="435" ht="15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</row>
    <row r="436" ht="15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</row>
    <row r="437" ht="15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</row>
    <row r="438" ht="15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</row>
    <row r="439" ht="15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</row>
    <row r="440" ht="15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</row>
    <row r="441" ht="15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</row>
    <row r="442" ht="15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</row>
    <row r="443" ht="15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</row>
    <row r="444" ht="15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</row>
    <row r="445" ht="15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</row>
    <row r="446" ht="15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</row>
    <row r="447" ht="15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</row>
    <row r="448" ht="15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</row>
    <row r="449" ht="15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</row>
    <row r="450" ht="15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</row>
    <row r="451" ht="15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</row>
    <row r="452" ht="15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</row>
    <row r="453" ht="15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</row>
    <row r="454" ht="15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</row>
    <row r="455" ht="15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</row>
    <row r="456" ht="15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</row>
    <row r="457" ht="15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</row>
    <row r="458" ht="15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</row>
    <row r="459" ht="15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</row>
    <row r="460" ht="15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</row>
    <row r="461" ht="15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</row>
    <row r="462" ht="15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</row>
    <row r="463" ht="15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</row>
    <row r="464" ht="15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</row>
    <row r="465" ht="15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</row>
    <row r="466" ht="15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</row>
    <row r="467" ht="15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</row>
    <row r="468" ht="15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</row>
    <row r="469" ht="15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</row>
    <row r="470" ht="15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</row>
    <row r="471" ht="15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</row>
    <row r="472" ht="15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</row>
    <row r="473" ht="15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</row>
    <row r="474" ht="15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</row>
    <row r="475" ht="15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</row>
    <row r="476" ht="15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</row>
    <row r="477" ht="15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</row>
    <row r="478" ht="15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</row>
    <row r="479" ht="15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</row>
    <row r="480" ht="15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</row>
    <row r="481" ht="15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</row>
    <row r="482" ht="15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</row>
    <row r="483" ht="15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</row>
    <row r="484" ht="15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</row>
    <row r="485" ht="15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</row>
    <row r="486" ht="15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</row>
    <row r="487" ht="15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</row>
    <row r="488" ht="15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</row>
    <row r="489" ht="15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</row>
    <row r="490" ht="15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</row>
    <row r="491" ht="15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</row>
    <row r="492" ht="15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</row>
    <row r="493" ht="15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</row>
    <row r="494" ht="15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</row>
    <row r="495" ht="15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</row>
    <row r="496" ht="15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</row>
    <row r="497" ht="15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</row>
    <row r="498" ht="15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</row>
    <row r="499" ht="15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</row>
    <row r="500" ht="15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</row>
    <row r="501" ht="15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</row>
    <row r="502" ht="15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</row>
    <row r="503" ht="15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</row>
    <row r="504" ht="15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</row>
    <row r="505" ht="15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</row>
    <row r="506" ht="15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</row>
    <row r="507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</row>
    <row r="508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</row>
    <row r="509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</row>
    <row r="510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</row>
    <row r="511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</row>
    <row r="512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</row>
    <row r="51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</row>
    <row r="514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</row>
    <row r="515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</row>
    <row r="516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</row>
    <row r="517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</row>
    <row r="518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</row>
    <row r="519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</row>
    <row r="520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</row>
    <row r="521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</row>
    <row r="522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</row>
    <row r="5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</row>
    <row r="524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</row>
    <row r="525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</row>
    <row r="526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</row>
    <row r="527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</row>
    <row r="528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</row>
    <row r="529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</row>
    <row r="530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</row>
    <row r="531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</row>
    <row r="532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</row>
    <row r="53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</row>
    <row r="534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</row>
    <row r="535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</row>
    <row r="536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</row>
    <row r="537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</row>
    <row r="538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</row>
    <row r="539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</row>
    <row r="540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</row>
    <row r="541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</row>
    <row r="542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</row>
    <row r="54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</row>
    <row r="544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</row>
    <row r="545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</row>
    <row r="546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</row>
    <row r="547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</row>
    <row r="548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</row>
    <row r="549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</row>
    <row r="550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</row>
    <row r="551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</row>
    <row r="552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</row>
    <row r="55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</row>
    <row r="554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</row>
    <row r="555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</row>
    <row r="556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</row>
    <row r="557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</row>
    <row r="558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</row>
    <row r="559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</row>
    <row r="560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</row>
    <row r="561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</row>
    <row r="562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</row>
    <row r="56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</row>
    <row r="564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</row>
    <row r="565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</row>
    <row r="566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</row>
    <row r="567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</row>
    <row r="568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</row>
    <row r="569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</row>
    <row r="570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</row>
    <row r="571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</row>
    <row r="572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</row>
    <row r="57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</row>
    <row r="574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</row>
    <row r="575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</row>
    <row r="576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</row>
    <row r="577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</row>
    <row r="578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</row>
    <row r="579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</row>
    <row r="580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</row>
    <row r="581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</row>
    <row r="582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</row>
    <row r="58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</row>
    <row r="584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</row>
    <row r="585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</row>
    <row r="586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</row>
    <row r="587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</row>
    <row r="588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</row>
    <row r="589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</row>
    <row r="590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</row>
    <row r="591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</row>
    <row r="592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</row>
    <row r="59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</row>
    <row r="594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</row>
    <row r="595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</row>
    <row r="596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</row>
    <row r="597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</row>
    <row r="598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</row>
    <row r="599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</row>
    <row r="600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</row>
    <row r="601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</row>
    <row r="602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</row>
    <row r="60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</row>
    <row r="604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</row>
    <row r="605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</row>
    <row r="606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</row>
    <row r="607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</row>
    <row r="608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</row>
    <row r="609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</row>
    <row r="610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</row>
    <row r="611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</row>
    <row r="612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</row>
    <row r="61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</row>
    <row r="614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</row>
    <row r="615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</row>
    <row r="616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</row>
    <row r="617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</row>
    <row r="618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</row>
    <row r="619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</row>
    <row r="620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</row>
    <row r="621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</row>
    <row r="622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</row>
    <row r="6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</row>
    <row r="624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</row>
    <row r="625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</row>
    <row r="626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</row>
    <row r="627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</row>
    <row r="628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</row>
    <row r="629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</row>
    <row r="630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</row>
    <row r="631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</row>
    <row r="632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</row>
    <row r="63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</row>
    <row r="634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</row>
    <row r="635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</row>
    <row r="636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</row>
    <row r="637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</row>
    <row r="638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</row>
    <row r="639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</row>
    <row r="640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</row>
    <row r="641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</row>
    <row r="642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</row>
    <row r="64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</row>
    <row r="644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</row>
    <row r="645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</row>
    <row r="646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</row>
    <row r="647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</row>
    <row r="648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</row>
    <row r="649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</row>
    <row r="650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</row>
    <row r="651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</row>
    <row r="652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</row>
    <row r="65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</row>
    <row r="654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</row>
    <row r="655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</row>
    <row r="656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</row>
    <row r="657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</row>
    <row r="658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</row>
    <row r="659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</row>
    <row r="660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</row>
    <row r="661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</row>
    <row r="662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</row>
    <row r="66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</row>
    <row r="664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</row>
    <row r="665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</row>
    <row r="666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</row>
    <row r="667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</row>
    <row r="668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</row>
    <row r="669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</row>
    <row r="670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</row>
    <row r="671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</row>
    <row r="672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</row>
    <row r="67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</row>
    <row r="674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</row>
    <row r="675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</row>
    <row r="676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</row>
    <row r="677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</row>
    <row r="678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</row>
    <row r="679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</row>
    <row r="680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</row>
    <row r="681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</row>
    <row r="682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</row>
    <row r="68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</row>
    <row r="684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</row>
    <row r="685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</row>
    <row r="686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</row>
    <row r="687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</row>
    <row r="688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</row>
    <row r="689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</row>
    <row r="690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</row>
    <row r="691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</row>
    <row r="692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</row>
    <row r="69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</row>
    <row r="694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</row>
    <row r="695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</row>
    <row r="696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</row>
    <row r="697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</row>
    <row r="698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</row>
    <row r="699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</row>
    <row r="700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</row>
    <row r="701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</row>
    <row r="702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</row>
    <row r="70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</row>
    <row r="704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</row>
    <row r="705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</row>
    <row r="706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</row>
    <row r="707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</row>
    <row r="708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</row>
    <row r="709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</row>
    <row r="710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</row>
    <row r="711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</row>
    <row r="712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</row>
    <row r="71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</row>
    <row r="714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</row>
    <row r="715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</row>
    <row r="716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</row>
    <row r="717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</row>
    <row r="718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</row>
    <row r="719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</row>
    <row r="720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</row>
    <row r="721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</row>
    <row r="722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</row>
    <row r="7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</row>
    <row r="724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</row>
    <row r="725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</row>
    <row r="726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</row>
    <row r="727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</row>
    <row r="728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</row>
    <row r="729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</row>
    <row r="730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</row>
    <row r="731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</row>
    <row r="732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</row>
    <row r="73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</row>
    <row r="734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</row>
    <row r="735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</row>
    <row r="736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</row>
    <row r="737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</row>
    <row r="738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</row>
    <row r="739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</row>
    <row r="740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</row>
    <row r="741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</row>
    <row r="742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</row>
    <row r="74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</row>
    <row r="744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</row>
    <row r="745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</row>
    <row r="746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</row>
    <row r="747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</row>
    <row r="748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</row>
    <row r="749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</row>
    <row r="750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</row>
    <row r="751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</row>
    <row r="752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</row>
    <row r="75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</row>
    <row r="754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</row>
    <row r="755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</row>
    <row r="756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</row>
    <row r="757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</row>
    <row r="758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</row>
    <row r="759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</row>
    <row r="760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</row>
    <row r="761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</row>
    <row r="762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</row>
    <row r="76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</row>
    <row r="764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</row>
    <row r="765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</row>
    <row r="766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</row>
    <row r="767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</row>
    <row r="768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</row>
    <row r="769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</row>
    <row r="770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</row>
    <row r="771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</row>
    <row r="772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</row>
    <row r="77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</row>
    <row r="774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</row>
    <row r="775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</row>
    <row r="776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</row>
    <row r="777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</row>
    <row r="778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</row>
    <row r="779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</row>
    <row r="780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</row>
    <row r="781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</row>
    <row r="782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</row>
    <row r="78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</row>
    <row r="784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</row>
    <row r="785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</row>
    <row r="786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</row>
    <row r="787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</row>
    <row r="788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</row>
    <row r="789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</row>
    <row r="790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</row>
    <row r="791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</row>
    <row r="792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</row>
    <row r="79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</row>
    <row r="794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</row>
    <row r="795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</row>
    <row r="796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</row>
    <row r="797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</row>
    <row r="798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</row>
    <row r="799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</row>
    <row r="800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</row>
    <row r="801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</row>
    <row r="802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</row>
    <row r="80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</row>
    <row r="804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</row>
    <row r="805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</row>
    <row r="806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</row>
    <row r="807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</row>
    <row r="808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</row>
    <row r="809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</row>
    <row r="810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</row>
    <row r="811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</row>
    <row r="812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</row>
    <row r="81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</row>
    <row r="814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</row>
    <row r="815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</row>
    <row r="816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</row>
    <row r="817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</row>
    <row r="818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</row>
    <row r="819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</row>
    <row r="820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</row>
    <row r="821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</row>
    <row r="822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</row>
    <row r="8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</row>
    <row r="824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</row>
    <row r="825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</row>
    <row r="826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</row>
    <row r="827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</row>
    <row r="828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</row>
    <row r="829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</row>
    <row r="830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</row>
    <row r="831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</row>
    <row r="832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</row>
    <row r="83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</row>
    <row r="834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</row>
    <row r="835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</row>
    <row r="836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</row>
    <row r="837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</row>
    <row r="838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</row>
    <row r="839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</row>
    <row r="840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</row>
    <row r="841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</row>
    <row r="842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</row>
    <row r="84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</row>
    <row r="844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</row>
    <row r="845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</row>
    <row r="846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</row>
    <row r="847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</row>
    <row r="848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</row>
    <row r="849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</row>
    <row r="850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</row>
    <row r="851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</row>
    <row r="852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</row>
    <row r="85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</row>
    <row r="854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</row>
    <row r="855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</row>
    <row r="856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</row>
    <row r="857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</row>
    <row r="858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</row>
    <row r="859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</row>
    <row r="860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</row>
    <row r="861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</row>
    <row r="862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</row>
    <row r="86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</row>
    <row r="864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</row>
    <row r="865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</row>
    <row r="866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</row>
    <row r="867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</row>
    <row r="868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</row>
    <row r="869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</row>
    <row r="870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</row>
    <row r="871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</row>
    <row r="872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</row>
    <row r="87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</row>
    <row r="874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</row>
    <row r="875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</row>
    <row r="876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</row>
    <row r="877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</row>
    <row r="878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</row>
    <row r="879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</row>
    <row r="880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</row>
    <row r="881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</row>
    <row r="882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</row>
    <row r="88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</row>
    <row r="884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</row>
    <row r="885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</row>
    <row r="886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</row>
    <row r="887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</row>
    <row r="888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</row>
    <row r="889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</row>
    <row r="890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</row>
    <row r="891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</row>
    <row r="892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</row>
    <row r="89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</row>
    <row r="894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</row>
    <row r="895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</row>
    <row r="896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</row>
    <row r="897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</row>
    <row r="898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</row>
    <row r="899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</row>
    <row r="900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</row>
    <row r="901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</row>
    <row r="902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</row>
    <row r="90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</row>
    <row r="904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</row>
    <row r="905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</row>
    <row r="906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</row>
    <row r="907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</row>
    <row r="908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</row>
    <row r="909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</row>
    <row r="910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</row>
    <row r="911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</row>
    <row r="912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</row>
    <row r="91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</row>
    <row r="914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</row>
    <row r="915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</row>
    <row r="916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</row>
    <row r="917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</row>
    <row r="918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</row>
    <row r="919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</row>
    <row r="920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</row>
    <row r="921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</row>
    <row r="922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</row>
    <row r="9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</row>
    <row r="924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</row>
    <row r="925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</row>
    <row r="926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</row>
    <row r="927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</row>
    <row r="928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</row>
    <row r="929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</row>
    <row r="930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</row>
    <row r="931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</row>
    <row r="932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</row>
    <row r="93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</row>
    <row r="934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</row>
    <row r="935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</row>
    <row r="936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</row>
    <row r="937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</row>
    <row r="938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</row>
    <row r="939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</row>
    <row r="940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</row>
    <row r="941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</row>
    <row r="942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</row>
    <row r="94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</row>
    <row r="944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</row>
    <row r="945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</row>
    <row r="946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</row>
    <row r="947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</row>
    <row r="948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</row>
    <row r="949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</row>
    <row r="950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</row>
    <row r="951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</row>
    <row r="952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</row>
    <row r="95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</row>
    <row r="954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</row>
    <row r="955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</row>
    <row r="956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</row>
    <row r="957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</row>
    <row r="958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</row>
    <row r="959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</row>
    <row r="960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</row>
    <row r="961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</row>
    <row r="962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</row>
    <row r="96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</row>
    <row r="964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</row>
    <row r="965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</row>
    <row r="966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</row>
    <row r="967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</row>
    <row r="968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</row>
    <row r="969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</row>
    <row r="970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</row>
    <row r="971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</row>
    <row r="972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</row>
    <row r="97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</row>
    <row r="974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</row>
    <row r="975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</row>
    <row r="976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</row>
    <row r="977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</row>
    <row r="978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</row>
    <row r="979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</row>
    <row r="980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</row>
    <row r="981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</row>
    <row r="982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</row>
    <row r="98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</row>
    <row r="984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</row>
    <row r="985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</row>
    <row r="986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</row>
    <row r="987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</row>
    <row r="988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</row>
    <row r="989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</row>
    <row r="990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</row>
    <row r="991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</row>
    <row r="992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</row>
    <row r="99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</row>
    <row r="994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</row>
    <row r="995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</row>
    <row r="996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</row>
    <row r="997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</row>
    <row r="998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</row>
    <row r="999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</row>
    <row r="1000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</row>
  </sheetData>
  <mergeCells count="1">
    <mergeCell ref="F3:Q3"/>
  </mergeCells>
  <dataValidations>
    <dataValidation type="list" allowBlank="1" sqref="B5:B30">
      <formula1>"PE,VC,Secondaries"</formula1>
    </dataValidation>
  </dataValidations>
  <printOptions/>
  <pageMargins bottom="1.0" footer="0.0" header="0.0" left="0.75" right="0.75" top="1.0"/>
  <pageSetup orientation="landscape"/>
  <drawing r:id="rId1"/>
</worksheet>
</file>